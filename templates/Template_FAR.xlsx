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76" documentId="13_ncr:1_{7168D552-BB42-4CE9-8EF9-6CCA0452CEDC}" xr6:coauthVersionLast="47" xr6:coauthVersionMax="47" xr10:uidLastSave="{8A9C8B83-BED0-4786-B782-0B374DA4BE6C}"/>
  <bookViews>
    <workbookView xWindow="-110" yWindow="-110" windowWidth="19420" windowHeight="11500" activeTab="7" xr2:uid="{00000000-000D-0000-FFFF-FFFF00000000}"/>
  </bookViews>
  <sheets>
    <sheet name="BS" sheetId="18" r:id="rId1"/>
    <sheet name="PL" sheetId="3" r:id="rId2"/>
    <sheet name="Sheet3" sheetId="17" state="hidden" r:id="rId3"/>
    <sheet name="3-4" sheetId="23" r:id="rId4"/>
    <sheet name="10-17" sheetId="21" r:id="rId5"/>
    <sheet name="5-9" sheetId="20" r:id="rId6"/>
    <sheet name="18-26" sheetId="22" r:id="rId7"/>
    <sheet name="Ratio analysis" sheetId="19" r:id="rId8"/>
    <sheet name="Sheet1" sheetId="16" state="hidden" r:id="rId9"/>
    <sheet name="Sheet2" sheetId="14"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0">#REF!</definedName>
    <definedName name="\A">#REF!</definedName>
    <definedName name="\B">#REF!</definedName>
    <definedName name="\C">#REF!</definedName>
    <definedName name="\D">#REF!</definedName>
    <definedName name="\E">#REF!</definedName>
    <definedName name="\f">#N/A</definedName>
    <definedName name="\GP">[1]A!$D$2748</definedName>
    <definedName name="\H">[1]A!$D$2882</definedName>
    <definedName name="\I">#REF!</definedName>
    <definedName name="\INC">'[2]jan''04'!#REF!</definedName>
    <definedName name="\K">[1]A!$D$2550</definedName>
    <definedName name="\L">[1]A!$D$2629</definedName>
    <definedName name="\M">[1]A!$D$2545</definedName>
    <definedName name="\N">[1]A!$D$2656</definedName>
    <definedName name="\O">#REF!</definedName>
    <definedName name="\Q">[1]A!$D$2173</definedName>
    <definedName name="\R">#REF!</definedName>
    <definedName name="\s">#REF!</definedName>
    <definedName name="\T">[1]A!$D$2781</definedName>
    <definedName name="\W">[1]A!$D$2120</definedName>
    <definedName name="\x">#N/A</definedName>
    <definedName name="\Y">[1]A!$D$2748</definedName>
    <definedName name="\z">#N/A</definedName>
    <definedName name="________PG1">#REF!</definedName>
    <definedName name="_______DEP390">#REF!</definedName>
    <definedName name="_______PG1">#REF!</definedName>
    <definedName name="______DEP390">#REF!</definedName>
    <definedName name="______PG1">#REF!</definedName>
    <definedName name="_____DEP390">#REF!</definedName>
    <definedName name="_____PG1">#REF!</definedName>
    <definedName name="____DAT1">[3]sent!#REF!</definedName>
    <definedName name="____DAT10">[4]Sheet1!#REF!</definedName>
    <definedName name="____DAT11">[4]Sheet1!#REF!</definedName>
    <definedName name="____DAT12">[4]Sheet1!#REF!</definedName>
    <definedName name="____DAT3">[3]sent!#REF!</definedName>
    <definedName name="____DAT4">[3]sent!#REF!</definedName>
    <definedName name="____DAT6">[3]sent!#REF!</definedName>
    <definedName name="____DAT9">[4]Sheet1!#REF!</definedName>
    <definedName name="____DEP390">#REF!</definedName>
    <definedName name="____PG1">#REF!</definedName>
    <definedName name="____PG10">#REF!</definedName>
    <definedName name="____PG11">#REF!</definedName>
    <definedName name="____PG13">'[5]#REF'!#REF!</definedName>
    <definedName name="____PG3">#REF!</definedName>
    <definedName name="____PG8">#REF!</definedName>
    <definedName name="___1ANNEX_C_1">#REF!</definedName>
    <definedName name="___DAT1">'[6]jan''04'!#REF!</definedName>
    <definedName name="___DAT10">#REF!</definedName>
    <definedName name="___DAT11">#REF!</definedName>
    <definedName name="___DAT12">'[6]jan''04'!#REF!</definedName>
    <definedName name="___DAT13">'[6]jan''04'!#REF!</definedName>
    <definedName name="___DAT14">'[6]jan''04'!#REF!</definedName>
    <definedName name="___DAT15">#REF!</definedName>
    <definedName name="___DAT16">#REF!</definedName>
    <definedName name="___DAT17">#REF!</definedName>
    <definedName name="___DAT18">#REF!</definedName>
    <definedName name="___DAT19">#REF!</definedName>
    <definedName name="___DAT2">'[6]jan''04'!#REF!</definedName>
    <definedName name="___DAT20">'[6]jan''04'!#REF!</definedName>
    <definedName name="___DAT21">'[6]jan''04'!#REF!</definedName>
    <definedName name="___DAT22">'[6]jan''04'!#REF!</definedName>
    <definedName name="___DAT3">#REF!</definedName>
    <definedName name="___DAT4">'[6]jan''04'!#REF!</definedName>
    <definedName name="___DAT5">#REF!</definedName>
    <definedName name="___DAT6">'[6]jan''04'!#REF!</definedName>
    <definedName name="___DAT7">'[6]jan''04'!#REF!</definedName>
    <definedName name="___DAT8">'[6]jan''04'!#REF!</definedName>
    <definedName name="___DAT9">'[6]jan''04'!#REF!</definedName>
    <definedName name="___DEP390">#REF!</definedName>
    <definedName name="___FOD800">'[7]Sales &amp; Revenue &amp; Sked'!#REF!</definedName>
    <definedName name="___PG1">#REF!</definedName>
    <definedName name="___PG10">#REF!</definedName>
    <definedName name="___PG11">#REF!</definedName>
    <definedName name="___PG13">'[8]#REF'!#REF!</definedName>
    <definedName name="___PG3">#REF!</definedName>
    <definedName name="___PG8">#REF!</definedName>
    <definedName name="__123Graph_B" hidden="1">[9]SR!#REF!</definedName>
    <definedName name="__123Graph_BCURRENT" hidden="1">[10]FORM111!#REF!</definedName>
    <definedName name="__123Graph_D" hidden="1">[11]Shivaji!#REF!</definedName>
    <definedName name="__123Graph_DCURRENT" hidden="1">[10]FORM111!#REF!</definedName>
    <definedName name="__123Graph_F" hidden="1">[9]SR!#REF!</definedName>
    <definedName name="__123Graph_FCURRENT" hidden="1">[10]FORM111!#REF!</definedName>
    <definedName name="__123Graph_X" hidden="1">[10]FORMII!#REF!</definedName>
    <definedName name="__123Graph_XCURRENT" hidden="1">[10]FORM111!#REF!</definedName>
    <definedName name="__1ANNEX_C_1">#REF!</definedName>
    <definedName name="__DAT1">'[6]jan''04'!#REF!</definedName>
    <definedName name="__DAT10">#REF!</definedName>
    <definedName name="__DAT11">#REF!</definedName>
    <definedName name="__DAT12">'[6]jan''04'!#REF!</definedName>
    <definedName name="__DAT13">'[6]jan''04'!#REF!</definedName>
    <definedName name="__DAT14">'[6]jan''04'!#REF!</definedName>
    <definedName name="__DAT15">#REF!</definedName>
    <definedName name="__DAT16">#REF!</definedName>
    <definedName name="__DAT17">#REF!</definedName>
    <definedName name="__DAT18">#REF!</definedName>
    <definedName name="__DAT19">#REF!</definedName>
    <definedName name="__DAT2">'[6]jan''04'!#REF!</definedName>
    <definedName name="__DAT20">'[6]jan''04'!#REF!</definedName>
    <definedName name="__DAT21">'[6]jan''04'!#REF!</definedName>
    <definedName name="__DAT22">'[6]jan''04'!#REF!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4">'[6]jan''04'!#REF!</definedName>
    <definedName name="__DAT5">#REF!</definedName>
    <definedName name="__DAT6">'[6]jan''04'!#REF!</definedName>
    <definedName name="__DAT7">'[6]jan''04'!#REF!</definedName>
    <definedName name="__DAT8">'[6]jan''04'!#REF!</definedName>
    <definedName name="__DAT9">'[6]jan''04'!#REF!</definedName>
    <definedName name="__DEP390">#REF!</definedName>
    <definedName name="__FDS_HYPERLINK_TOGGLE_STATE__" hidden="1">"ON"</definedName>
    <definedName name="__FOD800">'[7]Sales &amp; Revenue &amp; Sked'!#REF!</definedName>
    <definedName name="__PG1">#REF!</definedName>
    <definedName name="__PG10">#REF!</definedName>
    <definedName name="__PG11">#REF!</definedName>
    <definedName name="__PG13">'[8]#REF'!#REF!</definedName>
    <definedName name="__PG3">#REF!</definedName>
    <definedName name="__PG8">#REF!</definedName>
    <definedName name="__sch1">#REF!</definedName>
    <definedName name="_10OP_COST_SUMM">#REF!</definedName>
    <definedName name="_11OP_COST2_3">#REF!</definedName>
    <definedName name="_12P_L">#REF!</definedName>
    <definedName name="_13PRELIM_EXP">#REF!</definedName>
    <definedName name="_14PRJ_COST_SUMM">#REF!</definedName>
    <definedName name="_15PROJ_COST">#REF!</definedName>
    <definedName name="_16REVENU_SUMM">[12]E!$A$1:$H$51</definedName>
    <definedName name="_1ANNEX_C_1">#REF!</definedName>
    <definedName name="_1AREA_ALLOC">#REF!</definedName>
    <definedName name="_1KUMAR_SALES_COR">#REF!</definedName>
    <definedName name="_1PAGE_4">#REF!</definedName>
    <definedName name="_2CAPEX_ANNEXURE">#REF!</definedName>
    <definedName name="_2KUMARE_SAL_CORP">#REF!</definedName>
    <definedName name="_3CL_CAPX">#REF!</definedName>
    <definedName name="_3PAGE_4">#REF!</definedName>
    <definedName name="_4ENGG">#REF!</definedName>
    <definedName name="_5ENGG_1">#REF!</definedName>
    <definedName name="_6MANPOWER">#REF!</definedName>
    <definedName name="_7MED_EQUIP_02_03">#REF!</definedName>
    <definedName name="_8NURSE_DIST.">#REF!</definedName>
    <definedName name="_9OP_COST">#REF!</definedName>
    <definedName name="_9PAGE_4">#REF!</definedName>
    <definedName name="_a1">'[13]Balance sheet DCCDL Nov 06'!$BN$1:$BP$122</definedName>
    <definedName name="_a2">IF(Loan_Amount*Interest_Rate*Loan_Years*Loan_Start&gt;0,1,0)</definedName>
    <definedName name="_aaa1">MATCH(0.01,[0]!End_Bal,-1)+1</definedName>
    <definedName name="_ACK1">#REF!</definedName>
    <definedName name="_ACK2">#REF!</definedName>
    <definedName name="_BS1">#REF!</definedName>
    <definedName name="_DAT1">'[6]jan''04'!#REF!</definedName>
    <definedName name="_DAT10">#REF!</definedName>
    <definedName name="_DAT11">#REF!</definedName>
    <definedName name="_DAT12">'[6]jan''04'!#REF!</definedName>
    <definedName name="_DAT13">'[6]jan''04'!#REF!</definedName>
    <definedName name="_DAT14">'[6]jan''04'!#REF!</definedName>
    <definedName name="_DAT15">#REF!</definedName>
    <definedName name="_DAT16">#REF!</definedName>
    <definedName name="_DAT17">#REF!</definedName>
    <definedName name="_DAT18">#REF!</definedName>
    <definedName name="_DAT19">#REF!</definedName>
    <definedName name="_DAT2">'[6]jan''04'!#REF!</definedName>
    <definedName name="_DAT20">'[6]jan''04'!#REF!</definedName>
    <definedName name="_DAT21">'[6]jan''04'!#REF!</definedName>
    <definedName name="_DAT22">'[6]jan''04'!#REF!</definedName>
    <definedName name="_DAT23">#REF!</definedName>
    <definedName name="_DAT24">#REF!</definedName>
    <definedName name="_DAT25">#REF!</definedName>
    <definedName name="_DAT26">#REF!</definedName>
    <definedName name="_DAT27">#REF!</definedName>
    <definedName name="_DAT3">#REF!</definedName>
    <definedName name="_DAT4">'[6]jan''04'!#REF!</definedName>
    <definedName name="_DAT5">#REF!</definedName>
    <definedName name="_DAT6">'[6]jan''04'!#REF!</definedName>
    <definedName name="_DAT7">'[6]jan''04'!#REF!</definedName>
    <definedName name="_DAT8">'[6]jan''04'!#REF!</definedName>
    <definedName name="_DAT9">'[6]jan''04'!#REF!</definedName>
    <definedName name="_DEP390">#REF!</definedName>
    <definedName name="_Fill" hidden="1">'[8]#REF'!$A$10:$A$57</definedName>
    <definedName name="_xlnm._FilterDatabase" localSheetId="0" hidden="1">BS!#REF!</definedName>
    <definedName name="_FOD800">'[7]Sales &amp; Revenue &amp; Sked'!#REF!</definedName>
    <definedName name="_Key1" hidden="1">#REF!</definedName>
    <definedName name="_Key2" hidden="1">#REF!</definedName>
    <definedName name="_LTA1">#REF!</definedName>
    <definedName name="_Nov09" hidden="1">{"'August 2000'!$A$1:$J$101"}</definedName>
    <definedName name="_Order1" hidden="1">255</definedName>
    <definedName name="_Order2" hidden="1">255</definedName>
    <definedName name="_P">#N/A</definedName>
    <definedName name="_Parse_Out" hidden="1">#REF!</definedName>
    <definedName name="_PG1">#REF!</definedName>
    <definedName name="_PG10">#REF!</definedName>
    <definedName name="_PG11">#REF!</definedName>
    <definedName name="_PG13">'[8]#REF'!#REF!</definedName>
    <definedName name="_PG2">#REF!</definedName>
    <definedName name="_PG3">#REF!</definedName>
    <definedName name="_PG4">#REF!</definedName>
    <definedName name="_PG5">#REF!</definedName>
    <definedName name="_PG6">#REF!</definedName>
    <definedName name="_PG7">#REF!</definedName>
    <definedName name="_PG8">#REF!</definedName>
    <definedName name="_PG9">#REF!</definedName>
    <definedName name="_sch1">#REF!</definedName>
    <definedName name="_Sort" hidden="1">#REF!</definedName>
    <definedName name="A" hidden="1">[14]YTD!$A$2713:$A$2775</definedName>
    <definedName name="A_27_R">#REF!</definedName>
    <definedName name="A_28_R">#REF!</definedName>
    <definedName name="A_29_R">#REF!</definedName>
    <definedName name="A_33_R">#REF!</definedName>
    <definedName name="A_36">#REF!</definedName>
    <definedName name="A_37_R">#REF!</definedName>
    <definedName name="A_42">#REF!</definedName>
    <definedName name="A_52">#REF!</definedName>
    <definedName name="A_71">#REF!</definedName>
    <definedName name="A_72">#REF!</definedName>
    <definedName name="A_93">#REF!</definedName>
    <definedName name="A_95A">#REF!</definedName>
    <definedName name="A_96A">#REF!</definedName>
    <definedName name="A_99A">#REF!</definedName>
    <definedName name="A0">#REF!</definedName>
    <definedName name="AA">#REF!</definedName>
    <definedName name="aaa">MATCH(0.01,End_Bal,-1)+1</definedName>
    <definedName name="aaaaaaaaaaaaaaaaaaaaaaaaaa">DATE(YEAR([0]!Loan_Start),MONTH([0]!Loan_Start)+Payment_Number,DAY([0]!Loan_Start))</definedName>
    <definedName name="aas">#REF!</definedName>
    <definedName name="ABC">#REF!</definedName>
    <definedName name="AC">#REF!</definedName>
    <definedName name="AcftInsuranceRate">'[7]Sales &amp; Revenue &amp; Sked'!#REF!</definedName>
    <definedName name="adfaf">#REF!</definedName>
    <definedName name="ADMN">#REF!</definedName>
    <definedName name="afaff">#REF!</definedName>
    <definedName name="afdfaf">#REF!</definedName>
    <definedName name="Ag">[15]Design!#REF!</definedName>
    <definedName name="AKA" hidden="1">{"'August 2000'!$A$1:$J$101"}</definedName>
    <definedName name="AL">'[8]#REF'!$E$9</definedName>
    <definedName name="ALM">'[8]#REF'!$E$10</definedName>
    <definedName name="AMPICILLIN">'[16]MOHALI - I'!#REF!</definedName>
    <definedName name="ANNEXA">#REF!</definedName>
    <definedName name="ANS">#REF!</definedName>
    <definedName name="area1">#REF!</definedName>
    <definedName name="area2">#REF!</definedName>
    <definedName name="area3">#REF!</definedName>
    <definedName name="arrow_acc">#REF!</definedName>
    <definedName name="arrow_bval_cemp">#REF!</definedName>
    <definedName name="arrow_bval_roy">#REF!</definedName>
    <definedName name="ARROW_CAPEMP">#REF!</definedName>
    <definedName name="arrow_cflo_gr">#REF!</definedName>
    <definedName name="arrow_cflo_per">#REF!</definedName>
    <definedName name="arrow_colawdep">#REF!</definedName>
    <definedName name="arrow_consu">#REF!</definedName>
    <definedName name="arrow_dcf">#REF!</definedName>
    <definedName name="arrow_freight">#REF!</definedName>
    <definedName name="arrow_GM">#REF!</definedName>
    <definedName name="arrow_job">#REF!</definedName>
    <definedName name="arrow_ocosts">#REF!</definedName>
    <definedName name="arrow_pur">#REF!</definedName>
    <definedName name="arrow_rm">#REF!</definedName>
    <definedName name="arrow_royalty">#REF!</definedName>
    <definedName name="arrow_sell">#REF!</definedName>
    <definedName name="arrow_top2601">#REF!</definedName>
    <definedName name="arrow_topsheet">#REF!</definedName>
    <definedName name="as">#REF!</definedName>
    <definedName name="ASC_IIIP">[17]TOANSA!#REF!</definedName>
    <definedName name="askdelete">'[18]Sales &amp; Revenue &amp; Sked'!$1302:$1302</definedName>
    <definedName name="ass_cc">[19]Sheet1!$A$1:$C$2443</definedName>
    <definedName name="assd">#REF!</definedName>
    <definedName name="ATORVA_ATV_IP">[17]TOANSA!#REF!</definedName>
    <definedName name="ATORVA_DKT_iii">[16]TOANSA!#REF!</definedName>
    <definedName name="AXETIL_AMOR_SPR_DRY">'[17]MOHALI - II'!#REF!</definedName>
    <definedName name="AXETIL_AMOR_SSD_AL">'[17]MOHALI - II'!#REF!</definedName>
    <definedName name="AXETIL_SOLID_DISPER_AL">[17]TOANSA!#REF!</definedName>
    <definedName name="B" hidden="1">[14]YTD!$C$198:$S$316</definedName>
    <definedName name="B_11A">#REF!</definedName>
    <definedName name="B_12A">#REF!</definedName>
    <definedName name="B_22">#REF!</definedName>
    <definedName name="B_24">#REF!</definedName>
    <definedName name="B_25">#REF!</definedName>
    <definedName name="B_26">#REF!</definedName>
    <definedName name="B_27">#REF!</definedName>
    <definedName name="B_29">#REF!</definedName>
    <definedName name="B_30_DL">#REF!</definedName>
    <definedName name="B_30_R">#REF!</definedName>
    <definedName name="B_33_DL">#REF!</definedName>
    <definedName name="B_33_R">#REF!</definedName>
    <definedName name="B_33B">#REF!</definedName>
    <definedName name="B_36">#REF!</definedName>
    <definedName name="B_37">#REF!</definedName>
    <definedName name="B_49">#REF!</definedName>
    <definedName name="B_49A">#REF!</definedName>
    <definedName name="B_73">#REF!</definedName>
    <definedName name="B_88">#REF!</definedName>
    <definedName name="B_92">#REF!</definedName>
    <definedName name="B_SHEET">#REF!</definedName>
    <definedName name="BA">#REF!</definedName>
    <definedName name="BAL">[1]A!$AQ$1:$AW$891</definedName>
    <definedName name="Balance_Sheet">[20]Sheet1!#REF!</definedName>
    <definedName name="BALS">[1]A!$AQ$1:$BC$892</definedName>
    <definedName name="Beg_Bal">#REF!</definedName>
    <definedName name="bhupal">'[21]#REF'!$B$3</definedName>
    <definedName name="BLR80IA">#N/A</definedName>
    <definedName name="BOB_P_M">#REF!</definedName>
    <definedName name="BOD_CEIP">#REF!</definedName>
    <definedName name="BOD_OEQP">#REF!</definedName>
    <definedName name="Bookings">'[7]Sales &amp; Revenue &amp; Sked'!#REF!</definedName>
    <definedName name="bs">#REF!</definedName>
    <definedName name="bsht">#REF!</definedName>
    <definedName name="bst">#REF!</definedName>
    <definedName name="BUIL">#REF!</definedName>
    <definedName name="BuildRemittance">[0]!BuildRemittance</definedName>
    <definedName name="BuiltIn_Print_Area">#REF!</definedName>
    <definedName name="BuiltIn_Print_Area___0">#REF!</definedName>
    <definedName name="BuiltIn_Print_Area___0___0">#REF!</definedName>
    <definedName name="BuiltIn_Print_Area___0___0___0">#REF!</definedName>
    <definedName name="BuiltIn_Print_Titles">#REF!</definedName>
    <definedName name="buta2c">[22]Invest!#REF!</definedName>
    <definedName name="C_">#REF!</definedName>
    <definedName name="C_12">#REF!</definedName>
    <definedName name="C_17">#REF!</definedName>
    <definedName name="C_44_R">#REF!</definedName>
    <definedName name="C_47">#REF!</definedName>
    <definedName name="C_52">#REF!</definedName>
    <definedName name="C_52A">#REF!</definedName>
    <definedName name="C_53">#REF!</definedName>
    <definedName name="C_53A">#REF!</definedName>
    <definedName name="C_54">#REF!</definedName>
    <definedName name="C_54A">#REF!</definedName>
    <definedName name="C_60">#REF!</definedName>
    <definedName name="C_61">#REF!</definedName>
    <definedName name="C_61B">#REF!</definedName>
    <definedName name="C_65">#REF!</definedName>
    <definedName name="C_86A">#REF!</definedName>
    <definedName name="C_86C">#REF!</definedName>
    <definedName name="C_88A">#REF!</definedName>
    <definedName name="C_90A">#REF!</definedName>
    <definedName name="C_99">#REF!</definedName>
    <definedName name="CAN">'[8]#REF'!$E$13</definedName>
    <definedName name="CAPEX">#REF!</definedName>
    <definedName name="CAPEX_PHASING">#REF!</definedName>
    <definedName name="Capex_Summary">[20]Sheet1!#REF!</definedName>
    <definedName name="Cash__Flow">[20]Sheet1!#REF!</definedName>
    <definedName name="CASH__FLOW__STATEMENT">[20]Sheet1!#REF!</definedName>
    <definedName name="CDPG1">#REF!</definedName>
    <definedName name="CDPG5">#REF!</definedName>
    <definedName name="CEF_AXT_AMOR_SSD">'[16]MOHALI - II'!#REF!</definedName>
    <definedName name="CEFAC">'[17]MOHALI - II'!#REF!</definedName>
    <definedName name="CEFAC_AL">'[17]MOHALI - II'!#REF!</definedName>
    <definedName name="CEFAC_M_AL">'[17]MOHALI - II'!#REF!</definedName>
    <definedName name="CEFAC_M_MOD_II">'[17]MOHALI - II'!#REF!</definedName>
    <definedName name="CEFAC_N_US">'[17]MOHALI - II'!#REF!</definedName>
    <definedName name="CEFADRO">'[16]MOHALI - I'!#REF!</definedName>
    <definedName name="CEFADROXIL_AL">[17]TOANSA!#REF!</definedName>
    <definedName name="CEFAZOLINE">'[16]MOHALI - II'!#REF!</definedName>
    <definedName name="CEFCLOR_SUS">'[17]MOHALI - II'!#REF!</definedName>
    <definedName name="CEFOTAXIM_ACID">'[16]MOHALI - II'!#REF!</definedName>
    <definedName name="CEFOTAXIME">'[17]MOHALI - II'!#REF!</definedName>
    <definedName name="CEFTRI_SOD_NS">'[17]MOHALI - II'!#REF!</definedName>
    <definedName name="CEFTRI_SOD_S">'[17]MOHALI - II'!#REF!</definedName>
    <definedName name="CEFURO_AXETIL_AMOUR">'[17]MOHALI - II'!#REF!</definedName>
    <definedName name="CEFURO_AXETIL_AMOUR_AL">'[17]MOHALI - II'!#REF!</definedName>
    <definedName name="CEFURO_AXETIL_AMOUR_IX">'[16]MOHALI - II'!#REF!</definedName>
    <definedName name="CEFURO_AXETIL_CRY">'[16]MOHALI - II'!#REF!</definedName>
    <definedName name="CEFURO_AXETIL_CRY_IX">'[16]MOHALI - II'!#REF!</definedName>
    <definedName name="CEFUROXIME_AXETIL_AMOUR">'[16]MOHALI - II'!#REF!</definedName>
    <definedName name="CELECOXIB">'[16]MOHALI - I'!#REF!</definedName>
    <definedName name="cenvat" hidden="1">{"'August 2000'!$A$1:$J$101"}</definedName>
    <definedName name="CF">#REF!</definedName>
    <definedName name="CFAdvTicket">'[7]Sales &amp; Revenue &amp; Sked'!#REF!</definedName>
    <definedName name="CFReserves">#REF!</definedName>
    <definedName name="check">#REF!</definedName>
    <definedName name="check1">#REF!</definedName>
    <definedName name="checked">#REF!</definedName>
    <definedName name="CIPRO_AL">[17]DEWAS!#REF!</definedName>
    <definedName name="CIRC">[9]OEM!#REF!</definedName>
    <definedName name="CLOXA_AL">'[17]MOHALI - I'!#REF!</definedName>
    <definedName name="coa_ramco_168">[23]coa_ramco_168!$A$2:$I$2284</definedName>
    <definedName name="commission">#REF!</definedName>
    <definedName name="COMMIT_PHARMA">#REF!</definedName>
    <definedName name="COMP">#REF!</definedName>
    <definedName name="Company_Name">[24]Index!$F$10</definedName>
    <definedName name="conversion">#REF!</definedName>
    <definedName name="cover">#REF!</definedName>
    <definedName name="CR">'[8]#REF'!$E$23</definedName>
    <definedName name="CRO">'[8]#REF'!$E$25</definedName>
    <definedName name="CrossCharge_To_Stat">[25]G_L_DATA!$B$84:$E$88</definedName>
    <definedName name="Customer_Service_Costs">[20]Sheet1!#REF!</definedName>
    <definedName name="CWIP">#REF!</definedName>
    <definedName name="CXN_T_AL">[17]TOANSA!#REF!</definedName>
    <definedName name="CY_lik_Equity">#REF!</definedName>
    <definedName name="CY_lik_Income">#REF!</definedName>
    <definedName name="CY_lik_Liabs">#REF!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d">DATE(YEAR([0]!Loan_Start),MONTH([0]!Loan_Start)+Payment_Number,DAY([0]!Loan_Start))</definedName>
    <definedName name="D_06">#REF!</definedName>
    <definedName name="D_10">#REF!</definedName>
    <definedName name="D_11">#REF!</definedName>
    <definedName name="D_12">#REF!</definedName>
    <definedName name="D_19">#REF!</definedName>
    <definedName name="D_20_R">#REF!</definedName>
    <definedName name="D_21">#REF!</definedName>
    <definedName name="D_21A">#REF!</definedName>
    <definedName name="D_23_R">#REF!</definedName>
    <definedName name="D_28">#REF!</definedName>
    <definedName name="D_33">#REF!</definedName>
    <definedName name="D_35">#REF!</definedName>
    <definedName name="D_39">#REF!</definedName>
    <definedName name="D_40">#REF!</definedName>
    <definedName name="D_44_R">#REF!</definedName>
    <definedName name="D_45_R">#REF!</definedName>
    <definedName name="D_49_R">#REF!</definedName>
    <definedName name="D_54">#REF!</definedName>
    <definedName name="D_54A">#REF!</definedName>
    <definedName name="D_57">#REF!</definedName>
    <definedName name="D_76">#REF!</definedName>
    <definedName name="D_77">#REF!</definedName>
    <definedName name="D_78">#REF!</definedName>
    <definedName name="D_79">#REF!</definedName>
    <definedName name="D_80">#REF!</definedName>
    <definedName name="D_91">#REF!</definedName>
    <definedName name="D_92">#REF!</definedName>
    <definedName name="D_93">#REF!</definedName>
    <definedName name="D_94_R">#REF!</definedName>
    <definedName name="D_95_R">#REF!</definedName>
    <definedName name="Data">#REF!</definedName>
    <definedName name="data1">#REF!</definedName>
    <definedName name="DATA10">#REF!</definedName>
    <definedName name="DATA11">#REF!</definedName>
    <definedName name="DATA12">#REF!</definedName>
    <definedName name="DATA13">#REF!</definedName>
    <definedName name="DATA14">[26]PBC!#REF!</definedName>
    <definedName name="DATA15">[26]PBC!#REF!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abase_MI">'[27]Balance Sheet-One year'!#REF!</definedName>
    <definedName name="Database1">'[28]Balance Sheet-One year'!#REF!</definedName>
    <definedName name="date">'[29]5(a)'!$A$6:$Y$35</definedName>
    <definedName name="Dcap">#REF!</definedName>
    <definedName name="ddd">'[30]2003'!#REF!</definedName>
    <definedName name="Deduction_and_rebate">[31]Deduction_and_Rebate!$C$8:$CJ$211</definedName>
    <definedName name="def" hidden="1">[32]YTD!$A$2653:$A$2715</definedName>
    <definedName name="Del">IF(Loan_Amount*Interest_Rate*Loan_Years*Loan_Start&gt;0,1,0)</definedName>
    <definedName name="DEP">#N/A</definedName>
    <definedName name="DEPRECIATION">#REF!</definedName>
    <definedName name="designed">#REF!</definedName>
    <definedName name="det">'[33]Add  02-03'!#REF!</definedName>
    <definedName name="DETAIL">#REF!</definedName>
    <definedName name="DEWAS">#REF!</definedName>
    <definedName name="dhakjs" hidden="1">{"'August 2000'!$A$1:$J$101"}</definedName>
    <definedName name="dia">#REF!</definedName>
    <definedName name="DKT_III">[17]TOANSA!#REF!</definedName>
    <definedName name="docu">#REF!</definedName>
    <definedName name="DOXY_AL">[17]TOANSA!#REF!</definedName>
    <definedName name="DRV">#REF!</definedName>
    <definedName name="DULHome">#N/A</definedName>
    <definedName name="e">[0]!e</definedName>
    <definedName name="E_14">#REF!</definedName>
    <definedName name="E_16">#REF!</definedName>
    <definedName name="E_17">#REF!</definedName>
    <definedName name="E_26">#REF!</definedName>
    <definedName name="E_28A">#REF!</definedName>
    <definedName name="E_29A">#REF!</definedName>
    <definedName name="E_31">#REF!</definedName>
    <definedName name="E_32">#REF!</definedName>
    <definedName name="E_35_R">#REF!</definedName>
    <definedName name="E_44">#REF!</definedName>
    <definedName name="E_68">#REF!</definedName>
    <definedName name="E_73">#REF!</definedName>
    <definedName name="E_80">#REF!</definedName>
    <definedName name="E_81">#REF!</definedName>
    <definedName name="E_82">#REF!</definedName>
    <definedName name="E_86_R">#REF!</definedName>
    <definedName name="E_92">#REF!</definedName>
    <definedName name="E_92B">#REF!</definedName>
    <definedName name="E_93">#REF!</definedName>
    <definedName name="E_93A">#REF!</definedName>
    <definedName name="E_94">#REF!</definedName>
    <definedName name="E_94B">#REF!</definedName>
    <definedName name="E_95">#REF!</definedName>
    <definedName name="E_95A">#REF!</definedName>
    <definedName name="E_96">#REF!</definedName>
    <definedName name="E_96A">#REF!</definedName>
    <definedName name="E_97">#REF!</definedName>
    <definedName name="E_97A">#REF!</definedName>
    <definedName name="E_98">#REF!</definedName>
    <definedName name="E_98A">#REF!</definedName>
    <definedName name="E_99">#REF!</definedName>
    <definedName name="E_99A">#REF!</definedName>
    <definedName name="eesh">#REF!</definedName>
    <definedName name="End_Bal">#REF!</definedName>
    <definedName name="Entitywise_Collection_Flash">'[8]#REF'!$C$4</definedName>
    <definedName name="Ernesta">DATE(YEAR(Loan_Start),MONTH(Loan_Start)+Payment_Number,DAY(Loan_Start))</definedName>
    <definedName name="EVT">#REF!</definedName>
    <definedName name="ex">#REF!</definedName>
    <definedName name="EX_INDIA">#REF!</definedName>
    <definedName name="EX_SUMMARY">#REF!</definedName>
    <definedName name="excal_acc">#REF!</definedName>
    <definedName name="excal_bval_cemp">#REF!</definedName>
    <definedName name="excal_bval_roy">#REF!</definedName>
    <definedName name="excal_c_flow">#REF!</definedName>
    <definedName name="excal_cflo">#REF!</definedName>
    <definedName name="excal_cflo_gr">#REF!</definedName>
    <definedName name="excal_cflo_per">#REF!</definedName>
    <definedName name="excal_colawdep">#REF!</definedName>
    <definedName name="excal_commissions">#REF!</definedName>
    <definedName name="excal_consum">#REF!</definedName>
    <definedName name="excal_dcf">#REF!</definedName>
    <definedName name="excal_dep">#REF!</definedName>
    <definedName name="excal_freight">#REF!</definedName>
    <definedName name="excal_gm">#REF!</definedName>
    <definedName name="excal_hist_pl">#REF!</definedName>
    <definedName name="excal_interest">#REF!</definedName>
    <definedName name="excal_job">#REF!</definedName>
    <definedName name="excal_ocosts">#REF!</definedName>
    <definedName name="excal_prices">#REF!</definedName>
    <definedName name="excal_pur">#REF!</definedName>
    <definedName name="excal_rm">#REF!</definedName>
    <definedName name="excal_royalty">#REF!</definedName>
    <definedName name="excal_salesqty">#REF!</definedName>
    <definedName name="excal_salesval">#REF!</definedName>
    <definedName name="excal_sell">#REF!</definedName>
    <definedName name="excal_tax">#REF!</definedName>
    <definedName name="excal_topsheet">#REF!</definedName>
    <definedName name="excal_wcap">#REF!</definedName>
    <definedName name="excal_wcnorms">#REF!</definedName>
    <definedName name="exec">[31]words!$C$18</definedName>
    <definedName name="executives">#REF!</definedName>
    <definedName name="EXIT">#REF!</definedName>
    <definedName name="Extra_Pay">#REF!</definedName>
    <definedName name="F">[9]STU!#REF!</definedName>
    <definedName name="F_11">#REF!</definedName>
    <definedName name="F_14_BLK">#REF!</definedName>
    <definedName name="F_14_WHT">#REF!</definedName>
    <definedName name="F_18">#REF!</definedName>
    <definedName name="F_19">#REF!</definedName>
    <definedName name="F_20">#REF!</definedName>
    <definedName name="F_22">#REF!</definedName>
    <definedName name="F_23_R">#REF!</definedName>
    <definedName name="F_24_R">#REF!</definedName>
    <definedName name="F_25">#REF!</definedName>
    <definedName name="F_26">#REF!</definedName>
    <definedName name="F_28_R">#REF!</definedName>
    <definedName name="F_28A">#REF!</definedName>
    <definedName name="F_33_R">#REF!</definedName>
    <definedName name="F_37">#REF!</definedName>
    <definedName name="F_37A">#REF!</definedName>
    <definedName name="F_44">#REF!</definedName>
    <definedName name="F_45">#REF!</definedName>
    <definedName name="F_46">#REF!</definedName>
    <definedName name="F_47">#REF!</definedName>
    <definedName name="F_51">#REF!</definedName>
    <definedName name="F_52">#REF!</definedName>
    <definedName name="F_81_R">#REF!</definedName>
    <definedName name="F_81DL">#REF!</definedName>
    <definedName name="F_F">#REF!</definedName>
    <definedName name="FA">#REF!</definedName>
    <definedName name="FA_89">#REF!</definedName>
    <definedName name="FA389_">#REF!</definedName>
    <definedName name="FA390_">#REF!</definedName>
    <definedName name="fafa">#REF!</definedName>
    <definedName name="fafafa">#REF!</definedName>
    <definedName name="fck">#REF!</definedName>
    <definedName name="FEASIBILITY">#REF!</definedName>
    <definedName name="ff">#REF!</definedName>
    <definedName name="fg">#REF!</definedName>
    <definedName name="fgjutyj">#REF!</definedName>
    <definedName name="FGP">#REF!</definedName>
    <definedName name="FILE">'[8]#REF'!$T$1</definedName>
    <definedName name="FINSUM">#REF!</definedName>
    <definedName name="FLUCLOXA">'[17]MOHALI - I'!#REF!</definedName>
    <definedName name="FLUCONAZOLE">[16]TOANSA!#REF!</definedName>
    <definedName name="fm_acc">#REF!</definedName>
    <definedName name="fm_bval_cemp">#REF!</definedName>
    <definedName name="fm_bval_roy">#REF!</definedName>
    <definedName name="fm_c_flow">#REF!</definedName>
    <definedName name="fm_cflo">#REF!</definedName>
    <definedName name="fm_cflo_gr">#REF!</definedName>
    <definedName name="fm_cflo_per">#REF!</definedName>
    <definedName name="fm_colawdep">#REF!</definedName>
    <definedName name="fm_consum">#REF!</definedName>
    <definedName name="fm_dcf">#REF!</definedName>
    <definedName name="fm_dep">#REF!</definedName>
    <definedName name="fm_freight">#REF!</definedName>
    <definedName name="fm_gm">#REF!</definedName>
    <definedName name="fm_hist">#REF!</definedName>
    <definedName name="fm_hist_pl">#REF!</definedName>
    <definedName name="fm_hist_pl2">#REF!</definedName>
    <definedName name="fm_interest">#REF!</definedName>
    <definedName name="fm_job">#REF!</definedName>
    <definedName name="fm_ocosts">#REF!</definedName>
    <definedName name="fm_prices">#REF!</definedName>
    <definedName name="fm_pur">#REF!</definedName>
    <definedName name="fm_rm">#REF!</definedName>
    <definedName name="fm_royalty">#REF!</definedName>
    <definedName name="fm_salesqty">#REF!</definedName>
    <definedName name="fm_salesval">#REF!</definedName>
    <definedName name="fm_sell">#REF!</definedName>
    <definedName name="fm_tax">#REF!</definedName>
    <definedName name="fm_topsheet">#REF!</definedName>
    <definedName name="fm_wcap">#REF!</definedName>
    <definedName name="fm_wcnorms">#REF!</definedName>
    <definedName name="Full_Print">#REF!</definedName>
    <definedName name="FUNDS_FLOW">#REF!</definedName>
    <definedName name="fy">#REF!</definedName>
    <definedName name="G">[9]STU!#REF!</definedName>
    <definedName name="g\">#REF!</definedName>
    <definedName name="G_22">#REF!</definedName>
    <definedName name="G_23">#REF!</definedName>
    <definedName name="G_254">#REF!</definedName>
    <definedName name="G_26">#REF!</definedName>
    <definedName name="G_26_OLD">#REF!</definedName>
    <definedName name="G_27">#REF!</definedName>
    <definedName name="G_29">#REF!</definedName>
    <definedName name="G_29B">#REF!</definedName>
    <definedName name="G_37">#REF!</definedName>
    <definedName name="G_392">#REF!</definedName>
    <definedName name="G_393">#REF!</definedName>
    <definedName name="G_396">#REF!</definedName>
    <definedName name="G_397">#REF!</definedName>
    <definedName name="gaurav" hidden="1">[34]XWR!#REF!</definedName>
    <definedName name="General__Admin__Premises_Bad_Debt">[20]Sheet1!#REF!</definedName>
    <definedName name="Global_Sales_Entitywise">'[8]#REF'!$B$3</definedName>
    <definedName name="Global_Sales_Month">#REF!</definedName>
    <definedName name="Global_Sales_Ytd">'[8]#REF'!#REF!</definedName>
    <definedName name="GNS">'[6]jan''04'!#REF!</definedName>
    <definedName name="GOA">#REF!</definedName>
    <definedName name="GRP">[1]A!$A$662:$G$1815</definedName>
    <definedName name="H">[9]STU!#REF!</definedName>
    <definedName name="H_23">#REF!</definedName>
    <definedName name="H_24">#REF!</definedName>
    <definedName name="H_30">#REF!</definedName>
    <definedName name="H_58_DL">#REF!</definedName>
    <definedName name="H_58_R">#REF!</definedName>
    <definedName name="H_83">#REF!</definedName>
    <definedName name="hansa">'[35]Salary Data'!$A$7:$DZ$79</definedName>
    <definedName name="HANSHA">[36]Sheet3!$C$107</definedName>
    <definedName name="HD">[1]A!$A$35:$Z$38</definedName>
    <definedName name="Header_Row">ROW(#REF!)</definedName>
    <definedName name="Highlights">[8]summary!#REF!</definedName>
    <definedName name="hj">#REF!</definedName>
    <definedName name="HKA" hidden="1">'[8]#REF'!$A$10:$A$57</definedName>
    <definedName name="HMDS_T">[17]TOANSA!#REF!</definedName>
    <definedName name="HO">[1]A!$D$36:$G$616</definedName>
    <definedName name="hracla">#REF!</definedName>
    <definedName name="HTML_CodePage" hidden="1">1252</definedName>
    <definedName name="HTML_Control" hidden="1">{"'August 2000'!$A$1:$J$101"}</definedName>
    <definedName name="HTML_Control_1" hidden="1">{"'August 2000'!$A$1:$J$101"}</definedName>
    <definedName name="HTML_Control_2" hidden="1">{"'August 2000'!$A$1:$J$101"}</definedName>
    <definedName name="HTML_control1" hidden="1">{"'August 2000'!$A$1:$J$101"}</definedName>
    <definedName name="HTML_control1_1" hidden="1">{"'August 2000'!$A$1:$J$101"}</definedName>
    <definedName name="HTML_control1_2" hidden="1">{"'August 2000'!$A$1:$J$101"}</definedName>
    <definedName name="HTML_Description" hidden="1">""</definedName>
    <definedName name="HTML_Email" hidden="1">"neerajk@ranbaxy.co.in"</definedName>
    <definedName name="HTML_Header" hidden="1">"September 2000"</definedName>
    <definedName name="HTML_LastUpdate" hidden="1">"10/3/00"</definedName>
    <definedName name="HTML_LineAfter" hidden="1">FALSE</definedName>
    <definedName name="HTML_LineBefore" hidden="1">FALSE</definedName>
    <definedName name="HTML_Name" hidden="1">"Neeraj Kukreti"</definedName>
    <definedName name="HTML_OBDlg2" hidden="1">TRUE</definedName>
    <definedName name="HTML_OBDlg4" hidden="1">TRUE</definedName>
    <definedName name="HTML_OS" hidden="1">0</definedName>
    <definedName name="HTML_PathFile" hidden="1">"C:\WINDOWS\Desktop\cash_flash.htm"</definedName>
    <definedName name="HTML_Title" hidden="1">"cf_SEP2000"</definedName>
    <definedName name="INCINER">#REF!</definedName>
    <definedName name="IND">'[8]#REF'!$E$12</definedName>
    <definedName name="INDEX">#REF!</definedName>
    <definedName name="Inputs">#REF!</definedName>
    <definedName name="Int">#REF!</definedName>
    <definedName name="int234B">#REF!</definedName>
    <definedName name="int234C">#REF!</definedName>
    <definedName name="Interest_Rate">#REF!</definedName>
    <definedName name="INV">[1]A!$AQ$371:$AW$563</definedName>
    <definedName name="ISOTRE_ID">[17]TOANSA!#REF!</definedName>
    <definedName name="ISReserves">#REF!</definedName>
    <definedName name="J_14">#REF!</definedName>
    <definedName name="J_20">#REF!</definedName>
    <definedName name="J_21">#REF!</definedName>
    <definedName name="J_22">#REF!</definedName>
    <definedName name="J_26">#REF!</definedName>
    <definedName name="J_27">#REF!</definedName>
    <definedName name="J_28">#REF!</definedName>
    <definedName name="J_36">#REF!</definedName>
    <definedName name="J_38">#REF!</definedName>
    <definedName name="J_39">#REF!</definedName>
    <definedName name="J_40">#REF!</definedName>
    <definedName name="J_41">#REF!</definedName>
    <definedName name="J_53">#REF!</definedName>
    <definedName name="J_53A">#REF!</definedName>
    <definedName name="J_54">#REF!</definedName>
    <definedName name="J_64_R">#REF!</definedName>
    <definedName name="J_65_R">#REF!</definedName>
    <definedName name="J_66_R">#REF!</definedName>
    <definedName name="J_81">#REF!</definedName>
    <definedName name="J_82">#REF!</definedName>
    <definedName name="J_83">#REF!</definedName>
    <definedName name="J_84">#REF!</definedName>
    <definedName name="J_85">#REF!</definedName>
    <definedName name="J_86">#REF!</definedName>
    <definedName name="J_87">#REF!</definedName>
    <definedName name="J_89">#REF!</definedName>
    <definedName name="J_90">#REF!</definedName>
    <definedName name="J_92">#REF!</definedName>
    <definedName name="J_93">#REF!</definedName>
    <definedName name="JAN" hidden="1">{"'August 2000'!$A$1:$J$101"}</definedName>
    <definedName name="JEJURI">#REF!</definedName>
    <definedName name="jj">'[37]#REF'!#REF!</definedName>
    <definedName name="JVs_Subsidiaries_Sales_Local_Currency">'[8]#REF'!$B$68</definedName>
    <definedName name="JVs_Subsidiaries_Sales_US___000">'[8]#REF'!#REF!</definedName>
    <definedName name="K_11">#REF!</definedName>
    <definedName name="K_12">#REF!</definedName>
    <definedName name="K_15">#REF!</definedName>
    <definedName name="K_19">#REF!</definedName>
    <definedName name="K_20">#REF!</definedName>
    <definedName name="K_22">#REF!</definedName>
    <definedName name="K_23">#REF!</definedName>
    <definedName name="K_24">#REF!</definedName>
    <definedName name="K_25">#REF!</definedName>
    <definedName name="K_63">#REF!</definedName>
    <definedName name="K_63A">#REF!</definedName>
    <definedName name="K_64">#REF!</definedName>
    <definedName name="K_64A">#REF!</definedName>
    <definedName name="K_65">#REF!</definedName>
    <definedName name="K_80">#REF!</definedName>
    <definedName name="K_81_R">#REF!</definedName>
    <definedName name="K_82">#REF!</definedName>
    <definedName name="k1_table">#REF!</definedName>
    <definedName name="k1x">[15]Design!#REF!</definedName>
    <definedName name="k1y">[15]Design!#REF!</definedName>
    <definedName name="k2x">[15]Design!#REF!</definedName>
    <definedName name="k2y">[15]Design!#REF!</definedName>
    <definedName name="kay" hidden="1">'[38]Cash Flow Working'!#REF!</definedName>
    <definedName name="KG">#REF!</definedName>
    <definedName name="KHANNA">#REF!</definedName>
    <definedName name="L_11">#REF!</definedName>
    <definedName name="L_12">#REF!</definedName>
    <definedName name="L_13">#REF!</definedName>
    <definedName name="L_16_R">#REF!</definedName>
    <definedName name="L_16A">#REF!</definedName>
    <definedName name="L_18_R">#REF!</definedName>
    <definedName name="L_40">#REF!</definedName>
    <definedName name="L_46">#REF!</definedName>
    <definedName name="L_48">#REF!</definedName>
    <definedName name="L_64">#REF!</definedName>
    <definedName name="L_64_R_T___S">#REF!</definedName>
    <definedName name="L_65_R">#REF!</definedName>
    <definedName name="L_65_T_S">#REF!</definedName>
    <definedName name="L_65R_T_S">#REF!</definedName>
    <definedName name="L_77">#REF!</definedName>
    <definedName name="L_77_IN">#REF!</definedName>
    <definedName name="L_78_T">#REF!</definedName>
    <definedName name="L_78_T_S">#REF!</definedName>
    <definedName name="L_79">#REF!</definedName>
    <definedName name="L_80">#REF!</definedName>
    <definedName name="L_81">#REF!</definedName>
    <definedName name="L_89">#REF!</definedName>
    <definedName name="L_90">#REF!</definedName>
    <definedName name="LAND">#REF!</definedName>
    <definedName name="Last_Row">#N/A</definedName>
    <definedName name="lee_acc">#REF!</definedName>
    <definedName name="lee_bval_cemp">#REF!</definedName>
    <definedName name="lee_bval_roy">#REF!</definedName>
    <definedName name="lee_c_flow">#REF!</definedName>
    <definedName name="lee_cflo_gr">#REF!</definedName>
    <definedName name="lee_cflo_per">#REF!</definedName>
    <definedName name="lee_colawdep">#REF!</definedName>
    <definedName name="lee_cosum">#REF!</definedName>
    <definedName name="lee_dcf">#REF!</definedName>
    <definedName name="lee_dep">#REF!</definedName>
    <definedName name="lee_frieght">#REF!</definedName>
    <definedName name="lee_gm">#REF!</definedName>
    <definedName name="lee_hist">#REF!</definedName>
    <definedName name="lee_hist_bs">#REF!</definedName>
    <definedName name="lee_hist_pl">#REF!</definedName>
    <definedName name="lee_hist_pl2">#REF!</definedName>
    <definedName name="lee_hist_pl3">#REF!</definedName>
    <definedName name="lee_interest">#REF!</definedName>
    <definedName name="lee_job">#REF!</definedName>
    <definedName name="lee_ocosts">#REF!</definedName>
    <definedName name="lee_pur">#REF!</definedName>
    <definedName name="lee_rm">#REF!</definedName>
    <definedName name="lee_royalty">#REF!</definedName>
    <definedName name="lee_salesval">#REF!</definedName>
    <definedName name="lee_sell">#REF!</definedName>
    <definedName name="lee_tax">#REF!</definedName>
    <definedName name="lee_top2601">#REF!</definedName>
    <definedName name="lee_topsheet">#REF!</definedName>
    <definedName name="leeyouth_acc">#REF!</definedName>
    <definedName name="leeyouth_consum">#REF!</definedName>
    <definedName name="leeyouth_freight">#REF!</definedName>
    <definedName name="leeyouth_job">#REF!</definedName>
    <definedName name="leeyouth_pur">#REF!</definedName>
    <definedName name="leeyouth_rm">#REF!</definedName>
    <definedName name="leeyouth_roaylty">#REF!</definedName>
    <definedName name="leeyouth_sell">#REF!</definedName>
    <definedName name="letter1">[36]letter!$H$2</definedName>
    <definedName name="letter2">'[36]BANK TRANSFER'!$E$95</definedName>
    <definedName name="lex">#REF!</definedName>
    <definedName name="ley">#REF!</definedName>
    <definedName name="LL">#REF!</definedName>
    <definedName name="Loan_Amount">#REF!</definedName>
    <definedName name="Loan_Start">#REF!</definedName>
    <definedName name="Loan_Years">#REF!</definedName>
    <definedName name="LOCATION">#REF!</definedName>
    <definedName name="LORATI_AL">[17]TOANSA!#REF!</definedName>
    <definedName name="LTA">#REF!</definedName>
    <definedName name="lx">#REF!</definedName>
    <definedName name="ly">#REF!</definedName>
    <definedName name="M_19_R">#REF!</definedName>
    <definedName name="M_20_R">#REF!</definedName>
    <definedName name="M_50_R">#REF!</definedName>
    <definedName name="M_59">#REF!</definedName>
    <definedName name="M_68">#REF!</definedName>
    <definedName name="M_75">#REF!</definedName>
    <definedName name="M_88">#REF!</definedName>
    <definedName name="M_90">#REF!</definedName>
    <definedName name="M1x">[15]Design!#REF!</definedName>
    <definedName name="M1y">[15]Design!#REF!</definedName>
    <definedName name="M2x">[15]Design!#REF!</definedName>
    <definedName name="M2y">[15]Design!#REF!</definedName>
    <definedName name="main_comp">#REF!</definedName>
    <definedName name="MANPOWER">#REF!</definedName>
    <definedName name="Marketing_managerwise_Global_Sales">#REF!</definedName>
    <definedName name="MAT">#REF!</definedName>
    <definedName name="Max">[39]Assumptions!#REF!</definedName>
    <definedName name="MBD">'[8]#REF'!$E$14</definedName>
    <definedName name="MIDA_IV">[17]TOANSA!#REF!</definedName>
    <definedName name="MIDA_VI">[17]TOANSA!#REF!</definedName>
    <definedName name="mm">'[40]Trial Balance'!#REF!</definedName>
    <definedName name="MONTH">'[41]DETAIL OF BANK STATEMENT'!$A$4:$A$15</definedName>
    <definedName name="n">#REF!</definedName>
    <definedName name="N_31_R">#REF!</definedName>
    <definedName name="N_32_R">#REF!</definedName>
    <definedName name="N_50">#REF!</definedName>
    <definedName name="N_51">#REF!</definedName>
    <definedName name="N_52">#REF!</definedName>
    <definedName name="N_86">#REF!</definedName>
    <definedName name="NAL">'[8]#REF'!$E$11</definedName>
    <definedName name="Neel">#REF!</definedName>
    <definedName name="Neel_M">#REF!</definedName>
    <definedName name="Neel_Metal_Products_Limited">#REF!</definedName>
    <definedName name="Network_Cost_Summary">[20]Sheet1!#REF!</definedName>
    <definedName name="Network_Costs">[20]Sheet1!#REF!</definedName>
    <definedName name="Network_Units___Additions">[20]Sheet1!#REF!</definedName>
    <definedName name="new_acc">#REF!</definedName>
    <definedName name="new_bval_cemp">#REF!</definedName>
    <definedName name="new_bval_roy">#REF!</definedName>
    <definedName name="new_capemp">#REF!</definedName>
    <definedName name="new_cflo">#REF!</definedName>
    <definedName name="new_cflo_gr">#REF!</definedName>
    <definedName name="new_cflo_per">#REF!</definedName>
    <definedName name="new_colawdep">#REF!</definedName>
    <definedName name="new_commission">#REF!</definedName>
    <definedName name="new_consum">#REF!</definedName>
    <definedName name="new_dcf">#REF!</definedName>
    <definedName name="new_dep">#REF!</definedName>
    <definedName name="new_fm_hist_bs">#REF!</definedName>
    <definedName name="new_freight">#REF!</definedName>
    <definedName name="new_gm">#REF!</definedName>
    <definedName name="new_hist_pl">#REF!</definedName>
    <definedName name="new_hist_pl2">#REF!</definedName>
    <definedName name="new_interest">#REF!</definedName>
    <definedName name="new_job">#REF!</definedName>
    <definedName name="new_ocosts">#REF!</definedName>
    <definedName name="new_prices">#REF!</definedName>
    <definedName name="new_pur">#REF!</definedName>
    <definedName name="new_rm">#REF!</definedName>
    <definedName name="new_royalty">#REF!</definedName>
    <definedName name="new_salesval">#REF!</definedName>
    <definedName name="new_sell">#REF!</definedName>
    <definedName name="new_tax">#REF!</definedName>
    <definedName name="new_topsheet">#REF!</definedName>
    <definedName name="new_wcap">#REF!</definedName>
    <definedName name="new_wcnorms">#REF!</definedName>
    <definedName name="newp_c_flow">#REF!</definedName>
    <definedName name="newp_salesqty">#REF!</definedName>
    <definedName name="newp_topsheet">#REF!</definedName>
    <definedName name="nn">#REF!</definedName>
    <definedName name="nnn">#REF!</definedName>
    <definedName name="nnnn">#REF!</definedName>
    <definedName name="non_exec">#REF!</definedName>
    <definedName name="non_executives">#REF!</definedName>
    <definedName name="NORCE">'[17]MOHALI - II'!#REF!</definedName>
    <definedName name="NORCEPH">'[16]MOHALI - II'!#REF!</definedName>
    <definedName name="NORFLO">'[17]MOHALI - I'!#REF!</definedName>
    <definedName name="NORFLOXA">'[16]MOHALI - I'!#REF!</definedName>
    <definedName name="NOTE_2">#REF!</definedName>
    <definedName name="NOTE_3">#REF!</definedName>
    <definedName name="NOTE_4">#REF!</definedName>
    <definedName name="NU">#REF!</definedName>
    <definedName name="Num_Pmt_Per_Year">#REF!</definedName>
    <definedName name="Number_of_Payments">MATCH(0.01,End_Bal,-1)+1</definedName>
    <definedName name="OEQP">#REF!</definedName>
    <definedName name="OFLOXA">'[16]MOHALI - I'!#REF!</definedName>
    <definedName name="ok">#REF!</definedName>
    <definedName name="old_serial">'[19]old_serial no.'!$A$1:$F$2520</definedName>
    <definedName name="OMEPRA">[17]TOANSA!#REF!</definedName>
    <definedName name="OMEPRA_AL">[17]TOANSA!#REF!</definedName>
    <definedName name="OMEPRA_MAG">[17]TOANSA!#REF!</definedName>
    <definedName name="OMEPRA_MAGN_M">'[16]MOHALI - I'!#REF!</definedName>
    <definedName name="Operation800">'[7]Sales &amp; Revenue &amp; Sked'!#REF!</definedName>
    <definedName name="p">#REF!</definedName>
    <definedName name="P_15">#REF!</definedName>
    <definedName name="P_19">#REF!</definedName>
    <definedName name="P_20">#REF!</definedName>
    <definedName name="P_21_R">#REF!</definedName>
    <definedName name="P_22_R">#REF!</definedName>
    <definedName name="P_23_R">#REF!</definedName>
    <definedName name="P_24_R">#REF!</definedName>
    <definedName name="P_29">'[42]admn block'!#REF!</definedName>
    <definedName name="P_30">'[42]admn block'!#REF!</definedName>
    <definedName name="P_30A">#REF!</definedName>
    <definedName name="P_31">'[42]admn block'!#REF!</definedName>
    <definedName name="P_42">#REF!</definedName>
    <definedName name="P_43">#REF!</definedName>
    <definedName name="P_51_R">#REF!</definedName>
    <definedName name="P_51R_T_S">#REF!</definedName>
    <definedName name="P_52">#REF!</definedName>
    <definedName name="P_53_R">#REF!</definedName>
    <definedName name="P_54_R">#REF!</definedName>
    <definedName name="P_56">#REF!</definedName>
    <definedName name="P_M_AC">#REF!</definedName>
    <definedName name="P2.1">#REF!</definedName>
    <definedName name="P2.2">#REF!</definedName>
    <definedName name="P7M_COMP">#REF!</definedName>
    <definedName name="Page">#REF!</definedName>
    <definedName name="PAGE_1">#REF!</definedName>
    <definedName name="PAGE_2">#REF!</definedName>
    <definedName name="PAGE_3">#REF!</definedName>
    <definedName name="PAGE_4">#REF!</definedName>
    <definedName name="Page_6">#REF!</definedName>
    <definedName name="PAONTA">#REF!</definedName>
    <definedName name="parmal">#REF!</definedName>
    <definedName name="PART">#REF!</definedName>
    <definedName name="Pay_Date">#REF!</definedName>
    <definedName name="Pay_Num">#REF!</definedName>
    <definedName name="Payment_Date">DATE(YEAR(Loan_Start),MONTH(Loan_Start)+Payment_Number,DAY(Loan_Start))</definedName>
    <definedName name="PBC_Memberwise_Global_Sales">#REF!</definedName>
    <definedName name="Pbx">[15]Design!#REF!</definedName>
    <definedName name="Pby">[15]Design!#REF!</definedName>
    <definedName name="PC95C">[22]Invest!#REF!</definedName>
    <definedName name="PENTA">'[17]MOHALI - I'!#REF!</definedName>
    <definedName name="PENTA_AL">'[17]MOHALI - I'!#REF!</definedName>
    <definedName name="PENTA_MILLIN">'[17]MOHALI - I'!#REF!</definedName>
    <definedName name="PENTA_T">[16]TOANSA!#REF!</definedName>
    <definedName name="PG2A">#REF!</definedName>
    <definedName name="PG2B">#REF!</definedName>
    <definedName name="PHENTHO">[17]TOANSA!#REF!</definedName>
    <definedName name="Pl">#REF!</definedName>
    <definedName name="PMD">'[8]#REF'!$E$19</definedName>
    <definedName name="PMI">'[8]#REF'!$E$20</definedName>
    <definedName name="pnl">#REF!</definedName>
    <definedName name="po">#REF!</definedName>
    <definedName name="POCM">#REF!</definedName>
    <definedName name="prem">#REF!</definedName>
    <definedName name="PREMIER">#REF!</definedName>
    <definedName name="PRICE">[9]OEM!#REF!</definedName>
    <definedName name="Princ">#REF!</definedName>
    <definedName name="print">#REF!</definedName>
    <definedName name="_xlnm.Print_Area" localSheetId="0">BS!$A$1:$G$63</definedName>
    <definedName name="_xlnm.Print_Area" localSheetId="1">PL!$A$1:$G$34</definedName>
    <definedName name="_xlnm.Print_Area" localSheetId="7">'Ratio analysis'!$A$1:$H$6</definedName>
    <definedName name="_xlnm.Print_Area">#REF!</definedName>
    <definedName name="PRINT_AREA_02">'[43]FINANCE COST '!$B$54:$O$76</definedName>
    <definedName name="PRINT_AREA_03">'[43]HO COST'!$C$2:$O$53</definedName>
    <definedName name="PRINT_AREA_04">'[43]INTT PROJ.'!$B$77:$S$109</definedName>
    <definedName name="PRINT_AREA_05">'[43]MKT COST'!$B$2:$O$28</definedName>
    <definedName name="PRINT_AREA_08">'[43]PTE COST '!$B$1:$O$135</definedName>
    <definedName name="PRINT_AREA_MI">'[8]#REF'!$C$8:$W$173</definedName>
    <definedName name="Print_Area_MI1">#REF!</definedName>
    <definedName name="Print_Area_Reset">OFFSET(Full_Print,0,0,Last_Row)</definedName>
    <definedName name="Print_Area1">#REF!</definedName>
    <definedName name="Print_Area2">#REF!</definedName>
    <definedName name="_xlnm.Print_Titles">#N/A</definedName>
    <definedName name="Print_Titles_MI">'[6]#REF'!$1:$5</definedName>
    <definedName name="Profit___loss_account">#REF!</definedName>
    <definedName name="PROJCOST_TOT">#REF!</definedName>
    <definedName name="project">#REF!</definedName>
    <definedName name="PROSUM">#REF!</definedName>
    <definedName name="PROXETIL_B_NON">'[16]MOHALI - II'!#REF!</definedName>
    <definedName name="Pu">#REF!</definedName>
    <definedName name="Puz">[15]Design!#REF!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_133">#REF!</definedName>
    <definedName name="Q_136">#REF!</definedName>
    <definedName name="Q_139">#REF!</definedName>
    <definedName name="Q_140">#REF!</definedName>
    <definedName name="Q_18">#REF!</definedName>
    <definedName name="Q_185">#REF!</definedName>
    <definedName name="Q_186">#REF!</definedName>
    <definedName name="Q_187">#REF!</definedName>
    <definedName name="Q_188">#REF!</definedName>
    <definedName name="Q_19">#REF!</definedName>
    <definedName name="Q_192">#REF!</definedName>
    <definedName name="Q_193">#REF!</definedName>
    <definedName name="Q_214">#REF!</definedName>
    <definedName name="Q_215">#REF!</definedName>
    <definedName name="Q_216">#REF!</definedName>
    <definedName name="Q_217">#REF!</definedName>
    <definedName name="Q_224">#REF!</definedName>
    <definedName name="Q_225">#REF!</definedName>
    <definedName name="Q_226">#REF!</definedName>
    <definedName name="Q_227">#REF!</definedName>
    <definedName name="Q_240">#REF!</definedName>
    <definedName name="Q_242">#REF!</definedName>
    <definedName name="Q_243">#REF!</definedName>
    <definedName name="Q_271">#REF!</definedName>
    <definedName name="Q_272">#REF!</definedName>
    <definedName name="Q_273">#REF!</definedName>
    <definedName name="Q_274">#REF!</definedName>
    <definedName name="Q_275">#REF!</definedName>
    <definedName name="Q_276">#REF!</definedName>
    <definedName name="Q_277">#REF!</definedName>
    <definedName name="Q_278">#REF!</definedName>
    <definedName name="Q_279">#REF!</definedName>
    <definedName name="Q_280">#REF!</definedName>
    <definedName name="Q_285">#REF!</definedName>
    <definedName name="Q_286">#REF!</definedName>
    <definedName name="Q_287">#REF!</definedName>
    <definedName name="Q_288">#REF!</definedName>
    <definedName name="Q_289">#REF!</definedName>
    <definedName name="Q_290">#REF!</definedName>
    <definedName name="Q_290_FD">#REF!</definedName>
    <definedName name="Q_293">#REF!</definedName>
    <definedName name="Q_293_FD">#REF!</definedName>
    <definedName name="Q_294">#REF!</definedName>
    <definedName name="Q_296">#REF!</definedName>
    <definedName name="Q_297">#REF!</definedName>
    <definedName name="Q_298">#REF!</definedName>
    <definedName name="Q_299">#REF!</definedName>
    <definedName name="Q_300">#REF!</definedName>
    <definedName name="Q_301">#REF!</definedName>
    <definedName name="Q_302">#REF!</definedName>
    <definedName name="Q_303">#REF!</definedName>
    <definedName name="Q_304">#REF!</definedName>
    <definedName name="Q_305">#REF!</definedName>
    <definedName name="Q_306">#REF!</definedName>
    <definedName name="Q_307">#REF!</definedName>
    <definedName name="Q_308">#REF!</definedName>
    <definedName name="Q_312">#REF!</definedName>
    <definedName name="Q_313">#REF!</definedName>
    <definedName name="Q_33_R">#REF!</definedName>
    <definedName name="Q_334">#REF!</definedName>
    <definedName name="Q_335">#REF!</definedName>
    <definedName name="Q_336">#REF!</definedName>
    <definedName name="Q_337">#REF!</definedName>
    <definedName name="Q_338">#REF!</definedName>
    <definedName name="Q_339">#REF!</definedName>
    <definedName name="Q_340">#REF!</definedName>
    <definedName name="Q_340A">#REF!</definedName>
    <definedName name="Q_341">#REF!</definedName>
    <definedName name="Q_341A">#REF!</definedName>
    <definedName name="Q_342">#REF!</definedName>
    <definedName name="Q_342A">#REF!</definedName>
    <definedName name="Q_343">#REF!</definedName>
    <definedName name="Q_344">#REF!</definedName>
    <definedName name="Q_345">#REF!</definedName>
    <definedName name="Q_350">#REF!</definedName>
    <definedName name="Q_351">#REF!</definedName>
    <definedName name="Q_352">#REF!</definedName>
    <definedName name="Q_356">#REF!</definedName>
    <definedName name="Q_357">#REF!</definedName>
    <definedName name="Q_359">#REF!</definedName>
    <definedName name="Q_360">#REF!</definedName>
    <definedName name="Q_361">#REF!</definedName>
    <definedName name="Q_366">#REF!</definedName>
    <definedName name="Q_367">#REF!</definedName>
    <definedName name="Q_368">#REF!</definedName>
    <definedName name="Q_369">#REF!</definedName>
    <definedName name="Q_370">#REF!</definedName>
    <definedName name="Q_371">#REF!</definedName>
    <definedName name="Q_372">#REF!</definedName>
    <definedName name="Q_373">#REF!</definedName>
    <definedName name="Q_374">#REF!</definedName>
    <definedName name="Q_375">#REF!</definedName>
    <definedName name="Q_37A">#REF!</definedName>
    <definedName name="Q_387">#REF!</definedName>
    <definedName name="Q_388">#REF!</definedName>
    <definedName name="Q_389">#REF!</definedName>
    <definedName name="Q_38A">#REF!</definedName>
    <definedName name="Q_405">#REF!</definedName>
    <definedName name="Q_406">#REF!</definedName>
    <definedName name="Q_417">#REF!</definedName>
    <definedName name="Q_418">#REF!</definedName>
    <definedName name="Q_419">#REF!</definedName>
    <definedName name="Q_422">#REF!</definedName>
    <definedName name="Q_423">#REF!</definedName>
    <definedName name="Q_424">#REF!</definedName>
    <definedName name="Q_447">#REF!</definedName>
    <definedName name="Q_448">#REF!</definedName>
    <definedName name="Q_449">#REF!</definedName>
    <definedName name="Q_450">#REF!</definedName>
    <definedName name="Q_453">#REF!</definedName>
    <definedName name="Q_454">#REF!</definedName>
    <definedName name="Q_455">#REF!</definedName>
    <definedName name="Q_456">#REF!</definedName>
    <definedName name="Q_457">#REF!</definedName>
    <definedName name="Q_458">#REF!</definedName>
    <definedName name="Q_464">#REF!</definedName>
    <definedName name="Q_465">#REF!</definedName>
    <definedName name="Q_496">#REF!</definedName>
    <definedName name="Q_497">#REF!</definedName>
    <definedName name="Q_499">#REF!</definedName>
    <definedName name="Q_503">#REF!</definedName>
    <definedName name="Q_507">#REF!</definedName>
    <definedName name="Q_509">#REF!</definedName>
    <definedName name="Q_510">#REF!</definedName>
    <definedName name="Q_513">#REF!</definedName>
    <definedName name="Q_514">#REF!</definedName>
    <definedName name="Q_518">#REF!</definedName>
    <definedName name="Q_520">#REF!</definedName>
    <definedName name="Q_521">#REF!</definedName>
    <definedName name="Q_536">#REF!</definedName>
    <definedName name="Q_537">#REF!</definedName>
    <definedName name="Q_538">#REF!</definedName>
    <definedName name="Q_539">#REF!</definedName>
    <definedName name="Q_540">#REF!</definedName>
    <definedName name="Q_541">#REF!</definedName>
    <definedName name="Q_542">#REF!</definedName>
    <definedName name="Q_543">#REF!</definedName>
    <definedName name="Q_544">#REF!</definedName>
    <definedName name="Q_545">#REF!</definedName>
    <definedName name="Q_546">#REF!</definedName>
    <definedName name="Q_547">#REF!</definedName>
    <definedName name="Q_548">#REF!</definedName>
    <definedName name="Q_549">#REF!</definedName>
    <definedName name="Q_550">#REF!</definedName>
    <definedName name="Q_551">#REF!</definedName>
    <definedName name="Q_552">#REF!</definedName>
    <definedName name="Q_553">#REF!</definedName>
    <definedName name="Q_577">#REF!</definedName>
    <definedName name="Q_583">#REF!</definedName>
    <definedName name="Q_584">#REF!</definedName>
    <definedName name="Q_585">#REF!</definedName>
    <definedName name="Q_586">#REF!</definedName>
    <definedName name="Q_588">#REF!</definedName>
    <definedName name="Q_589">#REF!</definedName>
    <definedName name="Q_590">#REF!</definedName>
    <definedName name="Q_593">#REF!</definedName>
    <definedName name="Q_594">#REF!</definedName>
    <definedName name="Q_596">#REF!</definedName>
    <definedName name="Q_599">#REF!</definedName>
    <definedName name="Q_600">#REF!</definedName>
    <definedName name="Q_601">#REF!</definedName>
    <definedName name="Q_609">#REF!</definedName>
    <definedName name="Q_610">#REF!</definedName>
    <definedName name="Q_611">#REF!</definedName>
    <definedName name="Q_612">#REF!</definedName>
    <definedName name="Q_626">#REF!</definedName>
    <definedName name="Q_627">#REF!</definedName>
    <definedName name="Q_637">#REF!</definedName>
    <definedName name="Q_638">#REF!</definedName>
    <definedName name="Q_639">#REF!</definedName>
    <definedName name="Q_646">#REF!</definedName>
    <definedName name="Q_647">#REF!</definedName>
    <definedName name="Q_648">#REF!</definedName>
    <definedName name="Q_649">#REF!</definedName>
    <definedName name="Q_657">#REF!</definedName>
    <definedName name="Q_658">#REF!</definedName>
    <definedName name="Q_660">#REF!</definedName>
    <definedName name="Q_661">#REF!</definedName>
    <definedName name="Q_663">#REF!</definedName>
    <definedName name="Q_664">#REF!</definedName>
    <definedName name="Q_665">#REF!</definedName>
    <definedName name="Q_672">#REF!</definedName>
    <definedName name="Q_674">#REF!</definedName>
    <definedName name="Q_681">#REF!</definedName>
    <definedName name="Q_682">#REF!</definedName>
    <definedName name="Q_683">#REF!</definedName>
    <definedName name="Q_684">#REF!</definedName>
    <definedName name="Q_685">#REF!</definedName>
    <definedName name="Q_686">#REF!</definedName>
    <definedName name="Q_691">#REF!</definedName>
    <definedName name="Q_692">#REF!</definedName>
    <definedName name="Q_703">#REF!</definedName>
    <definedName name="Q_712">#REF!</definedName>
    <definedName name="Q_713">#REF!</definedName>
    <definedName name="Q_714">#REF!</definedName>
    <definedName name="Q_715">#REF!</definedName>
    <definedName name="Q_716">#REF!</definedName>
    <definedName name="Q_717">#REF!</definedName>
    <definedName name="Q_718">#REF!</definedName>
    <definedName name="Q_719">#REF!</definedName>
    <definedName name="Q_720">#REF!</definedName>
    <definedName name="Q_721">#REF!</definedName>
    <definedName name="Q_722">#REF!</definedName>
    <definedName name="Q_726">#REF!</definedName>
    <definedName name="Q_727">#REF!</definedName>
    <definedName name="Q_732">#REF!</definedName>
    <definedName name="Q_79">#REF!</definedName>
    <definedName name="Q_81">#REF!</definedName>
    <definedName name="Q_82">#REF!</definedName>
    <definedName name="Q_83">#REF!</definedName>
    <definedName name="Q_84">#REF!</definedName>
    <definedName name="Q_85">#REF!</definedName>
    <definedName name="Q_86">#REF!</definedName>
    <definedName name="Q_87">#REF!</definedName>
    <definedName name="Q_89">#REF!</definedName>
    <definedName name="Q_90_T">#REF!</definedName>
    <definedName name="Q_91">#REF!</definedName>
    <definedName name="Q_92">#REF!</definedName>
    <definedName name="Q_93">#REF!</definedName>
    <definedName name="Q_94">#REF!</definedName>
    <definedName name="Q_95">#REF!</definedName>
    <definedName name="Q_96">#REF!</definedName>
    <definedName name="Q_98">#REF!</definedName>
    <definedName name="Q_99">#REF!</definedName>
    <definedName name="R_103">#REF!</definedName>
    <definedName name="R_104">#REF!</definedName>
    <definedName name="R_11">#REF!</definedName>
    <definedName name="R_119">#REF!</definedName>
    <definedName name="R_12">#REF!</definedName>
    <definedName name="R_123">#REF!</definedName>
    <definedName name="R_124">#REF!</definedName>
    <definedName name="R_13">#REF!</definedName>
    <definedName name="R_131">#REF!</definedName>
    <definedName name="R_132">#REF!</definedName>
    <definedName name="R_133">#REF!</definedName>
    <definedName name="R_134">#REF!</definedName>
    <definedName name="R_135">#REF!</definedName>
    <definedName name="R_14">#REF!</definedName>
    <definedName name="R_15">#REF!</definedName>
    <definedName name="R_150">#REF!</definedName>
    <definedName name="R_151">#REF!</definedName>
    <definedName name="R_152">#REF!</definedName>
    <definedName name="R_153">#REF!</definedName>
    <definedName name="R_155">#REF!</definedName>
    <definedName name="R_156">#REF!</definedName>
    <definedName name="R_157">#REF!</definedName>
    <definedName name="R_158">#REF!</definedName>
    <definedName name="R_159">#REF!</definedName>
    <definedName name="R_160">#REF!</definedName>
    <definedName name="R_161">#REF!</definedName>
    <definedName name="R_161_FD">#REF!</definedName>
    <definedName name="R_162">#REF!</definedName>
    <definedName name="R_163">#REF!</definedName>
    <definedName name="R_163_FD">#REF!</definedName>
    <definedName name="R_181">#REF!</definedName>
    <definedName name="R_182_R">#REF!</definedName>
    <definedName name="R_189">#REF!</definedName>
    <definedName name="R_190">#REF!</definedName>
    <definedName name="R_227">#REF!</definedName>
    <definedName name="R_228">#REF!</definedName>
    <definedName name="R_229">#REF!</definedName>
    <definedName name="R_230">#REF!</definedName>
    <definedName name="R_231">#REF!</definedName>
    <definedName name="R_232">#REF!</definedName>
    <definedName name="R_233">#REF!</definedName>
    <definedName name="R_234">#REF!</definedName>
    <definedName name="R_235">#REF!</definedName>
    <definedName name="R_236">#REF!</definedName>
    <definedName name="R_237">#REF!</definedName>
    <definedName name="R_238">#REF!</definedName>
    <definedName name="R_239">#REF!</definedName>
    <definedName name="R_243">#REF!</definedName>
    <definedName name="R_244">#REF!</definedName>
    <definedName name="R_245">#REF!</definedName>
    <definedName name="R_246">#REF!</definedName>
    <definedName name="R_247">#REF!</definedName>
    <definedName name="R_253">#REF!</definedName>
    <definedName name="R_254">#REF!</definedName>
    <definedName name="R_255">#REF!</definedName>
    <definedName name="R_256">#REF!</definedName>
    <definedName name="R_262">#REF!</definedName>
    <definedName name="R_263">#REF!</definedName>
    <definedName name="R_264">#REF!</definedName>
    <definedName name="R_268">#REF!</definedName>
    <definedName name="R_269">#REF!</definedName>
    <definedName name="R_302">#REF!</definedName>
    <definedName name="R_303">#REF!</definedName>
    <definedName name="R_303_FD">#REF!</definedName>
    <definedName name="R_304">#REF!</definedName>
    <definedName name="R_305">#REF!</definedName>
    <definedName name="R_306">#REF!</definedName>
    <definedName name="R_309">#REF!</definedName>
    <definedName name="R_310">#REF!</definedName>
    <definedName name="R_311">#REF!</definedName>
    <definedName name="R_316">#REF!</definedName>
    <definedName name="R_317">#REF!</definedName>
    <definedName name="R_321">#REF!</definedName>
    <definedName name="R_323">#REF!</definedName>
    <definedName name="R_340">#REF!</definedName>
    <definedName name="R_341">#REF!</definedName>
    <definedName name="R_346">#REF!</definedName>
    <definedName name="R_347">#REF!</definedName>
    <definedName name="R_348">#REF!</definedName>
    <definedName name="R_349">#REF!</definedName>
    <definedName name="R_350">#REF!</definedName>
    <definedName name="R_361">#REF!</definedName>
    <definedName name="R_362">#REF!</definedName>
    <definedName name="R_363">#REF!</definedName>
    <definedName name="R_364">#REF!</definedName>
    <definedName name="R_365">#REF!</definedName>
    <definedName name="R_366">#REF!</definedName>
    <definedName name="R_373">#REF!</definedName>
    <definedName name="R_374">#REF!</definedName>
    <definedName name="R_375">#REF!</definedName>
    <definedName name="R_376">#REF!</definedName>
    <definedName name="R_379">#REF!</definedName>
    <definedName name="R_380">#REF!</definedName>
    <definedName name="R_383">#REF!</definedName>
    <definedName name="R_385">#REF!</definedName>
    <definedName name="R_387">#REF!</definedName>
    <definedName name="R_388">#REF!</definedName>
    <definedName name="R_389">#REF!</definedName>
    <definedName name="R_390">#REF!</definedName>
    <definedName name="R_424">#REF!</definedName>
    <definedName name="R_427">#REF!</definedName>
    <definedName name="R_428">#REF!</definedName>
    <definedName name="R_429">#REF!</definedName>
    <definedName name="R_459">#REF!</definedName>
    <definedName name="R_460">#REF!</definedName>
    <definedName name="R_478">#REF!</definedName>
    <definedName name="R_49">#REF!</definedName>
    <definedName name="R_507">#REF!</definedName>
    <definedName name="R_508">#REF!</definedName>
    <definedName name="R_509">#REF!</definedName>
    <definedName name="R_51_R">#REF!</definedName>
    <definedName name="R_52_R">#REF!</definedName>
    <definedName name="R_524">#REF!</definedName>
    <definedName name="R_525">#REF!</definedName>
    <definedName name="R_526">#REF!</definedName>
    <definedName name="R_527">#REF!</definedName>
    <definedName name="R_528">#REF!</definedName>
    <definedName name="R_53">#REF!</definedName>
    <definedName name="R_531">#REF!</definedName>
    <definedName name="R_532">#REF!</definedName>
    <definedName name="R_535">#REF!</definedName>
    <definedName name="R_536">#REF!</definedName>
    <definedName name="R_537">#REF!</definedName>
    <definedName name="R_538">#REF!</definedName>
    <definedName name="R_539">#REF!</definedName>
    <definedName name="R_540">#REF!</definedName>
    <definedName name="R_546">#REF!</definedName>
    <definedName name="R_547">#REF!</definedName>
    <definedName name="R_550">#REF!</definedName>
    <definedName name="R_551">#REF!</definedName>
    <definedName name="R_552">#REF!</definedName>
    <definedName name="R_553">#REF!</definedName>
    <definedName name="R_56">#REF!</definedName>
    <definedName name="R_57">#REF!</definedName>
    <definedName name="R_574">#REF!</definedName>
    <definedName name="R_575">#REF!</definedName>
    <definedName name="R_576">#REF!</definedName>
    <definedName name="R_577">#REF!</definedName>
    <definedName name="R_581">#REF!</definedName>
    <definedName name="R_582">#REF!</definedName>
    <definedName name="R_583">#REF!</definedName>
    <definedName name="R_584">#REF!</definedName>
    <definedName name="R_585">#REF!</definedName>
    <definedName name="R_586">#REF!</definedName>
    <definedName name="R_587">#REF!</definedName>
    <definedName name="R_588">#REF!</definedName>
    <definedName name="R_589">#REF!</definedName>
    <definedName name="R_590">#REF!</definedName>
    <definedName name="R_591">#REF!</definedName>
    <definedName name="R_63">#REF!</definedName>
    <definedName name="R_64">#REF!</definedName>
    <definedName name="R_647">#REF!</definedName>
    <definedName name="R_648">#REF!</definedName>
    <definedName name="R_649">#REF!</definedName>
    <definedName name="R_651">#REF!</definedName>
    <definedName name="R_652">#REF!</definedName>
    <definedName name="R_653">#REF!</definedName>
    <definedName name="R_654">#REF!</definedName>
    <definedName name="R_655">#REF!</definedName>
    <definedName name="R_656">#REF!</definedName>
    <definedName name="R_657">#REF!</definedName>
    <definedName name="R_658">#REF!</definedName>
    <definedName name="R_659">#REF!</definedName>
    <definedName name="R_660">#REF!</definedName>
    <definedName name="R_661">#REF!</definedName>
    <definedName name="R_662">#REF!</definedName>
    <definedName name="R_663">#REF!</definedName>
    <definedName name="R_664">#REF!</definedName>
    <definedName name="R_665">#REF!</definedName>
    <definedName name="R_666">#REF!</definedName>
    <definedName name="R_668">#REF!</definedName>
    <definedName name="R_669">#REF!</definedName>
    <definedName name="R_67">#REF!</definedName>
    <definedName name="R_670">#REF!</definedName>
    <definedName name="R_674">#REF!</definedName>
    <definedName name="R_675">#REF!</definedName>
    <definedName name="R_676">#REF!</definedName>
    <definedName name="R_68">#REF!</definedName>
    <definedName name="R_686">#REF!</definedName>
    <definedName name="R_687">#REF!</definedName>
    <definedName name="R_688">#REF!</definedName>
    <definedName name="R_689">#REF!</definedName>
    <definedName name="R_690">#REF!</definedName>
    <definedName name="R_691">#REF!</definedName>
    <definedName name="R_694">#REF!</definedName>
    <definedName name="R_695">#REF!</definedName>
    <definedName name="R_714">#REF!</definedName>
    <definedName name="R_716">#REF!</definedName>
    <definedName name="R_717">#REF!</definedName>
    <definedName name="R_718">#REF!</definedName>
    <definedName name="R_743">#REF!</definedName>
    <definedName name="R_744">#REF!</definedName>
    <definedName name="R_745">#REF!</definedName>
    <definedName name="R_746">#REF!</definedName>
    <definedName name="R_747">#REF!</definedName>
    <definedName name="R_76">#REF!</definedName>
    <definedName name="R_79">#REF!</definedName>
    <definedName name="R_82">#REF!</definedName>
    <definedName name="R_823">#REF!</definedName>
    <definedName name="R_824">#REF!</definedName>
    <definedName name="R_829">#REF!</definedName>
    <definedName name="R_830">#REF!</definedName>
    <definedName name="R_85">#REF!</definedName>
    <definedName name="R_850">#REF!</definedName>
    <definedName name="R_851">#REF!</definedName>
    <definedName name="R_852">#REF!</definedName>
    <definedName name="R_853">#REF!</definedName>
    <definedName name="R_87">#REF!</definedName>
    <definedName name="R_872">#REF!</definedName>
    <definedName name="R_873">#REF!</definedName>
    <definedName name="R_874">#REF!</definedName>
    <definedName name="R_876">#REF!</definedName>
    <definedName name="R_92">#REF!</definedName>
    <definedName name="R_994">#REF!</definedName>
    <definedName name="R_995">#REF!</definedName>
    <definedName name="rakesh">[36]Sheet3!$C$107</definedName>
    <definedName name="RAMPRIL">[16]TOANSA!#REF!</definedName>
    <definedName name="RandG">[44]Sheet1!$C$14:$M$25</definedName>
    <definedName name="RATIOS">#REF!</definedName>
    <definedName name="RDN">'[8]#REF'!$E$15</definedName>
    <definedName name="RE">'[40]Trial Balance'!#REF!</definedName>
    <definedName name="REC">#REF!</definedName>
    <definedName name="rect_4_415">#REF!</definedName>
    <definedName name="REFOCOXIB">'[16]MOHALI - I'!#REF!</definedName>
    <definedName name="rel">'[45]trial Balance'!#REF!</definedName>
    <definedName name="rela">'[46]Trial Balance'!#REF!</definedName>
    <definedName name="RELAT">'[47]Trial Balance'!#REF!</definedName>
    <definedName name="RELATE">'[48]Trial Balance'!#REF!</definedName>
    <definedName name="RELATED">'[49]Trial Balance'!#REF!</definedName>
    <definedName name="REPORT">'[50]2003'!#REF!</definedName>
    <definedName name="report1">'[51]2003'!#REF!</definedName>
    <definedName name="RESIDENTIAL">#REF!</definedName>
    <definedName name="REV_LEV3_INFN">#REF!</definedName>
    <definedName name="REV_LEV3_NOINFN">#REF!</definedName>
    <definedName name="REVENUE">#REF!</definedName>
    <definedName name="ROFECO">[17]TOANSA!#REF!</definedName>
    <definedName name="ROFECO_T">[16]TOANSA!#REF!</definedName>
    <definedName name="rwererer">#REF!</definedName>
    <definedName name="rwerwerwerwer">#REF!</definedName>
    <definedName name="S" hidden="1">[52]YTD!$A$2653:$A$2715</definedName>
    <definedName name="S_102">#REF!</definedName>
    <definedName name="S_103">#REF!</definedName>
    <definedName name="S_116_R">#REF!</definedName>
    <definedName name="S_142">#REF!</definedName>
    <definedName name="S_143">#REF!</definedName>
    <definedName name="S_144">#REF!</definedName>
    <definedName name="S_145">#REF!</definedName>
    <definedName name="S_146">#REF!</definedName>
    <definedName name="S_148">#REF!</definedName>
    <definedName name="S_149_T">#REF!</definedName>
    <definedName name="S_149_T_S">#REF!</definedName>
    <definedName name="S_151">#REF!</definedName>
    <definedName name="S_152_R">#REF!</definedName>
    <definedName name="S_153_R">#REF!</definedName>
    <definedName name="S_154">#REF!</definedName>
    <definedName name="S_155">#REF!</definedName>
    <definedName name="S_156">#REF!</definedName>
    <definedName name="S_157">#REF!</definedName>
    <definedName name="S_158">#REF!</definedName>
    <definedName name="S_159">#REF!</definedName>
    <definedName name="S_162">#REF!</definedName>
    <definedName name="S_163">#REF!</definedName>
    <definedName name="S_164">#REF!</definedName>
    <definedName name="S_165">#REF!</definedName>
    <definedName name="S_166">#REF!</definedName>
    <definedName name="S_167">#REF!</definedName>
    <definedName name="S_168">#REF!</definedName>
    <definedName name="S_170_R">#REF!</definedName>
    <definedName name="S_171_R">#REF!</definedName>
    <definedName name="S_173">#REF!</definedName>
    <definedName name="S_175_R">#REF!</definedName>
    <definedName name="S_176">#REF!</definedName>
    <definedName name="S_177">#REF!</definedName>
    <definedName name="S_179">#REF!</definedName>
    <definedName name="S_179A">#REF!</definedName>
    <definedName name="S_183">#REF!</definedName>
    <definedName name="S_185">#REF!</definedName>
    <definedName name="S_186">#REF!</definedName>
    <definedName name="S_187">#REF!</definedName>
    <definedName name="S_188">#REF!</definedName>
    <definedName name="S_189">#REF!</definedName>
    <definedName name="S_190">#REF!</definedName>
    <definedName name="S_191">#REF!</definedName>
    <definedName name="S_192">#REF!</definedName>
    <definedName name="S_198">#REF!</definedName>
    <definedName name="S_218">#REF!</definedName>
    <definedName name="S_228">#REF!</definedName>
    <definedName name="S_230">#REF!</definedName>
    <definedName name="S_232">#REF!</definedName>
    <definedName name="S_234">#REF!</definedName>
    <definedName name="S_241">#REF!</definedName>
    <definedName name="S_242">#REF!</definedName>
    <definedName name="S_243">#REF!</definedName>
    <definedName name="S_252">#REF!</definedName>
    <definedName name="S_332">#REF!</definedName>
    <definedName name="S_333">#REF!</definedName>
    <definedName name="S_334">#REF!</definedName>
    <definedName name="S_336">#REF!</definedName>
    <definedName name="S_337">#REF!</definedName>
    <definedName name="S_338">#REF!</definedName>
    <definedName name="S_339">#REF!</definedName>
    <definedName name="S_343">#REF!</definedName>
    <definedName name="S_344">#REF!</definedName>
    <definedName name="S_345">#REF!</definedName>
    <definedName name="S_346">#REF!</definedName>
    <definedName name="S_347">#REF!</definedName>
    <definedName name="S_347A">#REF!</definedName>
    <definedName name="S_348">#REF!</definedName>
    <definedName name="S_348A">#REF!</definedName>
    <definedName name="S_349">#REF!</definedName>
    <definedName name="S_349A">#REF!</definedName>
    <definedName name="S_350">#REF!</definedName>
    <definedName name="S_351">#REF!</definedName>
    <definedName name="S_352">#REF!</definedName>
    <definedName name="S_353">#REF!</definedName>
    <definedName name="S_362">#REF!</definedName>
    <definedName name="S_363">#REF!</definedName>
    <definedName name="S_364">#REF!</definedName>
    <definedName name="S_365">#REF!</definedName>
    <definedName name="S_366">#REF!</definedName>
    <definedName name="S_367">#REF!</definedName>
    <definedName name="S_368">#REF!</definedName>
    <definedName name="S_369">#REF!</definedName>
    <definedName name="S_370">#REF!</definedName>
    <definedName name="S_371">#REF!</definedName>
    <definedName name="S_376">#REF!</definedName>
    <definedName name="S_377">#REF!</definedName>
    <definedName name="S_378">#REF!</definedName>
    <definedName name="S_397">#REF!</definedName>
    <definedName name="S_409">#REF!</definedName>
    <definedName name="S_410">#REF!</definedName>
    <definedName name="S_420">#REF!</definedName>
    <definedName name="S_421">#REF!</definedName>
    <definedName name="S_422">#REF!</definedName>
    <definedName name="S_423">#REF!</definedName>
    <definedName name="S_426">#REF!</definedName>
    <definedName name="S_427">#REF!</definedName>
    <definedName name="S_428">#REF!</definedName>
    <definedName name="S_429">#REF!</definedName>
    <definedName name="S_446">#REF!</definedName>
    <definedName name="S_446_T_S">#REF!</definedName>
    <definedName name="S_447">#REF!</definedName>
    <definedName name="S_447_T_S">#REF!</definedName>
    <definedName name="S_452">#REF!</definedName>
    <definedName name="S_453">#REF!</definedName>
    <definedName name="S_469">#REF!</definedName>
    <definedName name="S_493">#REF!</definedName>
    <definedName name="S_494">#REF!</definedName>
    <definedName name="S_495">#REF!</definedName>
    <definedName name="S_497">#REF!</definedName>
    <definedName name="S_498">#REF!</definedName>
    <definedName name="S_507">#REF!</definedName>
    <definedName name="S_508">#REF!</definedName>
    <definedName name="S_509">#REF!</definedName>
    <definedName name="S_555">#REF!</definedName>
    <definedName name="S_556">#REF!</definedName>
    <definedName name="S_557">#REF!</definedName>
    <definedName name="S_572">#REF!</definedName>
    <definedName name="S_576">#REF!</definedName>
    <definedName name="S_582">#REF!</definedName>
    <definedName name="S_583">#REF!</definedName>
    <definedName name="S_584">#REF!</definedName>
    <definedName name="S_585">#REF!</definedName>
    <definedName name="S_586">#REF!</definedName>
    <definedName name="S_587">#REF!</definedName>
    <definedName name="S_591">#REF!</definedName>
    <definedName name="S_592">#REF!</definedName>
    <definedName name="S_593">#REF!</definedName>
    <definedName name="S_594">#REF!</definedName>
    <definedName name="S_595">#REF!</definedName>
    <definedName name="S_596">#REF!</definedName>
    <definedName name="S_597">#REF!</definedName>
    <definedName name="S_605">#REF!</definedName>
    <definedName name="S_606">#REF!</definedName>
    <definedName name="S_606_T_S">#REF!</definedName>
    <definedName name="S_609">#REF!</definedName>
    <definedName name="S_61">#REF!</definedName>
    <definedName name="S_610">#REF!</definedName>
    <definedName name="S_610_T_S">#REF!</definedName>
    <definedName name="S_611">#REF!</definedName>
    <definedName name="S_611_T_S">#REF!</definedName>
    <definedName name="S_612">#REF!</definedName>
    <definedName name="S_612_T_S">#REF!</definedName>
    <definedName name="S_613">#REF!</definedName>
    <definedName name="S_613_T_S">#REF!</definedName>
    <definedName name="S_614">#REF!</definedName>
    <definedName name="S_614_T___S">#REF!</definedName>
    <definedName name="S_615">#REF!</definedName>
    <definedName name="S_616">#REF!</definedName>
    <definedName name="S_616_T_S">#REF!</definedName>
    <definedName name="S_618">#REF!</definedName>
    <definedName name="S_624">#REF!</definedName>
    <definedName name="S_625">#REF!</definedName>
    <definedName name="S_626">#REF!</definedName>
    <definedName name="S_640_R">#REF!</definedName>
    <definedName name="S_640_T___S">#REF!</definedName>
    <definedName name="S_641">#REF!</definedName>
    <definedName name="S_641_T_S">#REF!</definedName>
    <definedName name="S_644">#REF!</definedName>
    <definedName name="S_644_T___S">#REF!</definedName>
    <definedName name="S_646">#REF!</definedName>
    <definedName name="S_646_T_S">#REF!</definedName>
    <definedName name="S_649_R_T_S">#REF!</definedName>
    <definedName name="S_688">#REF!</definedName>
    <definedName name="S_725">#REF!</definedName>
    <definedName name="S_726">#REF!</definedName>
    <definedName name="S_727">#REF!</definedName>
    <definedName name="S_728">#REF!</definedName>
    <definedName name="S_761">#REF!</definedName>
    <definedName name="S_762">#REF!</definedName>
    <definedName name="S_763">#REF!</definedName>
    <definedName name="S_782">#REF!</definedName>
    <definedName name="S_782_T_S">#REF!</definedName>
    <definedName name="S_783">#REF!</definedName>
    <definedName name="S_783_T___S">#REF!</definedName>
    <definedName name="S_784">#REF!</definedName>
    <definedName name="S_785">#REF!</definedName>
    <definedName name="S_787">#REF!</definedName>
    <definedName name="S_787A">#REF!</definedName>
    <definedName name="S_788">#REF!</definedName>
    <definedName name="S_788A">#REF!</definedName>
    <definedName name="S_789">#REF!</definedName>
    <definedName name="S_789A">#REF!</definedName>
    <definedName name="S_790">#REF!</definedName>
    <definedName name="S_790_T___S">#REF!</definedName>
    <definedName name="S_790A">#REF!</definedName>
    <definedName name="S_795">#REF!</definedName>
    <definedName name="S_795A">#REF!</definedName>
    <definedName name="S_796">#REF!</definedName>
    <definedName name="S_796A">#REF!</definedName>
    <definedName name="S_797">#REF!</definedName>
    <definedName name="S_797_T_S">#REF!</definedName>
    <definedName name="S_797A">#REF!</definedName>
    <definedName name="S_798">#REF!</definedName>
    <definedName name="S_798__T_S">#REF!</definedName>
    <definedName name="S_798A">#REF!</definedName>
    <definedName name="S_799">#REF!</definedName>
    <definedName name="S_800">#REF!</definedName>
    <definedName name="S_801">#REF!</definedName>
    <definedName name="S_801__T_S">#REF!</definedName>
    <definedName name="S_802">#REF!</definedName>
    <definedName name="S_803">#REF!</definedName>
    <definedName name="S_804">#REF!</definedName>
    <definedName name="S_807">#REF!</definedName>
    <definedName name="S_808">#REF!</definedName>
    <definedName name="S_855">#REF!</definedName>
    <definedName name="S_856">#REF!</definedName>
    <definedName name="S_857">#REF!</definedName>
    <definedName name="S_858">#REF!</definedName>
    <definedName name="S_859">#REF!</definedName>
    <definedName name="S_864">#REF!</definedName>
    <definedName name="S_865">#REF!</definedName>
    <definedName name="S_866">#REF!</definedName>
    <definedName name="S_867">#REF!</definedName>
    <definedName name="S_868">#REF!</definedName>
    <definedName name="S_869">#REF!</definedName>
    <definedName name="S_869A">#REF!</definedName>
    <definedName name="S_870_R">#REF!</definedName>
    <definedName name="S_871_R">#REF!</definedName>
    <definedName name="S_872_R">#REF!</definedName>
    <definedName name="S_872A">#REF!</definedName>
    <definedName name="S_873_R">#REF!</definedName>
    <definedName name="S_873A">#REF!</definedName>
    <definedName name="S_876">#REF!</definedName>
    <definedName name="S_877">#REF!</definedName>
    <definedName name="S_902_R">#REF!</definedName>
    <definedName name="S_902A">#REF!</definedName>
    <definedName name="S_903_R">#REF!</definedName>
    <definedName name="S_904">#REF!</definedName>
    <definedName name="S_905">#REF!</definedName>
    <definedName name="S_906">#REF!</definedName>
    <definedName name="S_907">#REF!</definedName>
    <definedName name="S_908">#REF!</definedName>
    <definedName name="S_909">#REF!</definedName>
    <definedName name="S_910">#REF!</definedName>
    <definedName name="S_911">#REF!</definedName>
    <definedName name="S_912">#REF!</definedName>
    <definedName name="S_913">#REF!</definedName>
    <definedName name="S_913A">#REF!</definedName>
    <definedName name="S_914">#REF!</definedName>
    <definedName name="S_914A">#REF!</definedName>
    <definedName name="S_915">#REF!</definedName>
    <definedName name="S_916">#REF!</definedName>
    <definedName name="S_917">#REF!</definedName>
    <definedName name="S_918">#REF!</definedName>
    <definedName name="S_919">#REF!</definedName>
    <definedName name="S_920">#REF!</definedName>
    <definedName name="S_921">#REF!</definedName>
    <definedName name="S_922">#REF!</definedName>
    <definedName name="S_923">#REF!</definedName>
    <definedName name="S_924">#REF!</definedName>
    <definedName name="S_925">#REF!</definedName>
    <definedName name="S_926">#REF!</definedName>
    <definedName name="S_927">#REF!</definedName>
    <definedName name="S_928">#REF!</definedName>
    <definedName name="S_929">#REF!</definedName>
    <definedName name="S_930_R">#REF!</definedName>
    <definedName name="S_931">#REF!</definedName>
    <definedName name="S_932">#REF!</definedName>
    <definedName name="S_933">#REF!</definedName>
    <definedName name="S_934">#REF!</definedName>
    <definedName name="S_935">#REF!</definedName>
    <definedName name="S_936">#REF!</definedName>
    <definedName name="S_937">#REF!</definedName>
    <definedName name="S_938">#REF!</definedName>
    <definedName name="S_938A">#REF!</definedName>
    <definedName name="S_943">#REF!</definedName>
    <definedName name="S_944">#REF!</definedName>
    <definedName name="S_946">#REF!</definedName>
    <definedName name="S_946A">#REF!</definedName>
    <definedName name="S_947">#REF!</definedName>
    <definedName name="S_947A">#REF!</definedName>
    <definedName name="S_949A">#REF!</definedName>
    <definedName name="S_950A">#REF!</definedName>
    <definedName name="S_954">#REF!</definedName>
    <definedName name="S_962">#REF!</definedName>
    <definedName name="S_963">#REF!</definedName>
    <definedName name="S_964">#REF!</definedName>
    <definedName name="S_965">#REF!</definedName>
    <definedName name="S_966">#REF!</definedName>
    <definedName name="S_967">#REF!</definedName>
    <definedName name="S_968">#REF!</definedName>
    <definedName name="S_97">#REF!</definedName>
    <definedName name="S_972">#REF!</definedName>
    <definedName name="S_973">#REF!</definedName>
    <definedName name="S_974">#REF!</definedName>
    <definedName name="S_975">#REF!</definedName>
    <definedName name="S_976">#REF!</definedName>
    <definedName name="S_977">#REF!</definedName>
    <definedName name="S_978">#REF!</definedName>
    <definedName name="S_979">#REF!</definedName>
    <definedName name="S_980">#REF!</definedName>
    <definedName name="S_981">#REF!</definedName>
    <definedName name="S_982">#REF!</definedName>
    <definedName name="S_983">#REF!</definedName>
    <definedName name="S_986">#REF!</definedName>
    <definedName name="S_988">#REF!</definedName>
    <definedName name="S_989">#REF!</definedName>
    <definedName name="S_990">#REF!</definedName>
    <definedName name="S_991">#REF!</definedName>
    <definedName name="S_992">#REF!</definedName>
    <definedName name="S_993">#REF!</definedName>
    <definedName name="SA_42">#REF!</definedName>
    <definedName name="SARTIME">#REF!</definedName>
    <definedName name="SB">#REF!</definedName>
    <definedName name="SB_30_R">#REF!</definedName>
    <definedName name="SBM">[53]ridgewood!$B$1:$N$579</definedName>
    <definedName name="SC_60">#REF!</definedName>
    <definedName name="Sched_Pay">#REF!</definedName>
    <definedName name="Scheduled_Extra_Payments">#REF!</definedName>
    <definedName name="Scheduled_Interest_Rate">#REF!</definedName>
    <definedName name="Scheduled_Monthly_Payment">#REF!</definedName>
    <definedName name="SD">'[54]Table 5'!$E$1</definedName>
    <definedName name="SD_28">#REF!</definedName>
    <definedName name="SD_54">#REF!</definedName>
    <definedName name="SD_54A">#REF!</definedName>
    <definedName name="SD_54A_DL">#REF!</definedName>
    <definedName name="SD_57">#REF!</definedName>
    <definedName name="SF_23_DL">#REF!</definedName>
    <definedName name="SF_23_R">#REF!</definedName>
    <definedName name="SF_24_DL">#REF!</definedName>
    <definedName name="SF_24_R">#REF!</definedName>
    <definedName name="SG_22">#REF!</definedName>
    <definedName name="SG_23">#REF!</definedName>
    <definedName name="SG_37_DL">#REF!</definedName>
    <definedName name="SG_37_R">#REF!</definedName>
    <definedName name="SH_83">#REF!</definedName>
    <definedName name="SH_84">#REF!</definedName>
    <definedName name="SH_85">#REF!</definedName>
    <definedName name="SHARED_FORMULA_0">#N/A</definedName>
    <definedName name="SHARED_FORMULA_1">#N/A</definedName>
    <definedName name="SHARED_FORMULA_10">#N/A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05">#N/A</definedName>
    <definedName name="SHARED_FORMULA_106">#N/A</definedName>
    <definedName name="SHARED_FORMULA_107">#N/A</definedName>
    <definedName name="SHARED_FORMULA_108">#N/A</definedName>
    <definedName name="SHARED_FORMULA_109">#N/A</definedName>
    <definedName name="SHARED_FORMULA_11">#N/A</definedName>
    <definedName name="SHARED_FORMULA_110">#N/A</definedName>
    <definedName name="SHARED_FORMULA_111">#N/A</definedName>
    <definedName name="SHARED_FORMULA_112">#N/A</definedName>
    <definedName name="SHARED_FORMULA_113">#N/A</definedName>
    <definedName name="SHARED_FORMULA_114">#N/A</definedName>
    <definedName name="SHARED_FORMULA_115">#N/A</definedName>
    <definedName name="SHARED_FORMULA_116">#N/A</definedName>
    <definedName name="SHARED_FORMULA_117">#N/A</definedName>
    <definedName name="SHARED_FORMULA_118">#N/A</definedName>
    <definedName name="SHARED_FORMULA_119">#N/A</definedName>
    <definedName name="SHARED_FORMULA_12">#N/A</definedName>
    <definedName name="SHARED_FORMULA_120">#N/A</definedName>
    <definedName name="SHARED_FORMULA_121">#N/A</definedName>
    <definedName name="SHARED_FORMULA_122">#N/A</definedName>
    <definedName name="SHARED_FORMULA_123">#N/A</definedName>
    <definedName name="SHARED_FORMULA_124">#N/A</definedName>
    <definedName name="SHARED_FORMULA_125">#N/A</definedName>
    <definedName name="SHARED_FORMULA_126">#N/A</definedName>
    <definedName name="SHARED_FORMULA_127">#N/A</definedName>
    <definedName name="SHARED_FORMULA_128">#N/A</definedName>
    <definedName name="SHARED_FORMULA_129">#N/A</definedName>
    <definedName name="SHARED_FORMULA_13">#N/A</definedName>
    <definedName name="SHARED_FORMULA_130">#N/A</definedName>
    <definedName name="SHARED_FORMULA_131">#N/A</definedName>
    <definedName name="SHARED_FORMULA_132">#N/A</definedName>
    <definedName name="SHARED_FORMULA_133">#N/A</definedName>
    <definedName name="SHARED_FORMULA_134">#N/A</definedName>
    <definedName name="SHARED_FORMULA_135">#N/A</definedName>
    <definedName name="SHARED_FORMULA_136">#N/A</definedName>
    <definedName name="SHARED_FORMULA_137">#N/A</definedName>
    <definedName name="SHARED_FORMULA_138">#N/A</definedName>
    <definedName name="SHARED_FORMULA_139">#N/A</definedName>
    <definedName name="SHARED_FORMULA_14">#N/A</definedName>
    <definedName name="SHARED_FORMULA_140">#N/A</definedName>
    <definedName name="SHARED_FORMULA_141">#N/A</definedName>
    <definedName name="SHARED_FORMULA_142">#N/A</definedName>
    <definedName name="SHARED_FORMULA_143">#N/A</definedName>
    <definedName name="SHARED_FORMULA_144">#N/A</definedName>
    <definedName name="SHARED_FORMULA_145">#N/A</definedName>
    <definedName name="SHARED_FORMULA_146">#N/A</definedName>
    <definedName name="SHARED_FORMULA_147">#N/A</definedName>
    <definedName name="SHARED_FORMULA_148">#N/A</definedName>
    <definedName name="SHARED_FORMULA_149">#N/A</definedName>
    <definedName name="SHARED_FORMULA_15">#N/A</definedName>
    <definedName name="SHARED_FORMULA_150">#N/A</definedName>
    <definedName name="SHARED_FORMULA_151">#N/A</definedName>
    <definedName name="SHARED_FORMULA_152">#N/A</definedName>
    <definedName name="SHARED_FORMULA_153">#N/A</definedName>
    <definedName name="SHARED_FORMULA_154">#N/A</definedName>
    <definedName name="SHARED_FORMULA_155">#N/A</definedName>
    <definedName name="SHARED_FORMULA_156">#N/A</definedName>
    <definedName name="SHARED_FORMULA_157">#N/A</definedName>
    <definedName name="SHARED_FORMULA_158">#N/A</definedName>
    <definedName name="SHARED_FORMULA_159">#N/A</definedName>
    <definedName name="SHARED_FORMULA_16">#N/A</definedName>
    <definedName name="SHARED_FORMULA_160">#N/A</definedName>
    <definedName name="SHARED_FORMULA_161">#N/A</definedName>
    <definedName name="SHARED_FORMULA_162">#N/A</definedName>
    <definedName name="SHARED_FORMULA_163">#N/A</definedName>
    <definedName name="SHARED_FORMULA_164">#N/A</definedName>
    <definedName name="SHARED_FORMULA_165">#N/A</definedName>
    <definedName name="SHARED_FORMULA_166">#N/A</definedName>
    <definedName name="SHARED_FORMULA_167">#N/A</definedName>
    <definedName name="SHARED_FORMULA_168">#N/A</definedName>
    <definedName name="SHARED_FORMULA_169">#N/A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81">#N/A</definedName>
    <definedName name="SHARED_FORMULA_82">#N/A</definedName>
    <definedName name="SHARED_FORMULA_83">#N/A</definedName>
    <definedName name="SHARED_FORMULA_84">#N/A</definedName>
    <definedName name="SHARED_FORMULA_85">#N/A</definedName>
    <definedName name="SHARED_FORMULA_86">#N/A</definedName>
    <definedName name="SHARED_FORMULA_87">#N/A</definedName>
    <definedName name="SHARED_FORMULA_88">#N/A</definedName>
    <definedName name="SHARED_FORMULA_89">#N/A</definedName>
    <definedName name="SHARED_FORMULA_9">#N/A</definedName>
    <definedName name="SHARED_FORMULA_90">#N/A</definedName>
    <definedName name="SHARED_FORMULA_91">#N/A</definedName>
    <definedName name="SHARED_FORMULA_92">#N/A</definedName>
    <definedName name="SHARED_FORMULA_93">#N/A</definedName>
    <definedName name="SHARED_FORMULA_94">#N/A</definedName>
    <definedName name="SHARED_FORMULA_95">#N/A</definedName>
    <definedName name="SHARED_FORMULA_96">#N/A</definedName>
    <definedName name="SHARED_FORMULA_97">#N/A</definedName>
    <definedName name="SHARED_FORMULA_98">#N/A</definedName>
    <definedName name="SHARED_FORMULA_99">#N/A</definedName>
    <definedName name="SILDENA">'[17]MOHALI - I'!#REF!</definedName>
    <definedName name="SILDENAFIL">'[16]MOHALI - I'!#REF!</definedName>
    <definedName name="SK_80_R">#REF!</definedName>
    <definedName name="SL_64_R">#REF!</definedName>
    <definedName name="SL_65_R">#REF!</definedName>
    <definedName name="SL_77">#REF!</definedName>
    <definedName name="SL_78">#REF!</definedName>
    <definedName name="SL_79">#REF!</definedName>
    <definedName name="SL_88">#REF!</definedName>
    <definedName name="SL_90">#REF!</definedName>
    <definedName name="SM_20_R">#REF!</definedName>
    <definedName name="SM_90">#REF!</definedName>
    <definedName name="SP_33_R">#REF!</definedName>
    <definedName name="SP_50_R">#REF!</definedName>
    <definedName name="SP_51_R">#REF!</definedName>
    <definedName name="SPRY_DRY_AL">'[17]MOHALI - II'!#REF!</definedName>
    <definedName name="SQ_528">#REF!</definedName>
    <definedName name="SQ_728">#REF!</definedName>
    <definedName name="SQ_741">#REF!</definedName>
    <definedName name="SQ_742">#REF!</definedName>
    <definedName name="SQ_743">#REF!</definedName>
    <definedName name="SQ_748">#REF!</definedName>
    <definedName name="SQ_749">#REF!</definedName>
    <definedName name="SQ_750">#REF!</definedName>
    <definedName name="SQ_751">#REF!</definedName>
    <definedName name="SQ_752">#REF!</definedName>
    <definedName name="SQ_753">#REF!</definedName>
    <definedName name="SQ_754">#REF!</definedName>
    <definedName name="SQ_755">#REF!</definedName>
    <definedName name="SQ_763">#REF!</definedName>
    <definedName name="SQ_765">#REF!</definedName>
    <definedName name="SQ_787">#REF!</definedName>
    <definedName name="SQ_788">#REF!</definedName>
    <definedName name="SQ_789">#REF!</definedName>
    <definedName name="SQ_89">#REF!</definedName>
    <definedName name="SQ_89_FD">#REF!</definedName>
    <definedName name="SQ_90">#REF!</definedName>
    <definedName name="SQ_92">#REF!</definedName>
    <definedName name="SQ_93">#REF!</definedName>
    <definedName name="SQ_94">#REF!</definedName>
    <definedName name="SR_164">#REF!</definedName>
    <definedName name="SR_165">#REF!</definedName>
    <definedName name="SR_166">#REF!</definedName>
    <definedName name="SR_167">#REF!</definedName>
    <definedName name="SR_168">#REF!</definedName>
    <definedName name="SR_169">#REF!</definedName>
    <definedName name="SR_171">#REF!</definedName>
    <definedName name="SR_172">#REF!</definedName>
    <definedName name="SR_173">#REF!</definedName>
    <definedName name="SR_174">#REF!</definedName>
    <definedName name="SR_175">#REF!</definedName>
    <definedName name="SR_176">#REF!</definedName>
    <definedName name="SR_177">#REF!</definedName>
    <definedName name="SR_178">#REF!</definedName>
    <definedName name="SR_179">#REF!</definedName>
    <definedName name="SR_180">#REF!</definedName>
    <definedName name="SR_182">#REF!</definedName>
    <definedName name="SR_894">#REF!</definedName>
    <definedName name="SR_895">#REF!</definedName>
    <definedName name="SR_895_DL">#REF!</definedName>
    <definedName name="SR_895A">#REF!</definedName>
    <definedName name="SR_896">#REF!</definedName>
    <definedName name="SR_896_DL">#REF!</definedName>
    <definedName name="SR_897">#REF!</definedName>
    <definedName name="SR_897_DL">#REF!</definedName>
    <definedName name="SR_898">#REF!</definedName>
    <definedName name="SR_898_DL">#REF!</definedName>
    <definedName name="SR_899">#REF!</definedName>
    <definedName name="SR_902">#REF!</definedName>
    <definedName name="SR_903">#REF!</definedName>
    <definedName name="SR_904">#REF!</definedName>
    <definedName name="SR_914">#REF!</definedName>
    <definedName name="SR_915">#REF!</definedName>
    <definedName name="SR_916">#REF!</definedName>
    <definedName name="SR_916A">#REF!</definedName>
    <definedName name="SR_916A_DL">#REF!</definedName>
    <definedName name="SR_917">#REF!</definedName>
    <definedName name="SR_917A">#REF!</definedName>
    <definedName name="SR_917A_DL">#REF!</definedName>
    <definedName name="SR_918">#REF!</definedName>
    <definedName name="SR_918A">#REF!</definedName>
    <definedName name="SR_918A_DL">#REF!</definedName>
    <definedName name="SR_919">#REF!</definedName>
    <definedName name="SR_919A">#REF!</definedName>
    <definedName name="SR_919A_DL">#REF!</definedName>
    <definedName name="SR_920">#REF!</definedName>
    <definedName name="SR_921">#REF!</definedName>
    <definedName name="SR_922">#REF!</definedName>
    <definedName name="SR_923">#REF!</definedName>
    <definedName name="SR_924">#REF!</definedName>
    <definedName name="SR_925">#REF!</definedName>
    <definedName name="SR_926">#REF!</definedName>
    <definedName name="SR_926A">#REF!</definedName>
    <definedName name="SR_926A_DL">#REF!</definedName>
    <definedName name="SR_927">#REF!</definedName>
    <definedName name="SR_927A">#REF!</definedName>
    <definedName name="SR_928">#REF!</definedName>
    <definedName name="SR_928A">#REF!</definedName>
    <definedName name="SR_929">#REF!</definedName>
    <definedName name="SR_929A">#REF!</definedName>
    <definedName name="SR_929A_DL">#REF!</definedName>
    <definedName name="SR_930">#REF!</definedName>
    <definedName name="SR_930A">#REF!</definedName>
    <definedName name="SR_930A_DL">#REF!</definedName>
    <definedName name="SR_931">#REF!</definedName>
    <definedName name="SR_932">#REF!</definedName>
    <definedName name="SR_933">#REF!</definedName>
    <definedName name="SR_934">#REF!</definedName>
    <definedName name="SR_936">#REF!</definedName>
    <definedName name="SR_937">#REF!</definedName>
    <definedName name="SR_938">#REF!</definedName>
    <definedName name="SR_939">#REF!</definedName>
    <definedName name="SR_939_FD">#REF!</definedName>
    <definedName name="SR_940">#REF!</definedName>
    <definedName name="SR_940_FD">#REF!</definedName>
    <definedName name="SR_947">#REF!</definedName>
    <definedName name="SR_948">#REF!</definedName>
    <definedName name="SR_956">#REF!</definedName>
    <definedName name="SR_957">#REF!</definedName>
    <definedName name="SR_959">#REF!</definedName>
    <definedName name="SR_959_DL">#REF!</definedName>
    <definedName name="SR_959A">#REF!</definedName>
    <definedName name="SR_960">#REF!</definedName>
    <definedName name="SR_961">#REF!</definedName>
    <definedName name="SR_962">#REF!</definedName>
    <definedName name="SR_963">#REF!</definedName>
    <definedName name="SR_964">#REF!</definedName>
    <definedName name="SR_996">#REF!</definedName>
    <definedName name="SR_996A">#REF!</definedName>
    <definedName name="SR_996A_DL">#REF!</definedName>
    <definedName name="SR_999">#REF!</definedName>
    <definedName name="SR_999_DL">#REF!</definedName>
    <definedName name="SR_999A">#REF!</definedName>
    <definedName name="ss" hidden="1">{"'August 2000'!$A$1:$J$101"}</definedName>
    <definedName name="SS_100">#REF!</definedName>
    <definedName name="SS_100A">#REF!</definedName>
    <definedName name="SS_100A_DL">#REF!</definedName>
    <definedName name="SS_101">#REF!</definedName>
    <definedName name="SS_101A">#REF!</definedName>
    <definedName name="SS_101ADL">#REF!</definedName>
    <definedName name="SS_102">#REF!</definedName>
    <definedName name="SS_102A">#REF!</definedName>
    <definedName name="SS_102A_DL">#REF!</definedName>
    <definedName name="SS_103">#REF!</definedName>
    <definedName name="SS_103A">#REF!</definedName>
    <definedName name="SS_103A_DL">#REF!</definedName>
    <definedName name="SS_115_R">#REF!</definedName>
    <definedName name="SS_116_R">#REF!</definedName>
    <definedName name="SS_117_R">#REF!</definedName>
    <definedName name="SS_147">#REF!</definedName>
    <definedName name="SS_148">#REF!</definedName>
    <definedName name="SS_149">#REF!</definedName>
    <definedName name="SS_150">#REF!</definedName>
    <definedName name="SS_440">#REF!</definedName>
    <definedName name="SS_441">#REF!</definedName>
    <definedName name="SS_442">#REF!</definedName>
    <definedName name="SS_443">#REF!</definedName>
    <definedName name="SS_444">#REF!</definedName>
    <definedName name="SS_445">#REF!</definedName>
    <definedName name="SS_446">#REF!</definedName>
    <definedName name="SS_447">#REF!</definedName>
    <definedName name="SS_605">#REF!</definedName>
    <definedName name="SS_606">#REF!</definedName>
    <definedName name="SS_607_R">#REF!</definedName>
    <definedName name="SS_608">#REF!</definedName>
    <definedName name="SS_609">#REF!</definedName>
    <definedName name="SS_610">#REF!</definedName>
    <definedName name="SS_611">#REF!</definedName>
    <definedName name="SS_612">#REF!</definedName>
    <definedName name="SS_613">#REF!</definedName>
    <definedName name="SS_614">#REF!</definedName>
    <definedName name="SS_615">#REF!</definedName>
    <definedName name="SS_616">#REF!</definedName>
    <definedName name="SS_640_R">#REF!</definedName>
    <definedName name="SS_641_R">#REF!</definedName>
    <definedName name="SS_642">#REF!</definedName>
    <definedName name="SS_643">#REF!</definedName>
    <definedName name="SS_644">#REF!</definedName>
    <definedName name="SS_646">#REF!</definedName>
    <definedName name="SS_934">#REF!</definedName>
    <definedName name="SS_938">#REF!</definedName>
    <definedName name="SS_943">#REF!</definedName>
    <definedName name="SS_947">#REF!</definedName>
    <definedName name="ST_294">#REF!</definedName>
    <definedName name="ST_294_FD">#REF!</definedName>
    <definedName name="ST_295">#REF!</definedName>
    <definedName name="ST_296">#REF!</definedName>
    <definedName name="ST_297">#REF!</definedName>
    <definedName name="ST_513">#REF!</definedName>
    <definedName name="ST_514">#REF!</definedName>
    <definedName name="ST_515">#REF!</definedName>
    <definedName name="ST_617">#REF!</definedName>
    <definedName name="ST_617_FD">#REF!</definedName>
    <definedName name="ST_880">#REF!</definedName>
    <definedName name="ST_960">#REF!</definedName>
    <definedName name="ST_960A">#REF!</definedName>
    <definedName name="ST_960A_DL">#REF!</definedName>
    <definedName name="ST_961">#REF!</definedName>
    <definedName name="ST_962">#REF!</definedName>
    <definedName name="ST_964">#REF!</definedName>
    <definedName name="ST_965">#REF!</definedName>
    <definedName name="ST_966">#REF!</definedName>
    <definedName name="ST_967">#REF!</definedName>
    <definedName name="ST_975_R">#REF!</definedName>
    <definedName name="ST_976_R">#REF!</definedName>
    <definedName name="ST_977">#REF!</definedName>
    <definedName name="ST_978">#REF!</definedName>
    <definedName name="ST_985">#REF!</definedName>
    <definedName name="ST_986">#REF!</definedName>
    <definedName name="ST_987">#REF!</definedName>
    <definedName name="STK">#REF!</definedName>
    <definedName name="stock">[41]SUMMARY!$A$2:$A$3</definedName>
    <definedName name="stock1">[41]SUMMARY!$A$2:$A$3</definedName>
    <definedName name="structure">#REF!</definedName>
    <definedName name="SUMMARY">[55]Summ!#REF!</definedName>
    <definedName name="SV_50">#REF!</definedName>
    <definedName name="SV_51">#REF!</definedName>
    <definedName name="SV_52">#REF!</definedName>
    <definedName name="T_108">#REF!</definedName>
    <definedName name="T_118">#REF!</definedName>
    <definedName name="T_120">#REF!</definedName>
    <definedName name="T_121">#REF!</definedName>
    <definedName name="T_122">#REF!</definedName>
    <definedName name="T_136">#REF!</definedName>
    <definedName name="T_137">#REF!</definedName>
    <definedName name="T_138">#REF!</definedName>
    <definedName name="T_139">#REF!</definedName>
    <definedName name="T_142">#REF!</definedName>
    <definedName name="T_144">#REF!</definedName>
    <definedName name="T_225">#REF!</definedName>
    <definedName name="T_292">#REF!</definedName>
    <definedName name="T_293">#REF!</definedName>
    <definedName name="T_296">#REF!</definedName>
    <definedName name="T_297">#REF!</definedName>
    <definedName name="T_297__T_S">#REF!</definedName>
    <definedName name="T_298">#REF!</definedName>
    <definedName name="T_299">#REF!</definedName>
    <definedName name="T_300">#REF!</definedName>
    <definedName name="T_301">#REF!</definedName>
    <definedName name="T_302">#REF!</definedName>
    <definedName name="T_303">#REF!</definedName>
    <definedName name="T_478">#REF!</definedName>
    <definedName name="T_479">#REF!</definedName>
    <definedName name="T_483">#REF!</definedName>
    <definedName name="T_484">#REF!</definedName>
    <definedName name="T_504">#REF!</definedName>
    <definedName name="T_505">#REF!</definedName>
    <definedName name="T_506">#REF!</definedName>
    <definedName name="T_507">#REF!</definedName>
    <definedName name="T_510">#REF!</definedName>
    <definedName name="T_511">#REF!</definedName>
    <definedName name="T_512">#REF!</definedName>
    <definedName name="T_513">#REF!</definedName>
    <definedName name="T_514">#REF!</definedName>
    <definedName name="T_515">#REF!</definedName>
    <definedName name="T_516_R">#REF!</definedName>
    <definedName name="T_516R__T_S">#REF!</definedName>
    <definedName name="T_527">#REF!</definedName>
    <definedName name="T_528">#REF!</definedName>
    <definedName name="T_531A">#REF!</definedName>
    <definedName name="T_541">#REF!</definedName>
    <definedName name="T_542">#REF!</definedName>
    <definedName name="T_545">#REF!</definedName>
    <definedName name="T_546">#REF!</definedName>
    <definedName name="T_549">#REF!</definedName>
    <definedName name="T_550">#REF!</definedName>
    <definedName name="T_554">#REF!</definedName>
    <definedName name="T_555">#REF!</definedName>
    <definedName name="T_585">#REF!</definedName>
    <definedName name="T_586">#REF!</definedName>
    <definedName name="T_617">#REF!</definedName>
    <definedName name="T_644">#REF!</definedName>
    <definedName name="T_649">#REF!</definedName>
    <definedName name="T_650">#REF!</definedName>
    <definedName name="T_655">#REF!</definedName>
    <definedName name="T_656">#REF!</definedName>
    <definedName name="T_690">#REF!</definedName>
    <definedName name="T_690A">#REF!</definedName>
    <definedName name="T_692">#REF!</definedName>
    <definedName name="T_692A">#REF!</definedName>
    <definedName name="T_693">#REF!</definedName>
    <definedName name="T_693A">#REF!</definedName>
    <definedName name="T_697">#REF!</definedName>
    <definedName name="T_702">#REF!</definedName>
    <definedName name="T_703">#REF!</definedName>
    <definedName name="T_706">#REF!</definedName>
    <definedName name="T_709">#REF!</definedName>
    <definedName name="T_727">#REF!</definedName>
    <definedName name="T_728">#REF!</definedName>
    <definedName name="T_733">#REF!</definedName>
    <definedName name="T_734">#REF!</definedName>
    <definedName name="T_735">#REF!</definedName>
    <definedName name="T_740">#REF!</definedName>
    <definedName name="T_854_R">#REF!</definedName>
    <definedName name="T_860">#REF!</definedName>
    <definedName name="T_864_R">#REF!</definedName>
    <definedName name="T_867">#REF!</definedName>
    <definedName name="T_867A">#REF!</definedName>
    <definedName name="T_872_R">#REF!</definedName>
    <definedName name="T_879_R">#REF!</definedName>
    <definedName name="T_880_R">#REF!</definedName>
    <definedName name="T_887">#REF!</definedName>
    <definedName name="T_907">#REF!</definedName>
    <definedName name="T_908">#REF!</definedName>
    <definedName name="T_913">#REF!</definedName>
    <definedName name="T_934">#REF!</definedName>
    <definedName name="T_937">#REF!</definedName>
    <definedName name="T_940">#REF!</definedName>
    <definedName name="T_940A">#REF!</definedName>
    <definedName name="T_941">#REF!</definedName>
    <definedName name="T_941A">#REF!</definedName>
    <definedName name="T_944">#REF!</definedName>
    <definedName name="T_946">#REF!</definedName>
    <definedName name="T_950">#REF!</definedName>
    <definedName name="T_951">#REF!</definedName>
    <definedName name="T_953">#REF!</definedName>
    <definedName name="T_954">#REF!</definedName>
    <definedName name="T_956">#REF!</definedName>
    <definedName name="T_960">#REF!</definedName>
    <definedName name="T_960_T_S">#REF!</definedName>
    <definedName name="T_962">#REF!</definedName>
    <definedName name="T_965">#REF!</definedName>
    <definedName name="T_965__T_S">#REF!</definedName>
    <definedName name="T_967">#REF!</definedName>
    <definedName name="T_975">#REF!</definedName>
    <definedName name="T_975__T_S">#REF!</definedName>
    <definedName name="T_976__T_S">#REF!</definedName>
    <definedName name="T_976_R">#REF!</definedName>
    <definedName name="T_976_R_T_S">#REF!</definedName>
    <definedName name="T_977">#REF!</definedName>
    <definedName name="T_978">#REF!</definedName>
    <definedName name="T_985">#REF!</definedName>
    <definedName name="T_985_T_S">#REF!</definedName>
    <definedName name="T_987">#REF!</definedName>
    <definedName name="Table">#REF!</definedName>
    <definedName name="TAXDEDUCTED">'[56]FORM_16A _ MONTHLY DETAILED _'!$C$70</definedName>
    <definedName name="TAYOMA">[17]TOANSA!#REF!</definedName>
    <definedName name="TB">[57]TB!$A:$IV</definedName>
    <definedName name="Ten">#REF!</definedName>
    <definedName name="TERFEN">[17]TOANSA!#REF!</definedName>
    <definedName name="TERFEN_AL">[17]TOANSA!#REF!</definedName>
    <definedName name="TEST0">#REF!</definedName>
    <definedName name="TEST1">#REF!</definedName>
    <definedName name="TEST2">#REF!</definedName>
    <definedName name="TEST3">#REF!</definedName>
    <definedName name="TEST4">#REF!</definedName>
    <definedName name="TEST5">#REF!</definedName>
    <definedName name="TESTHKEY">#REF!</definedName>
    <definedName name="TESTKEYS">#REF!</definedName>
    <definedName name="TESTVKEY">#REF!</definedName>
    <definedName name="tfyu">#REF!</definedName>
    <definedName name="thom">[58]Sheet1!$B$169</definedName>
    <definedName name="Total_Interest">#REF!</definedName>
    <definedName name="Total_Pay">#REF!</definedName>
    <definedName name="Total_Payment">Scheduled_Payment+Extra_Payment</definedName>
    <definedName name="TOTASS">[19]tot_ass_9697!$A$1:$H$2376</definedName>
    <definedName name="Trainee">#REF!</definedName>
    <definedName name="TRIAL">[1]A!$A$35:$Z$616</definedName>
    <definedName name="TT">[1]A!$A$39:$Z$616</definedName>
    <definedName name="tytu">#REF!</definedName>
    <definedName name="tyuty">#REF!</definedName>
    <definedName name="tyutyu">#REF!</definedName>
    <definedName name="USD_B_S">[20]Sheet1!#REF!</definedName>
    <definedName name="USD_C_F">[20]Sheet1!#REF!</definedName>
    <definedName name="USD_EX_SUMM">#REF!</definedName>
    <definedName name="usd_to_inr">'[59]Global Assmptions'!#REF!</definedName>
    <definedName name="v">[20]Sheet1!#REF!</definedName>
    <definedName name="V_30">#REF!</definedName>
    <definedName name="V_39">#REF!</definedName>
    <definedName name="V_55">#REF!</definedName>
    <definedName name="V_58">#REF!</definedName>
    <definedName name="V_59">#REF!</definedName>
    <definedName name="V_62">#REF!</definedName>
    <definedName name="V_64">#REF!</definedName>
    <definedName name="V_65">#REF!</definedName>
    <definedName name="V_66">#REF!</definedName>
    <definedName name="V_70">#REF!</definedName>
    <definedName name="VAL">#REF!</definedName>
    <definedName name="Valid_Dates">[60]tables!$J$4:$J$34</definedName>
    <definedName name="Valid_Months">[60]tables!$G$4:$G$15</definedName>
    <definedName name="Valid_Years">[60]tables!$A$4:$A$7</definedName>
    <definedName name="Values_Entered">IF(Loan_Amount*Interest_Rate*Loan_Years*Loan_Start&gt;0,1,0)</definedName>
    <definedName name="vbgh">#REF!</definedName>
    <definedName name="vbhj">#REF!</definedName>
    <definedName name="VEH">#REF!</definedName>
    <definedName name="version">1</definedName>
    <definedName name="VIMA">#REF!</definedName>
    <definedName name="w">'[61]Balance sheet DCCDL Nov 06'!$BN$1:$BP$122</definedName>
    <definedName name="WIP">'[8]#REF'!$E$22</definedName>
    <definedName name="WRKG_CAP">#REF!</definedName>
    <definedName name="ws" hidden="1">#REF!</definedName>
    <definedName name="X">#N/A</definedName>
    <definedName name="XPA">[9]SDE!#REF!</definedName>
    <definedName name="XPIN">[9]SDE!#REF!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9" hidden="1">#REF!</definedName>
    <definedName name="XRefCopy9Row" hidden="1">#REF!</definedName>
    <definedName name="XRefCopyRangeCount" hidden="1">6</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Row" hidden="1">#REF!</definedName>
    <definedName name="XRefPaste1Row" hidden="1">[62]XREF!#REF!</definedName>
    <definedName name="XRefPaste20Row" hidden="1">#REF!</definedName>
    <definedName name="XRefPaste2Row" hidden="1">[62]XREF!#REF!</definedName>
    <definedName name="XRefPaste3Row" hidden="1">#REF!</definedName>
    <definedName name="XRefPaste4" hidden="1">[62]Lead!#REF!</definedName>
    <definedName name="XRefPaste4Row" hidden="1">[62]XREF!#REF!</definedName>
    <definedName name="XRefPaste5" hidden="1">[62]Lead!#REF!</definedName>
    <definedName name="XRefPaste5Row" hidden="1">[62]XREF!#REF!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6</definedName>
    <definedName name="XRING">[9]SDE!#REF!</definedName>
    <definedName name="xyz" hidden="1">'[63]#REF'!$A$10:$A$57</definedName>
    <definedName name="xyz1">'[63]#REF'!$E$9</definedName>
    <definedName name="XYZ2">'[63]#REF'!$E$10</definedName>
    <definedName name="XYZ3">'[63]#REF'!$E$13</definedName>
    <definedName name="XYZ4">'[63]#REF'!$E$23</definedName>
    <definedName name="Y_100">#REF!</definedName>
    <definedName name="Y_101">#REF!</definedName>
    <definedName name="Y_102">#REF!</definedName>
    <definedName name="yjiyj">#REF!</definedName>
    <definedName name="YN">#REF!</definedName>
    <definedName name="ytiutyu">#REF!</definedName>
    <definedName name="Z_1">#REF!</definedName>
    <definedName name="Z_131">#REF!</definedName>
    <definedName name="Z_173">#REF!</definedName>
    <definedName name="Z_186">#REF!</definedName>
    <definedName name="Z_187">#REF!</definedName>
    <definedName name="Z_189">#REF!</definedName>
    <definedName name="Z_196">#REF!</definedName>
    <definedName name="Z_2">#REF!</definedName>
    <definedName name="Z_243">#REF!</definedName>
    <definedName name="Z_244">#REF!</definedName>
    <definedName name="Z_245">#REF!</definedName>
    <definedName name="Z_253">#REF!</definedName>
    <definedName name="Z_254">#REF!</definedName>
    <definedName name="Z_257">#REF!</definedName>
    <definedName name="Z_258">#REF!</definedName>
    <definedName name="Z_259">#REF!</definedName>
    <definedName name="Z_260">#REF!</definedName>
    <definedName name="Z_262">#REF!</definedName>
    <definedName name="Z_265">#REF!</definedName>
    <definedName name="Z_269">#REF!</definedName>
    <definedName name="Z_270">#REF!</definedName>
    <definedName name="Z_273">#REF!</definedName>
    <definedName name="Z_274">#REF!</definedName>
    <definedName name="Z_277">#REF!</definedName>
    <definedName name="Z_278">#REF!</definedName>
    <definedName name="Z_285">#REF!</definedName>
    <definedName name="Z_286">#REF!</definedName>
    <definedName name="Z_292">#REF!</definedName>
    <definedName name="Z_3">#REF!</definedName>
    <definedName name="Z_331">#REF!</definedName>
    <definedName name="Z_334">#REF!</definedName>
    <definedName name="Z_347">#REF!</definedName>
    <definedName name="Z_348">#REF!</definedName>
    <definedName name="Z_349">#REF!</definedName>
    <definedName name="Z_354">#REF!</definedName>
    <definedName name="Z_355">#REF!</definedName>
    <definedName name="Z_369">#REF!</definedName>
    <definedName name="Z_370">#REF!</definedName>
    <definedName name="Z_377">#REF!</definedName>
    <definedName name="Z_378">#REF!</definedName>
    <definedName name="Z_382">#REF!</definedName>
    <definedName name="Z_399">#REF!</definedName>
    <definedName name="Z_404">#REF!</definedName>
    <definedName name="Z_405">#REF!</definedName>
    <definedName name="Z_419">#REF!</definedName>
    <definedName name="Z_420">#REF!</definedName>
    <definedName name="Z_421">#REF!</definedName>
    <definedName name="Z_423A">#REF!</definedName>
    <definedName name="Z_430">#REF!</definedName>
    <definedName name="Z_431">#REF!</definedName>
    <definedName name="Z_438">#REF!</definedName>
    <definedName name="Z_439">#REF!</definedName>
    <definedName name="Z_443">#REF!</definedName>
    <definedName name="Z_444">#REF!</definedName>
    <definedName name="Z_446">#REF!</definedName>
    <definedName name="Z_447">#REF!</definedName>
    <definedName name="Z_448">#REF!</definedName>
    <definedName name="Z_449">#REF!</definedName>
    <definedName name="Z_450">#REF!</definedName>
    <definedName name="Z_451">#REF!</definedName>
    <definedName name="Z_452">#REF!</definedName>
    <definedName name="Z_453">#REF!</definedName>
    <definedName name="Z_454">#REF!</definedName>
    <definedName name="Z_455">#REF!</definedName>
    <definedName name="Z_456">#REF!</definedName>
    <definedName name="Z_466">#REF!</definedName>
    <definedName name="Z_467">#REF!</definedName>
    <definedName name="Z_471">#REF!</definedName>
    <definedName name="Z_472">#REF!</definedName>
    <definedName name="Z_475">#REF!</definedName>
    <definedName name="Z_476">#REF!</definedName>
    <definedName name="Z_480">#REF!</definedName>
    <definedName name="Z_481">#REF!</definedName>
    <definedName name="Z_482">#REF!</definedName>
    <definedName name="Z_483">#REF!</definedName>
    <definedName name="Z_485">#REF!</definedName>
    <definedName name="Z_487">#REF!</definedName>
    <definedName name="Z_492">#REF!</definedName>
    <definedName name="Z_493">#REF!</definedName>
    <definedName name="Z_494">#REF!</definedName>
    <definedName name="Z_495">#REF!</definedName>
    <definedName name="Z_496">#REF!</definedName>
    <definedName name="Z_499">#REF!</definedName>
    <definedName name="Z_500">#REF!</definedName>
    <definedName name="Z_501">#REF!</definedName>
    <definedName name="Z_502">#REF!</definedName>
    <definedName name="Z_503">#REF!</definedName>
    <definedName name="Z_504">#REF!</definedName>
    <definedName name="Z_506">#REF!</definedName>
    <definedName name="Z_507">#REF!</definedName>
    <definedName name="Z_508">#REF!</definedName>
    <definedName name="Z_509">#REF!</definedName>
    <definedName name="Z_512">#REF!</definedName>
    <definedName name="Z_513">#REF!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22" l="1"/>
  <c r="D24" i="22"/>
  <c r="C24" i="22"/>
  <c r="F18" i="22"/>
  <c r="F17" i="22"/>
  <c r="F16" i="22"/>
  <c r="F15" i="22"/>
  <c r="F14" i="22"/>
  <c r="E22" i="22"/>
  <c r="F22" i="22" s="1"/>
  <c r="E21" i="22"/>
  <c r="F21" i="22" s="1"/>
  <c r="E20" i="22"/>
  <c r="F20" i="22" s="1"/>
  <c r="E19" i="22"/>
  <c r="F19" i="22" s="1"/>
  <c r="E18" i="22"/>
  <c r="E17" i="22"/>
  <c r="E16" i="22"/>
  <c r="E15" i="22"/>
  <c r="E14" i="22"/>
  <c r="F13" i="19"/>
  <c r="F15" i="19"/>
  <c r="F14" i="19"/>
  <c r="F12" i="19"/>
  <c r="F11" i="19"/>
  <c r="F10" i="19"/>
  <c r="F9" i="19"/>
  <c r="F8" i="19"/>
  <c r="A1" i="23" l="1"/>
  <c r="A1" i="22"/>
  <c r="A1" i="21"/>
  <c r="A1" i="20"/>
  <c r="A1" i="18" l="1"/>
  <c r="B1" i="19" s="1"/>
  <c r="E21" i="18" l="1"/>
  <c r="F21" i="18" s="1"/>
  <c r="D33" i="18"/>
  <c r="E25" i="18"/>
  <c r="F25" i="18" s="1"/>
  <c r="E45" i="18"/>
  <c r="F45" i="18" s="1"/>
  <c r="E15" i="18"/>
  <c r="F15" i="18" s="1"/>
  <c r="E48" i="18"/>
  <c r="F48" i="18" s="1"/>
  <c r="E38" i="18"/>
  <c r="F38" i="18" s="1"/>
  <c r="E57" i="18"/>
  <c r="F57" i="18" s="1"/>
  <c r="E20" i="18"/>
  <c r="F20" i="18" s="1"/>
  <c r="E30" i="18"/>
  <c r="F30" i="18" s="1"/>
  <c r="E22" i="18"/>
  <c r="F22" i="18" s="1"/>
  <c r="E55" i="18"/>
  <c r="F55" i="18" s="1"/>
  <c r="E29" i="18"/>
  <c r="F29" i="18" s="1"/>
  <c r="E32" i="18"/>
  <c r="F32" i="18" s="1"/>
  <c r="E46" i="18"/>
  <c r="F46" i="18" s="1"/>
  <c r="E54" i="18"/>
  <c r="F54" i="18" s="1"/>
  <c r="D40" i="18"/>
  <c r="E28" i="18"/>
  <c r="F28" i="18" s="1"/>
  <c r="E31" i="18"/>
  <c r="F31" i="18" s="1"/>
  <c r="E19" i="18"/>
  <c r="F19" i="18" s="1"/>
  <c r="E56" i="18"/>
  <c r="F56" i="18" s="1"/>
  <c r="E39" i="18"/>
  <c r="F39" i="18" s="1"/>
  <c r="E14" i="18"/>
  <c r="F14" i="18" s="1"/>
  <c r="D23" i="18"/>
  <c r="E16" i="18"/>
  <c r="F16" i="18" s="1"/>
  <c r="E12" i="18"/>
  <c r="E18" i="18"/>
  <c r="F18" i="18" s="1"/>
  <c r="C40" i="18"/>
  <c r="E47" i="18"/>
  <c r="F47" i="18" s="1"/>
  <c r="E13" i="18"/>
  <c r="F13" i="18" s="1"/>
  <c r="E52" i="18"/>
  <c r="F52" i="18" s="1"/>
  <c r="E53" i="18" l="1"/>
  <c r="F53" i="18" s="1"/>
  <c r="D59" i="18"/>
  <c r="E27" i="18"/>
  <c r="F27" i="18" s="1"/>
  <c r="C33" i="18"/>
  <c r="E58" i="18"/>
  <c r="F58" i="18" s="1"/>
  <c r="E40" i="18"/>
  <c r="D34" i="18"/>
  <c r="F12" i="18"/>
  <c r="E23" i="18"/>
  <c r="C23" i="18"/>
  <c r="E44" i="18"/>
  <c r="C59" i="18"/>
  <c r="D60" i="18" l="1"/>
  <c r="E33" i="18"/>
  <c r="C34" i="18"/>
  <c r="E59" i="18"/>
  <c r="F44" i="18"/>
  <c r="C60" i="18"/>
  <c r="F19" i="3" l="1"/>
  <c r="G204" i="14" l="1"/>
  <c r="F204" i="14"/>
  <c r="D204" i="14"/>
  <c r="C204" i="14"/>
  <c r="H203" i="14"/>
  <c r="E203" i="14"/>
  <c r="H202" i="14"/>
  <c r="E202" i="14"/>
  <c r="H204" i="14" l="1"/>
  <c r="E204" i="14"/>
  <c r="H196" i="14" l="1"/>
  <c r="G196" i="14"/>
  <c r="F196" i="14"/>
  <c r="E196" i="14"/>
  <c r="D196" i="14"/>
  <c r="H195" i="14"/>
  <c r="G195" i="14"/>
  <c r="F195" i="14"/>
  <c r="E195" i="14"/>
  <c r="D195" i="14"/>
  <c r="H194" i="14"/>
  <c r="G194" i="14"/>
  <c r="F194" i="14"/>
  <c r="E194" i="14"/>
  <c r="D194" i="14"/>
  <c r="H193" i="14"/>
  <c r="G193" i="14"/>
  <c r="F193" i="14"/>
  <c r="E193" i="14"/>
  <c r="D193" i="14"/>
  <c r="H190" i="14"/>
  <c r="G190" i="14"/>
  <c r="F190" i="14"/>
  <c r="E190" i="14"/>
  <c r="D190" i="14"/>
  <c r="D197" i="14" l="1"/>
  <c r="D198" i="14" s="1"/>
  <c r="H197" i="14"/>
  <c r="H198" i="14" s="1"/>
  <c r="E197" i="14"/>
  <c r="E198" i="14" s="1"/>
  <c r="F197" i="14"/>
  <c r="F198" i="14" s="1"/>
  <c r="G197" i="14"/>
  <c r="G198" i="14" s="1"/>
  <c r="B3" i="16" l="1"/>
  <c r="E137" i="14" l="1"/>
  <c r="E136" i="14"/>
  <c r="E135" i="14"/>
  <c r="E114" i="14"/>
  <c r="E113" i="14"/>
  <c r="E112" i="14"/>
  <c r="F11" i="14" l="1"/>
  <c r="E11" i="14"/>
  <c r="D11" i="14"/>
  <c r="C11" i="14"/>
  <c r="C168" i="14" l="1"/>
  <c r="C137" i="14"/>
  <c r="C136" i="14"/>
  <c r="C135" i="14"/>
  <c r="C114" i="14"/>
  <c r="C113" i="14"/>
  <c r="C112" i="14"/>
  <c r="F6" i="14" l="1"/>
  <c r="E22" i="14" l="1"/>
  <c r="C22" i="14"/>
  <c r="C172" i="14" l="1"/>
  <c r="E38" i="14" l="1"/>
  <c r="E37" i="14"/>
  <c r="E36" i="14"/>
  <c r="E35" i="14"/>
  <c r="E175" i="14" l="1"/>
  <c r="C175" i="14"/>
  <c r="E172" i="14"/>
  <c r="C6" i="14" l="1"/>
  <c r="D6" i="14"/>
  <c r="C132" i="14" l="1"/>
  <c r="C54" i="14"/>
  <c r="C28" i="14"/>
  <c r="E168" i="14" l="1"/>
  <c r="E132" i="14"/>
  <c r="C57" i="14"/>
  <c r="E57" i="14"/>
  <c r="E32" i="14"/>
  <c r="E28" i="14"/>
  <c r="C170" i="14" l="1"/>
  <c r="C173" i="14" s="1"/>
  <c r="C177" i="14" s="1"/>
  <c r="E170" i="14"/>
  <c r="E173" i="14" s="1"/>
  <c r="E177" i="14" s="1"/>
  <c r="C108" i="14" l="1"/>
  <c r="F104" i="14"/>
  <c r="F103" i="14"/>
  <c r="F102" i="14"/>
  <c r="F101" i="14"/>
  <c r="E106" i="14"/>
  <c r="E105" i="14"/>
  <c r="C106" i="14"/>
  <c r="C105" i="14"/>
  <c r="C109" i="14" s="1"/>
  <c r="C107" i="14" l="1"/>
  <c r="E107" i="14"/>
  <c r="C98" i="14" l="1"/>
  <c r="C93" i="14"/>
  <c r="E93" i="14"/>
  <c r="E98" i="14" s="1"/>
  <c r="E58" i="14" l="1"/>
  <c r="C58" i="14"/>
  <c r="E56" i="14"/>
  <c r="C56" i="14"/>
  <c r="D84" i="14"/>
  <c r="D85" i="14"/>
  <c r="C82" i="14"/>
  <c r="C83" i="14"/>
  <c r="C84" i="14"/>
  <c r="C85" i="14"/>
  <c r="D86" i="14" l="1"/>
  <c r="C86" i="14"/>
  <c r="C38" i="14"/>
  <c r="C37" i="14"/>
  <c r="C36" i="14"/>
  <c r="C35" i="14"/>
  <c r="C34" i="14" l="1"/>
  <c r="E34" i="14"/>
  <c r="E54" i="14" l="1"/>
  <c r="C32" i="14"/>
  <c r="E15" i="14"/>
  <c r="C15" i="14" l="1"/>
  <c r="E6" i="14" l="1"/>
  <c r="F20" i="3" l="1"/>
  <c r="F13" i="3" l="1"/>
  <c r="F18" i="3"/>
  <c r="F21" i="3"/>
  <c r="F22" i="3" l="1"/>
  <c r="F23" i="3"/>
  <c r="F12" i="3" l="1"/>
  <c r="F17" i="3" l="1"/>
</calcChain>
</file>

<file path=xl/sharedStrings.xml><?xml version="1.0" encoding="utf-8"?>
<sst xmlns="http://schemas.openxmlformats.org/spreadsheetml/2006/main" count="393" uniqueCount="244">
  <si>
    <t>Analysis of Statement of Profit and Loss</t>
  </si>
  <si>
    <t>Particulars</t>
  </si>
  <si>
    <t>Absolute Variance</t>
  </si>
  <si>
    <t>Variance 
%</t>
  </si>
  <si>
    <t>Total</t>
  </si>
  <si>
    <t>HDFC</t>
  </si>
  <si>
    <t>Mizuho</t>
  </si>
  <si>
    <t>As per client</t>
  </si>
  <si>
    <t>Average</t>
  </si>
  <si>
    <t>Closing</t>
  </si>
  <si>
    <t>Property, plant and equipment</t>
  </si>
  <si>
    <t>Other intangible assets</t>
  </si>
  <si>
    <t>Electricity</t>
  </si>
  <si>
    <t>Diesel-Genset</t>
  </si>
  <si>
    <t>Diesel-Thermopac</t>
  </si>
  <si>
    <t>Diesel Paint Shop</t>
  </si>
  <si>
    <t>Electricity Offices/Transit Houses</t>
  </si>
  <si>
    <t>Electricity Company Leased Houses</t>
  </si>
  <si>
    <t>Business Conveyance Staff</t>
  </si>
  <si>
    <t>Business Conveyance Bus Hiring</t>
  </si>
  <si>
    <t>Trav.&amp; Convey. Foreign - Fare &amp; Lc</t>
  </si>
  <si>
    <t>Trav.&amp; Convey. Foreign - Boarding &amp; Lodging</t>
  </si>
  <si>
    <t>Trav. &amp; Convey. - Fare</t>
  </si>
  <si>
    <t>Trav. &amp; Convey. - Boarding</t>
  </si>
  <si>
    <t>Trav. &amp; Convey. - Lodging</t>
  </si>
  <si>
    <t>Trav. &amp; Convey. - Local Conveyance</t>
  </si>
  <si>
    <t>Trav. &amp; Convey. - Taxi</t>
  </si>
  <si>
    <t>Travelling Expenses Company Guests</t>
  </si>
  <si>
    <t>Vehicle Fuel Charges - Zonal Offices</t>
  </si>
  <si>
    <t>Vehicle Fuel Charges-City Office</t>
  </si>
  <si>
    <t>Vehicle Fuel Charges-Plant</t>
  </si>
  <si>
    <t>Bus hiring</t>
  </si>
  <si>
    <t>Fuel Charges</t>
  </si>
  <si>
    <t>Foreign - Boarding &amp; Lodging</t>
  </si>
  <si>
    <t>Local - Boarding &amp; Lodging</t>
  </si>
  <si>
    <t>Packing Expenses</t>
  </si>
  <si>
    <t>Freight Export-Ghana</t>
  </si>
  <si>
    <t>Freight Export-Bangladesh</t>
  </si>
  <si>
    <t>Freight Export-Nepal</t>
  </si>
  <si>
    <t>Freight Outward-Trailer</t>
  </si>
  <si>
    <t>Freight Outward Trp.</t>
  </si>
  <si>
    <t>Freight Outward Trp. -Transit Insurance</t>
  </si>
  <si>
    <t>Freight Outward Trp. Accidental Claim</t>
  </si>
  <si>
    <t>Fre. Outward Vehicle In Or Out At Yard</t>
  </si>
  <si>
    <t>Fre. Outward Vehicle Desp-Sml To Depo-Stock tfr</t>
  </si>
  <si>
    <t>Freight Outward-Plant (Vehicle Insurance)</t>
  </si>
  <si>
    <t>Toll Tax Octroi</t>
  </si>
  <si>
    <t>Trc Exp. For Light Comm. Vehicles</t>
  </si>
  <si>
    <t>Freight Outward SPD-GR above Rs.750</t>
  </si>
  <si>
    <t>Freight Outward SPD-GR upto Rs.750</t>
  </si>
  <si>
    <t>Freight Courier-SPD</t>
  </si>
  <si>
    <t>Export freight and packing</t>
  </si>
  <si>
    <t>Domestic freight and packing</t>
  </si>
  <si>
    <t>SPD freight and packing</t>
  </si>
  <si>
    <t>Publicity</t>
  </si>
  <si>
    <t>Service Charges</t>
  </si>
  <si>
    <t>Marketing commission</t>
  </si>
  <si>
    <t>Diesel rate</t>
  </si>
  <si>
    <t>30th June</t>
  </si>
  <si>
    <t>31st May</t>
  </si>
  <si>
    <t>1st April</t>
  </si>
  <si>
    <t>30th April</t>
  </si>
  <si>
    <t>No. of employees</t>
  </si>
  <si>
    <t>WORKERS</t>
  </si>
  <si>
    <t>STAFF</t>
  </si>
  <si>
    <t>JR.MGMT.STAFF</t>
  </si>
  <si>
    <t>MANAGEMENT STAFF</t>
  </si>
  <si>
    <t xml:space="preserve">Membership &amp; periodicals </t>
  </si>
  <si>
    <t>Miscellaneous other</t>
  </si>
  <si>
    <t>Office/guest house upkeep</t>
  </si>
  <si>
    <t>Provident Fund</t>
  </si>
  <si>
    <t>ESI</t>
  </si>
  <si>
    <t>Gratuity</t>
  </si>
  <si>
    <t>Superannuation</t>
  </si>
  <si>
    <t>30 September 2019</t>
  </si>
  <si>
    <t>30 September 2020</t>
  </si>
  <si>
    <t>Freight &amp; Taxes-Demo Vehicles</t>
  </si>
  <si>
    <t>Publicity-Marketing</t>
  </si>
  <si>
    <t>Publicity-Servicing</t>
  </si>
  <si>
    <t>Publicity-SPD</t>
  </si>
  <si>
    <t>Monthly/Quartery Publicity Provision</t>
  </si>
  <si>
    <t>Customer Care</t>
  </si>
  <si>
    <t>Vehicle Tracking Service-Saarthi</t>
  </si>
  <si>
    <t>Revenue-Publicity Material</t>
  </si>
  <si>
    <t>Reclassified to Revenue (Credited to Dealers)</t>
  </si>
  <si>
    <t>Dealer Margin-Direct Selling</t>
  </si>
  <si>
    <t>Incentive Tour Japan</t>
  </si>
  <si>
    <t>Dealer Salesman Incentive-Eboard</t>
  </si>
  <si>
    <t>AMC Service Charges</t>
  </si>
  <si>
    <t>Service Charges-Actual</t>
  </si>
  <si>
    <t>Services Charges reclassified to revenue</t>
  </si>
  <si>
    <t>Directors Meeting Expense</t>
  </si>
  <si>
    <t>Recoveries Of Overheads</t>
  </si>
  <si>
    <t>Auditor Hospitality Expenses-Statutory</t>
  </si>
  <si>
    <t>Water Expense</t>
  </si>
  <si>
    <t>Recruitment &amp; Training</t>
  </si>
  <si>
    <t>Seminar &amp; Conference Fee</t>
  </si>
  <si>
    <t>Membership &amp; Subscription</t>
  </si>
  <si>
    <t>Newspapers/Books</t>
  </si>
  <si>
    <t>Business Hospitality - Others</t>
  </si>
  <si>
    <t>Business Hospitality - Gifts</t>
  </si>
  <si>
    <t>Factory &amp; Office Upkeep</t>
  </si>
  <si>
    <t>Refilling-Fire Extinguiser</t>
  </si>
  <si>
    <t>Canteen</t>
  </si>
  <si>
    <t>Horticulture</t>
  </si>
  <si>
    <t>Kitchen Utensils</t>
  </si>
  <si>
    <t>Pantry Exp-Plant</t>
  </si>
  <si>
    <t>Upkeeping Exp-WTD House</t>
  </si>
  <si>
    <t>Paint/ETP Sludge Lifting Exp.</t>
  </si>
  <si>
    <t>House Keeping-Plant</t>
  </si>
  <si>
    <t>Shareholder Expenses</t>
  </si>
  <si>
    <t>Guest House Upkeep</t>
  </si>
  <si>
    <t>Misc. Purchase-Cash</t>
  </si>
  <si>
    <t>Canteen Expense Company Guests</t>
  </si>
  <si>
    <t>Demurrage on Imported Goods</t>
  </si>
  <si>
    <t>Vendor Meet Expenses</t>
  </si>
  <si>
    <t>Donations</t>
  </si>
  <si>
    <t>Upkeeping Company Leased House</t>
  </si>
  <si>
    <t>Design &amp; Development Cost</t>
  </si>
  <si>
    <t>Other Miscellaneous Expenses</t>
  </si>
  <si>
    <t>Deposits with original maturity less than three months</t>
  </si>
  <si>
    <t>Deposits with original maturity more than three months but remaining maturity less than twelve months</t>
  </si>
  <si>
    <t>Non-current bank balances</t>
  </si>
  <si>
    <t>Right of use assets</t>
  </si>
  <si>
    <t>31 December 2020</t>
  </si>
  <si>
    <t>Export incentives pending</t>
  </si>
  <si>
    <t>31 December 2019</t>
  </si>
  <si>
    <t>Axis</t>
  </si>
  <si>
    <t>Jalota/parmar</t>
  </si>
  <si>
    <t>The export incentives contains the duty scrips given as a reward by the government against the export of goods. The income over these scrips is booked by the Company the time when the revenue against the export sale over which duty scrip is granted is recognised i.e. when Bill of Lading is generated. These scrips can be utlised against import duty payments or can be further sold to any third party. 
During the current quarter, except deemed exports (made to countries like nepal, bhutan) the Company madde 145 
all the 5 export sales were deemed export to Nepal only, hence no income is booked by the Company. Pass further analytical procedures.</t>
  </si>
  <si>
    <t>Casual Labour-Skilled</t>
  </si>
  <si>
    <t>Production related</t>
  </si>
  <si>
    <t>Casual Labour-Semi Skilled</t>
  </si>
  <si>
    <t>Unproductive</t>
  </si>
  <si>
    <t>Casual Labour-Unskilled</t>
  </si>
  <si>
    <t>Casual Labour-Fixed Rate</t>
  </si>
  <si>
    <t>Fixed</t>
  </si>
  <si>
    <t>Casual Labour-Security</t>
  </si>
  <si>
    <t>Overtime Casual Labour-Skilled</t>
  </si>
  <si>
    <t>Overtime Casual Labour-Semi Skilled</t>
  </si>
  <si>
    <t>Overtime Casual Labour-Unskilled</t>
  </si>
  <si>
    <t>Overtime Casual Labour-Fixed Rate</t>
  </si>
  <si>
    <t>Overtime Casual Labour-Security</t>
  </si>
  <si>
    <t>Casual Labour-Piece Rate</t>
  </si>
  <si>
    <t>Components</t>
  </si>
  <si>
    <t>Fixed Component</t>
  </si>
  <si>
    <t>Unproductive works</t>
  </si>
  <si>
    <t>YTD Dec 2020</t>
  </si>
  <si>
    <t>YTD Sep 2020</t>
  </si>
  <si>
    <t>Q3 Dec 2020</t>
  </si>
  <si>
    <t>YTD Dec 2019</t>
  </si>
  <si>
    <t>YTD Sep 2019</t>
  </si>
  <si>
    <t>Q3 Dec 2019</t>
  </si>
  <si>
    <t>Scrapping VNG</t>
  </si>
  <si>
    <t>Quality Scarp Direct Material</t>
  </si>
  <si>
    <t>Units consumed for electricity expenses</t>
  </si>
  <si>
    <t>Litre consumed for fuel expenses</t>
  </si>
  <si>
    <t>Units sold,stock transfer and bifurcation of units sold in domestic and export</t>
  </si>
  <si>
    <t>Reason for decrease in legal and prfessional expenses</t>
  </si>
  <si>
    <t>Reason for decrease in testing and labrotar expenses</t>
  </si>
  <si>
    <t>Reason for the decrease in marketing expense as % to sales. I have documented that no seminars have taken place.</t>
  </si>
  <si>
    <t xml:space="preserve">Reason for the decrease in canteen subsidy expense as </t>
  </si>
  <si>
    <t>% of salary decrease of senior management</t>
  </si>
  <si>
    <t>Analysis of Balance sheet</t>
  </si>
  <si>
    <t>Variance
(Absolute)</t>
  </si>
  <si>
    <t>Variance %</t>
  </si>
  <si>
    <t>Capital advances</t>
  </si>
  <si>
    <t>Trade receivables</t>
  </si>
  <si>
    <t>Ratio Analysis</t>
  </si>
  <si>
    <r>
      <rPr>
        <b/>
        <sz val="12"/>
        <rFont val="Garamond"/>
        <family val="1"/>
      </rPr>
      <t>Scope:</t>
    </r>
    <r>
      <rPr>
        <sz val="12"/>
        <rFont val="Garamond"/>
        <family val="1"/>
      </rPr>
      <t xml:space="preserve"> Percentage variance of +/- 10% have been selected for analysis. </t>
    </r>
  </si>
  <si>
    <t>Current Ratio</t>
  </si>
  <si>
    <t>Client:</t>
  </si>
  <si>
    <t>For the year ended 31 March XXX vs 31 March XXX</t>
  </si>
  <si>
    <t>Scope: All variances above of TE i.e. XXXX and (+/-) 10% have been selected for further checking. Further, some accounts on qualitative grounds have been explained in the analysis below.</t>
  </si>
  <si>
    <t>For the Year ended 
31 March XXX</t>
  </si>
  <si>
    <t>As at 31 March XX vs 31 March XXX</t>
  </si>
  <si>
    <r>
      <rPr>
        <b/>
        <sz val="12"/>
        <color theme="1"/>
        <rFont val="Garamond"/>
        <family val="1"/>
      </rPr>
      <t>Scope:</t>
    </r>
    <r>
      <rPr>
        <sz val="12"/>
        <color theme="1"/>
        <rFont val="Garamond"/>
        <family val="1"/>
      </rPr>
      <t xml:space="preserve"> All variances above of  TE i.e. XXX and (+/-) 10% have been selected for further checking. Further, some accounts on qualitative grounds have been explained in the analysis below.</t>
    </r>
  </si>
  <si>
    <t>As at 
31 March XXX</t>
  </si>
  <si>
    <t>As at 31 March XXX vs 31 March XXX</t>
  </si>
  <si>
    <t>Note number</t>
  </si>
  <si>
    <t>(Rs. In …..............................)</t>
  </si>
  <si>
    <t>Legends</t>
  </si>
  <si>
    <t>a</t>
  </si>
  <si>
    <t>b</t>
  </si>
  <si>
    <t>e</t>
  </si>
  <si>
    <t>Recomputed</t>
  </si>
  <si>
    <t>Traced to Financials for the year ended 31 March 20XX</t>
  </si>
  <si>
    <t>Name</t>
  </si>
  <si>
    <t>To be fetched from actual Balance Sheet</t>
  </si>
  <si>
    <t>Remarks</t>
  </si>
  <si>
    <t>Legend:</t>
  </si>
  <si>
    <t>j</t>
  </si>
  <si>
    <t>Linked</t>
  </si>
  <si>
    <t>h</t>
  </si>
  <si>
    <t>Immaterial. Hence ignored</t>
  </si>
  <si>
    <t>To be fetched from actual profit and Loss</t>
  </si>
  <si>
    <t>Analysis of Notes to Accounts</t>
  </si>
  <si>
    <t>Variance</t>
  </si>
  <si>
    <t>Other non current assets</t>
  </si>
  <si>
    <t>Balances with government authorities (*)</t>
  </si>
  <si>
    <t>Prepaid expenses</t>
  </si>
  <si>
    <t>Lease equalisation</t>
  </si>
  <si>
    <t>Unsecured, considered good</t>
  </si>
  <si>
    <t>Unsecured, considered doubtful</t>
  </si>
  <si>
    <t>Less: Provision for doubtful receivables</t>
  </si>
  <si>
    <t>Unbilled receivables</t>
  </si>
  <si>
    <t xml:space="preserve">Receivables from related parties </t>
  </si>
  <si>
    <t>As at 31st March 20XX</t>
  </si>
  <si>
    <t>Property Plant and Equipment</t>
  </si>
  <si>
    <t xml:space="preserve">Gross Block </t>
  </si>
  <si>
    <t>Accumulated Depreciation</t>
  </si>
  <si>
    <t>Intangible Assets</t>
  </si>
  <si>
    <t>Right of Use Assets</t>
  </si>
  <si>
    <t>KEY METRIC</t>
  </si>
  <si>
    <t>FORMULA</t>
  </si>
  <si>
    <t>24-25 (CY)</t>
  </si>
  <si>
    <t>23-24 (PY)</t>
  </si>
  <si>
    <t>CHANGE (%)</t>
  </si>
  <si>
    <t>REMARKS</t>
  </si>
  <si>
    <t>Debt Equity Ratio</t>
  </si>
  <si>
    <t>(LTB + STB) / Total Equity</t>
  </si>
  <si>
    <t>Total Assets / Total Liabilities</t>
  </si>
  <si>
    <t>GCA Days</t>
  </si>
  <si>
    <t>(Total CA / Total Revenue) * 365</t>
  </si>
  <si>
    <t>Total Outside Liab. vs Total Equity</t>
  </si>
  <si>
    <t>(TCL + TNCL) / Total Equity</t>
  </si>
  <si>
    <t>Net Profit Ratio</t>
  </si>
  <si>
    <t>PBT / (Revenue from Ops + Unbilled Revenue)</t>
  </si>
  <si>
    <t>Return on Equity (ROE)</t>
  </si>
  <si>
    <t>PBT / Avg. Total Equity</t>
  </si>
  <si>
    <t>Return on Capital Employed (ROCE)</t>
  </si>
  <si>
    <t>(PBT - Finance Cost) / (TE + LTB + STB)</t>
  </si>
  <si>
    <t>Debtor Turnover Ratio</t>
  </si>
  <si>
    <t>Revenue from Ops / Closing Debtors</t>
  </si>
  <si>
    <t>Other Income</t>
  </si>
  <si>
    <t>Gain on exchange fluctuations (net)</t>
  </si>
  <si>
    <t>Interest income from financial assets at amortised cost</t>
  </si>
  <si>
    <t>Profit on sale of mutual fund units</t>
  </si>
  <si>
    <t>Unrealised (loss) on mutual fund units</t>
  </si>
  <si>
    <t>Interest income under effective interest method on security deposit</t>
  </si>
  <si>
    <t>Interest income from term deposits &amp; others</t>
  </si>
  <si>
    <t>Interest on income tax refund</t>
  </si>
  <si>
    <t>Gain on disposal of property, plant and equipment, net</t>
  </si>
  <si>
    <t>Gain on modification of financial liability (refer note 11 and 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</si>
</sst>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_ * #,##0.00_ ;_ * \-#,##0.00_ ;_ * &quot;-&quot;??_ ;_ @_ "/>
    <numFmt numFmtId="166" formatCode="_(* #,##0_);_(* \(#,##0\);_(* &quot;-&quot;??_);_(@_)"/>
    <numFmt numFmtId="167" formatCode="_(* #,##0.00_);_(* \(#,##0.00\);_(* \-??_);_(@_)"/>
    <numFmt numFmtId="168" formatCode="_ * #,##0_ ;_ * \-#,##0_ ;_ * &quot;-&quot;??_ ;_ @_ "/>
    <numFmt numFmtId="169" formatCode="_(* #,##0_);_(* \(#,##0\);_(* &quot;-&quot;_);_(@_)"/>
  </numFmts>
  <fonts count="32" x14ac:knownFonts="1">
    <font>
      <sz val="11"/>
      <color theme="1"/>
      <name val="Calibri"/>
      <family val="2"/>
      <scheme val="minor"/>
    </font>
    <font>
      <sz val="11"/>
      <color theme="1"/>
      <name val="Garamond"/>
      <family val="2"/>
    </font>
    <font>
      <sz val="11"/>
      <color theme="1"/>
      <name val="Calibri"/>
      <family val="2"/>
      <scheme val="minor"/>
    </font>
    <font>
      <sz val="10"/>
      <name val="Arial"/>
      <family val="2"/>
    </font>
    <font>
      <sz val="11"/>
      <color indexed="8"/>
      <name val="Calibri"/>
      <family val="2"/>
    </font>
    <font>
      <b/>
      <sz val="11"/>
      <color theme="1"/>
      <name val="Calibri"/>
      <family val="2"/>
      <scheme val="minor"/>
    </font>
    <font>
      <sz val="12"/>
      <color rgb="FF34495E"/>
      <name val="Arial"/>
      <family val="2"/>
    </font>
    <font>
      <b/>
      <sz val="12"/>
      <color rgb="FF34495E"/>
      <name val="Arial"/>
      <family val="2"/>
    </font>
    <font>
      <b/>
      <sz val="11"/>
      <color theme="1"/>
      <name val="Garamond"/>
      <family val="1"/>
    </font>
    <font>
      <sz val="11"/>
      <color theme="1"/>
      <name val="Garamond"/>
      <family val="1"/>
    </font>
    <font>
      <sz val="11"/>
      <color rgb="FFFF0000"/>
      <name val="Garamond"/>
      <family val="1"/>
    </font>
    <font>
      <b/>
      <sz val="11"/>
      <color theme="0"/>
      <name val="Garamond"/>
      <family val="1"/>
    </font>
    <font>
      <b/>
      <sz val="12"/>
      <color theme="1"/>
      <name val="Garamond"/>
      <family val="1"/>
    </font>
    <font>
      <sz val="12"/>
      <color theme="1"/>
      <name val="Garamond"/>
      <family val="1"/>
    </font>
    <font>
      <b/>
      <sz val="12"/>
      <name val="Garamond"/>
      <family val="1"/>
    </font>
    <font>
      <sz val="12"/>
      <name val="Garamond"/>
      <family val="1"/>
    </font>
    <font>
      <sz val="12"/>
      <color theme="1"/>
      <name val="Calibri"/>
      <family val="2"/>
      <scheme val="minor"/>
    </font>
    <font>
      <b/>
      <u/>
      <sz val="12"/>
      <color theme="1"/>
      <name val="Garamond"/>
      <family val="1"/>
    </font>
    <font>
      <b/>
      <sz val="12"/>
      <color theme="0"/>
      <name val="Garamond"/>
      <family val="1"/>
    </font>
    <font>
      <b/>
      <i/>
      <sz val="12"/>
      <name val="Garamond"/>
      <family val="1"/>
    </font>
    <font>
      <b/>
      <sz val="9"/>
      <color theme="1"/>
      <name val="Arial"/>
      <family val="2"/>
    </font>
    <font>
      <sz val="9"/>
      <color theme="1"/>
      <name val="Arial"/>
      <family val="2"/>
    </font>
    <font>
      <b/>
      <sz val="9"/>
      <color rgb="FFFF0000"/>
      <name val="Accountant"/>
      <charset val="2"/>
    </font>
    <font>
      <b/>
      <sz val="9"/>
      <color theme="0"/>
      <name val="Arial"/>
      <family val="2"/>
    </font>
    <font>
      <b/>
      <sz val="10"/>
      <color theme="1"/>
      <name val="Arial"/>
      <family val="2"/>
    </font>
    <font>
      <sz val="9"/>
      <name val="Arial"/>
      <family val="2"/>
    </font>
    <font>
      <b/>
      <sz val="9"/>
      <name val="Arial"/>
      <family val="2"/>
    </font>
    <font>
      <sz val="10"/>
      <color theme="1"/>
      <name val="Arial"/>
      <family val="2"/>
    </font>
    <font>
      <b/>
      <sz val="12"/>
      <color rgb="FFFFFFFF"/>
      <name val="Arial"/>
      <family val="2"/>
    </font>
    <font>
      <b/>
      <sz val="12"/>
      <name val="Arial"/>
      <family val="2"/>
    </font>
    <font>
      <sz val="12"/>
      <name val="Arial"/>
      <family val="2"/>
    </font>
    <font>
      <sz val="11"/>
      <name val="Arial"/>
      <family val="2"/>
    </font>
  </fonts>
  <fills count="8">
    <fill>
      <patternFill patternType="none"/>
    </fill>
    <fill>
      <patternFill patternType="gray125"/>
    </fill>
    <fill>
      <patternFill patternType="solid">
        <fgColor rgb="FFF9F9F9"/>
        <bgColor indexed="64"/>
      </patternFill>
    </fill>
    <fill>
      <patternFill patternType="solid">
        <fgColor rgb="FFFFFF00"/>
        <bgColor indexed="64"/>
      </patternFill>
    </fill>
    <fill>
      <patternFill patternType="solid">
        <fgColor rgb="FF7030A0"/>
        <bgColor indexed="64"/>
      </patternFill>
    </fill>
    <fill>
      <patternFill patternType="solid">
        <fgColor theme="0"/>
        <bgColor indexed="64"/>
      </patternFill>
    </fill>
    <fill>
      <patternFill patternType="solid">
        <fgColor theme="0" tint="-4.9989318521683403E-2"/>
        <bgColor indexed="64"/>
      </patternFill>
    </fill>
    <fill>
      <patternFill patternType="solid">
        <fgColor rgb="FF663399"/>
        <bgColor rgb="FF663399"/>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right/>
      <top/>
      <bottom style="thin">
        <color indexed="64"/>
      </bottom>
      <diagonal/>
    </border>
    <border>
      <left style="medium">
        <color rgb="FFDDDDDD"/>
      </left>
      <right style="medium">
        <color rgb="FFDDDDDD"/>
      </right>
      <top style="medium">
        <color rgb="FFDDDDDD"/>
      </top>
      <bottom style="medium">
        <color rgb="FFDDDDDD"/>
      </bottom>
      <diagonal/>
    </border>
    <border>
      <left style="thin">
        <color indexed="64"/>
      </left>
      <right style="thin">
        <color indexed="64"/>
      </right>
      <top style="thin">
        <color indexed="64"/>
      </top>
      <bottom style="double">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rgb="FF000000"/>
      </left>
      <right style="thin">
        <color rgb="FF000000"/>
      </right>
      <top style="thin">
        <color rgb="FF000000"/>
      </top>
      <bottom style="thin">
        <color rgb="FF000000"/>
      </bottom>
      <diagonal/>
    </border>
  </borders>
  <cellStyleXfs count="21">
    <xf numFmtId="0" fontId="0" fillId="0" borderId="0"/>
    <xf numFmtId="164" fontId="2" fillId="0" borderId="0" applyFont="0" applyFill="0" applyBorder="0" applyAlignment="0" applyProtection="0"/>
    <xf numFmtId="9" fontId="2" fillId="0" borderId="0" applyFont="0" applyFill="0" applyBorder="0" applyAlignment="0" applyProtection="0"/>
    <xf numFmtId="0" fontId="3" fillId="0" borderId="0"/>
    <xf numFmtId="167" fontId="3" fillId="0" borderId="0" applyFill="0" applyBorder="0" applyAlignment="0" applyProtection="0"/>
    <xf numFmtId="0" fontId="3" fillId="0" borderId="0"/>
    <xf numFmtId="164" fontId="3" fillId="0" borderId="0" applyFont="0" applyFill="0" applyBorder="0" applyAlignment="0" applyProtection="0"/>
    <xf numFmtId="164" fontId="1" fillId="0" borderId="0" applyFont="0" applyFill="0" applyBorder="0" applyAlignment="0" applyProtection="0"/>
    <xf numFmtId="0" fontId="4" fillId="0" borderId="0"/>
    <xf numFmtId="0" fontId="2" fillId="0" borderId="0"/>
    <xf numFmtId="0" fontId="2" fillId="0" borderId="0"/>
    <xf numFmtId="0" fontId="2" fillId="0" borderId="0"/>
    <xf numFmtId="164" fontId="2" fillId="0" borderId="0" applyFont="0" applyFill="0" applyBorder="0" applyAlignment="0" applyProtection="0"/>
    <xf numFmtId="43" fontId="2"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3" fillId="0" borderId="0"/>
  </cellStyleXfs>
  <cellXfs count="162">
    <xf numFmtId="0" fontId="0" fillId="0" borderId="0" xfId="0"/>
    <xf numFmtId="166" fontId="0" fillId="0" borderId="0" xfId="0" applyNumberFormat="1"/>
    <xf numFmtId="166" fontId="0" fillId="0" borderId="0" xfId="1" applyNumberFormat="1" applyFont="1"/>
    <xf numFmtId="166" fontId="5" fillId="0" borderId="0" xfId="1" applyNumberFormat="1" applyFont="1"/>
    <xf numFmtId="0" fontId="5" fillId="0" borderId="0" xfId="0" applyFont="1"/>
    <xf numFmtId="166" fontId="5" fillId="0" borderId="0" xfId="0" applyNumberFormat="1" applyFont="1"/>
    <xf numFmtId="166" fontId="5" fillId="0" borderId="0" xfId="1" applyNumberFormat="1" applyFont="1" applyFill="1"/>
    <xf numFmtId="166" fontId="0" fillId="0" borderId="0" xfId="1" applyNumberFormat="1" applyFont="1" applyFill="1"/>
    <xf numFmtId="0" fontId="0" fillId="0" borderId="0" xfId="0" quotePrefix="1"/>
    <xf numFmtId="0" fontId="7" fillId="2" borderId="16" xfId="0" applyFont="1" applyFill="1" applyBorder="1" applyAlignment="1">
      <alignment horizontal="left" vertical="center" wrapText="1" indent="1"/>
    </xf>
    <xf numFmtId="0" fontId="6" fillId="2" borderId="16" xfId="0" applyFont="1" applyFill="1" applyBorder="1" applyAlignment="1">
      <alignment horizontal="left" vertical="center" wrapText="1" indent="1"/>
    </xf>
    <xf numFmtId="0" fontId="7" fillId="0" borderId="16" xfId="0" applyFont="1" applyBorder="1" applyAlignment="1">
      <alignment horizontal="left" vertical="center" wrapText="1" indent="1"/>
    </xf>
    <xf numFmtId="0" fontId="6" fillId="0" borderId="16" xfId="0" applyFont="1" applyBorder="1" applyAlignment="1">
      <alignment horizontal="left" vertical="center" wrapText="1" indent="1"/>
    </xf>
    <xf numFmtId="10" fontId="0" fillId="0" borderId="0" xfId="2" applyNumberFormat="1" applyFont="1"/>
    <xf numFmtId="0" fontId="0" fillId="0" borderId="0" xfId="0" quotePrefix="1" applyAlignment="1">
      <alignment wrapText="1"/>
    </xf>
    <xf numFmtId="0" fontId="8" fillId="0" borderId="0" xfId="9" applyFont="1" applyAlignment="1">
      <alignment vertical="top"/>
    </xf>
    <xf numFmtId="166" fontId="9" fillId="0" borderId="0" xfId="1" applyNumberFormat="1" applyFont="1" applyFill="1" applyAlignment="1">
      <alignment vertical="top"/>
    </xf>
    <xf numFmtId="9" fontId="9" fillId="0" borderId="0" xfId="2" applyFont="1" applyFill="1" applyAlignment="1">
      <alignment vertical="top"/>
    </xf>
    <xf numFmtId="0" fontId="9" fillId="0" borderId="0" xfId="1" applyNumberFormat="1" applyFont="1" applyFill="1" applyAlignment="1">
      <alignment vertical="top"/>
    </xf>
    <xf numFmtId="166" fontId="9" fillId="0" borderId="0" xfId="1" applyNumberFormat="1" applyFont="1" applyAlignment="1">
      <alignment vertical="top"/>
    </xf>
    <xf numFmtId="0" fontId="10" fillId="0" borderId="5" xfId="9" applyFont="1" applyBorder="1" applyAlignment="1">
      <alignment vertical="top"/>
    </xf>
    <xf numFmtId="0" fontId="11" fillId="0" borderId="6" xfId="9" applyFont="1" applyBorder="1" applyAlignment="1">
      <alignment horizontal="center" vertical="top" wrapText="1"/>
    </xf>
    <xf numFmtId="0" fontId="11" fillId="0" borderId="7" xfId="9" applyFont="1" applyBorder="1" applyAlignment="1">
      <alignment horizontal="center" vertical="top" wrapText="1"/>
    </xf>
    <xf numFmtId="0" fontId="8" fillId="0" borderId="5" xfId="1" applyNumberFormat="1" applyFont="1" applyFill="1" applyBorder="1" applyAlignment="1">
      <alignment vertical="top"/>
    </xf>
    <xf numFmtId="166" fontId="9" fillId="0" borderId="6" xfId="1" applyNumberFormat="1" applyFont="1" applyFill="1" applyBorder="1" applyAlignment="1">
      <alignment vertical="top"/>
    </xf>
    <xf numFmtId="9" fontId="9" fillId="0" borderId="6" xfId="2" applyFont="1" applyFill="1" applyBorder="1" applyAlignment="1">
      <alignment vertical="top"/>
    </xf>
    <xf numFmtId="0" fontId="9" fillId="0" borderId="7" xfId="1" applyNumberFormat="1" applyFont="1" applyFill="1" applyBorder="1" applyAlignment="1">
      <alignment vertical="top"/>
    </xf>
    <xf numFmtId="0" fontId="9" fillId="0" borderId="5" xfId="1" applyNumberFormat="1" applyFont="1" applyFill="1" applyBorder="1" applyAlignment="1">
      <alignment vertical="top"/>
    </xf>
    <xf numFmtId="9" fontId="9" fillId="0" borderId="6" xfId="2" applyFont="1" applyFill="1" applyBorder="1" applyAlignment="1">
      <alignment horizontal="right" vertical="top"/>
    </xf>
    <xf numFmtId="165" fontId="9" fillId="0" borderId="6" xfId="1" applyNumberFormat="1" applyFont="1" applyFill="1" applyBorder="1" applyAlignment="1">
      <alignment vertical="top"/>
    </xf>
    <xf numFmtId="166" fontId="8" fillId="0" borderId="6" xfId="1" applyNumberFormat="1" applyFont="1" applyFill="1" applyBorder="1" applyAlignment="1">
      <alignment vertical="top"/>
    </xf>
    <xf numFmtId="0" fontId="9" fillId="0" borderId="7" xfId="1" applyNumberFormat="1" applyFont="1" applyFill="1" applyBorder="1" applyAlignment="1">
      <alignment horizontal="justify" vertical="top" wrapText="1"/>
    </xf>
    <xf numFmtId="9" fontId="9" fillId="0" borderId="6" xfId="2" applyFont="1" applyFill="1" applyBorder="1" applyAlignment="1">
      <alignment horizontal="center" vertical="top"/>
    </xf>
    <xf numFmtId="0" fontId="8" fillId="0" borderId="8" xfId="1" applyNumberFormat="1" applyFont="1" applyFill="1" applyBorder="1" applyAlignment="1">
      <alignment vertical="top"/>
    </xf>
    <xf numFmtId="166" fontId="8" fillId="0" borderId="9" xfId="1" applyNumberFormat="1" applyFont="1" applyFill="1" applyBorder="1" applyAlignment="1">
      <alignment vertical="top"/>
    </xf>
    <xf numFmtId="9" fontId="8" fillId="0" borderId="9" xfId="2" applyFont="1" applyFill="1" applyBorder="1" applyAlignment="1">
      <alignment horizontal="center" vertical="top"/>
    </xf>
    <xf numFmtId="0" fontId="8" fillId="0" borderId="10" xfId="1" applyNumberFormat="1" applyFont="1" applyFill="1" applyBorder="1" applyAlignment="1">
      <alignment vertical="top"/>
    </xf>
    <xf numFmtId="166" fontId="8" fillId="0" borderId="0" xfId="1" applyNumberFormat="1" applyFont="1" applyAlignment="1">
      <alignment vertical="top"/>
    </xf>
    <xf numFmtId="0" fontId="9" fillId="0" borderId="0" xfId="1" applyNumberFormat="1" applyFont="1" applyAlignment="1">
      <alignment vertical="top"/>
    </xf>
    <xf numFmtId="166" fontId="9" fillId="0" borderId="0" xfId="2" applyNumberFormat="1" applyFont="1" applyFill="1" applyAlignment="1">
      <alignment vertical="top"/>
    </xf>
    <xf numFmtId="166" fontId="9" fillId="0" borderId="0" xfId="1" applyNumberFormat="1" applyFont="1" applyBorder="1" applyAlignment="1">
      <alignment vertical="top"/>
    </xf>
    <xf numFmtId="166" fontId="9" fillId="0" borderId="0" xfId="1" applyNumberFormat="1" applyFont="1" applyFill="1" applyBorder="1" applyAlignment="1">
      <alignment vertical="top"/>
    </xf>
    <xf numFmtId="9" fontId="9" fillId="0" borderId="0" xfId="2" applyFont="1" applyFill="1" applyBorder="1" applyAlignment="1">
      <alignment vertical="top"/>
    </xf>
    <xf numFmtId="0" fontId="9" fillId="0" borderId="0" xfId="1" applyNumberFormat="1" applyFont="1" applyFill="1" applyBorder="1" applyAlignment="1">
      <alignment vertical="top"/>
    </xf>
    <xf numFmtId="0" fontId="9" fillId="0" borderId="14" xfId="1" applyNumberFormat="1" applyFont="1" applyFill="1" applyBorder="1" applyAlignment="1">
      <alignment vertical="top"/>
    </xf>
    <xf numFmtId="0" fontId="9" fillId="0" borderId="0" xfId="1" applyNumberFormat="1" applyFont="1" applyBorder="1" applyAlignment="1">
      <alignment vertical="top"/>
    </xf>
    <xf numFmtId="168" fontId="9" fillId="0" borderId="6" xfId="1" applyNumberFormat="1" applyFont="1" applyFill="1" applyBorder="1" applyAlignment="1">
      <alignment vertical="top"/>
    </xf>
    <xf numFmtId="166" fontId="13" fillId="0" borderId="0" xfId="1" applyNumberFormat="1" applyFont="1" applyFill="1" applyBorder="1" applyAlignment="1">
      <alignment vertical="top"/>
    </xf>
    <xf numFmtId="0" fontId="12" fillId="0" borderId="0" xfId="9" applyFont="1" applyAlignment="1">
      <alignment vertical="top"/>
    </xf>
    <xf numFmtId="166" fontId="13" fillId="0" borderId="0" xfId="1" applyNumberFormat="1" applyFont="1" applyAlignment="1">
      <alignment vertical="top"/>
    </xf>
    <xf numFmtId="0" fontId="16" fillId="0" borderId="0" xfId="0" applyFont="1" applyAlignment="1">
      <alignment vertical="top"/>
    </xf>
    <xf numFmtId="9" fontId="13" fillId="0" borderId="0" xfId="2" applyFont="1" applyAlignment="1">
      <alignment vertical="top"/>
    </xf>
    <xf numFmtId="166" fontId="13" fillId="0" borderId="0" xfId="1" applyNumberFormat="1" applyFont="1" applyFill="1" applyAlignment="1">
      <alignment vertical="top"/>
    </xf>
    <xf numFmtId="0" fontId="13" fillId="0" borderId="0" xfId="9" applyFont="1" applyAlignment="1">
      <alignment vertical="top"/>
    </xf>
    <xf numFmtId="0" fontId="13" fillId="0" borderId="0" xfId="1" applyNumberFormat="1" applyFont="1" applyFill="1" applyAlignment="1">
      <alignment horizontal="justify" vertical="top" wrapText="1"/>
    </xf>
    <xf numFmtId="0" fontId="13" fillId="0" borderId="0" xfId="1" applyNumberFormat="1" applyFont="1" applyFill="1" applyAlignment="1">
      <alignment vertical="top"/>
    </xf>
    <xf numFmtId="0" fontId="12" fillId="0" borderId="5" xfId="1" applyNumberFormat="1" applyFont="1" applyFill="1" applyBorder="1" applyAlignment="1">
      <alignment vertical="top"/>
    </xf>
    <xf numFmtId="166" fontId="12" fillId="0" borderId="6" xfId="1" applyNumberFormat="1" applyFont="1" applyFill="1" applyBorder="1" applyAlignment="1">
      <alignment vertical="top"/>
    </xf>
    <xf numFmtId="166" fontId="13" fillId="0" borderId="6" xfId="1" applyNumberFormat="1" applyFont="1" applyFill="1" applyBorder="1" applyAlignment="1">
      <alignment vertical="top"/>
    </xf>
    <xf numFmtId="9" fontId="12" fillId="0" borderId="6" xfId="2" applyFont="1" applyFill="1" applyBorder="1" applyAlignment="1">
      <alignment vertical="top"/>
    </xf>
    <xf numFmtId="166" fontId="13" fillId="0" borderId="6" xfId="1" applyNumberFormat="1" applyFont="1" applyBorder="1" applyAlignment="1">
      <alignment vertical="top"/>
    </xf>
    <xf numFmtId="9" fontId="12" fillId="0" borderId="6" xfId="2" applyFont="1" applyFill="1" applyBorder="1" applyAlignment="1">
      <alignment horizontal="right" vertical="top"/>
    </xf>
    <xf numFmtId="0" fontId="13" fillId="0" borderId="6" xfId="1" applyNumberFormat="1" applyFont="1" applyFill="1" applyBorder="1" applyAlignment="1">
      <alignment vertical="top"/>
    </xf>
    <xf numFmtId="0" fontId="17" fillId="0" borderId="5" xfId="1" applyNumberFormat="1" applyFont="1" applyFill="1" applyBorder="1" applyAlignment="1">
      <alignment vertical="top"/>
    </xf>
    <xf numFmtId="166" fontId="17" fillId="0" borderId="6" xfId="1" applyNumberFormat="1" applyFont="1" applyFill="1" applyBorder="1" applyAlignment="1">
      <alignment vertical="top"/>
    </xf>
    <xf numFmtId="9" fontId="17" fillId="0" borderId="6" xfId="2" applyFont="1" applyFill="1" applyBorder="1" applyAlignment="1">
      <alignment horizontal="right" vertical="top"/>
    </xf>
    <xf numFmtId="0" fontId="13" fillId="0" borderId="5" xfId="1" applyNumberFormat="1" applyFont="1" applyFill="1" applyBorder="1" applyAlignment="1">
      <alignment vertical="top"/>
    </xf>
    <xf numFmtId="9" fontId="13" fillId="0" borderId="6" xfId="2" applyFont="1" applyFill="1" applyBorder="1" applyAlignment="1">
      <alignment horizontal="right" vertical="top"/>
    </xf>
    <xf numFmtId="0" fontId="13" fillId="0" borderId="5" xfId="1" applyNumberFormat="1" applyFont="1" applyFill="1" applyBorder="1" applyAlignment="1">
      <alignment horizontal="left" vertical="top"/>
    </xf>
    <xf numFmtId="0" fontId="13" fillId="0" borderId="5" xfId="1" quotePrefix="1" applyNumberFormat="1" applyFont="1" applyFill="1" applyBorder="1" applyAlignment="1">
      <alignment vertical="top"/>
    </xf>
    <xf numFmtId="166" fontId="13" fillId="0" borderId="5" xfId="1" applyNumberFormat="1" applyFont="1" applyFill="1" applyBorder="1" applyAlignment="1">
      <alignment vertical="top"/>
    </xf>
    <xf numFmtId="166" fontId="12" fillId="0" borderId="1" xfId="1" applyNumberFormat="1" applyFont="1" applyFill="1" applyBorder="1" applyAlignment="1">
      <alignment vertical="top"/>
    </xf>
    <xf numFmtId="166" fontId="12" fillId="0" borderId="17" xfId="1" applyNumberFormat="1" applyFont="1" applyFill="1" applyBorder="1" applyAlignment="1">
      <alignment vertical="top"/>
    </xf>
    <xf numFmtId="166" fontId="13" fillId="0" borderId="12" xfId="1" applyNumberFormat="1" applyFont="1" applyFill="1" applyBorder="1" applyAlignment="1">
      <alignment vertical="top"/>
    </xf>
    <xf numFmtId="166" fontId="12" fillId="0" borderId="12" xfId="1" applyNumberFormat="1" applyFont="1" applyFill="1" applyBorder="1" applyAlignment="1">
      <alignment vertical="top"/>
    </xf>
    <xf numFmtId="166" fontId="13" fillId="0" borderId="8" xfId="1" applyNumberFormat="1" applyFont="1" applyFill="1" applyBorder="1" applyAlignment="1">
      <alignment vertical="top"/>
    </xf>
    <xf numFmtId="166" fontId="13" fillId="0" borderId="9" xfId="1" applyNumberFormat="1" applyFont="1" applyFill="1" applyBorder="1" applyAlignment="1">
      <alignment vertical="top"/>
    </xf>
    <xf numFmtId="9" fontId="13" fillId="0" borderId="9" xfId="2" applyFont="1" applyFill="1" applyBorder="1" applyAlignment="1">
      <alignment vertical="top"/>
    </xf>
    <xf numFmtId="9" fontId="13" fillId="0" borderId="0" xfId="2" applyFont="1" applyFill="1" applyBorder="1" applyAlignment="1">
      <alignment vertical="top"/>
    </xf>
    <xf numFmtId="166" fontId="12" fillId="0" borderId="0" xfId="1" applyNumberFormat="1" applyFont="1" applyFill="1" applyAlignment="1">
      <alignment vertical="top"/>
    </xf>
    <xf numFmtId="0" fontId="15" fillId="0" borderId="0" xfId="14" applyFont="1"/>
    <xf numFmtId="0" fontId="19" fillId="0" borderId="0" xfId="14" applyFont="1"/>
    <xf numFmtId="0" fontId="11" fillId="4" borderId="2" xfId="9" applyFont="1" applyFill="1" applyBorder="1" applyAlignment="1">
      <alignment horizontal="left" vertical="top" wrapText="1"/>
    </xf>
    <xf numFmtId="0" fontId="11" fillId="4" borderId="3" xfId="9" applyFont="1" applyFill="1" applyBorder="1" applyAlignment="1">
      <alignment horizontal="right" vertical="top" wrapText="1"/>
    </xf>
    <xf numFmtId="0" fontId="11" fillId="4" borderId="3" xfId="9" applyFont="1" applyFill="1" applyBorder="1" applyAlignment="1">
      <alignment horizontal="center" vertical="top" wrapText="1"/>
    </xf>
    <xf numFmtId="0" fontId="11" fillId="4" borderId="4" xfId="9" applyFont="1" applyFill="1" applyBorder="1" applyAlignment="1">
      <alignment horizontal="center" vertical="top" wrapText="1"/>
    </xf>
    <xf numFmtId="0" fontId="18" fillId="4" borderId="2" xfId="9" applyFont="1" applyFill="1" applyBorder="1" applyAlignment="1">
      <alignment horizontal="left" vertical="top" wrapText="1"/>
    </xf>
    <xf numFmtId="166" fontId="18" fillId="4" borderId="3" xfId="1" applyNumberFormat="1" applyFont="1" applyFill="1" applyBorder="1" applyAlignment="1">
      <alignment horizontal="center" vertical="top" wrapText="1"/>
    </xf>
    <xf numFmtId="0" fontId="18" fillId="4" borderId="3" xfId="9" applyFont="1" applyFill="1" applyBorder="1" applyAlignment="1">
      <alignment horizontal="center" vertical="top" wrapText="1"/>
    </xf>
    <xf numFmtId="9" fontId="18" fillId="4" borderId="3" xfId="2" applyFont="1" applyFill="1" applyBorder="1" applyAlignment="1">
      <alignment horizontal="center" vertical="top" wrapText="1"/>
    </xf>
    <xf numFmtId="2" fontId="18" fillId="4" borderId="3" xfId="9" applyNumberFormat="1" applyFont="1" applyFill="1" applyBorder="1" applyAlignment="1">
      <alignment horizontal="left" vertical="top"/>
    </xf>
    <xf numFmtId="0" fontId="18" fillId="4" borderId="18" xfId="9" applyFont="1" applyFill="1" applyBorder="1" applyAlignment="1">
      <alignment horizontal="left" vertical="top" wrapText="1"/>
    </xf>
    <xf numFmtId="0" fontId="12" fillId="0" borderId="14" xfId="1" applyNumberFormat="1" applyFont="1" applyFill="1" applyBorder="1" applyAlignment="1">
      <alignment vertical="top"/>
    </xf>
    <xf numFmtId="0" fontId="17" fillId="0" borderId="14" xfId="1" applyNumberFormat="1" applyFont="1" applyFill="1" applyBorder="1" applyAlignment="1">
      <alignment vertical="top"/>
    </xf>
    <xf numFmtId="0" fontId="13" fillId="0" borderId="14" xfId="1" applyNumberFormat="1" applyFont="1" applyFill="1" applyBorder="1" applyAlignment="1">
      <alignment vertical="top"/>
    </xf>
    <xf numFmtId="0" fontId="13" fillId="0" borderId="14" xfId="1" applyNumberFormat="1" applyFont="1" applyFill="1" applyBorder="1" applyAlignment="1">
      <alignment horizontal="left" vertical="top"/>
    </xf>
    <xf numFmtId="0" fontId="13" fillId="0" borderId="14" xfId="1" quotePrefix="1" applyNumberFormat="1" applyFont="1" applyFill="1" applyBorder="1" applyAlignment="1">
      <alignment vertical="top"/>
    </xf>
    <xf numFmtId="166" fontId="13" fillId="0" borderId="14" xfId="1" applyNumberFormat="1" applyFont="1" applyFill="1" applyBorder="1" applyAlignment="1">
      <alignment vertical="top"/>
    </xf>
    <xf numFmtId="166" fontId="13" fillId="0" borderId="19" xfId="1" applyNumberFormat="1" applyFont="1" applyFill="1" applyBorder="1" applyAlignment="1">
      <alignment vertical="top"/>
    </xf>
    <xf numFmtId="0" fontId="20" fillId="0" borderId="0" xfId="0" applyFont="1" applyAlignment="1">
      <alignment horizontal="right" vertical="top"/>
    </xf>
    <xf numFmtId="0" fontId="21" fillId="0" borderId="0" xfId="0" applyFont="1" applyAlignment="1">
      <alignment vertical="top"/>
    </xf>
    <xf numFmtId="0" fontId="22" fillId="0" borderId="0" xfId="0" applyFont="1" applyAlignment="1">
      <alignment horizontal="right" vertical="top"/>
    </xf>
    <xf numFmtId="0" fontId="22" fillId="0" borderId="0" xfId="0" applyFont="1" applyAlignment="1">
      <alignment horizontal="center" vertical="top"/>
    </xf>
    <xf numFmtId="0" fontId="12" fillId="3" borderId="0" xfId="9" applyFont="1" applyFill="1" applyAlignment="1">
      <alignment vertical="top"/>
    </xf>
    <xf numFmtId="0" fontId="21" fillId="3" borderId="0" xfId="0" applyFont="1" applyFill="1" applyAlignment="1">
      <alignment vertical="top"/>
    </xf>
    <xf numFmtId="0" fontId="13" fillId="3" borderId="5" xfId="1" applyNumberFormat="1" applyFont="1" applyFill="1" applyBorder="1" applyAlignment="1">
      <alignment vertical="top"/>
    </xf>
    <xf numFmtId="0" fontId="13" fillId="3" borderId="14" xfId="1" applyNumberFormat="1" applyFont="1" applyFill="1" applyBorder="1" applyAlignment="1">
      <alignment vertical="top"/>
    </xf>
    <xf numFmtId="0" fontId="20" fillId="5" borderId="0" xfId="17" applyFont="1" applyFill="1" applyAlignment="1">
      <alignment horizontal="right" vertical="center"/>
    </xf>
    <xf numFmtId="0" fontId="21" fillId="5" borderId="0" xfId="17" applyFont="1" applyFill="1" applyAlignment="1">
      <alignment vertical="center"/>
    </xf>
    <xf numFmtId="0" fontId="22" fillId="5" borderId="0" xfId="18" applyFont="1" applyFill="1" applyAlignment="1">
      <alignment horizontal="right" vertical="center"/>
    </xf>
    <xf numFmtId="0" fontId="21" fillId="5" borderId="0" xfId="17" applyFont="1" applyFill="1" applyAlignment="1">
      <alignment horizontal="left" vertical="center"/>
    </xf>
    <xf numFmtId="0" fontId="22" fillId="5" borderId="0" xfId="17" applyFont="1" applyFill="1" applyAlignment="1">
      <alignment horizontal="right" vertical="center"/>
    </xf>
    <xf numFmtId="0" fontId="10" fillId="0" borderId="14" xfId="9" applyFont="1" applyBorder="1" applyAlignment="1">
      <alignment vertical="top"/>
    </xf>
    <xf numFmtId="0" fontId="8" fillId="0" borderId="14" xfId="1" applyNumberFormat="1" applyFont="1" applyFill="1" applyBorder="1" applyAlignment="1">
      <alignment vertical="top"/>
    </xf>
    <xf numFmtId="0" fontId="8" fillId="0" borderId="19" xfId="1" applyNumberFormat="1" applyFont="1" applyFill="1" applyBorder="1" applyAlignment="1">
      <alignment vertical="top"/>
    </xf>
    <xf numFmtId="0" fontId="23" fillId="4" borderId="1" xfId="0" applyFont="1" applyFill="1" applyBorder="1" applyAlignment="1">
      <alignment horizontal="center" vertical="center"/>
    </xf>
    <xf numFmtId="17" fontId="23" fillId="4" borderId="1" xfId="0" quotePrefix="1" applyNumberFormat="1" applyFont="1" applyFill="1" applyBorder="1" applyAlignment="1">
      <alignment horizontal="center" vertical="center"/>
    </xf>
    <xf numFmtId="0" fontId="24" fillId="0" borderId="0" xfId="0" applyFont="1" applyAlignment="1">
      <alignment vertical="top"/>
    </xf>
    <xf numFmtId="0" fontId="24" fillId="0" borderId="15" xfId="0" applyFont="1" applyBorder="1" applyAlignment="1">
      <alignment vertical="top"/>
    </xf>
    <xf numFmtId="0" fontId="22" fillId="5" borderId="0" xfId="18" applyFont="1" applyFill="1" applyAlignment="1">
      <alignment horizontal="center" vertical="center"/>
    </xf>
    <xf numFmtId="0" fontId="25" fillId="0" borderId="6" xfId="0" applyFont="1" applyBorder="1" applyAlignment="1">
      <alignment vertical="center"/>
    </xf>
    <xf numFmtId="9" fontId="25" fillId="0" borderId="6" xfId="2" applyFont="1" applyFill="1" applyBorder="1" applyAlignment="1">
      <alignment vertical="center"/>
    </xf>
    <xf numFmtId="0" fontId="26" fillId="6" borderId="17" xfId="0" applyFont="1" applyFill="1" applyBorder="1" applyAlignment="1">
      <alignment vertical="center"/>
    </xf>
    <xf numFmtId="166" fontId="26" fillId="6" borderId="17" xfId="19" applyNumberFormat="1" applyFont="1" applyFill="1" applyBorder="1" applyAlignment="1">
      <alignment vertical="center"/>
    </xf>
    <xf numFmtId="166" fontId="25" fillId="0" borderId="11" xfId="19" applyNumberFormat="1" applyFont="1" applyFill="1" applyBorder="1" applyAlignment="1">
      <alignment horizontal="left" vertical="center"/>
    </xf>
    <xf numFmtId="0" fontId="24" fillId="0" borderId="13" xfId="20" quotePrefix="1" applyFont="1" applyBorder="1" applyAlignment="1">
      <alignment horizontal="left" vertical="top"/>
    </xf>
    <xf numFmtId="166" fontId="25" fillId="0" borderId="11" xfId="19" applyNumberFormat="1" applyFont="1" applyFill="1" applyBorder="1" applyAlignment="1">
      <alignment vertical="center"/>
    </xf>
    <xf numFmtId="9" fontId="25" fillId="0" borderId="11" xfId="2" applyFont="1" applyFill="1" applyBorder="1" applyAlignment="1">
      <alignment vertical="center"/>
    </xf>
    <xf numFmtId="0" fontId="25" fillId="0" borderId="11" xfId="0" applyFont="1" applyBorder="1" applyAlignment="1">
      <alignment vertical="center" wrapText="1"/>
    </xf>
    <xf numFmtId="166" fontId="25" fillId="0" borderId="6" xfId="19" applyNumberFormat="1" applyFont="1" applyFill="1" applyBorder="1" applyAlignment="1">
      <alignment horizontal="left" vertical="center"/>
    </xf>
    <xf numFmtId="166" fontId="25" fillId="0" borderId="6" xfId="19" applyNumberFormat="1" applyFont="1" applyFill="1" applyBorder="1" applyAlignment="1">
      <alignment vertical="center"/>
    </xf>
    <xf numFmtId="0" fontId="25" fillId="0" borderId="6" xfId="0" applyFont="1" applyBorder="1" applyAlignment="1">
      <alignment vertical="center" wrapText="1"/>
    </xf>
    <xf numFmtId="166" fontId="25" fillId="0" borderId="12" xfId="19" applyNumberFormat="1" applyFont="1" applyFill="1" applyBorder="1" applyAlignment="1">
      <alignment horizontal="left" vertical="center"/>
    </xf>
    <xf numFmtId="166" fontId="25" fillId="0" borderId="12" xfId="19" applyNumberFormat="1" applyFont="1" applyFill="1" applyBorder="1" applyAlignment="1">
      <alignment vertical="center"/>
    </xf>
    <xf numFmtId="9" fontId="25" fillId="0" borderId="12" xfId="2" applyFont="1" applyFill="1" applyBorder="1" applyAlignment="1">
      <alignment vertical="center"/>
    </xf>
    <xf numFmtId="0" fontId="25" fillId="0" borderId="12" xfId="0" applyFont="1" applyBorder="1" applyAlignment="1">
      <alignment vertical="center" wrapText="1"/>
    </xf>
    <xf numFmtId="0" fontId="27" fillId="0" borderId="0" xfId="0" applyFont="1" applyAlignment="1">
      <alignment vertical="top"/>
    </xf>
    <xf numFmtId="169" fontId="24" fillId="0" borderId="0" xfId="0" applyNumberFormat="1" applyFont="1" applyAlignment="1">
      <alignment vertical="top"/>
    </xf>
    <xf numFmtId="166" fontId="24" fillId="0" borderId="0" xfId="1" applyNumberFormat="1" applyFont="1" applyFill="1" applyBorder="1" applyAlignment="1">
      <alignment vertical="top"/>
    </xf>
    <xf numFmtId="169" fontId="27" fillId="0" borderId="0" xfId="0" applyNumberFormat="1" applyFont="1" applyAlignment="1">
      <alignment vertical="top"/>
    </xf>
    <xf numFmtId="166" fontId="27" fillId="0" borderId="0" xfId="1" applyNumberFormat="1" applyFont="1" applyFill="1" applyBorder="1" applyAlignment="1">
      <alignment vertical="top"/>
    </xf>
    <xf numFmtId="166" fontId="27" fillId="0" borderId="0" xfId="1" applyNumberFormat="1" applyFont="1" applyFill="1" applyBorder="1" applyAlignment="1">
      <alignment vertical="top" wrapText="1"/>
    </xf>
    <xf numFmtId="0" fontId="25" fillId="0" borderId="11" xfId="0" applyFont="1" applyBorder="1" applyAlignment="1">
      <alignment vertical="center"/>
    </xf>
    <xf numFmtId="0" fontId="27" fillId="0" borderId="6" xfId="0" applyFont="1" applyBorder="1" applyAlignment="1">
      <alignment vertical="top"/>
    </xf>
    <xf numFmtId="0" fontId="27" fillId="0" borderId="6" xfId="20" applyFont="1" applyBorder="1" applyAlignment="1">
      <alignment horizontal="left" vertical="top"/>
    </xf>
    <xf numFmtId="0" fontId="24" fillId="0" borderId="6" xfId="20" applyFont="1" applyBorder="1" applyAlignment="1">
      <alignment horizontal="left" vertical="top"/>
    </xf>
    <xf numFmtId="0" fontId="27" fillId="0" borderId="6" xfId="0" applyFont="1" applyBorder="1" applyAlignment="1">
      <alignment horizontal="left" vertical="top"/>
    </xf>
    <xf numFmtId="0" fontId="24" fillId="0" borderId="6" xfId="0" applyFont="1" applyBorder="1" applyAlignment="1">
      <alignment vertical="top"/>
    </xf>
    <xf numFmtId="0" fontId="27" fillId="0" borderId="6" xfId="20" quotePrefix="1" applyFont="1" applyBorder="1" applyAlignment="1">
      <alignment horizontal="left" vertical="top"/>
    </xf>
    <xf numFmtId="169" fontId="27" fillId="0" borderId="6" xfId="0" applyNumberFormat="1" applyFont="1" applyBorder="1" applyAlignment="1">
      <alignment vertical="top"/>
    </xf>
    <xf numFmtId="0" fontId="28" fillId="7" borderId="20" xfId="0" applyFont="1" applyFill="1" applyBorder="1" applyAlignment="1">
      <alignment horizontal="center" vertical="center"/>
    </xf>
    <xf numFmtId="0" fontId="29" fillId="0" borderId="20" xfId="0" applyFont="1" applyBorder="1"/>
    <xf numFmtId="0" fontId="30" fillId="0" borderId="20" xfId="0" applyFont="1" applyBorder="1"/>
    <xf numFmtId="2" fontId="30" fillId="0" borderId="20" xfId="0" applyNumberFormat="1" applyFont="1" applyBorder="1" applyAlignment="1">
      <alignment horizontal="right"/>
    </xf>
    <xf numFmtId="10" fontId="30" fillId="0" borderId="20" xfId="0" applyNumberFormat="1" applyFont="1" applyBorder="1" applyAlignment="1">
      <alignment horizontal="right"/>
    </xf>
    <xf numFmtId="0" fontId="31" fillId="0" borderId="20" xfId="0" applyFont="1" applyBorder="1" applyAlignment="1">
      <alignment horizontal="right"/>
    </xf>
    <xf numFmtId="4" fontId="30" fillId="0" borderId="20" xfId="0" applyNumberFormat="1" applyFont="1" applyBorder="1" applyAlignment="1">
      <alignment horizontal="right"/>
    </xf>
    <xf numFmtId="0" fontId="30" fillId="0" borderId="20" xfId="0" applyFont="1" applyBorder="1" applyAlignment="1">
      <alignment horizontal="right"/>
    </xf>
    <xf numFmtId="0" fontId="9" fillId="0" borderId="0" xfId="1" applyNumberFormat="1" applyFont="1" applyFill="1" applyAlignment="1">
      <alignment horizontal="justify" vertical="top" wrapText="1"/>
    </xf>
    <xf numFmtId="0" fontId="9" fillId="0" borderId="7" xfId="1" applyNumberFormat="1" applyFont="1" applyFill="1" applyBorder="1" applyAlignment="1">
      <alignment horizontal="left" vertical="center"/>
    </xf>
    <xf numFmtId="0" fontId="27" fillId="0" borderId="0" xfId="0" applyFont="1" applyAlignment="1">
      <alignment horizontal="left" vertical="top"/>
    </xf>
    <xf numFmtId="166" fontId="25" fillId="0" borderId="6" xfId="2" applyNumberFormat="1" applyFont="1" applyFill="1" applyBorder="1" applyAlignment="1">
      <alignment vertical="center"/>
    </xf>
  </cellXfs>
  <cellStyles count="21">
    <cellStyle name="Comma" xfId="1" builtinId="3"/>
    <cellStyle name="Comma 10 3" xfId="8" xr:uid="{00000000-0005-0000-0000-000001000000}"/>
    <cellStyle name="Comma 10 3 2" xfId="15" xr:uid="{7F8C82AA-ADD5-47BE-800A-A51AFE90651D}"/>
    <cellStyle name="Comma 2" xfId="13" xr:uid="{00000000-0005-0000-0000-000002000000}"/>
    <cellStyle name="Comma 2 17" xfId="19" xr:uid="{C1831835-76E3-4228-8EBA-442D221EBFCC}"/>
    <cellStyle name="Comma 2 2 2" xfId="6" xr:uid="{00000000-0005-0000-0000-000003000000}"/>
    <cellStyle name="Comma 30" xfId="4" xr:uid="{00000000-0005-0000-0000-000004000000}"/>
    <cellStyle name="Comma 7" xfId="12" xr:uid="{00000000-0005-0000-0000-000005000000}"/>
    <cellStyle name="Comma 9" xfId="7" xr:uid="{00000000-0005-0000-0000-000006000000}"/>
    <cellStyle name="Normal" xfId="0" builtinId="0"/>
    <cellStyle name="Normal - Style1" xfId="5" xr:uid="{00000000-0005-0000-0000-000008000000}"/>
    <cellStyle name="Normal - Style1 10" xfId="14" xr:uid="{AD408A9B-D94D-41FA-9BA2-8C7DCE241E64}"/>
    <cellStyle name="Normal 2 2 3" xfId="3" xr:uid="{00000000-0005-0000-0000-000009000000}"/>
    <cellStyle name="Normal 2 3" xfId="17" xr:uid="{6B0D3592-02C5-4BA4-B4FB-ABFE83CD4B36}"/>
    <cellStyle name="Normal 21" xfId="9" xr:uid="{00000000-0005-0000-0000-00000A000000}"/>
    <cellStyle name="Normal 21 3" xfId="11" xr:uid="{00000000-0005-0000-0000-00000B000000}"/>
    <cellStyle name="Normal 31" xfId="10" xr:uid="{00000000-0005-0000-0000-00000C000000}"/>
    <cellStyle name="Normal 8" xfId="18" xr:uid="{AE82569D-3F00-40D4-A3D3-A76863A660CD}"/>
    <cellStyle name="Normal_Format for Indian GAAP Financials" xfId="20" xr:uid="{F9D05C2D-ECB2-4218-BED9-656A262F3290}"/>
    <cellStyle name="Percent" xfId="2" builtinId="5"/>
    <cellStyle name="Percent 2" xfId="16" xr:uid="{FD5209DF-FFE8-41C1-83E1-245711D93A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6.xml"/><Relationship Id="rId21" Type="http://schemas.openxmlformats.org/officeDocument/2006/relationships/externalLink" Target="externalLinks/externalLink11.xml"/><Relationship Id="rId42" Type="http://schemas.openxmlformats.org/officeDocument/2006/relationships/externalLink" Target="externalLinks/externalLink32.xml"/><Relationship Id="rId47" Type="http://schemas.openxmlformats.org/officeDocument/2006/relationships/externalLink" Target="externalLinks/externalLink37.xml"/><Relationship Id="rId63" Type="http://schemas.openxmlformats.org/officeDocument/2006/relationships/externalLink" Target="externalLinks/externalLink53.xml"/><Relationship Id="rId68" Type="http://schemas.openxmlformats.org/officeDocument/2006/relationships/externalLink" Target="externalLinks/externalLink58.xml"/><Relationship Id="rId16" Type="http://schemas.openxmlformats.org/officeDocument/2006/relationships/externalLink" Target="externalLinks/externalLink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40" Type="http://schemas.openxmlformats.org/officeDocument/2006/relationships/externalLink" Target="externalLinks/externalLink30.xml"/><Relationship Id="rId45" Type="http://schemas.openxmlformats.org/officeDocument/2006/relationships/externalLink" Target="externalLinks/externalLink35.xml"/><Relationship Id="rId53" Type="http://schemas.openxmlformats.org/officeDocument/2006/relationships/externalLink" Target="externalLinks/externalLink43.xml"/><Relationship Id="rId58" Type="http://schemas.openxmlformats.org/officeDocument/2006/relationships/externalLink" Target="externalLinks/externalLink48.xml"/><Relationship Id="rId66" Type="http://schemas.openxmlformats.org/officeDocument/2006/relationships/externalLink" Target="externalLinks/externalLink5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51.xml"/><Relationship Id="rId19" Type="http://schemas.openxmlformats.org/officeDocument/2006/relationships/externalLink" Target="externalLinks/externalLink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43" Type="http://schemas.openxmlformats.org/officeDocument/2006/relationships/externalLink" Target="externalLinks/externalLink33.xml"/><Relationship Id="rId48" Type="http://schemas.openxmlformats.org/officeDocument/2006/relationships/externalLink" Target="externalLinks/externalLink38.xml"/><Relationship Id="rId56" Type="http://schemas.openxmlformats.org/officeDocument/2006/relationships/externalLink" Target="externalLinks/externalLink46.xml"/><Relationship Id="rId64" Type="http://schemas.openxmlformats.org/officeDocument/2006/relationships/externalLink" Target="externalLinks/externalLink54.xml"/><Relationship Id="rId69" Type="http://schemas.openxmlformats.org/officeDocument/2006/relationships/externalLink" Target="externalLinks/externalLink5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41.xml"/><Relationship Id="rId72" Type="http://schemas.openxmlformats.org/officeDocument/2006/relationships/externalLink" Target="externalLinks/externalLink62.xml"/><Relationship Id="rId3" Type="http://schemas.openxmlformats.org/officeDocument/2006/relationships/worksheet" Target="worksheets/sheet3.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46" Type="http://schemas.openxmlformats.org/officeDocument/2006/relationships/externalLink" Target="externalLinks/externalLink36.xml"/><Relationship Id="rId59" Type="http://schemas.openxmlformats.org/officeDocument/2006/relationships/externalLink" Target="externalLinks/externalLink49.xml"/><Relationship Id="rId67" Type="http://schemas.openxmlformats.org/officeDocument/2006/relationships/externalLink" Target="externalLinks/externalLink57.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54" Type="http://schemas.openxmlformats.org/officeDocument/2006/relationships/externalLink" Target="externalLinks/externalLink44.xml"/><Relationship Id="rId62" Type="http://schemas.openxmlformats.org/officeDocument/2006/relationships/externalLink" Target="externalLinks/externalLink52.xml"/><Relationship Id="rId70" Type="http://schemas.openxmlformats.org/officeDocument/2006/relationships/externalLink" Target="externalLinks/externalLink6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49" Type="http://schemas.openxmlformats.org/officeDocument/2006/relationships/externalLink" Target="externalLinks/externalLink39.xml"/><Relationship Id="rId57" Type="http://schemas.openxmlformats.org/officeDocument/2006/relationships/externalLink" Target="externalLinks/externalLink47.xml"/><Relationship Id="rId10" Type="http://schemas.openxmlformats.org/officeDocument/2006/relationships/worksheet" Target="worksheets/sheet10.xml"/><Relationship Id="rId31" Type="http://schemas.openxmlformats.org/officeDocument/2006/relationships/externalLink" Target="externalLinks/externalLink21.xml"/><Relationship Id="rId44" Type="http://schemas.openxmlformats.org/officeDocument/2006/relationships/externalLink" Target="externalLinks/externalLink34.xml"/><Relationship Id="rId52" Type="http://schemas.openxmlformats.org/officeDocument/2006/relationships/externalLink" Target="externalLinks/externalLink42.xml"/><Relationship Id="rId60" Type="http://schemas.openxmlformats.org/officeDocument/2006/relationships/externalLink" Target="externalLinks/externalLink50.xml"/><Relationship Id="rId65" Type="http://schemas.openxmlformats.org/officeDocument/2006/relationships/externalLink" Target="externalLinks/externalLink55.xml"/><Relationship Id="rId73" Type="http://schemas.openxmlformats.org/officeDocument/2006/relationships/externalLink" Target="externalLinks/externalLink6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9" Type="http://schemas.openxmlformats.org/officeDocument/2006/relationships/externalLink" Target="externalLinks/externalLink29.xml"/><Relationship Id="rId34" Type="http://schemas.openxmlformats.org/officeDocument/2006/relationships/externalLink" Target="externalLinks/externalLink24.xml"/><Relationship Id="rId50" Type="http://schemas.openxmlformats.org/officeDocument/2006/relationships/externalLink" Target="externalLinks/externalLink40.xml"/><Relationship Id="rId55" Type="http://schemas.openxmlformats.org/officeDocument/2006/relationships/externalLink" Target="externalLinks/externalLink4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61.xml"/><Relationship Id="rId2" Type="http://schemas.openxmlformats.org/officeDocument/2006/relationships/worksheet" Target="worksheets/sheet2.xml"/><Relationship Id="rId29"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arnail\g\Bal0708\Final\BAL0308.WK3"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cuments%20and%20Settings\krishnakumar\Local%20Settings\Temp\New%20Folder\debit%20note\2004\goa_jejuri.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oh_srv_01\Users\DOCUME~1\MOHALI~1\LOCALS~1\Temp\DOCUME~1\dineshka\LOCALS~1\Temp\SUPRIYA\SUP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oh_srv_01\Users\DOCUME~1\MOHALI~1\LOCALS~1\Temp\DOCUME~1\dineshka\LOCALS~1\Temp\PARABOL\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ocuments%20and%20Settings\GTuser\Desktop\KDDL%2031.03.09\TTPA\Final%20Wp%20TTPA\Expenses\New%20Folder\quarter%20results\2003\mar'03%20results\Backup%20of%20global%20consolidation%20for%20sebi%20-%20mar'03%20option%20II.xlk"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New%20Folder\Accounts%20Receivables%20-%2031-01-2004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Fixed%20Assets\April\Documents%20and%20Settings\mahesh.chand\Local%20Settings\Temporary%20Internet%20Files\OLK78\ravi%20kamra\Budget%202005\Aug%20Reporting%202005\ravi%20kamra\Budget%202005\Aug%20Repor"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New%20Folder\quarter%20results\2003\mar'03%20results\Backup%20of%20global%20consolidation%20for%20sebi%20-%20mar'03%20option%20II.xlk"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IDBI%20LOAN%20APPLICATION\CTB99\PRP99-200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My%20Documents\CMA20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Documents%20and%20Settings\Dlf\Local%20Settings\Temporary%20Internet%20Files\OLKD8\Bal\June%2007\Final\DLF%20Consol%20-%20Restated%20-%20June%2007\done\Consol%20DCDL-June-0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mc\c70\SPACE70.WK4"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BALANCE%20SHEET-DLF%20Cyber%20City%20developers%20ltd%2030.11.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USERS\TarunS\TANU\sch\jan-dec03\AsstBA2100dec2003A.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Startup" Target="TENDER%20TEMPLATE/STDS/GN-ST-06(2)(Design%20Sheet-Ruled).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ost%20Audit\Cadec03\PRFC-DO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Cost%20Audit\Cadec03\PRFC-ID.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Fixed%20Assets\April\Documents%20and%20Settings\mahesh.chand\Local%20Settings\Temporary%20Internet%20Files\OLK78\ravi%20kamra\Budget%202005\Aug%20Reporting%202005\SpiceJet%20Final%20Budg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DOCUME~1\ADMINI~1\LOCALS~1\Temp\DOCUME~1\accounts\LOCALS~1\Temp\notes6030C8\WINDOWS\TEMP\ASS_PP9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nurag\budget_fold\windows\TEMP\My%20Documents\Input%20Ne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New%20Folder\quarter%20results\2003\mar'03%20results\Backup%20of%20global%20consolidation%20for%20sebi%20-%20mar'03%20option%20II.xlk"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Kaushal\my%20documents\LIOU\CONTROL\Reporting\Lube-Dalian\DFTZ-980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Documents%20and%20Settings\Amit%20Mohan\Local%20Settings\Temporary%20Internet%20Files\OLK1D4\Copy%20of%20GL_SL-ACCOUNT%20CODE%20MATRIX%20(9-JAN-2008)%20-%20TE%20BE%20SEN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Client\Senior%20India\Mar%202008\excel\2001Plan\Consolidated%20Financia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WINNT\Profiles\mkodama\LOCALS~1\Temp\0201_Subscription_COGS.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Worksheet%20in%208541%20Misc.%20Receipts%2031.03.08"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Documents%20and%20Settings\admin\Desktop\Pending\Ranbaxy\2006\Limited%20Review%20Q4%20-%202006\1000\Variance%20Analysis\Vipin%20Important%20Documents\HBA\HBA%20US%20GAAP\2006\PBC\Financials%2030.09.2006%20(Indian%20GAAP).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GNSHARMA\Documents\Documents%20and%20Settings\admin\Desktop\Pending\Ranbaxy\2006\Limited%20Review%20Q4%20-%202006\1000\Variance%20Analysis\Vipin%20Important%20Documents\HBA\HBA%20US%20GAAP\2006\PBC\Financials%2030.09.2006%20(Indian%20GAAP).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Rahul\audits\AUDITS\Tax%20audit\anx3cd01-02%20new.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God\Accounts\Accounts\Accounts\US%20Reporting\Accounts\SKP\Perssonel\Salary\Total%20Salary\Bonu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Ram\d\My%20Documents\RayBan%20Payroll-02-03\2003-2004\Payroll-Mar'03\RayBan%20Tax%20Data-2002-0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USERS\TarunS\TANU\sch\apr02-mar03\AsstBA2100Mar200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arikshit\depreciation\par0304\kcen\F.%20Assets\DEP-0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PSS2001\PSS%20BUDGET%2020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am\d\My%20Documents\RayBan%20Payroll-02-03\2003-2004\Payroll-Mar'03\final\Rayban-%20final\Ray%20Ban-%20Payroll%20-July%200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Ram\d\My%20Documents\RayBan%20Payroll-02-03\2003-2004\Payroll-Mar'03\rayban\New%20Folder%20(3)\Arcus\2002-2003\arcus%20payroll%20July0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ERVER\Prem\New%20Folder\quarter%20results\2003\mar'03%20results\Backup%20of%20global%20consolidation%20for%20sebi%20-%20mar'03%20option%20II.xlk"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Startup" Target="DLF/DLF%20Infocity%20Chandigarh/Balance%20sheet-%20info%20city%20CHD%2031.12.200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B:\Amit_Data\sANKA%20DATA\Proposed%20Sep-07\POCM-chennai-hyd-Final-30.07.2007.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Documents%20and%20Settings\Administrator\My%20Documents\Desktop\Balance%20Sheet\BALANCE%20SHEET%20DEC'07\Balance%20Sheet%20galleria%20as%20at%2031.12.200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jinesh.sethia\AppData\Local\Microsoft\Windows\Temporary%20Internet%20Files\Content.Outlook\H29P0CA9\Stock%20Summary-3112201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mc\c70\MC_Amt.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Z:\gaurav%20backup\GAURAV%20T\PROFIT%20BUDGET%20(MID%20TERM%20)(REV)(1)\PSS%20'C'%20COS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nurag\budget_fold\windows\TEMP\My%20Documents\CAPEX.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Documents%20and%20Settings\Administrator\My%20Documents\Desktop\Balance%20Sheet\BALANCE%20SHEET%20DEC'07\Balance%20Sheet%20Regency%20Park%20%20as%20at%2031.12.2007.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uments%20and%20Settings\sharda\Local%20Settings\Temporary%20Internet%20Files\Content.IE5\GLEBGX6R\Balance%20Sheet%20Mall%20of%20India%20AS%20AT%2030.06.2007.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Documents%20and%20Settings\Administrator\My%20Documents\Desktop\Balance%20Sheet\BALANCE%20SHEET%20DEC'07\Balance_sheet_paliwal%20as%20at%2031.12.200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Documents%20and%20Settings\Administrator\My%20Documents\Desktop\Balance%20Sheet\BALANCE%20SHEET%20DEC'07\Balance%20Sheet%20Mall%20of%20India%20AS%20AT%2031.12.2007.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Documents%20and%20Settings\Administrator\My%20Documents\Desktop\Balance%20Sheet\BALANCE%20SHEET%20DEC'07\Balance%20Sheet%20Jawala%20Real%20AS%20AT%2031.12.20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God\Accounts\SKP\Perssonel\Salary\Total%20Salary\Bonu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God\Accounts\Accounts\Perssonel\Salary\Total%20Salary\Bon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USERS\TarunS\TANU\sch\apr02-mar03\AsstBA2100Mar2003.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Documents%20and%20Settings\Deepak\ShivajiMarg\Area_SVM.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Documents%20and%20Settings\DLF\My%20Documents\MY%20FOLDER\DAL\New%20rent%20roll\Updated%20changes%20after%2020%20nov%20final\Amit_Data\DOT\Business%20&amp;%20Properties\Business%20and%20Properties-Ver-7-11.5m-19.09.2007.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DIALS\SRIDHB\UPDATE\DRS0607.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Ram\d\My%20Documents\RayBan%20Payroll-02-03\2003-2004\Payroll-Mar'03\tupperwarea\Form16A%2001-04-2002\Form16A%2009-05-2002.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Client%20Data\Claas\March%202004\Financials\Reporting\Claas%20backup\2003\Statutory%20Audit\Reporting\Final%20set\Linked%20Accounts%202002%20sept%20final%20excl%20def%20tax%20working%20see%20repfinalsetaccounts%20200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nurag\budget_fold\windows\TEMP\My%20Documents\Pun24May2K.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DOCUME~1\Dlf\LOCALS~1\Temp\Business%20plan%20Retail%20Lease\cash%20flows-1.11.2007-73.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Documents%20and%20Settings\prabhijitd-gsc\Local%20Settings\Temporary%20Internet%20Files\OLK1E\Revised%20RPP%20Format%20-%20USA.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dataavnish%20on%20Cdiv-ac-barkha\All%20Sheet\BALANCE%20SHEET-DLF%20Cyber%20City%20developers%20ltd%2030.11.2006.xls" TargetMode="External"/></Relationships>
</file>

<file path=xl/externalLinks/_rels/externalLink62.xml.rels><?xml version="1.0" encoding="UTF-8" standalone="yes"?>
<Relationships xmlns="http://schemas.openxmlformats.org/package/2006/relationships"><Relationship Id="rId1" Type="http://schemas.microsoft.com/office/2006/relationships/xlExternalLinkPath/xlPathMissing" Target="Worksheet%20in%208112%20Service%20Income%20Leadsheet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Documents%20and%20Settings\admin\Desktop\Pending\Ranbaxy\2006\Limited%20Review%20Q4%20-%202006\1000\Variance%20Analysis\New%20Folder\quarter%20results\2003\mar'03%20results\Backup%20of%20global%20consolidation%20for%20sebi%20-%20mar'03%20option%20II.xlk"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04"/>
      <sheetName val="feb'04"/>
      <sheetName val="tp"/>
      <sheetName val="mar'04"/>
      <sheetName val="apr'04"/>
      <sheetName val="may'04"/>
      <sheetName val="june'04"/>
      <sheetName val="july'04"/>
      <sheetName val="aug'04"/>
      <sheetName val="jan_04"/>
      <sheetName val="MANUFACTURING"/>
      <sheetName val="MWISEP&amp;L"/>
      <sheetName val="BS Notes"/>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
      <sheetName val="INTM RECV"/>
      <sheetName val="sent"/>
      <sheetName val="summary"/>
      <sheetName val="rm reco"/>
      <sheetName val="Consumption"/>
      <sheetName val="Sheet2"/>
      <sheetName val="SUPMAR03"/>
      <sheetName val="Inter unit set off"/>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ent"/>
      <sheetName val="reco"/>
      <sheetName val="Consumption"/>
      <sheetName val="recv"/>
      <sheetName val="Sheet2"/>
      <sheetName val="MAR03"/>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summarywith exindia comparison"/>
      <sheetName val="datalcmar"/>
      <sheetName val="ex-india"/>
      <sheetName val="summary"/>
      <sheetName val="ebtreco"/>
      <sheetName val="DATA_INR"/>
      <sheetName val="Corp_EBTytd"/>
      <sheetName val="Global ytd"/>
      <sheetName val="Corp_Salesytd"/>
      <sheetName val="interco"/>
      <sheetName val="Sheet1"/>
      <sheetName val="Backup of global consolidation "/>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
      <sheetName val="DETAILED SUMMARY"/>
      <sheetName val="jan'04"/>
      <sheetName val="Accounts Receivables - 31-01-20"/>
      <sheetName val="gc"/>
      <sheetName val="Sheet3"/>
      <sheetName val="2. BS Variance"/>
      <sheetName val="wdr bldg"/>
      <sheetName val="FA reg July-08"/>
      <sheetName val="ANX"/>
      <sheetName val="Balance sheet DCCDL Nov 06"/>
      <sheetName val="DETAILED_SUMMARY"/>
      <sheetName val="Accounts_Receivables_-_31-01-20"/>
      <sheetName val="wdr_bldg"/>
      <sheetName val="2__BS_Variance"/>
      <sheetName val="FA_reg_July-08"/>
      <sheetName val="223.582"/>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mco"/>
      <sheetName val="Sheet1"/>
      <sheetName val="Sheet2"/>
      <sheetName val="Sheet1 (2)"/>
      <sheetName val="Sheet4"/>
      <sheetName val="June Analysis"/>
      <sheetName val="Dir"/>
      <sheetName val="Exec"/>
      <sheetName val="Chrm"/>
      <sheetName val="Mkt"/>
      <sheetName val="HR"/>
      <sheetName val="IT"/>
      <sheetName val="Ctr"/>
      <sheetName val="Adv"/>
      <sheetName val="PR"/>
      <sheetName val="Sec"/>
      <sheetName val="Adm"/>
      <sheetName val="Fac"/>
      <sheetName val="Fin"/>
      <sheetName val="Dep"/>
      <sheetName val="Int"/>
      <sheetName val="Debt Sked"/>
      <sheetName val="RES"/>
      <sheetName val="AptAdm"/>
      <sheetName val="InfAdm"/>
      <sheetName val="InfDir"/>
      <sheetName val="FOpsAdm"/>
      <sheetName val="FltOps Dir"/>
      <sheetName val="SOC"/>
      <sheetName val="DELS"/>
      <sheetName val="AMDS"/>
      <sheetName val="BOMS"/>
      <sheetName val="GOIS"/>
      <sheetName val="PNQS"/>
      <sheetName val="BLRS"/>
      <sheetName val="PATS"/>
      <sheetName val="CCUS"/>
      <sheetName val="NAGS"/>
      <sheetName val="MAAS"/>
      <sheetName val="IDRS"/>
      <sheetName val="JAIS"/>
      <sheetName val="COKS"/>
      <sheetName val="CJBS"/>
      <sheetName val="BBIS"/>
      <sheetName val="IXJS"/>
      <sheetName val="SXRS"/>
      <sheetName val="HYDS"/>
      <sheetName val="IMFS"/>
      <sheetName val="GAUS"/>
      <sheetName val="TRVS"/>
      <sheetName val="DELA"/>
      <sheetName val="AMDA"/>
      <sheetName val="BOMA"/>
      <sheetName val="GOIA"/>
      <sheetName val="PNQA"/>
      <sheetName val="BLRA"/>
      <sheetName val="PATA"/>
      <sheetName val="CCUA"/>
      <sheetName val="NAGA"/>
      <sheetName val="MAAA"/>
      <sheetName val="IDRA"/>
      <sheetName val="JAIA"/>
      <sheetName val="COKA"/>
      <sheetName val="CJBA"/>
      <sheetName val="HYDA"/>
      <sheetName val="BBIA"/>
      <sheetName val="IXJA"/>
      <sheetName val="SXRA"/>
      <sheetName val="GAUA"/>
      <sheetName val="IMFA"/>
      <sheetName val="TRVA"/>
      <sheetName val="MtcQA"/>
      <sheetName val="MtcPrd"/>
      <sheetName val="Mtc Plan"/>
      <sheetName val="MtcStores"/>
      <sheetName val="MtcAdm"/>
      <sheetName val="Payroll HR"/>
      <sheetName val="Acft Purchase"/>
      <sheetName val="Acft Deposit"/>
      <sheetName val="Comm"/>
      <sheetName val="Navtr"/>
      <sheetName val="Grids"/>
      <sheetName val="CC&amp;Bank"/>
      <sheetName val="Fuel800"/>
      <sheetName val="Fuel700"/>
      <sheetName val="LTF800"/>
      <sheetName val="LTF700"/>
      <sheetName val="Insur"/>
      <sheetName val="AcftLse"/>
      <sheetName val="RP&amp;L"/>
      <sheetName val="Payroll"/>
      <sheetName val="Sheet3"/>
      <sheetName val="Payroll Dtl"/>
      <sheetName val="Income Stmt"/>
      <sheetName val="Aug Act"/>
      <sheetName val="Graphs-AUG"/>
      <sheetName val="Graphs"/>
      <sheetName val="Jul Act"/>
      <sheetName val="June Actuals"/>
      <sheetName val="MtcDir"/>
      <sheetName val="Stats800"/>
      <sheetName val="Sales &amp; Revenue &amp; Sked"/>
      <sheetName val="Stats700"/>
      <sheetName val="Capital"/>
      <sheetName val="Assets"/>
      <sheetName val="DeccanBio"/>
      <sheetName val="Sheet1_(2)"/>
      <sheetName val="June_Analysis"/>
      <sheetName val="Debt_Sked"/>
      <sheetName val="FltOps_Dir"/>
      <sheetName val="Mtc_Plan"/>
      <sheetName val="Payroll_HR"/>
      <sheetName val="Acft_Purchase"/>
      <sheetName val="Acft_Deposit"/>
      <sheetName val="Payroll_Dtl"/>
      <sheetName val="Income_Stmt"/>
      <sheetName val="Aug_Act"/>
      <sheetName val="Jul_Act"/>
      <sheetName val="June_Actuals"/>
      <sheetName val="Sales_&amp;_Revenue_&amp;_Sked"/>
      <sheetName val="te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summarywith exindia comparison"/>
      <sheetName val="datalcmar"/>
      <sheetName val="ex-india"/>
      <sheetName val="summary"/>
      <sheetName val="ebtreco"/>
      <sheetName val="DATA_INR"/>
      <sheetName val="Corp_EBTytd"/>
      <sheetName val="Global ytd"/>
      <sheetName val="Corp_Salesytd"/>
      <sheetName val="interco"/>
      <sheetName val="Sheet1"/>
      <sheetName val="Backup of global consolidation "/>
      <sheetName val="#REF"/>
      <sheetName val="YTD"/>
      <sheetName val="summarywith_exindia_comparison"/>
      <sheetName val="Global_ytd"/>
      <sheetName val="Backup_of_global_consolidation_"/>
      <sheetName val="coa_ramco_168"/>
      <sheetName val="Master"/>
      <sheetName val="summarywith_exindia_comparison1"/>
      <sheetName val="Global_ytd1"/>
      <sheetName val="Backup_of_global_consolidation1"/>
      <sheetName val="summarywith_exindia_comparison2"/>
      <sheetName val="Global_ytd2"/>
      <sheetName val="Backup_of_global_consolidation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VM-1"/>
      <sheetName val="DVM"/>
      <sheetName val="RCP-INSERT"/>
      <sheetName val="TRADE"/>
      <sheetName val="INCENTIVES"/>
      <sheetName val="STU"/>
      <sheetName val="PISTON"/>
      <sheetName val="PIN LENGTH"/>
      <sheetName val="SDE"/>
      <sheetName val="DGS&amp;D"/>
      <sheetName val="OEM"/>
      <sheetName val="EXPORTS"/>
      <sheetName val="CI-EXPORTS"/>
      <sheetName val="Sheet1"/>
      <sheetName val="R4"/>
      <sheetName val="R5"/>
      <sheetName val="R3"/>
      <sheetName val="R6"/>
      <sheetName val="R2"/>
      <sheetName val="R1"/>
      <sheetName val="LISTER (16.03.99)"/>
      <sheetName val="LISTER (09.03.99)"/>
      <sheetName val="LISTER (09.03.99) (SDE)"/>
      <sheetName val="LISTER"/>
      <sheetName val="R7"/>
      <sheetName val="CI-OEM"/>
      <sheetName val="CI-TR"/>
      <sheetName val="RIK 20 PRODUCTION"/>
      <sheetName val="MACHINING COST"/>
      <sheetName val="RING MATERIAL"/>
      <sheetName val="RF"/>
      <sheetName val="CHROME PLATING"/>
      <sheetName val="RM-EFF-STD-A.F"/>
      <sheetName val="RMC-AF"/>
      <sheetName val="RCP PISTONS PRODUCTION"/>
      <sheetName val="PISTON PACKING"/>
      <sheetName val="SECONDRY PACKING"/>
      <sheetName val="MC-PISTONS"/>
      <sheetName val="DC-ALLOY-AF"/>
      <sheetName val="STD-AF"/>
      <sheetName val="AF-M.EFF"/>
      <sheetName val="AF-DMI"/>
      <sheetName val="DC-AL.ALLOY"/>
      <sheetName val="POWER"/>
      <sheetName val="SR-MC"/>
      <sheetName val="SR (2)"/>
      <sheetName val="PIN"/>
      <sheetName val="PIN RAW MATERIAL"/>
      <sheetName val="SR-PACKING"/>
      <sheetName val="PHT"/>
      <sheetName val="SR-CTB"/>
      <sheetName val="COST"/>
      <sheetName val="SR"/>
      <sheetName val="STEEL RING RAW MATERIAL"/>
      <sheetName val="R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II"/>
      <sheetName val="FORM111"/>
      <sheetName val="FORMIV"/>
      <sheetName val="FORMV"/>
      <sheetName val="FORMVI"/>
      <sheetName val="ANNEXURE"/>
      <sheetName val="CA CL"/>
      <sheetName val="EXP DETAIL"/>
      <sheetName val="F ASSETS"/>
      <sheetName val="OTH TERM LIAB"/>
      <sheetName val="INTT"/>
      <sheetName val="DIR LABOUR"/>
      <sheetName val="INDEX"/>
      <sheetName val="INDEX 1"/>
      <sheetName val="LC REQ"/>
      <sheetName val="RM STORES"/>
      <sheetName val="RECON CA CL"/>
      <sheetName val="TL REPAYMENT"/>
      <sheetName val="TL DETAILS"/>
      <sheetName val="Sheet2"/>
      <sheetName val="Sheet3"/>
      <sheetName val="MOHALI - II"/>
      <sheetName val="MOHALI - I"/>
      <sheetName val="ES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ker"/>
      <sheetName val="Entries"/>
      <sheetName val="Provisional entries"/>
      <sheetName val="DCDL Consol June 06"/>
      <sheetName val="Infocity-Chandigarh"/>
      <sheetName val="Infocity-Kolkata"/>
      <sheetName val="DCDL-final"/>
      <sheetName val="Info city-Bangalore"/>
      <sheetName val="Info city-Hyderabad"/>
      <sheetName val="GKS"/>
      <sheetName val="Roadtech"/>
      <sheetName val="Udipti"/>
      <sheetName val="Bhoruka"/>
      <sheetName val="Shivaji"/>
      <sheetName val="Real Estate"/>
      <sheetName val="Info city- Chennai"/>
      <sheetName val="GT_Custom"/>
      <sheetName val="Passion"/>
      <sheetName val="Star Tower-Silokhera"/>
      <sheetName val="Galleria-mayur vihar"/>
      <sheetName val="PL"/>
    </sheetNames>
    <sheetDataSet>
      <sheetData sheetId="0" refreshError="1"/>
      <sheetData sheetId="1"/>
      <sheetData sheetId="2" refreshError="1"/>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refreshError="1"/>
      <sheetData sheetId="17"/>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F"/>
      <sheetName val="Sheet1"/>
      <sheetName val="Shivaji"/>
      <sheetName val="Trial Balance"/>
    </sheetNames>
    <sheetDataSet>
      <sheetData sheetId="0">
        <row r="2">
          <cell r="B2" t="str">
            <v>INTERMEDIATE CARE UNITS</v>
          </cell>
        </row>
      </sheetData>
      <sheetData sheetId="1">
        <row r="2">
          <cell r="B2" t="str">
            <v>INTERMEDIATE CARE UNITS</v>
          </cell>
        </row>
      </sheetData>
      <sheetData sheetId="2">
        <row r="2">
          <cell r="B2" t="str">
            <v>INTERMEDIATE CARE UNITS</v>
          </cell>
        </row>
      </sheetData>
      <sheetData sheetId="3">
        <row r="2">
          <cell r="B2" t="str">
            <v>INTERMEDIATE CARE UNITS</v>
          </cell>
        </row>
      </sheetData>
      <sheetData sheetId="4">
        <row r="2">
          <cell r="B2" t="str">
            <v>INTERMEDIATE CARE UNITS</v>
          </cell>
        </row>
        <row r="4">
          <cell r="C4" t="str">
            <v>Description</v>
          </cell>
          <cell r="E4" t="str">
            <v>Area</v>
          </cell>
          <cell r="F4" t="str">
            <v xml:space="preserve">Circulation </v>
          </cell>
          <cell r="G4" t="str">
            <v>Builtup Area</v>
          </cell>
        </row>
        <row r="5">
          <cell r="F5" t="str">
            <v>Lift &amp; Stair-</v>
          </cell>
        </row>
        <row r="6">
          <cell r="F6" t="str">
            <v>case etc.</v>
          </cell>
        </row>
        <row r="7">
          <cell r="C7" t="str">
            <v>Intermediate Care Area</v>
          </cell>
          <cell r="E7">
            <v>1222</v>
          </cell>
          <cell r="F7">
            <v>366.6</v>
          </cell>
          <cell r="G7">
            <v>1588.6</v>
          </cell>
        </row>
        <row r="8">
          <cell r="C8" t="str">
            <v>(i)    Wards</v>
          </cell>
          <cell r="D8">
            <v>1056</v>
          </cell>
        </row>
        <row r="9">
          <cell r="C9" t="str">
            <v>(ii)   Nurse Station &amp; Allied Services</v>
          </cell>
          <cell r="D9">
            <v>166</v>
          </cell>
        </row>
        <row r="12">
          <cell r="C12" t="str">
            <v>TOTAL BUILT UP AREA</v>
          </cell>
          <cell r="G12">
            <v>1588.6</v>
          </cell>
        </row>
        <row r="16">
          <cell r="C16" t="str">
            <v>BEDS</v>
          </cell>
        </row>
        <row r="17">
          <cell r="C17" t="str">
            <v>Bed Type</v>
          </cell>
          <cell r="D17" t="str">
            <v>Area/Bed</v>
          </cell>
          <cell r="E17" t="str">
            <v>No. of Beds</v>
          </cell>
        </row>
        <row r="18">
          <cell r="C18" t="str">
            <v>2-in-1</v>
          </cell>
          <cell r="D18">
            <v>16</v>
          </cell>
          <cell r="E18">
            <v>20</v>
          </cell>
        </row>
        <row r="19">
          <cell r="C19" t="str">
            <v>Single Room</v>
          </cell>
          <cell r="D19">
            <v>16</v>
          </cell>
          <cell r="E19">
            <v>34</v>
          </cell>
        </row>
        <row r="20">
          <cell r="C20" t="str">
            <v>Deluxe Room</v>
          </cell>
          <cell r="D20">
            <v>16</v>
          </cell>
          <cell r="E20">
            <v>8</v>
          </cell>
        </row>
        <row r="21">
          <cell r="C21" t="str">
            <v>Deluxe Suite</v>
          </cell>
          <cell r="D21">
            <v>32</v>
          </cell>
          <cell r="E21">
            <v>2</v>
          </cell>
        </row>
        <row r="23">
          <cell r="E23">
            <v>64</v>
          </cell>
        </row>
        <row r="24">
          <cell r="B24">
            <v>0</v>
          </cell>
          <cell r="C24" t="str">
            <v>Intensive Care Beds</v>
          </cell>
          <cell r="E24">
            <v>6</v>
          </cell>
        </row>
        <row r="25">
          <cell r="C25" t="str">
            <v>TOTAL BEDS</v>
          </cell>
          <cell r="E25">
            <v>70</v>
          </cell>
        </row>
        <row r="29">
          <cell r="C29" t="str">
            <v>INTERMEDIATE CARE AREA</v>
          </cell>
        </row>
        <row r="31">
          <cell r="C31" t="str">
            <v>Wards</v>
          </cell>
        </row>
        <row r="32">
          <cell r="B32" t="str">
            <v xml:space="preserve">Two in One Beds </v>
          </cell>
          <cell r="E32">
            <v>320</v>
          </cell>
        </row>
        <row r="33">
          <cell r="B33" t="str">
            <v>Single Rooms</v>
          </cell>
          <cell r="E33">
            <v>544</v>
          </cell>
        </row>
        <row r="34">
          <cell r="B34" t="str">
            <v xml:space="preserve">Deluxe Room </v>
          </cell>
          <cell r="E34">
            <v>128</v>
          </cell>
        </row>
        <row r="35">
          <cell r="B35" t="str">
            <v>Deluxe Suite</v>
          </cell>
          <cell r="E35">
            <v>64</v>
          </cell>
        </row>
        <row r="37">
          <cell r="B37" t="str">
            <v xml:space="preserve">Nurse Station &amp; Allied Services </v>
          </cell>
          <cell r="E37">
            <v>166</v>
          </cell>
        </row>
        <row r="38">
          <cell r="C38" t="str">
            <v>Nurses Station</v>
          </cell>
          <cell r="D38">
            <v>12</v>
          </cell>
        </row>
        <row r="39">
          <cell r="C39" t="str">
            <v>Nurses Duty Room</v>
          </cell>
          <cell r="D39">
            <v>12</v>
          </cell>
        </row>
        <row r="40">
          <cell r="C40" t="str">
            <v>Clean Utility Room</v>
          </cell>
          <cell r="D40">
            <v>10</v>
          </cell>
        </row>
        <row r="41">
          <cell r="C41" t="str">
            <v>Dirty Utility Room</v>
          </cell>
          <cell r="D41">
            <v>10</v>
          </cell>
        </row>
        <row r="42">
          <cell r="C42" t="str">
            <v>Sluice Room</v>
          </cell>
          <cell r="D42">
            <v>8</v>
          </cell>
        </row>
        <row r="43">
          <cell r="C43" t="str">
            <v>Treatment Room</v>
          </cell>
          <cell r="D43">
            <v>20</v>
          </cell>
        </row>
        <row r="44">
          <cell r="C44" t="str">
            <v>Stores</v>
          </cell>
          <cell r="D44">
            <v>20</v>
          </cell>
        </row>
        <row r="45">
          <cell r="C45" t="str">
            <v>Doctor's Duty Room with Toilet</v>
          </cell>
          <cell r="D45">
            <v>16</v>
          </cell>
        </row>
        <row r="46">
          <cell r="C46" t="str">
            <v>Pantry</v>
          </cell>
          <cell r="D46">
            <v>8</v>
          </cell>
        </row>
        <row r="47">
          <cell r="C47" t="str">
            <v>Dining Room</v>
          </cell>
          <cell r="D47">
            <v>16</v>
          </cell>
        </row>
        <row r="48">
          <cell r="C48" t="str">
            <v>Day Room</v>
          </cell>
          <cell r="D48">
            <v>16</v>
          </cell>
        </row>
        <row r="49">
          <cell r="C49" t="str">
            <v>Room for Staff</v>
          </cell>
          <cell r="D49">
            <v>12</v>
          </cell>
        </row>
        <row r="50">
          <cell r="C50" t="str">
            <v>Janitor Closet</v>
          </cell>
          <cell r="D50">
            <v>6</v>
          </cell>
        </row>
      </sheetData>
      <sheetData sheetId="5"/>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inity "/>
      <sheetName val="Related party new-format"/>
      <sheetName val="working of related party"/>
      <sheetName val="dep 8.2006"/>
      <sheetName val="corporate green"/>
      <sheetName val="Building 8"/>
      <sheetName val="IBM"/>
      <sheetName val="dAKSH"/>
      <sheetName val="Interest 30.11.06"/>
      <sheetName val="PROVISIONS"/>
      <sheetName val="ACCENTURE"/>
      <sheetName val="cwip 11.2006"/>
      <sheetName val="cash flow"/>
      <sheetName val="Balance sheet DCCDL Nov 06"/>
      <sheetName val="Star Tower-Silokhera"/>
      <sheetName val="Galleria-mayur vihar"/>
      <sheetName val="tables"/>
      <sheetName val="POWER-DEPT"/>
    </sheetNames>
    <sheetDataSet>
      <sheetData sheetId="0">
        <row r="1">
          <cell r="BN1" t="str">
            <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row r="1">
          <cell r="BN1">
            <v>0</v>
          </cell>
        </row>
        <row r="5">
          <cell r="BN5">
            <v>0</v>
          </cell>
        </row>
        <row r="6">
          <cell r="BN6">
            <v>0</v>
          </cell>
        </row>
        <row r="7">
          <cell r="BN7" t="str">
            <v>DLF Cyber City Developers Ltd - CONSTRUCTION DIVISION</v>
          </cell>
        </row>
        <row r="8">
          <cell r="BN8">
            <v>0</v>
          </cell>
        </row>
        <row r="9">
          <cell r="BN9" t="str">
            <v>BALANCE SHEET AS AT 30.11.2006</v>
          </cell>
        </row>
        <row r="11">
          <cell r="BN11" t="str">
            <v>PARTICULRS</v>
          </cell>
          <cell r="BO11" t="str">
            <v>SCH.</v>
          </cell>
          <cell r="BP11" t="str">
            <v>AMOUNT</v>
          </cell>
        </row>
        <row r="12">
          <cell r="BO12" t="str">
            <v>NO.</v>
          </cell>
          <cell r="BP12" t="str">
            <v>Division</v>
          </cell>
        </row>
        <row r="14">
          <cell r="BN14" t="str">
            <v xml:space="preserve">SOURCES OF FUNDS </v>
          </cell>
        </row>
        <row r="15">
          <cell r="BN15" t="str">
            <v>Shareholder's Funds</v>
          </cell>
        </row>
        <row r="16">
          <cell r="BN16" t="str">
            <v>Capital Accounts</v>
          </cell>
        </row>
        <row r="17">
          <cell r="BN17" t="str">
            <v>Current Accounts</v>
          </cell>
          <cell r="BO17">
            <v>0</v>
          </cell>
          <cell r="BP17">
            <v>0</v>
          </cell>
        </row>
        <row r="18">
          <cell r="BO18">
            <v>0</v>
          </cell>
        </row>
        <row r="19">
          <cell r="BN19" t="str">
            <v>Profit &amp; Loss A/c</v>
          </cell>
          <cell r="BP19">
            <v>-2415821.5490323287</v>
          </cell>
        </row>
        <row r="20">
          <cell r="BN20" t="str">
            <v>LOAN FUNDS</v>
          </cell>
          <cell r="BP20">
            <v>0</v>
          </cell>
        </row>
        <row r="21">
          <cell r="BN21" t="str">
            <v>Secured loans</v>
          </cell>
          <cell r="BO21">
            <v>0</v>
          </cell>
          <cell r="BP21">
            <v>0</v>
          </cell>
        </row>
        <row r="22">
          <cell r="BN22" t="str">
            <v>UnSecured loans</v>
          </cell>
          <cell r="BO22">
            <v>0</v>
          </cell>
          <cell r="BP22">
            <v>0</v>
          </cell>
        </row>
        <row r="25">
          <cell r="BP25">
            <v>-2415821.5490323287</v>
          </cell>
        </row>
        <row r="28">
          <cell r="BN28" t="str">
            <v>APPLICATIONS OF FUNDS</v>
          </cell>
        </row>
        <row r="30">
          <cell r="BN30" t="str">
            <v>FIXED ASSETS :</v>
          </cell>
          <cell r="BO30">
            <v>-2415820</v>
          </cell>
          <cell r="BP30">
            <v>3887584.8499999996</v>
          </cell>
        </row>
        <row r="31">
          <cell r="BN31" t="str">
            <v>Less : Depreciation</v>
          </cell>
          <cell r="BP31">
            <v>893173.61798664392</v>
          </cell>
        </row>
        <row r="33">
          <cell r="BN33" t="str">
            <v>Net Block</v>
          </cell>
          <cell r="BP33">
            <v>2994411.2320133559</v>
          </cell>
        </row>
        <row r="35">
          <cell r="BN35" t="str">
            <v>CAPITAL WIP</v>
          </cell>
          <cell r="BO35">
            <v>2994410</v>
          </cell>
          <cell r="BP35">
            <v>119041240</v>
          </cell>
        </row>
        <row r="36">
          <cell r="BN36" t="str">
            <v>(Including Advances)</v>
          </cell>
        </row>
        <row r="37">
          <cell r="BN37" t="str">
            <v>Current Assets.Loans &amp; Advances</v>
          </cell>
        </row>
        <row r="38">
          <cell r="BN38" t="str">
            <v xml:space="preserve">   Closing Stock</v>
          </cell>
          <cell r="BP38">
            <v>0</v>
          </cell>
        </row>
        <row r="39">
          <cell r="BN39" t="str">
            <v xml:space="preserve">   Stocks wip</v>
          </cell>
        </row>
        <row r="40">
          <cell r="BN40" t="str">
            <v xml:space="preserve">   Sundry Debtors</v>
          </cell>
          <cell r="BO40" t="str">
            <v>8</v>
          </cell>
          <cell r="BP40">
            <v>0</v>
          </cell>
        </row>
        <row r="41">
          <cell r="BN41" t="str">
            <v xml:space="preserve">   Cash &amp; Bank Balances</v>
          </cell>
          <cell r="BO41" t="str">
            <v>9</v>
          </cell>
          <cell r="BP41">
            <v>-348593.34</v>
          </cell>
        </row>
        <row r="42">
          <cell r="BN42" t="str">
            <v xml:space="preserve">   Other Current assets</v>
          </cell>
          <cell r="BO42" t="str">
            <v>10</v>
          </cell>
          <cell r="BP42">
            <v>0</v>
          </cell>
        </row>
        <row r="43">
          <cell r="BN43" t="str">
            <v xml:space="preserve">   Loan &amp; advances</v>
          </cell>
          <cell r="BO43" t="str">
            <v>11</v>
          </cell>
          <cell r="BP43">
            <v>199075071</v>
          </cell>
        </row>
        <row r="44">
          <cell r="BN44" t="str">
            <v xml:space="preserve">   Inter Unit transfer</v>
          </cell>
          <cell r="BO44" t="str">
            <v>11</v>
          </cell>
          <cell r="BP44">
            <v>2740880978.377295</v>
          </cell>
        </row>
        <row r="45">
          <cell r="BN45" t="str">
            <v>Corporate Div</v>
          </cell>
          <cell r="BP45">
            <v>-2962743968.377295</v>
          </cell>
        </row>
        <row r="46">
          <cell r="BN46">
            <v>-2962743296</v>
          </cell>
          <cell r="BP46">
            <v>0</v>
          </cell>
        </row>
        <row r="47">
          <cell r="BP47">
            <v>-23136512.340000153</v>
          </cell>
        </row>
        <row r="48">
          <cell r="BN48">
            <v>-23136512</v>
          </cell>
        </row>
        <row r="49">
          <cell r="BN49" t="str">
            <v>Less :</v>
          </cell>
        </row>
        <row r="50">
          <cell r="BN50" t="str">
            <v>Current Liabilities and Provisions</v>
          </cell>
        </row>
        <row r="51">
          <cell r="BN51" t="str">
            <v xml:space="preserve">   Liabilities</v>
          </cell>
          <cell r="BO51" t="str">
            <v>12</v>
          </cell>
          <cell r="BP51">
            <v>101314960.44</v>
          </cell>
        </row>
        <row r="52">
          <cell r="BN52" t="str">
            <v xml:space="preserve">   Provisions</v>
          </cell>
          <cell r="BO52" t="str">
            <v>13</v>
          </cell>
          <cell r="BP52">
            <v>0</v>
          </cell>
        </row>
        <row r="54">
          <cell r="BP54">
            <v>101314960.44</v>
          </cell>
        </row>
        <row r="56">
          <cell r="BN56" t="str">
            <v>Net Current Assets</v>
          </cell>
          <cell r="BP56">
            <v>-124451472.78000015</v>
          </cell>
        </row>
        <row r="58">
          <cell r="BP58">
            <v>-2415821.5479867905</v>
          </cell>
        </row>
        <row r="60">
          <cell r="BN60" t="str">
            <v>Notes to Accounts</v>
          </cell>
          <cell r="BO60" t="str">
            <v>21</v>
          </cell>
          <cell r="BP60">
            <v>-1.0455381125211716E-3</v>
          </cell>
        </row>
        <row r="65">
          <cell r="BP65">
            <v>-1.0455381125211716E-3</v>
          </cell>
        </row>
        <row r="71">
          <cell r="BN71" t="str">
            <v>DLF Cyber City Developers Ltd - CONSTRUCTION DIVISION</v>
          </cell>
        </row>
        <row r="72">
          <cell r="BN72" t="str">
            <v xml:space="preserve"> PROFIT &amp; LOSS ACCOUNT</v>
          </cell>
        </row>
        <row r="73">
          <cell r="BN73" t="str">
            <v>FOR THE PERIOD FOR THE PERIOD ENDED 30.11.2006</v>
          </cell>
        </row>
        <row r="74">
          <cell r="BN74">
            <v>-1.0455381125211716E-3</v>
          </cell>
        </row>
        <row r="75">
          <cell r="BN75" t="str">
            <v>PARTICULRS</v>
          </cell>
          <cell r="BO75" t="str">
            <v>SCH.</v>
          </cell>
          <cell r="BP75" t="str">
            <v>AMOUNT</v>
          </cell>
        </row>
        <row r="78">
          <cell r="BO78" t="str">
            <v>NO.</v>
          </cell>
          <cell r="BP78" t="str">
            <v>Division</v>
          </cell>
        </row>
        <row r="81">
          <cell r="BN81" t="str">
            <v>INCOME :</v>
          </cell>
        </row>
        <row r="82">
          <cell r="BN82" t="str">
            <v>Sales and Other Income</v>
          </cell>
          <cell r="BO82" t="str">
            <v>14</v>
          </cell>
          <cell r="BP82">
            <v>19700</v>
          </cell>
        </row>
        <row r="83">
          <cell r="BN83" t="str">
            <v>Increase in Stocks</v>
          </cell>
          <cell r="BO83" t="str">
            <v>15</v>
          </cell>
          <cell r="BP83">
            <v>0</v>
          </cell>
        </row>
        <row r="85">
          <cell r="BP85">
            <v>19700</v>
          </cell>
        </row>
        <row r="87">
          <cell r="BN87" t="str">
            <v>EXPENDITURE :</v>
          </cell>
        </row>
        <row r="88">
          <cell r="BN88" t="str">
            <v xml:space="preserve">   Purchase and Development Expenses</v>
          </cell>
          <cell r="BO88" t="str">
            <v>16</v>
          </cell>
          <cell r="BP88">
            <v>0</v>
          </cell>
        </row>
        <row r="89">
          <cell r="BN89" t="str">
            <v xml:space="preserve">   Establishment</v>
          </cell>
          <cell r="BO89" t="str">
            <v>17</v>
          </cell>
          <cell r="BP89">
            <v>0</v>
          </cell>
        </row>
        <row r="90">
          <cell r="BN90" t="str">
            <v xml:space="preserve">   Finance Charges</v>
          </cell>
          <cell r="BO90" t="str">
            <v>18</v>
          </cell>
          <cell r="BP90">
            <v>0</v>
          </cell>
        </row>
        <row r="91">
          <cell r="BN91" t="str">
            <v xml:space="preserve">   Other Expenses</v>
          </cell>
          <cell r="BO91" t="str">
            <v>19</v>
          </cell>
          <cell r="BP91">
            <v>1935540.8499999999</v>
          </cell>
        </row>
        <row r="92">
          <cell r="BN92" t="str">
            <v xml:space="preserve">   Depreciation</v>
          </cell>
          <cell r="BP92">
            <v>499980.69903232891</v>
          </cell>
        </row>
        <row r="93">
          <cell r="BN93" t="str">
            <v xml:space="preserve">   Loss on sale of fire</v>
          </cell>
          <cell r="BP93">
            <v>0</v>
          </cell>
        </row>
        <row r="96">
          <cell r="BP96">
            <v>2435521.5490323287</v>
          </cell>
        </row>
        <row r="98">
          <cell r="BN98" t="str">
            <v>Profit before Tax</v>
          </cell>
          <cell r="BP98">
            <v>-2415821.5490323287</v>
          </cell>
        </row>
        <row r="99">
          <cell r="BN99" t="str">
            <v>Provision for Tax</v>
          </cell>
        </row>
        <row r="102">
          <cell r="BN102" t="str">
            <v>Profit after Tax</v>
          </cell>
          <cell r="BP102">
            <v>-2415821.5490323287</v>
          </cell>
        </row>
        <row r="103">
          <cell r="BN103" t="str">
            <v>Balance brough forward</v>
          </cell>
        </row>
        <row r="104">
          <cell r="BN104" t="str">
            <v>Prior Period Expenses (net)</v>
          </cell>
          <cell r="BO104" t="str">
            <v>20</v>
          </cell>
        </row>
        <row r="105">
          <cell r="BN105" t="str">
            <v>Tax - earlier year</v>
          </cell>
        </row>
        <row r="107">
          <cell r="BN107" t="str">
            <v>Investment Allowance Reserve written back</v>
          </cell>
        </row>
        <row r="108">
          <cell r="BN108" t="str">
            <v>back</v>
          </cell>
        </row>
        <row r="110">
          <cell r="BN110" t="str">
            <v>Amount available for Appropriation</v>
          </cell>
          <cell r="BP110">
            <v>-2415821.5490323287</v>
          </cell>
        </row>
        <row r="112">
          <cell r="BN112" t="str">
            <v>APPROPRIATION :</v>
          </cell>
        </row>
        <row r="113">
          <cell r="BN113" t="str">
            <v>Debenture Redemption Reserve</v>
          </cell>
        </row>
        <row r="114">
          <cell r="BN114" t="str">
            <v>General Reserve</v>
          </cell>
        </row>
        <row r="115">
          <cell r="BN115" t="str">
            <v>Dividend (Subject to Tax deducted</v>
          </cell>
        </row>
        <row r="116">
          <cell r="BN116" t="str">
            <v>at source on equity Shares.</v>
          </cell>
        </row>
        <row r="117">
          <cell r="BN117" t="str">
            <v>Proposed</v>
          </cell>
        </row>
        <row r="118">
          <cell r="BN118" t="str">
            <v>Interim</v>
          </cell>
        </row>
        <row r="120">
          <cell r="BN120" t="str">
            <v>Balance Carried to Balance Sheet</v>
          </cell>
          <cell r="BP120">
            <v>-2415821.5490323287</v>
          </cell>
        </row>
      </sheetData>
      <sheetData sheetId="14" refreshError="1"/>
      <sheetData sheetId="15" refreshError="1"/>
      <sheetData sheetId="16" refreshError="1"/>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 jan to mar"/>
      <sheetName val="add apr to dec"/>
      <sheetName val="add apr to dec I Tax"/>
      <sheetName val="add jan to dec"/>
      <sheetName val="YTD"/>
      <sheetName val="SUMMARY"/>
      <sheetName val="tfr out"/>
      <sheetName val="tfr in"/>
      <sheetName val="#REF"/>
      <sheetName val="BUDGET"/>
      <sheetName val="AsstBA2100dec2003A"/>
    </sheetNames>
    <sheetDataSet>
      <sheetData sheetId="0" refreshError="1"/>
      <sheetData sheetId="1" refreshError="1"/>
      <sheetData sheetId="2" refreshError="1"/>
      <sheetData sheetId="3" refreshError="1"/>
      <sheetData sheetId="4" refreshError="1">
        <row r="198">
          <cell r="C198" t="str">
            <v>Air Conditioner</v>
          </cell>
          <cell r="D198">
            <v>1</v>
          </cell>
          <cell r="E198">
            <v>33390</v>
          </cell>
          <cell r="F198">
            <v>21450</v>
          </cell>
          <cell r="K198">
            <v>21450</v>
          </cell>
          <cell r="L198">
            <v>12795.87</v>
          </cell>
          <cell r="M198">
            <v>1105</v>
          </cell>
          <cell r="Q198">
            <v>13900.87</v>
          </cell>
          <cell r="R198">
            <v>8654.1299999999992</v>
          </cell>
          <cell r="S198">
            <v>7549.1299999999992</v>
          </cell>
        </row>
        <row r="199">
          <cell r="C199" t="str">
            <v>Air Conditioner 1.5 TON</v>
          </cell>
          <cell r="D199">
            <v>1</v>
          </cell>
          <cell r="E199">
            <v>33695</v>
          </cell>
          <cell r="F199">
            <v>21950</v>
          </cell>
          <cell r="K199">
            <v>21950</v>
          </cell>
          <cell r="L199">
            <v>12152.122500000001</v>
          </cell>
          <cell r="M199">
            <v>1130</v>
          </cell>
          <cell r="Q199">
            <v>13282.122500000001</v>
          </cell>
          <cell r="R199">
            <v>9797.8774999999987</v>
          </cell>
          <cell r="S199">
            <v>8667.8774999999987</v>
          </cell>
        </row>
        <row r="200">
          <cell r="C200" t="str">
            <v>Air Conditioner 1.5 TON</v>
          </cell>
          <cell r="D200">
            <v>1</v>
          </cell>
          <cell r="E200">
            <v>33635</v>
          </cell>
          <cell r="F200">
            <v>25300</v>
          </cell>
          <cell r="K200">
            <v>25300</v>
          </cell>
          <cell r="L200">
            <v>14223.872500000001</v>
          </cell>
          <cell r="M200">
            <v>1303</v>
          </cell>
          <cell r="Q200">
            <v>15526.872500000001</v>
          </cell>
          <cell r="R200">
            <v>11076.127499999999</v>
          </cell>
          <cell r="S200">
            <v>9773.1274999999987</v>
          </cell>
        </row>
        <row r="201">
          <cell r="C201" t="str">
            <v>Air Conditioner 1.5 TON</v>
          </cell>
          <cell r="E201">
            <v>33086</v>
          </cell>
          <cell r="F201">
            <v>22300</v>
          </cell>
          <cell r="K201">
            <v>22300</v>
          </cell>
          <cell r="L201">
            <v>14259.907500000001</v>
          </cell>
          <cell r="M201">
            <v>1148</v>
          </cell>
          <cell r="Q201">
            <v>15407.907500000001</v>
          </cell>
          <cell r="R201">
            <v>8040.0924999999988</v>
          </cell>
          <cell r="S201">
            <v>6892.0924999999988</v>
          </cell>
        </row>
        <row r="202">
          <cell r="C202" t="str">
            <v>Air Conditioner &amp; Stablizer</v>
          </cell>
          <cell r="D202" t="str">
            <v>1+1</v>
          </cell>
          <cell r="E202">
            <v>33055</v>
          </cell>
          <cell r="F202">
            <v>19550</v>
          </cell>
          <cell r="K202">
            <v>19550</v>
          </cell>
          <cell r="L202">
            <v>12585.362499999999</v>
          </cell>
          <cell r="M202">
            <v>1007</v>
          </cell>
          <cell r="Q202">
            <v>13592.362499999999</v>
          </cell>
          <cell r="R202">
            <v>6964.6375000000007</v>
          </cell>
          <cell r="S202">
            <v>5957.6375000000007</v>
          </cell>
        </row>
        <row r="203">
          <cell r="C203" t="str">
            <v>Air Conditioner &amp; Stablizer</v>
          </cell>
          <cell r="D203" t="str">
            <v>1+1</v>
          </cell>
          <cell r="E203">
            <v>32660</v>
          </cell>
          <cell r="F203">
            <v>17900</v>
          </cell>
          <cell r="K203">
            <v>17900</v>
          </cell>
          <cell r="L203">
            <v>12521.797500000001</v>
          </cell>
          <cell r="M203">
            <v>922</v>
          </cell>
          <cell r="Q203">
            <v>13443.797500000001</v>
          </cell>
          <cell r="R203">
            <v>5378.2024999999994</v>
          </cell>
          <cell r="S203">
            <v>4456.2024999999994</v>
          </cell>
        </row>
        <row r="204">
          <cell r="C204" t="str">
            <v>Air Conditioner &amp; Stablizer</v>
          </cell>
          <cell r="D204" t="str">
            <v>1+1</v>
          </cell>
          <cell r="E204">
            <v>32660</v>
          </cell>
          <cell r="F204">
            <v>19100</v>
          </cell>
          <cell r="K204">
            <v>19100</v>
          </cell>
          <cell r="L204">
            <v>13361.247499999999</v>
          </cell>
          <cell r="M204">
            <v>984</v>
          </cell>
          <cell r="Q204">
            <v>14345.247499999999</v>
          </cell>
          <cell r="R204">
            <v>5738.7525000000005</v>
          </cell>
          <cell r="S204">
            <v>4754.7525000000005</v>
          </cell>
        </row>
        <row r="205">
          <cell r="C205" t="str">
            <v>Air Conditioner (CPD)</v>
          </cell>
          <cell r="F205">
            <v>4950</v>
          </cell>
          <cell r="K205">
            <v>4950</v>
          </cell>
          <cell r="L205">
            <v>4949.9975000000004</v>
          </cell>
          <cell r="Q205">
            <v>4949.9975000000004</v>
          </cell>
          <cell r="R205">
            <v>2.4999999995998223E-3</v>
          </cell>
          <cell r="S205">
            <v>2.4999999995998223E-3</v>
          </cell>
        </row>
        <row r="206">
          <cell r="C206" t="str">
            <v>Air Conditioner (CURADIA)</v>
          </cell>
          <cell r="D206">
            <v>1</v>
          </cell>
          <cell r="E206">
            <v>1986</v>
          </cell>
          <cell r="F206">
            <v>15180</v>
          </cell>
          <cell r="K206">
            <v>15180</v>
          </cell>
          <cell r="L206">
            <v>13329.547500000001</v>
          </cell>
          <cell r="M206">
            <v>782</v>
          </cell>
          <cell r="Q206">
            <v>14111.547500000001</v>
          </cell>
          <cell r="R206">
            <v>1850.4524999999994</v>
          </cell>
          <cell r="S206">
            <v>1068.4524999999994</v>
          </cell>
        </row>
        <row r="207">
          <cell r="C207" t="str">
            <v>A.C. Stablizer</v>
          </cell>
          <cell r="D207">
            <v>1</v>
          </cell>
          <cell r="E207">
            <v>33664</v>
          </cell>
          <cell r="F207">
            <v>1800</v>
          </cell>
          <cell r="K207">
            <v>1800</v>
          </cell>
          <cell r="L207">
            <v>1004.255</v>
          </cell>
          <cell r="M207">
            <v>93</v>
          </cell>
          <cell r="Q207">
            <v>1097.2550000000001</v>
          </cell>
          <cell r="R207">
            <v>795.745</v>
          </cell>
          <cell r="S207">
            <v>702.74499999999989</v>
          </cell>
        </row>
        <row r="208">
          <cell r="C208" t="str">
            <v>A.C. Stablizer</v>
          </cell>
          <cell r="D208">
            <v>1</v>
          </cell>
          <cell r="E208">
            <v>33390</v>
          </cell>
          <cell r="F208">
            <v>2000</v>
          </cell>
          <cell r="K208">
            <v>2000</v>
          </cell>
          <cell r="L208">
            <v>1193.08</v>
          </cell>
          <cell r="M208">
            <v>103</v>
          </cell>
          <cell r="Q208">
            <v>1296.08</v>
          </cell>
          <cell r="R208">
            <v>806.92000000000007</v>
          </cell>
          <cell r="S208">
            <v>703.92000000000007</v>
          </cell>
        </row>
        <row r="209">
          <cell r="C209" t="str">
            <v>A.C. Stablizer (CURADIA)</v>
          </cell>
          <cell r="D209">
            <v>1</v>
          </cell>
          <cell r="E209">
            <v>1986</v>
          </cell>
          <cell r="F209">
            <v>1281</v>
          </cell>
          <cell r="K209">
            <v>1281</v>
          </cell>
          <cell r="L209">
            <v>1124.8275000000001</v>
          </cell>
          <cell r="M209">
            <v>66</v>
          </cell>
          <cell r="Q209">
            <v>1190.8275000000001</v>
          </cell>
          <cell r="R209">
            <v>156.1724999999999</v>
          </cell>
          <cell r="S209">
            <v>90.1724999999999</v>
          </cell>
        </row>
        <row r="210">
          <cell r="C210" t="str">
            <v>A.C. Stablizer</v>
          </cell>
          <cell r="D210">
            <v>1</v>
          </cell>
          <cell r="E210">
            <v>34366</v>
          </cell>
          <cell r="F210">
            <v>2000</v>
          </cell>
          <cell r="K210">
            <v>2000</v>
          </cell>
          <cell r="L210">
            <v>2000</v>
          </cell>
          <cell r="Q210">
            <v>2000</v>
          </cell>
          <cell r="R210">
            <v>0</v>
          </cell>
          <cell r="S210">
            <v>0</v>
          </cell>
        </row>
        <row r="211">
          <cell r="C211" t="str">
            <v>Cooler</v>
          </cell>
          <cell r="D211">
            <v>1</v>
          </cell>
          <cell r="E211">
            <v>33420</v>
          </cell>
          <cell r="F211">
            <v>4500</v>
          </cell>
          <cell r="K211">
            <v>4500</v>
          </cell>
          <cell r="L211">
            <v>2665.1224999999999</v>
          </cell>
          <cell r="M211">
            <v>232</v>
          </cell>
          <cell r="Q211">
            <v>2897.1224999999999</v>
          </cell>
          <cell r="R211">
            <v>1834.8775000000001</v>
          </cell>
          <cell r="S211">
            <v>1602.8775000000001</v>
          </cell>
        </row>
        <row r="212">
          <cell r="C212" t="str">
            <v>Desert Cooler</v>
          </cell>
          <cell r="D212">
            <v>1</v>
          </cell>
          <cell r="E212">
            <v>33390</v>
          </cell>
          <cell r="F212">
            <v>6600</v>
          </cell>
          <cell r="K212">
            <v>6600</v>
          </cell>
          <cell r="L212">
            <v>3937.1750000000002</v>
          </cell>
          <cell r="M212">
            <v>340</v>
          </cell>
          <cell r="Q212">
            <v>4277.1750000000002</v>
          </cell>
          <cell r="R212">
            <v>2662.8249999999998</v>
          </cell>
          <cell r="S212">
            <v>2322.8249999999998</v>
          </cell>
        </row>
        <row r="213">
          <cell r="C213" t="str">
            <v>1.5 TONNE A.C. WITH STABILISER</v>
          </cell>
          <cell r="D213">
            <v>1</v>
          </cell>
          <cell r="E213">
            <v>1990</v>
          </cell>
          <cell r="F213">
            <v>19550</v>
          </cell>
          <cell r="K213">
            <v>19550</v>
          </cell>
          <cell r="L213">
            <v>12753.172500000001</v>
          </cell>
          <cell r="M213">
            <v>1007</v>
          </cell>
          <cell r="Q213">
            <v>13760.172500000001</v>
          </cell>
          <cell r="R213">
            <v>6796.8274999999994</v>
          </cell>
          <cell r="S213">
            <v>5789.8274999999994</v>
          </cell>
        </row>
        <row r="214">
          <cell r="C214" t="str">
            <v>1.5 TONNE A.C. WITH STABILISER</v>
          </cell>
          <cell r="D214">
            <v>1</v>
          </cell>
          <cell r="E214">
            <v>1991</v>
          </cell>
          <cell r="F214">
            <v>21300</v>
          </cell>
          <cell r="K214">
            <v>21300</v>
          </cell>
          <cell r="L214">
            <v>12706.342500000001</v>
          </cell>
          <cell r="M214">
            <v>1097</v>
          </cell>
          <cell r="Q214">
            <v>13803.342500000001</v>
          </cell>
          <cell r="R214">
            <v>8593.6574999999993</v>
          </cell>
          <cell r="S214">
            <v>7496.6574999999993</v>
          </cell>
        </row>
        <row r="215">
          <cell r="C215" t="str">
            <v>1.5 TONNE A.C. WITH STABILISER</v>
          </cell>
          <cell r="D215">
            <v>1</v>
          </cell>
          <cell r="E215">
            <v>1992</v>
          </cell>
          <cell r="F215">
            <v>26550</v>
          </cell>
          <cell r="K215">
            <v>26550</v>
          </cell>
          <cell r="L215">
            <v>14584.8575</v>
          </cell>
          <cell r="M215">
            <v>1367</v>
          </cell>
          <cell r="Q215">
            <v>15951.8575</v>
          </cell>
          <cell r="R215">
            <v>11965.1425</v>
          </cell>
          <cell r="S215">
            <v>10598.1425</v>
          </cell>
        </row>
        <row r="216">
          <cell r="C216" t="str">
            <v>AIR CONDITIONER</v>
          </cell>
          <cell r="D216">
            <v>9</v>
          </cell>
          <cell r="E216" t="str">
            <v>31.07.86</v>
          </cell>
          <cell r="F216">
            <v>130680</v>
          </cell>
          <cell r="K216">
            <v>130680</v>
          </cell>
          <cell r="L216">
            <v>114750.10730769232</v>
          </cell>
          <cell r="M216">
            <v>6730</v>
          </cell>
          <cell r="Q216">
            <v>121480.10730769232</v>
          </cell>
          <cell r="R216">
            <v>15929.89269230768</v>
          </cell>
          <cell r="S216">
            <v>9199.8926923076797</v>
          </cell>
        </row>
        <row r="217">
          <cell r="C217" t="str">
            <v>VOLTAGE STABILIZER</v>
          </cell>
          <cell r="D217">
            <v>9</v>
          </cell>
          <cell r="E217" t="str">
            <v>31.07.86</v>
          </cell>
          <cell r="F217">
            <v>10051.997692307692</v>
          </cell>
          <cell r="K217">
            <v>10051.997692307692</v>
          </cell>
          <cell r="L217">
            <v>8826.8988461538465</v>
          </cell>
          <cell r="M217">
            <v>518</v>
          </cell>
          <cell r="Q217">
            <v>9344.8988461538465</v>
          </cell>
          <cell r="R217">
            <v>1225.0988461538454</v>
          </cell>
          <cell r="S217">
            <v>707.09884615384544</v>
          </cell>
        </row>
        <row r="218">
          <cell r="C218" t="str">
            <v>INSTALATION COST</v>
          </cell>
          <cell r="E218" t="str">
            <v>31.07.86</v>
          </cell>
          <cell r="F218">
            <v>3900</v>
          </cell>
          <cell r="K218">
            <v>3900</v>
          </cell>
          <cell r="L218">
            <v>3424.5874999999996</v>
          </cell>
          <cell r="M218">
            <v>201</v>
          </cell>
          <cell r="Q218">
            <v>3625.5874999999996</v>
          </cell>
          <cell r="R218">
            <v>475.41250000000036</v>
          </cell>
          <cell r="S218">
            <v>274.41250000000036</v>
          </cell>
        </row>
        <row r="219">
          <cell r="C219" t="str">
            <v>WATER COOLER</v>
          </cell>
          <cell r="D219">
            <v>1</v>
          </cell>
          <cell r="E219" t="str">
            <v>31.12.86</v>
          </cell>
          <cell r="F219">
            <v>8848.4</v>
          </cell>
          <cell r="K219">
            <v>8848.4</v>
          </cell>
          <cell r="L219">
            <v>7769.7601000000004</v>
          </cell>
          <cell r="M219">
            <v>455.99</v>
          </cell>
          <cell r="Q219">
            <v>8225.7501000000011</v>
          </cell>
          <cell r="R219">
            <v>1078.6398999999992</v>
          </cell>
          <cell r="S219">
            <v>622.64989999999852</v>
          </cell>
        </row>
        <row r="220">
          <cell r="C220" t="str">
            <v>A.C. Stablizer</v>
          </cell>
          <cell r="D220">
            <v>1</v>
          </cell>
          <cell r="F220">
            <v>1425.26</v>
          </cell>
          <cell r="K220">
            <v>1425.26</v>
          </cell>
          <cell r="L220">
            <v>1425.25</v>
          </cell>
          <cell r="Q220">
            <v>1425.25</v>
          </cell>
          <cell r="R220">
            <v>9.9999999999909051E-3</v>
          </cell>
          <cell r="S220">
            <v>9.9999999999909051E-3</v>
          </cell>
        </row>
        <row r="222">
          <cell r="C222" t="str">
            <v>GODREJ REFRIGERATOR</v>
          </cell>
          <cell r="D222">
            <v>1</v>
          </cell>
          <cell r="E222" t="str">
            <v>31.12.82</v>
          </cell>
          <cell r="F222">
            <v>7250</v>
          </cell>
          <cell r="K222">
            <v>7250</v>
          </cell>
          <cell r="L222">
            <v>7249</v>
          </cell>
          <cell r="M222">
            <v>1</v>
          </cell>
          <cell r="Q222">
            <v>7250</v>
          </cell>
          <cell r="R222">
            <v>1</v>
          </cell>
          <cell r="S222">
            <v>0</v>
          </cell>
        </row>
        <row r="223">
          <cell r="C223" t="str">
            <v>75SE-WATER COOLER</v>
          </cell>
          <cell r="D223">
            <v>1</v>
          </cell>
          <cell r="E223" t="str">
            <v>27.03.92</v>
          </cell>
          <cell r="F223">
            <v>11279</v>
          </cell>
          <cell r="K223">
            <v>11279</v>
          </cell>
          <cell r="L223">
            <v>6293</v>
          </cell>
          <cell r="M223">
            <v>581</v>
          </cell>
          <cell r="Q223">
            <v>6874</v>
          </cell>
          <cell r="R223">
            <v>4986</v>
          </cell>
          <cell r="S223">
            <v>4405</v>
          </cell>
        </row>
        <row r="224">
          <cell r="C224" t="str">
            <v>75SE-WATER COOLER</v>
          </cell>
          <cell r="D224">
            <v>1</v>
          </cell>
          <cell r="E224" t="str">
            <v>20.11.87</v>
          </cell>
          <cell r="F224">
            <v>8481.2000000000007</v>
          </cell>
          <cell r="K224">
            <v>8481.2000000000007</v>
          </cell>
          <cell r="L224">
            <v>6672.7</v>
          </cell>
          <cell r="M224">
            <v>437</v>
          </cell>
          <cell r="Q224">
            <v>7109.7</v>
          </cell>
          <cell r="R224">
            <v>1808.5000000000009</v>
          </cell>
          <cell r="S224">
            <v>1371.5000000000009</v>
          </cell>
        </row>
        <row r="225">
          <cell r="C225" t="str">
            <v>REFRI-HRD FUR-RSM-STC</v>
          </cell>
          <cell r="D225">
            <v>1</v>
          </cell>
          <cell r="E225" t="str">
            <v>07.08.91</v>
          </cell>
          <cell r="F225">
            <v>10000</v>
          </cell>
          <cell r="K225">
            <v>10000</v>
          </cell>
          <cell r="L225">
            <v>5922.25</v>
          </cell>
          <cell r="M225">
            <v>515</v>
          </cell>
          <cell r="Q225">
            <v>6437.25</v>
          </cell>
          <cell r="R225">
            <v>4077.75</v>
          </cell>
          <cell r="S225">
            <v>3562.75</v>
          </cell>
        </row>
        <row r="226">
          <cell r="C226" t="str">
            <v>1.5 TON.AIR CON</v>
          </cell>
          <cell r="D226">
            <v>2</v>
          </cell>
          <cell r="E226" t="str">
            <v>31.02.82</v>
          </cell>
          <cell r="F226">
            <v>6930</v>
          </cell>
          <cell r="K226">
            <v>6930</v>
          </cell>
          <cell r="L226">
            <v>6929</v>
          </cell>
          <cell r="M226">
            <v>1</v>
          </cell>
          <cell r="Q226">
            <v>6930</v>
          </cell>
          <cell r="R226">
            <v>1</v>
          </cell>
          <cell r="S226">
            <v>0</v>
          </cell>
        </row>
        <row r="227">
          <cell r="C227" t="str">
            <v>1.5 TON.AIR CON</v>
          </cell>
          <cell r="D227">
            <v>2</v>
          </cell>
          <cell r="E227" t="str">
            <v>18.05.88</v>
          </cell>
          <cell r="F227">
            <v>44621</v>
          </cell>
          <cell r="K227">
            <v>44621</v>
          </cell>
          <cell r="L227">
            <v>32835.4</v>
          </cell>
          <cell r="M227">
            <v>2298</v>
          </cell>
          <cell r="Q227">
            <v>35133.4</v>
          </cell>
          <cell r="R227">
            <v>11785.599999999999</v>
          </cell>
          <cell r="S227">
            <v>9487.5999999999985</v>
          </cell>
        </row>
        <row r="228">
          <cell r="C228" t="str">
            <v>1.5 TON.AIR CON</v>
          </cell>
          <cell r="D228">
            <v>1</v>
          </cell>
          <cell r="E228" t="str">
            <v>31.03.95</v>
          </cell>
          <cell r="F228">
            <v>19500</v>
          </cell>
          <cell r="K228">
            <v>19500</v>
          </cell>
          <cell r="L228">
            <v>13555.44</v>
          </cell>
          <cell r="M228">
            <v>1004</v>
          </cell>
          <cell r="Q228">
            <v>14559.44</v>
          </cell>
          <cell r="R228">
            <v>5944.5599999999995</v>
          </cell>
          <cell r="S228">
            <v>4940.5599999999995</v>
          </cell>
        </row>
        <row r="229">
          <cell r="C229" t="str">
            <v>ROOM COOLER</v>
          </cell>
          <cell r="D229">
            <v>2</v>
          </cell>
          <cell r="E229" t="str">
            <v>06.05.82</v>
          </cell>
          <cell r="F229">
            <v>3960</v>
          </cell>
          <cell r="K229">
            <v>3960</v>
          </cell>
          <cell r="L229">
            <v>3960</v>
          </cell>
          <cell r="Q229">
            <v>3960</v>
          </cell>
          <cell r="R229">
            <v>0</v>
          </cell>
          <cell r="S229">
            <v>0</v>
          </cell>
        </row>
        <row r="230">
          <cell r="C230" t="str">
            <v>ROOM COOLER</v>
          </cell>
          <cell r="D230">
            <v>1</v>
          </cell>
          <cell r="E230" t="str">
            <v>24.07.87</v>
          </cell>
          <cell r="F230">
            <v>4374</v>
          </cell>
          <cell r="K230">
            <v>4374</v>
          </cell>
          <cell r="L230">
            <v>3534.26</v>
          </cell>
          <cell r="M230">
            <v>225</v>
          </cell>
          <cell r="Q230">
            <v>3759.26</v>
          </cell>
          <cell r="R230">
            <v>839.73999999999978</v>
          </cell>
          <cell r="S230">
            <v>614.73999999999978</v>
          </cell>
        </row>
        <row r="231">
          <cell r="C231" t="str">
            <v>GEM ROOMCOOLER</v>
          </cell>
          <cell r="D231">
            <v>1</v>
          </cell>
          <cell r="E231" t="str">
            <v>26.04.83</v>
          </cell>
          <cell r="F231">
            <v>2560.36</v>
          </cell>
          <cell r="K231">
            <v>2560.36</v>
          </cell>
          <cell r="L231">
            <v>2559.36</v>
          </cell>
          <cell r="M231">
            <v>1</v>
          </cell>
          <cell r="Q231">
            <v>2560.36</v>
          </cell>
          <cell r="R231">
            <v>1</v>
          </cell>
          <cell r="S231">
            <v>0</v>
          </cell>
        </row>
        <row r="232">
          <cell r="C232" t="str">
            <v>1.5T.A.C WITH STBLSR</v>
          </cell>
          <cell r="D232">
            <v>10</v>
          </cell>
          <cell r="E232" t="str">
            <v>27.07.90</v>
          </cell>
          <cell r="F232">
            <v>202960</v>
          </cell>
          <cell r="K232">
            <v>202960</v>
          </cell>
          <cell r="L232">
            <v>125933.53</v>
          </cell>
          <cell r="M232">
            <v>10452</v>
          </cell>
          <cell r="Q232">
            <v>136385.53</v>
          </cell>
          <cell r="R232">
            <v>77026.47</v>
          </cell>
          <cell r="S232">
            <v>66574.47</v>
          </cell>
        </row>
        <row r="233">
          <cell r="C233" t="str">
            <v>A.C WITH STBLSR</v>
          </cell>
          <cell r="D233">
            <v>5</v>
          </cell>
          <cell r="E233" t="str">
            <v>18.12.92</v>
          </cell>
          <cell r="F233">
            <v>130000</v>
          </cell>
          <cell r="K233">
            <v>130000</v>
          </cell>
          <cell r="L233">
            <v>65276.25</v>
          </cell>
          <cell r="M233">
            <v>6695</v>
          </cell>
          <cell r="Q233">
            <v>71971.25</v>
          </cell>
          <cell r="R233">
            <v>64723.75</v>
          </cell>
          <cell r="S233">
            <v>58028.75</v>
          </cell>
        </row>
        <row r="234">
          <cell r="C234" t="str">
            <v>1.5 TON AC WITH STBLISER</v>
          </cell>
          <cell r="D234">
            <v>3</v>
          </cell>
          <cell r="E234" t="str">
            <v>31.03.93</v>
          </cell>
          <cell r="F234">
            <v>78000</v>
          </cell>
          <cell r="K234">
            <v>78000</v>
          </cell>
          <cell r="L234">
            <v>38161.75</v>
          </cell>
          <cell r="M234">
            <v>4017</v>
          </cell>
          <cell r="Q234">
            <v>42178.75</v>
          </cell>
          <cell r="R234">
            <v>39838.25</v>
          </cell>
          <cell r="S234">
            <v>35821.25</v>
          </cell>
        </row>
        <row r="236">
          <cell r="C236" t="str">
            <v>1.5 T 4KVA STABLSR-3 NOS</v>
          </cell>
          <cell r="E236">
            <v>33324</v>
          </cell>
          <cell r="F236">
            <v>81000</v>
          </cell>
          <cell r="K236">
            <v>81000</v>
          </cell>
          <cell r="L236">
            <v>49368</v>
          </cell>
          <cell r="M236">
            <v>4172</v>
          </cell>
          <cell r="Q236">
            <v>53540</v>
          </cell>
          <cell r="R236">
            <v>31632</v>
          </cell>
          <cell r="S236">
            <v>27460</v>
          </cell>
        </row>
        <row r="237">
          <cell r="C237" t="str">
            <v>DOUBLE DOOR COOLING CABINET</v>
          </cell>
          <cell r="E237">
            <v>32964</v>
          </cell>
          <cell r="F237">
            <v>27672.25</v>
          </cell>
          <cell r="K237">
            <v>27672.25</v>
          </cell>
          <cell r="L237">
            <v>18169.490000000002</v>
          </cell>
          <cell r="M237">
            <v>1425</v>
          </cell>
          <cell r="Q237">
            <v>19594.490000000002</v>
          </cell>
          <cell r="R237">
            <v>9502.7599999999984</v>
          </cell>
          <cell r="S237">
            <v>8077.7599999999984</v>
          </cell>
        </row>
        <row r="238">
          <cell r="C238" t="str">
            <v>BLUE STAR WALKINCOOLER</v>
          </cell>
          <cell r="E238">
            <v>32952</v>
          </cell>
          <cell r="F238">
            <v>177528</v>
          </cell>
          <cell r="K238">
            <v>177528</v>
          </cell>
          <cell r="L238">
            <v>116572.38</v>
          </cell>
          <cell r="M238">
            <v>9143</v>
          </cell>
          <cell r="Q238">
            <v>125715.38</v>
          </cell>
          <cell r="R238">
            <v>60955.619999999995</v>
          </cell>
          <cell r="S238">
            <v>51812.619999999995</v>
          </cell>
        </row>
        <row r="239">
          <cell r="C239" t="str">
            <v>ONE AC 1.5TON FROM INDORE</v>
          </cell>
          <cell r="E239">
            <v>33238</v>
          </cell>
          <cell r="F239">
            <v>20400</v>
          </cell>
          <cell r="K239">
            <v>20400</v>
          </cell>
          <cell r="L239">
            <v>12696.2</v>
          </cell>
          <cell r="M239">
            <v>1051</v>
          </cell>
          <cell r="Q239">
            <v>13747.2</v>
          </cell>
          <cell r="R239">
            <v>7703.7999999999993</v>
          </cell>
          <cell r="S239">
            <v>6652.7999999999993</v>
          </cell>
        </row>
        <row r="240">
          <cell r="C240" t="str">
            <v>1.5T4KVA STABLSR-2NOS</v>
          </cell>
          <cell r="E240">
            <v>33324</v>
          </cell>
          <cell r="F240">
            <v>54000</v>
          </cell>
          <cell r="K240">
            <v>54000</v>
          </cell>
          <cell r="L240">
            <v>32909</v>
          </cell>
          <cell r="M240">
            <v>2781</v>
          </cell>
          <cell r="Q240">
            <v>35690</v>
          </cell>
          <cell r="R240">
            <v>21091</v>
          </cell>
          <cell r="S240">
            <v>18310</v>
          </cell>
        </row>
        <row r="241">
          <cell r="C241" t="str">
            <v>WALKIN COOLER</v>
          </cell>
          <cell r="E241">
            <v>33694</v>
          </cell>
          <cell r="F241">
            <v>163878</v>
          </cell>
          <cell r="K241">
            <v>163878</v>
          </cell>
          <cell r="L241">
            <v>91314</v>
          </cell>
          <cell r="M241">
            <v>8440</v>
          </cell>
          <cell r="Q241">
            <v>99754</v>
          </cell>
          <cell r="R241">
            <v>72564</v>
          </cell>
          <cell r="S241">
            <v>64124</v>
          </cell>
        </row>
        <row r="242">
          <cell r="C242" t="str">
            <v>BLUE STAR WALKIN COOLER</v>
          </cell>
          <cell r="E242">
            <v>32952</v>
          </cell>
          <cell r="F242">
            <v>174778</v>
          </cell>
          <cell r="K242">
            <v>174778</v>
          </cell>
          <cell r="L242">
            <v>114763</v>
          </cell>
          <cell r="M242">
            <v>9001</v>
          </cell>
          <cell r="Q242">
            <v>123764</v>
          </cell>
          <cell r="R242">
            <v>60015</v>
          </cell>
          <cell r="S242">
            <v>51014</v>
          </cell>
        </row>
        <row r="243">
          <cell r="C243" t="str">
            <v>A/C 1NO 2.5TONS FROM INDORE</v>
          </cell>
          <cell r="E243">
            <v>32142</v>
          </cell>
          <cell r="F243">
            <v>21200</v>
          </cell>
          <cell r="K243">
            <v>21200</v>
          </cell>
          <cell r="L243">
            <v>18899</v>
          </cell>
          <cell r="M243">
            <v>1092</v>
          </cell>
          <cell r="Q243">
            <v>19991</v>
          </cell>
          <cell r="R243">
            <v>2301</v>
          </cell>
          <cell r="S243">
            <v>1209</v>
          </cell>
        </row>
        <row r="244">
          <cell r="C244" t="str">
            <v>AIRCONDITIONER MODEL-A300</v>
          </cell>
          <cell r="E244">
            <v>27856</v>
          </cell>
          <cell r="F244">
            <v>8609.5</v>
          </cell>
          <cell r="K244">
            <v>8609.5</v>
          </cell>
          <cell r="L244">
            <v>8609.5</v>
          </cell>
          <cell r="Q244">
            <v>8609.5</v>
          </cell>
          <cell r="R244">
            <v>0</v>
          </cell>
          <cell r="S244">
            <v>0</v>
          </cell>
        </row>
        <row r="245">
          <cell r="C245" t="str">
            <v>AIRCONDITIONERWINDOW</v>
          </cell>
          <cell r="E245">
            <v>30068</v>
          </cell>
          <cell r="F245">
            <v>13860</v>
          </cell>
          <cell r="K245">
            <v>13860</v>
          </cell>
          <cell r="L245">
            <v>13860</v>
          </cell>
          <cell r="Q245">
            <v>13860</v>
          </cell>
          <cell r="R245">
            <v>0</v>
          </cell>
          <cell r="S245">
            <v>0</v>
          </cell>
        </row>
        <row r="246">
          <cell r="C246" t="str">
            <v>VOLTAGESTABILIZERS</v>
          </cell>
          <cell r="E246">
            <v>30825</v>
          </cell>
          <cell r="F246">
            <v>722.5</v>
          </cell>
          <cell r="K246">
            <v>722.5</v>
          </cell>
          <cell r="L246">
            <v>707.5</v>
          </cell>
          <cell r="M246">
            <v>15</v>
          </cell>
          <cell r="Q246">
            <v>722.5</v>
          </cell>
          <cell r="R246">
            <v>15</v>
          </cell>
          <cell r="S246">
            <v>0</v>
          </cell>
        </row>
        <row r="247">
          <cell r="C247" t="str">
            <v>WATER COOLER</v>
          </cell>
          <cell r="E247">
            <v>29829</v>
          </cell>
          <cell r="F247">
            <v>5768</v>
          </cell>
          <cell r="K247">
            <v>5768</v>
          </cell>
          <cell r="L247">
            <v>5768</v>
          </cell>
          <cell r="M247">
            <v>0</v>
          </cell>
          <cell r="Q247">
            <v>5768</v>
          </cell>
          <cell r="R247">
            <v>0</v>
          </cell>
          <cell r="S247">
            <v>0</v>
          </cell>
        </row>
        <row r="248">
          <cell r="C248" t="str">
            <v>ROOMCOOLER &amp; REVOLING STAND 2NOS</v>
          </cell>
          <cell r="E248">
            <v>30069</v>
          </cell>
          <cell r="F248">
            <v>3960</v>
          </cell>
          <cell r="K248">
            <v>3960</v>
          </cell>
          <cell r="L248">
            <v>3960</v>
          </cell>
          <cell r="Q248">
            <v>3960</v>
          </cell>
          <cell r="R248">
            <v>0</v>
          </cell>
          <cell r="S248">
            <v>0</v>
          </cell>
        </row>
        <row r="249">
          <cell r="C249" t="str">
            <v>ROOMCOOLER UNIVERSAL</v>
          </cell>
          <cell r="E249">
            <v>30379</v>
          </cell>
          <cell r="F249">
            <v>2850</v>
          </cell>
          <cell r="K249">
            <v>2850</v>
          </cell>
          <cell r="L249">
            <v>2849</v>
          </cell>
          <cell r="M249">
            <v>1</v>
          </cell>
          <cell r="Q249">
            <v>2850</v>
          </cell>
          <cell r="R249">
            <v>1</v>
          </cell>
          <cell r="S249">
            <v>0</v>
          </cell>
        </row>
        <row r="250">
          <cell r="C250" t="str">
            <v>DESERTCOOLER</v>
          </cell>
          <cell r="E250">
            <v>30844</v>
          </cell>
          <cell r="F250">
            <v>2700</v>
          </cell>
          <cell r="K250">
            <v>2700</v>
          </cell>
          <cell r="L250">
            <v>2657</v>
          </cell>
          <cell r="M250">
            <v>43</v>
          </cell>
          <cell r="Q250">
            <v>2700</v>
          </cell>
          <cell r="R250">
            <v>43</v>
          </cell>
          <cell r="S250">
            <v>0</v>
          </cell>
        </row>
        <row r="251">
          <cell r="C251" t="str">
            <v>AIRCONDITON 1.5TON &amp; STAB 2NOS</v>
          </cell>
          <cell r="E251">
            <v>33324</v>
          </cell>
          <cell r="F251">
            <v>54000</v>
          </cell>
          <cell r="K251">
            <v>54000</v>
          </cell>
          <cell r="L251">
            <v>32909</v>
          </cell>
          <cell r="M251">
            <v>2781</v>
          </cell>
          <cell r="Q251">
            <v>35690</v>
          </cell>
          <cell r="R251">
            <v>21091</v>
          </cell>
          <cell r="S251">
            <v>18310</v>
          </cell>
        </row>
        <row r="252">
          <cell r="C252" t="str">
            <v>BLUESTAR WALKINCOOLER</v>
          </cell>
          <cell r="E252">
            <v>34239</v>
          </cell>
          <cell r="F252">
            <v>173314.52</v>
          </cell>
          <cell r="K252">
            <v>173314.52</v>
          </cell>
          <cell r="L252">
            <v>83308.52</v>
          </cell>
          <cell r="M252">
            <v>8926</v>
          </cell>
          <cell r="Q252">
            <v>92234.52</v>
          </cell>
          <cell r="R252">
            <v>90005.999999999985</v>
          </cell>
          <cell r="S252">
            <v>81079.999999999985</v>
          </cell>
        </row>
        <row r="253">
          <cell r="C253" t="str">
            <v>SHRIRAM USHAWATERCOOLER</v>
          </cell>
          <cell r="E253">
            <v>34239</v>
          </cell>
          <cell r="F253">
            <v>14685</v>
          </cell>
          <cell r="K253">
            <v>14685</v>
          </cell>
          <cell r="L253">
            <v>6930</v>
          </cell>
          <cell r="M253">
            <v>756</v>
          </cell>
          <cell r="Q253">
            <v>7686</v>
          </cell>
          <cell r="R253">
            <v>7755</v>
          </cell>
          <cell r="S253">
            <v>6999</v>
          </cell>
        </row>
        <row r="254">
          <cell r="C254" t="str">
            <v>BLUE STAR WALKIN COOLER</v>
          </cell>
          <cell r="E254">
            <v>33820</v>
          </cell>
          <cell r="F254">
            <v>166421</v>
          </cell>
          <cell r="K254">
            <v>166421</v>
          </cell>
          <cell r="L254">
            <v>89279</v>
          </cell>
          <cell r="M254">
            <v>8571</v>
          </cell>
          <cell r="Q254">
            <v>97850</v>
          </cell>
          <cell r="R254">
            <v>77142</v>
          </cell>
          <cell r="S254">
            <v>68571</v>
          </cell>
        </row>
        <row r="255">
          <cell r="C255" t="str">
            <v xml:space="preserve">REFRIGERATOR </v>
          </cell>
          <cell r="E255">
            <v>30259</v>
          </cell>
          <cell r="F255">
            <v>7859</v>
          </cell>
          <cell r="K255">
            <v>7859</v>
          </cell>
          <cell r="L255">
            <v>7859</v>
          </cell>
          <cell r="Q255">
            <v>7859</v>
          </cell>
          <cell r="R255">
            <v>0</v>
          </cell>
          <cell r="S255">
            <v>0</v>
          </cell>
        </row>
        <row r="256">
          <cell r="C256" t="str">
            <v>AIRCONDITIONER INCLD TRANSFORMER</v>
          </cell>
          <cell r="E256">
            <v>30096</v>
          </cell>
          <cell r="F256">
            <v>5610</v>
          </cell>
          <cell r="K256">
            <v>5610</v>
          </cell>
          <cell r="L256">
            <v>5610</v>
          </cell>
          <cell r="Q256">
            <v>5610</v>
          </cell>
          <cell r="R256">
            <v>0</v>
          </cell>
          <cell r="S256">
            <v>0</v>
          </cell>
        </row>
        <row r="257">
          <cell r="C257" t="str">
            <v>VOLTAS SUPER ROOM A/C</v>
          </cell>
          <cell r="E257">
            <v>28338</v>
          </cell>
          <cell r="F257">
            <v>10490</v>
          </cell>
          <cell r="K257">
            <v>10490</v>
          </cell>
          <cell r="L257">
            <v>10490</v>
          </cell>
          <cell r="Q257">
            <v>10490</v>
          </cell>
          <cell r="R257">
            <v>0</v>
          </cell>
          <cell r="S257">
            <v>0</v>
          </cell>
        </row>
        <row r="258">
          <cell r="C258" t="str">
            <v>VOLTAS SUPER ROOM A/C</v>
          </cell>
          <cell r="E258">
            <v>32297</v>
          </cell>
          <cell r="F258">
            <v>20500</v>
          </cell>
          <cell r="K258">
            <v>20500</v>
          </cell>
          <cell r="L258">
            <v>15400</v>
          </cell>
          <cell r="M258">
            <v>1056</v>
          </cell>
          <cell r="Q258">
            <v>16456</v>
          </cell>
          <cell r="R258">
            <v>5100</v>
          </cell>
          <cell r="S258">
            <v>4044</v>
          </cell>
        </row>
        <row r="259">
          <cell r="C259" t="str">
            <v>USHA WATER COOLER</v>
          </cell>
          <cell r="E259">
            <v>31163</v>
          </cell>
          <cell r="F259">
            <v>6977</v>
          </cell>
          <cell r="K259">
            <v>6977</v>
          </cell>
          <cell r="L259">
            <v>6489</v>
          </cell>
          <cell r="M259">
            <v>359</v>
          </cell>
          <cell r="Q259">
            <v>6848</v>
          </cell>
          <cell r="R259">
            <v>488</v>
          </cell>
          <cell r="S259">
            <v>129</v>
          </cell>
        </row>
        <row r="260">
          <cell r="C260" t="str">
            <v>AUTOMATIC VOLTAGE STABLISER</v>
          </cell>
          <cell r="E260">
            <v>32378</v>
          </cell>
          <cell r="F260">
            <v>1650</v>
          </cell>
          <cell r="K260">
            <v>1650</v>
          </cell>
          <cell r="L260">
            <v>1218</v>
          </cell>
          <cell r="M260">
            <v>85</v>
          </cell>
          <cell r="Q260">
            <v>1303</v>
          </cell>
          <cell r="R260">
            <v>432</v>
          </cell>
          <cell r="S260">
            <v>347</v>
          </cell>
        </row>
        <row r="261">
          <cell r="C261" t="str">
            <v>ELECTRON 1 LTR ROOM A/C WITH GRILL</v>
          </cell>
          <cell r="E261">
            <v>32658</v>
          </cell>
          <cell r="F261">
            <v>36000</v>
          </cell>
          <cell r="K261">
            <v>36000</v>
          </cell>
          <cell r="L261">
            <v>25339</v>
          </cell>
          <cell r="M261">
            <v>1854</v>
          </cell>
          <cell r="Q261">
            <v>27193</v>
          </cell>
          <cell r="R261">
            <v>10661</v>
          </cell>
          <cell r="S261">
            <v>8807</v>
          </cell>
        </row>
        <row r="262">
          <cell r="C262" t="str">
            <v>AUTOMATIC VOLTAGE STABLISER</v>
          </cell>
          <cell r="E262">
            <v>32658</v>
          </cell>
          <cell r="F262">
            <v>3300</v>
          </cell>
          <cell r="K262">
            <v>3300</v>
          </cell>
          <cell r="L262">
            <v>2337</v>
          </cell>
          <cell r="M262">
            <v>170</v>
          </cell>
          <cell r="Q262">
            <v>2507</v>
          </cell>
          <cell r="R262">
            <v>963</v>
          </cell>
          <cell r="S262">
            <v>793</v>
          </cell>
        </row>
        <row r="263">
          <cell r="C263" t="str">
            <v>AUTOMATIC VOLTAGE STABILISER</v>
          </cell>
          <cell r="E263">
            <v>33143</v>
          </cell>
          <cell r="F263">
            <v>113500</v>
          </cell>
          <cell r="K263">
            <v>113500</v>
          </cell>
          <cell r="L263">
            <v>72089</v>
          </cell>
          <cell r="M263">
            <v>5845</v>
          </cell>
          <cell r="Q263">
            <v>77934</v>
          </cell>
          <cell r="R263">
            <v>41411</v>
          </cell>
          <cell r="S263">
            <v>35566</v>
          </cell>
        </row>
        <row r="264">
          <cell r="C264" t="str">
            <v>WITH4KVA.STAB</v>
          </cell>
          <cell r="D264">
            <v>2</v>
          </cell>
          <cell r="E264">
            <v>33324</v>
          </cell>
          <cell r="F264">
            <v>54000</v>
          </cell>
          <cell r="K264">
            <v>54000</v>
          </cell>
          <cell r="L264">
            <v>32909</v>
          </cell>
          <cell r="M264">
            <v>2781</v>
          </cell>
          <cell r="Q264">
            <v>35690</v>
          </cell>
          <cell r="R264">
            <v>21091</v>
          </cell>
          <cell r="S264">
            <v>18310</v>
          </cell>
        </row>
        <row r="266">
          <cell r="C266" t="str">
            <v>A C MACHINE .</v>
          </cell>
          <cell r="D266">
            <v>5</v>
          </cell>
          <cell r="E266" t="str">
            <v>31.12.86</v>
          </cell>
          <cell r="F266">
            <v>50901</v>
          </cell>
          <cell r="K266">
            <v>50901</v>
          </cell>
          <cell r="L266">
            <v>49249.46</v>
          </cell>
          <cell r="M266">
            <v>1651.54</v>
          </cell>
          <cell r="Q266">
            <v>50901</v>
          </cell>
          <cell r="R266">
            <v>1651.5400000000009</v>
          </cell>
          <cell r="S266">
            <v>0</v>
          </cell>
        </row>
        <row r="267">
          <cell r="C267" t="str">
            <v xml:space="preserve">REFRIGERATOR </v>
          </cell>
          <cell r="D267">
            <v>1</v>
          </cell>
          <cell r="E267" t="str">
            <v>23.09.82</v>
          </cell>
          <cell r="F267">
            <v>8300</v>
          </cell>
          <cell r="K267">
            <v>8300</v>
          </cell>
          <cell r="L267">
            <v>8299</v>
          </cell>
          <cell r="M267">
            <v>1</v>
          </cell>
          <cell r="Q267">
            <v>8300</v>
          </cell>
          <cell r="R267">
            <v>1</v>
          </cell>
          <cell r="S267">
            <v>0</v>
          </cell>
        </row>
        <row r="268">
          <cell r="C268" t="str">
            <v>A.C MACHINE .</v>
          </cell>
          <cell r="D268">
            <v>5</v>
          </cell>
          <cell r="E268" t="str">
            <v>01.09.90</v>
          </cell>
          <cell r="F268">
            <v>122858.5</v>
          </cell>
          <cell r="K268">
            <v>122858.5</v>
          </cell>
          <cell r="L268">
            <v>78034.17</v>
          </cell>
          <cell r="M268">
            <v>6327</v>
          </cell>
          <cell r="Q268">
            <v>84361.17</v>
          </cell>
          <cell r="R268">
            <v>44824.33</v>
          </cell>
          <cell r="S268">
            <v>38497.33</v>
          </cell>
        </row>
        <row r="269">
          <cell r="C269" t="str">
            <v>VOLT STABILIZERS</v>
          </cell>
          <cell r="D269">
            <v>5</v>
          </cell>
          <cell r="E269" t="str">
            <v>01.11.90</v>
          </cell>
          <cell r="F269">
            <v>6050</v>
          </cell>
          <cell r="K269">
            <v>6050</v>
          </cell>
          <cell r="L269">
            <v>2624.73</v>
          </cell>
          <cell r="M269">
            <v>312</v>
          </cell>
          <cell r="Q269">
            <v>2936.73</v>
          </cell>
          <cell r="R269">
            <v>3425.27</v>
          </cell>
          <cell r="S269">
            <v>3113.27</v>
          </cell>
        </row>
        <row r="270">
          <cell r="C270" t="str">
            <v xml:space="preserve">COLLING CABINETS </v>
          </cell>
          <cell r="D270">
            <v>1</v>
          </cell>
          <cell r="E270" t="str">
            <v>01.04.91</v>
          </cell>
          <cell r="F270">
            <v>26247</v>
          </cell>
          <cell r="K270">
            <v>26247</v>
          </cell>
          <cell r="L270">
            <v>15884.11</v>
          </cell>
          <cell r="M270">
            <v>1352</v>
          </cell>
          <cell r="Q270">
            <v>17236.11</v>
          </cell>
          <cell r="R270">
            <v>10362.89</v>
          </cell>
          <cell r="S270">
            <v>9010.89</v>
          </cell>
        </row>
        <row r="271">
          <cell r="C271" t="str">
            <v xml:space="preserve">A C MACHINE </v>
          </cell>
          <cell r="D271">
            <v>1</v>
          </cell>
          <cell r="E271" t="str">
            <v>18.03.93</v>
          </cell>
          <cell r="F271">
            <v>32500</v>
          </cell>
          <cell r="K271">
            <v>32500</v>
          </cell>
          <cell r="L271">
            <v>16458.810000000001</v>
          </cell>
          <cell r="M271">
            <v>1674</v>
          </cell>
          <cell r="Q271">
            <v>18132.810000000001</v>
          </cell>
          <cell r="R271">
            <v>16041.189999999999</v>
          </cell>
          <cell r="S271">
            <v>14367.189999999999</v>
          </cell>
        </row>
        <row r="272">
          <cell r="C272" t="str">
            <v xml:space="preserve">VOLTAGE STBL </v>
          </cell>
          <cell r="D272">
            <v>1</v>
          </cell>
          <cell r="E272" t="str">
            <v>18.03.93</v>
          </cell>
          <cell r="F272">
            <v>2750</v>
          </cell>
          <cell r="K272">
            <v>2750</v>
          </cell>
          <cell r="L272">
            <v>1393.99</v>
          </cell>
          <cell r="M272">
            <v>142</v>
          </cell>
          <cell r="Q272">
            <v>1535.99</v>
          </cell>
          <cell r="R272">
            <v>1356.01</v>
          </cell>
          <cell r="S272">
            <v>1214.01</v>
          </cell>
        </row>
        <row r="273">
          <cell r="C273" t="str">
            <v>WINDOW AC ONE NO.</v>
          </cell>
          <cell r="E273" t="str">
            <v>01/06/92</v>
          </cell>
          <cell r="F273">
            <v>5000</v>
          </cell>
          <cell r="K273">
            <v>5000</v>
          </cell>
          <cell r="L273">
            <v>2726.63</v>
          </cell>
          <cell r="M273">
            <v>258</v>
          </cell>
          <cell r="Q273">
            <v>2984.63</v>
          </cell>
          <cell r="R273">
            <v>2273.37</v>
          </cell>
          <cell r="S273">
            <v>2015.37</v>
          </cell>
        </row>
        <row r="274">
          <cell r="C274" t="str">
            <v>REFRIGERATOR ONE NO.</v>
          </cell>
          <cell r="E274" t="str">
            <v>04/02/82</v>
          </cell>
          <cell r="F274">
            <v>7501.66</v>
          </cell>
          <cell r="K274">
            <v>7501.66</v>
          </cell>
          <cell r="L274">
            <v>7500.66</v>
          </cell>
          <cell r="M274">
            <v>1</v>
          </cell>
          <cell r="Q274">
            <v>7501.66</v>
          </cell>
          <cell r="R274">
            <v>1</v>
          </cell>
          <cell r="S274">
            <v>0</v>
          </cell>
        </row>
        <row r="275">
          <cell r="C275" t="str">
            <v>REFRIGERATOR ONE NO.</v>
          </cell>
          <cell r="E275" t="str">
            <v>05/06/91</v>
          </cell>
          <cell r="F275">
            <v>10000</v>
          </cell>
          <cell r="K275">
            <v>10000</v>
          </cell>
          <cell r="L275">
            <v>5966.25</v>
          </cell>
          <cell r="M275">
            <v>515</v>
          </cell>
          <cell r="Q275">
            <v>6481.25</v>
          </cell>
          <cell r="R275">
            <v>4033.75</v>
          </cell>
          <cell r="S275">
            <v>3518.75</v>
          </cell>
        </row>
        <row r="276">
          <cell r="C276" t="str">
            <v>1 NO. WALK IN COOLER MODEL PC 750 B - PUNE</v>
          </cell>
          <cell r="E276" t="str">
            <v>06.06.96</v>
          </cell>
          <cell r="F276">
            <v>173314.52</v>
          </cell>
          <cell r="K276">
            <v>173314.52</v>
          </cell>
          <cell r="L276">
            <v>82119.47</v>
          </cell>
          <cell r="M276">
            <v>8926</v>
          </cell>
          <cell r="Q276">
            <v>91045.47</v>
          </cell>
          <cell r="R276">
            <v>91195.049999999988</v>
          </cell>
          <cell r="S276">
            <v>82269.049999999988</v>
          </cell>
        </row>
        <row r="277">
          <cell r="C277" t="str">
            <v>AIR CURTAIN TWO NOS</v>
          </cell>
          <cell r="E277" t="str">
            <v>12/11/93</v>
          </cell>
          <cell r="F277">
            <v>31000</v>
          </cell>
          <cell r="K277">
            <v>31000</v>
          </cell>
          <cell r="L277">
            <v>14633.88</v>
          </cell>
          <cell r="M277">
            <v>1597</v>
          </cell>
          <cell r="Q277">
            <v>16230.88</v>
          </cell>
          <cell r="R277">
            <v>16366.12</v>
          </cell>
          <cell r="S277">
            <v>14769.12</v>
          </cell>
        </row>
        <row r="278">
          <cell r="C278" t="str">
            <v>WINDOW AC ONE NO.</v>
          </cell>
          <cell r="E278" t="str">
            <v>15/03/78</v>
          </cell>
          <cell r="F278">
            <v>12363.25</v>
          </cell>
          <cell r="K278">
            <v>12363.25</v>
          </cell>
          <cell r="L278">
            <v>12362.25</v>
          </cell>
          <cell r="M278">
            <v>1</v>
          </cell>
          <cell r="Q278">
            <v>12363.25</v>
          </cell>
          <cell r="R278">
            <v>1</v>
          </cell>
          <cell r="S278">
            <v>0</v>
          </cell>
        </row>
        <row r="279">
          <cell r="C279" t="str">
            <v>WINDOW AC TEN NOS</v>
          </cell>
          <cell r="E279" t="str">
            <v>17/11/90</v>
          </cell>
          <cell r="F279">
            <v>258128.72</v>
          </cell>
          <cell r="K279">
            <v>258128.72</v>
          </cell>
          <cell r="L279">
            <v>161741.35</v>
          </cell>
          <cell r="M279">
            <v>13294</v>
          </cell>
          <cell r="Q279">
            <v>175035.35</v>
          </cell>
          <cell r="R279">
            <v>96387.37</v>
          </cell>
          <cell r="S279">
            <v>83093.37</v>
          </cell>
        </row>
        <row r="280">
          <cell r="C280" t="str">
            <v>WINDOW AC ONE NO.</v>
          </cell>
          <cell r="E280" t="str">
            <v>19/07/76</v>
          </cell>
          <cell r="F280">
            <v>7672.5</v>
          </cell>
          <cell r="K280">
            <v>7672.5</v>
          </cell>
          <cell r="L280">
            <v>7671.5</v>
          </cell>
          <cell r="M280">
            <v>1</v>
          </cell>
          <cell r="Q280">
            <v>7672.5</v>
          </cell>
          <cell r="R280">
            <v>1</v>
          </cell>
          <cell r="S280">
            <v>0</v>
          </cell>
        </row>
        <row r="281">
          <cell r="C281" t="str">
            <v>WINDOW AC ONE NO.</v>
          </cell>
          <cell r="E281" t="str">
            <v>25/07/88</v>
          </cell>
          <cell r="F281">
            <v>25071.65</v>
          </cell>
          <cell r="K281">
            <v>25071.65</v>
          </cell>
          <cell r="L281">
            <v>18722.37</v>
          </cell>
          <cell r="M281">
            <v>1291</v>
          </cell>
          <cell r="Q281">
            <v>20013.37</v>
          </cell>
          <cell r="R281">
            <v>6349.2800000000025</v>
          </cell>
          <cell r="S281">
            <v>5058.2800000000025</v>
          </cell>
        </row>
        <row r="282">
          <cell r="C282" t="str">
            <v>WINDOW AC THREE NO.</v>
          </cell>
          <cell r="E282" t="str">
            <v>25/07/88</v>
          </cell>
          <cell r="F282">
            <v>233074</v>
          </cell>
          <cell r="K282">
            <v>233074</v>
          </cell>
          <cell r="L282">
            <v>227010</v>
          </cell>
          <cell r="M282">
            <v>6064</v>
          </cell>
          <cell r="Q282">
            <v>233074</v>
          </cell>
          <cell r="R282">
            <v>6064</v>
          </cell>
          <cell r="S282">
            <v>0</v>
          </cell>
        </row>
        <row r="283">
          <cell r="C283" t="str">
            <v>WINDOW AC SIX NOS.</v>
          </cell>
          <cell r="E283" t="str">
            <v>30.10.90</v>
          </cell>
          <cell r="F283">
            <v>154877.28</v>
          </cell>
          <cell r="K283">
            <v>154877.28</v>
          </cell>
          <cell r="L283">
            <v>97707.67</v>
          </cell>
          <cell r="M283">
            <v>7976</v>
          </cell>
          <cell r="Q283">
            <v>105683.67</v>
          </cell>
          <cell r="R283">
            <v>57169.61</v>
          </cell>
          <cell r="S283">
            <v>49193.61</v>
          </cell>
        </row>
        <row r="284">
          <cell r="C284" t="str">
            <v>SPLIT UNIT ONE NO.</v>
          </cell>
          <cell r="E284" t="str">
            <v>30/09/91</v>
          </cell>
          <cell r="F284">
            <v>123000</v>
          </cell>
          <cell r="K284">
            <v>123000</v>
          </cell>
          <cell r="L284">
            <v>74960.38</v>
          </cell>
          <cell r="M284">
            <v>6335</v>
          </cell>
          <cell r="Q284">
            <v>81295.38</v>
          </cell>
          <cell r="R284">
            <v>48039.619999999995</v>
          </cell>
          <cell r="S284">
            <v>41704.619999999995</v>
          </cell>
        </row>
        <row r="285">
          <cell r="C285" t="str">
            <v>WALK IN COOLER ONE NO.</v>
          </cell>
          <cell r="E285" t="str">
            <v>30/09/93</v>
          </cell>
          <cell r="F285">
            <v>265585.77</v>
          </cell>
          <cell r="K285">
            <v>265585.77</v>
          </cell>
          <cell r="L285">
            <v>127658.71</v>
          </cell>
          <cell r="M285">
            <v>13678</v>
          </cell>
          <cell r="Q285">
            <v>141336.71000000002</v>
          </cell>
          <cell r="R285">
            <v>137927.06</v>
          </cell>
          <cell r="S285">
            <v>124249.06</v>
          </cell>
        </row>
        <row r="286">
          <cell r="C286" t="str">
            <v>WINDOW AC ONE NO.</v>
          </cell>
          <cell r="E286" t="str">
            <v>31/12/86</v>
          </cell>
          <cell r="F286">
            <v>38900</v>
          </cell>
          <cell r="K286">
            <v>38900</v>
          </cell>
          <cell r="L286">
            <v>34155.96</v>
          </cell>
          <cell r="M286">
            <v>2003</v>
          </cell>
          <cell r="Q286">
            <v>36158.959999999999</v>
          </cell>
          <cell r="R286">
            <v>4744.0400000000009</v>
          </cell>
          <cell r="S286">
            <v>2741.0400000000009</v>
          </cell>
        </row>
        <row r="287">
          <cell r="C287" t="str">
            <v>AC UNIT ONE NO.</v>
          </cell>
          <cell r="E287" t="str">
            <v>31/12/91</v>
          </cell>
          <cell r="F287">
            <v>46700</v>
          </cell>
          <cell r="K287">
            <v>46700</v>
          </cell>
          <cell r="L287">
            <v>26656.14</v>
          </cell>
          <cell r="M287">
            <v>2405</v>
          </cell>
          <cell r="Q287">
            <v>29061.14</v>
          </cell>
          <cell r="R287">
            <v>20043.86</v>
          </cell>
          <cell r="S287">
            <v>17638.86</v>
          </cell>
        </row>
        <row r="288">
          <cell r="C288" t="str">
            <v>TWO NO.1.5 TON A.C WINDOW TYPE</v>
          </cell>
          <cell r="E288" t="str">
            <v>06.06.88</v>
          </cell>
          <cell r="F288">
            <v>40300</v>
          </cell>
          <cell r="K288">
            <v>40300</v>
          </cell>
          <cell r="L288">
            <v>30265.74</v>
          </cell>
          <cell r="M288">
            <v>2075</v>
          </cell>
          <cell r="Q288">
            <v>32340.74</v>
          </cell>
          <cell r="R288">
            <v>10034.259999999998</v>
          </cell>
          <cell r="S288">
            <v>7959.2599999999984</v>
          </cell>
        </row>
        <row r="289">
          <cell r="C289" t="str">
            <v>ONE NO.1.5 TON A. C</v>
          </cell>
          <cell r="E289" t="str">
            <v>13.12.87</v>
          </cell>
          <cell r="F289">
            <v>14900</v>
          </cell>
          <cell r="K289">
            <v>14900</v>
          </cell>
          <cell r="L289">
            <v>13277.96</v>
          </cell>
          <cell r="M289">
            <v>767</v>
          </cell>
          <cell r="Q289">
            <v>14044.96</v>
          </cell>
          <cell r="R289">
            <v>1622.0400000000009</v>
          </cell>
          <cell r="S289">
            <v>855.04000000000087</v>
          </cell>
        </row>
        <row r="290">
          <cell r="C290" t="str">
            <v>TWO NO. 1.5 TON A-C WINDOW TYPE</v>
          </cell>
          <cell r="D290">
            <v>2</v>
          </cell>
          <cell r="E290" t="str">
            <v>08.08.92</v>
          </cell>
          <cell r="F290">
            <v>53100</v>
          </cell>
          <cell r="K290">
            <v>53100</v>
          </cell>
          <cell r="L290">
            <v>28486.54</v>
          </cell>
          <cell r="M290">
            <v>2735</v>
          </cell>
          <cell r="Q290">
            <v>31221.54</v>
          </cell>
          <cell r="R290">
            <v>24613.46</v>
          </cell>
          <cell r="S290">
            <v>21878.46</v>
          </cell>
        </row>
        <row r="292">
          <cell r="C292" t="str">
            <v>AIR CONDITIONER</v>
          </cell>
          <cell r="D292">
            <v>4</v>
          </cell>
          <cell r="F292">
            <v>82000</v>
          </cell>
          <cell r="K292">
            <v>82000</v>
          </cell>
          <cell r="L292">
            <v>49972.17</v>
          </cell>
          <cell r="M292">
            <v>4217.6000000000004</v>
          </cell>
          <cell r="Q292">
            <v>54189.77</v>
          </cell>
          <cell r="R292">
            <v>32027.83</v>
          </cell>
          <cell r="S292">
            <v>27810.230000000003</v>
          </cell>
        </row>
        <row r="293">
          <cell r="C293" t="str">
            <v>WATER COOLER</v>
          </cell>
          <cell r="D293">
            <v>1</v>
          </cell>
          <cell r="F293">
            <v>5911.85</v>
          </cell>
          <cell r="K293">
            <v>5911.85</v>
          </cell>
          <cell r="L293">
            <v>5910.8502749999998</v>
          </cell>
          <cell r="M293">
            <v>1</v>
          </cell>
          <cell r="Q293">
            <v>5911.8502749999998</v>
          </cell>
          <cell r="R293">
            <v>0.99972500000058062</v>
          </cell>
          <cell r="S293">
            <v>-2.7499999941937858E-4</v>
          </cell>
        </row>
        <row r="294">
          <cell r="C294" t="str">
            <v>AIR CONDITIONER</v>
          </cell>
          <cell r="D294" t="str">
            <v>1</v>
          </cell>
          <cell r="F294">
            <v>6231.17</v>
          </cell>
          <cell r="K294">
            <v>6231.17</v>
          </cell>
          <cell r="L294">
            <v>6129.7652162499999</v>
          </cell>
          <cell r="M294">
            <v>101.4</v>
          </cell>
          <cell r="Q294">
            <v>6231.1652162499995</v>
          </cell>
          <cell r="R294">
            <v>101.40478375000021</v>
          </cell>
          <cell r="S294">
            <v>4.783750000569853E-3</v>
          </cell>
        </row>
        <row r="295">
          <cell r="C295" t="str">
            <v>AIR CONDITIONER</v>
          </cell>
          <cell r="D295" t="str">
            <v>1</v>
          </cell>
          <cell r="F295">
            <v>14050</v>
          </cell>
          <cell r="K295">
            <v>14050</v>
          </cell>
          <cell r="L295">
            <v>12132.313749999999</v>
          </cell>
          <cell r="M295">
            <v>724</v>
          </cell>
          <cell r="Q295">
            <v>12856.313749999999</v>
          </cell>
          <cell r="R295">
            <v>1917.6862500000007</v>
          </cell>
          <cell r="S295">
            <v>1193.6862500000007</v>
          </cell>
        </row>
        <row r="296">
          <cell r="C296" t="str">
            <v>AIR CONDITIONER</v>
          </cell>
          <cell r="D296" t="str">
            <v>4</v>
          </cell>
          <cell r="F296">
            <v>77200</v>
          </cell>
          <cell r="K296">
            <v>77200</v>
          </cell>
          <cell r="L296">
            <v>54335.93</v>
          </cell>
          <cell r="M296">
            <v>3976</v>
          </cell>
          <cell r="Q296">
            <v>58311.93</v>
          </cell>
          <cell r="R296">
            <v>22864.07</v>
          </cell>
          <cell r="S296">
            <v>18888.07</v>
          </cell>
        </row>
        <row r="297">
          <cell r="C297" t="str">
            <v>VOLTAGE STABLIZER</v>
          </cell>
          <cell r="D297" t="str">
            <v>1</v>
          </cell>
          <cell r="F297">
            <v>2500</v>
          </cell>
          <cell r="K297">
            <v>2500</v>
          </cell>
          <cell r="L297">
            <v>1266.0416666666702</v>
          </cell>
          <cell r="M297">
            <v>129</v>
          </cell>
          <cell r="Q297">
            <v>1395.0416666666702</v>
          </cell>
          <cell r="R297">
            <v>1233.9583333333298</v>
          </cell>
          <cell r="S297">
            <v>1104.9583333333298</v>
          </cell>
        </row>
        <row r="298">
          <cell r="C298" t="str">
            <v xml:space="preserve">WALK IN COOLER BLUE STAR </v>
          </cell>
          <cell r="D298" t="str">
            <v>1</v>
          </cell>
          <cell r="F298">
            <v>168048.75</v>
          </cell>
          <cell r="K298">
            <v>168048.75</v>
          </cell>
          <cell r="L298">
            <v>85102.68468749999</v>
          </cell>
          <cell r="M298">
            <v>8655</v>
          </cell>
          <cell r="Q298">
            <v>93757.68468749999</v>
          </cell>
          <cell r="R298">
            <v>82946.06531250001</v>
          </cell>
          <cell r="S298">
            <v>74291.06531250001</v>
          </cell>
        </row>
        <row r="299">
          <cell r="C299" t="str">
            <v>EXHAUST FAN CROMPTON</v>
          </cell>
          <cell r="D299" t="str">
            <v>2</v>
          </cell>
          <cell r="F299">
            <v>2281.15</v>
          </cell>
          <cell r="K299">
            <v>2281.15</v>
          </cell>
          <cell r="L299">
            <v>2123.2155437500001</v>
          </cell>
          <cell r="M299">
            <v>117</v>
          </cell>
          <cell r="Q299">
            <v>2240.2155437500001</v>
          </cell>
          <cell r="R299">
            <v>157.93445625000004</v>
          </cell>
          <cell r="S299">
            <v>40.934456250000039</v>
          </cell>
        </row>
        <row r="300">
          <cell r="C300" t="str">
            <v>VOLTAGE STABLIZER</v>
          </cell>
          <cell r="D300" t="str">
            <v>1</v>
          </cell>
          <cell r="F300">
            <v>1800</v>
          </cell>
          <cell r="K300">
            <v>1800</v>
          </cell>
          <cell r="L300">
            <v>911.55</v>
          </cell>
          <cell r="M300">
            <v>93</v>
          </cell>
          <cell r="Q300">
            <v>1004.55</v>
          </cell>
          <cell r="R300">
            <v>888.45</v>
          </cell>
          <cell r="S300">
            <v>795.45</v>
          </cell>
        </row>
        <row r="301">
          <cell r="C301" t="str">
            <v>AIR CONDITIONER</v>
          </cell>
          <cell r="D301" t="str">
            <v>1</v>
          </cell>
          <cell r="F301">
            <v>5610</v>
          </cell>
          <cell r="K301">
            <v>5610</v>
          </cell>
          <cell r="L301">
            <v>5609.0012500000003</v>
          </cell>
          <cell r="M301">
            <v>1</v>
          </cell>
          <cell r="Q301">
            <v>5610.0012500000003</v>
          </cell>
          <cell r="R301">
            <v>0.99874999999974534</v>
          </cell>
          <cell r="S301">
            <v>-1.2500000002546585E-3</v>
          </cell>
        </row>
        <row r="302">
          <cell r="C302" t="str">
            <v>VOLTAGE STABLIZER 4.0 KVA NUTECH</v>
          </cell>
          <cell r="D302" t="str">
            <v>2</v>
          </cell>
          <cell r="F302">
            <v>1928.5</v>
          </cell>
          <cell r="K302">
            <v>1928.5</v>
          </cell>
          <cell r="L302">
            <v>1623.4670624999999</v>
          </cell>
          <cell r="M302">
            <v>99</v>
          </cell>
          <cell r="Q302">
            <v>1722.4670624999999</v>
          </cell>
          <cell r="R302">
            <v>305.03293750000012</v>
          </cell>
          <cell r="S302">
            <v>206.03293750000012</v>
          </cell>
        </row>
        <row r="303">
          <cell r="C303" t="str">
            <v>WATER COOLER 10 ltr</v>
          </cell>
          <cell r="D303" t="str">
            <v>1</v>
          </cell>
          <cell r="F303">
            <v>4840</v>
          </cell>
          <cell r="K303">
            <v>4840</v>
          </cell>
          <cell r="L303">
            <v>3738.9050000000007</v>
          </cell>
          <cell r="M303">
            <v>249</v>
          </cell>
          <cell r="Q303">
            <v>3987.9050000000007</v>
          </cell>
          <cell r="R303">
            <v>1101.0949999999993</v>
          </cell>
          <cell r="S303">
            <v>852.09499999999935</v>
          </cell>
        </row>
        <row r="304">
          <cell r="C304" t="str">
            <v xml:space="preserve">VOLTAGE STABLIZER </v>
          </cell>
          <cell r="D304" t="str">
            <v>1</v>
          </cell>
          <cell r="F304">
            <v>1100</v>
          </cell>
          <cell r="K304">
            <v>1100</v>
          </cell>
          <cell r="L304">
            <v>632.58749999999998</v>
          </cell>
          <cell r="M304">
            <v>57</v>
          </cell>
          <cell r="Q304">
            <v>689.58749999999998</v>
          </cell>
          <cell r="R304">
            <v>467.41250000000002</v>
          </cell>
          <cell r="S304">
            <v>410.41250000000002</v>
          </cell>
        </row>
        <row r="305">
          <cell r="C305" t="str">
            <v>AIR CONDITIONER CARRIER WITH STB 3 KV</v>
          </cell>
          <cell r="D305" t="str">
            <v>2</v>
          </cell>
          <cell r="F305">
            <v>25786.799999999999</v>
          </cell>
          <cell r="K305">
            <v>25786.799999999999</v>
          </cell>
          <cell r="L305">
            <v>20934.506150000001</v>
          </cell>
          <cell r="M305">
            <v>1328</v>
          </cell>
          <cell r="Q305">
            <v>22262.506150000001</v>
          </cell>
          <cell r="R305">
            <v>4852.2938499999982</v>
          </cell>
          <cell r="S305">
            <v>3524.2938499999982</v>
          </cell>
        </row>
        <row r="306">
          <cell r="C306" t="str">
            <v>DOUBLE DOOR REFRIGERATOR</v>
          </cell>
          <cell r="D306">
            <v>1</v>
          </cell>
          <cell r="F306">
            <v>27672.25</v>
          </cell>
          <cell r="K306">
            <v>27672.25</v>
          </cell>
          <cell r="L306">
            <v>18170.17678125</v>
          </cell>
          <cell r="M306">
            <v>1425</v>
          </cell>
          <cell r="Q306">
            <v>19595.17678125</v>
          </cell>
          <cell r="R306">
            <v>9502.0732187499998</v>
          </cell>
          <cell r="S306">
            <v>8077.0732187499998</v>
          </cell>
        </row>
        <row r="307">
          <cell r="C307" t="str">
            <v>REFRIGERATOR</v>
          </cell>
          <cell r="D307">
            <v>1</v>
          </cell>
          <cell r="F307">
            <v>13000</v>
          </cell>
          <cell r="K307">
            <v>13000</v>
          </cell>
          <cell r="L307">
            <v>7475.92</v>
          </cell>
          <cell r="M307">
            <v>670</v>
          </cell>
          <cell r="Q307">
            <v>8145.92</v>
          </cell>
          <cell r="R307">
            <v>5524.08</v>
          </cell>
          <cell r="S307">
            <v>4854.08</v>
          </cell>
        </row>
        <row r="309">
          <cell r="C309" t="str">
            <v>DEVIKA - HO</v>
          </cell>
          <cell r="F309">
            <v>408166.65769230772</v>
          </cell>
          <cell r="G309">
            <v>0</v>
          </cell>
          <cell r="H309">
            <v>0</v>
          </cell>
          <cell r="I309">
            <v>0</v>
          </cell>
          <cell r="J309">
            <v>0</v>
          </cell>
          <cell r="K309">
            <v>408166.65769230772</v>
          </cell>
          <cell r="L309">
            <v>298345.16125384625</v>
          </cell>
          <cell r="M309">
            <v>20590.990000000002</v>
          </cell>
          <cell r="N309">
            <v>0</v>
          </cell>
          <cell r="O309">
            <v>0</v>
          </cell>
          <cell r="P309">
            <v>0</v>
          </cell>
          <cell r="Q309">
            <v>318936.15125384618</v>
          </cell>
          <cell r="R309">
            <v>109821.49643846152</v>
          </cell>
          <cell r="S309">
            <v>89230.506438461525</v>
          </cell>
        </row>
        <row r="310">
          <cell r="C310" t="str">
            <v>DSD-EAST</v>
          </cell>
          <cell r="F310">
            <v>529915.56000000006</v>
          </cell>
          <cell r="G310">
            <v>0</v>
          </cell>
          <cell r="H310">
            <v>0</v>
          </cell>
          <cell r="I310">
            <v>0</v>
          </cell>
          <cell r="J310">
            <v>0</v>
          </cell>
          <cell r="K310">
            <v>529915.56000000006</v>
          </cell>
          <cell r="L310">
            <v>318881.94</v>
          </cell>
          <cell r="M310">
            <v>26227</v>
          </cell>
          <cell r="N310">
            <v>0</v>
          </cell>
          <cell r="O310">
            <v>0</v>
          </cell>
          <cell r="P310">
            <v>0</v>
          </cell>
          <cell r="Q310">
            <v>345108.94</v>
          </cell>
          <cell r="R310">
            <v>211033.62</v>
          </cell>
          <cell r="S310">
            <v>184806.62</v>
          </cell>
        </row>
        <row r="311">
          <cell r="C311" t="str">
            <v>DSD-SOUTH</v>
          </cell>
          <cell r="F311">
            <v>1427232.77</v>
          </cell>
          <cell r="G311">
            <v>0</v>
          </cell>
          <cell r="H311">
            <v>0</v>
          </cell>
          <cell r="I311">
            <v>0</v>
          </cell>
          <cell r="J311">
            <v>0</v>
          </cell>
          <cell r="K311">
            <v>1427232.77</v>
          </cell>
          <cell r="L311">
            <v>885268.59000000008</v>
          </cell>
          <cell r="M311">
            <v>70348</v>
          </cell>
          <cell r="N311">
            <v>0</v>
          </cell>
          <cell r="O311">
            <v>0</v>
          </cell>
          <cell r="P311">
            <v>0</v>
          </cell>
          <cell r="Q311">
            <v>955616.59000000008</v>
          </cell>
          <cell r="R311">
            <v>541964.17999999993</v>
          </cell>
          <cell r="S311">
            <v>471616.18</v>
          </cell>
        </row>
        <row r="312">
          <cell r="C312" t="str">
            <v>DSD-WEST</v>
          </cell>
          <cell r="F312">
            <v>1750095.85</v>
          </cell>
          <cell r="G312">
            <v>0</v>
          </cell>
          <cell r="H312">
            <v>0</v>
          </cell>
          <cell r="I312">
            <v>0</v>
          </cell>
          <cell r="J312">
            <v>0</v>
          </cell>
          <cell r="K312">
            <v>1750095.85</v>
          </cell>
          <cell r="L312">
            <v>1145567.73</v>
          </cell>
          <cell r="M312">
            <v>81381.540000000008</v>
          </cell>
          <cell r="N312">
            <v>0</v>
          </cell>
          <cell r="O312">
            <v>0</v>
          </cell>
          <cell r="P312">
            <v>0</v>
          </cell>
          <cell r="Q312">
            <v>1226949.27</v>
          </cell>
          <cell r="R312">
            <v>604528.12</v>
          </cell>
          <cell r="S312">
            <v>523146.57999999996</v>
          </cell>
        </row>
        <row r="313">
          <cell r="C313" t="str">
            <v>DSD-NORTH</v>
          </cell>
          <cell r="F313">
            <v>439960.47000000003</v>
          </cell>
          <cell r="G313">
            <v>0</v>
          </cell>
          <cell r="H313">
            <v>0</v>
          </cell>
          <cell r="I313">
            <v>0</v>
          </cell>
          <cell r="J313">
            <v>0</v>
          </cell>
          <cell r="K313">
            <v>439960.47000000003</v>
          </cell>
          <cell r="L313">
            <v>276069.08488291665</v>
          </cell>
          <cell r="M313">
            <v>21843</v>
          </cell>
          <cell r="N313">
            <v>0</v>
          </cell>
          <cell r="O313">
            <v>0</v>
          </cell>
          <cell r="P313">
            <v>0</v>
          </cell>
          <cell r="Q313">
            <v>297912.08488291665</v>
          </cell>
          <cell r="R313">
            <v>163891.38511708332</v>
          </cell>
          <cell r="S313">
            <v>142048.38511708335</v>
          </cell>
        </row>
        <row r="315">
          <cell r="C315" t="str">
            <v>OLD RATE</v>
          </cell>
          <cell r="E315">
            <v>5.1500000000000004E-2</v>
          </cell>
          <cell r="F315">
            <v>4555371.307692308</v>
          </cell>
          <cell r="G315">
            <v>0</v>
          </cell>
          <cell r="H315">
            <v>0</v>
          </cell>
          <cell r="I315">
            <v>0</v>
          </cell>
          <cell r="J315">
            <v>0</v>
          </cell>
          <cell r="K315">
            <v>4555371.307692308</v>
          </cell>
          <cell r="L315">
            <v>2924132.5061367629</v>
          </cell>
          <cell r="M315">
            <v>220390.53000000003</v>
          </cell>
          <cell r="N315">
            <v>0</v>
          </cell>
          <cell r="O315">
            <v>0</v>
          </cell>
          <cell r="P315">
            <v>0</v>
          </cell>
          <cell r="Q315">
            <v>3144523.0361367632</v>
          </cell>
          <cell r="R315">
            <v>1631238.8015555446</v>
          </cell>
          <cell r="S315">
            <v>1410848.2715555448</v>
          </cell>
        </row>
        <row r="2713">
          <cell r="A2713">
            <v>1</v>
          </cell>
        </row>
        <row r="2714">
          <cell r="A2714">
            <v>2</v>
          </cell>
        </row>
        <row r="2715">
          <cell r="A2715">
            <v>3</v>
          </cell>
        </row>
        <row r="2716">
          <cell r="A2716">
            <v>4</v>
          </cell>
        </row>
        <row r="2717">
          <cell r="A2717">
            <v>5</v>
          </cell>
        </row>
        <row r="2718">
          <cell r="A2718">
            <v>6</v>
          </cell>
        </row>
        <row r="2719">
          <cell r="A2719">
            <v>7</v>
          </cell>
        </row>
        <row r="2720">
          <cell r="A2720">
            <v>8</v>
          </cell>
        </row>
        <row r="2721">
          <cell r="A2721">
            <v>9</v>
          </cell>
        </row>
        <row r="2722">
          <cell r="A2722">
            <v>10</v>
          </cell>
        </row>
        <row r="2723">
          <cell r="A2723">
            <v>11</v>
          </cell>
        </row>
        <row r="2724">
          <cell r="A2724">
            <v>12</v>
          </cell>
        </row>
        <row r="2725">
          <cell r="A2725">
            <v>13</v>
          </cell>
        </row>
        <row r="2726">
          <cell r="A2726">
            <v>14</v>
          </cell>
        </row>
        <row r="2727">
          <cell r="A2727">
            <v>15</v>
          </cell>
        </row>
        <row r="2728">
          <cell r="A2728">
            <v>16</v>
          </cell>
        </row>
        <row r="2729">
          <cell r="A2729">
            <v>17</v>
          </cell>
        </row>
        <row r="2730">
          <cell r="A2730">
            <v>18</v>
          </cell>
        </row>
        <row r="2731">
          <cell r="A2731">
            <v>19</v>
          </cell>
        </row>
        <row r="2732">
          <cell r="A2732">
            <v>20</v>
          </cell>
        </row>
        <row r="2734">
          <cell r="A2734">
            <v>21</v>
          </cell>
        </row>
        <row r="2735">
          <cell r="A2735">
            <v>22</v>
          </cell>
        </row>
        <row r="2736">
          <cell r="A2736">
            <v>23</v>
          </cell>
        </row>
        <row r="2737">
          <cell r="A2737">
            <v>24</v>
          </cell>
        </row>
        <row r="2738">
          <cell r="A2738">
            <v>25</v>
          </cell>
        </row>
        <row r="2740">
          <cell r="A2740">
            <v>26</v>
          </cell>
        </row>
        <row r="2741">
          <cell r="A2741">
            <v>27</v>
          </cell>
        </row>
        <row r="2742">
          <cell r="A2742">
            <v>28</v>
          </cell>
        </row>
        <row r="2743">
          <cell r="A2743">
            <v>29</v>
          </cell>
        </row>
        <row r="2744">
          <cell r="A2744">
            <v>30</v>
          </cell>
        </row>
        <row r="2745">
          <cell r="A2745">
            <v>31</v>
          </cell>
        </row>
        <row r="2746">
          <cell r="A2746">
            <v>32</v>
          </cell>
        </row>
        <row r="2747">
          <cell r="A2747">
            <v>33</v>
          </cell>
        </row>
        <row r="2748">
          <cell r="A2748">
            <v>34</v>
          </cell>
        </row>
        <row r="2749">
          <cell r="A2749">
            <v>35</v>
          </cell>
        </row>
        <row r="2750">
          <cell r="A2750">
            <v>36</v>
          </cell>
        </row>
        <row r="2751">
          <cell r="A2751">
            <v>37</v>
          </cell>
        </row>
        <row r="2752">
          <cell r="A2752">
            <v>38</v>
          </cell>
        </row>
        <row r="2754">
          <cell r="A2754">
            <v>39</v>
          </cell>
        </row>
        <row r="2755">
          <cell r="A2755">
            <v>40</v>
          </cell>
        </row>
        <row r="2756">
          <cell r="A2756">
            <v>41</v>
          </cell>
        </row>
        <row r="2757">
          <cell r="A2757">
            <v>42</v>
          </cell>
        </row>
        <row r="2758">
          <cell r="A2758">
            <v>43</v>
          </cell>
        </row>
        <row r="2759">
          <cell r="A2759">
            <v>44</v>
          </cell>
        </row>
        <row r="2760">
          <cell r="A2760">
            <v>45</v>
          </cell>
        </row>
        <row r="2761">
          <cell r="A2761">
            <v>46</v>
          </cell>
        </row>
        <row r="2762">
          <cell r="A2762">
            <v>47</v>
          </cell>
        </row>
        <row r="2763">
          <cell r="A2763">
            <v>48</v>
          </cell>
        </row>
        <row r="2764">
          <cell r="A2764">
            <v>49</v>
          </cell>
        </row>
        <row r="2765">
          <cell r="A2765">
            <v>50</v>
          </cell>
        </row>
        <row r="2766">
          <cell r="A2766">
            <v>51</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Design"/>
      <sheetName val="Guidelines"/>
      <sheetName val="BS PNL"/>
      <sheetName val="Codes"/>
      <sheetName val="Internet"/>
      <sheetName val="Sheet2"/>
      <sheetName val="Citrix"/>
      <sheetName val="madhu"/>
      <sheetName val="GN-ST-06(2)(Design Sheet-Ruled)"/>
      <sheetName val="PointNo.5"/>
      <sheetName val="IS Mo"/>
      <sheetName val="Fiscal View"/>
      <sheetName val="Financials"/>
      <sheetName val="Results PL"/>
      <sheetName val="MF Request-GW"/>
      <sheetName val="1.Borrowings"/>
      <sheetName val="PRECAST lightconc-II"/>
      <sheetName val="FORM7"/>
      <sheetName val="IO List"/>
      <sheetName val="Stress Calculation"/>
      <sheetName val="CMA"/>
      <sheetName val="Data"/>
      <sheetName val="Tender Summary"/>
      <sheetName val="Insurance Ext"/>
      <sheetName val="Prelims"/>
      <sheetName val=""/>
      <sheetName val="E"/>
      <sheetName val="AutoOpen_Stub_Data"/>
      <sheetName val="BS_PNL"/>
      <sheetName val="GN-ST-06(2)(Design_Sheet-Ruled)"/>
      <sheetName val="PointNo_5"/>
      <sheetName val="IS_Mo"/>
      <sheetName val="Fiscal_View"/>
      <sheetName val="Results_PL"/>
      <sheetName val="MF_Request-GW"/>
      <sheetName val="1_Borrowings"/>
      <sheetName val="PRECAST_lightconc-II"/>
      <sheetName val="IO_List"/>
      <sheetName val="Stress_Calculation"/>
      <sheetName val="Tender_Summary"/>
      <sheetName val="Insurance_Ext"/>
      <sheetName val="Sheet1"/>
      <sheetName val="old_serial_no_"/>
      <sheetName val="tot_ass_9697"/>
      <sheetName val="Detail"/>
      <sheetName val="For Out"/>
      <sheetName val="YTD"/>
      <sheetName val="Trial Balance"/>
      <sheetName val="SALREGJUNEFIXED"/>
      <sheetName val="Administrative Prices"/>
      <sheetName val="Summary"/>
      <sheetName val="BS"/>
      <sheetName val="HFK"/>
      <sheetName val="JSK"/>
      <sheetName val="Feb 00 Rev by region (U$)"/>
      <sheetName val="AR Report"/>
      <sheetName val="FORM-16"/>
      <sheetName val="mar04bs"/>
      <sheetName val="Exchange"/>
      <sheetName val="Corrupt SSCI"/>
      <sheetName val="Monthly Ship+Prod"/>
      <sheetName val="Makro1"/>
      <sheetName val="Control"/>
      <sheetName val="405"/>
      <sheetName val="427"/>
      <sheetName val="403"/>
      <sheetName val="upa"/>
      <sheetName val="Job Skill Classes"/>
      <sheetName val="Sales Build Up"/>
      <sheetName val="Comparables"/>
      <sheetName val="LPERDAS (2)"/>
      <sheetName val="BS MAR05 Consol"/>
      <sheetName val="FitOutConfCentre"/>
      <sheetName val="Fill this out first..."/>
      <sheetName val="factors"/>
      <sheetName val="WORK TABLE"/>
      <sheetName val="SCurv (3)"/>
      <sheetName val="TBAL9697 -group wise  sdpl"/>
      <sheetName val="gen"/>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INPUT SHEET"/>
      <sheetName val="Lead"/>
      <sheetName val="Inc.St.-Link"/>
      <sheetName val="2gii"/>
      <sheetName val="para"/>
      <sheetName val="kppl pl"/>
      <sheetName val="labour coeff"/>
      <sheetName val="Sheet3"/>
      <sheetName val="BLOCK-A (MEA.SHEET)"/>
      <sheetName val="oresreqsum"/>
      <sheetName val="Assumptions"/>
      <sheetName val="#REF"/>
      <sheetName val="girder"/>
      <sheetName val="final abstract"/>
      <sheetName val="d-safe DELUXE"/>
      <sheetName val="switch"/>
      <sheetName val="basic-data"/>
      <sheetName val="Break up Sheet"/>
      <sheetName val="Supplier"/>
      <sheetName val="SPT vs PHI"/>
      <sheetName val="InputPO_Del"/>
      <sheetName val="Project Details.."/>
      <sheetName val="Rocker"/>
      <sheetName val="ORDER BOOKING"/>
      <sheetName val="3. Elemental Summary"/>
      <sheetName val="basdat"/>
      <sheetName val="Rate analysis"/>
      <sheetName val="P4-B"/>
      <sheetName val="Basic"/>
      <sheetName val="B1"/>
      <sheetName val="Boq"/>
      <sheetName val="p&amp;m"/>
      <sheetName val="PA- Consutant "/>
      <sheetName val="Analysis"/>
      <sheetName val="Costing"/>
      <sheetName val="Main-Material"/>
      <sheetName val="RES-PLANNING"/>
      <sheetName val="concrete"/>
      <sheetName val="beam-reinft-IIInd floor"/>
      <sheetName val="introduction"/>
      <sheetName val="Pay_Sep06"/>
      <sheetName val="Fee Rate Summary"/>
      <sheetName val="TASKRSRC (2)"/>
      <sheetName val="TARGET"/>
      <sheetName val="BASELINE"/>
      <sheetName val="Desgn(zone I)"/>
      <sheetName val="CASHFLOWS"/>
      <sheetName val="horizontal"/>
      <sheetName val="Door"/>
      <sheetName val="dlvoid"/>
      <sheetName val="Materials Cost(PCC)"/>
      <sheetName val="월선수금"/>
      <sheetName val="Material"/>
      <sheetName val="RECAPITULATION"/>
      <sheetName val="COLUMN"/>
      <sheetName val="RA-markate"/>
      <sheetName val="dummy"/>
      <sheetName val="BOQ_Direct_selling cost"/>
      <sheetName val="pol-60"/>
      <sheetName val="key dates"/>
      <sheetName val="Actuals"/>
      <sheetName val="list"/>
      <sheetName val="DSLP"/>
      <sheetName val="M.S."/>
      <sheetName val="Vcap1500"/>
      <sheetName val="Material "/>
      <sheetName val="Labour &amp; Plant"/>
      <sheetName val="GBW"/>
      <sheetName val="Assumption Inputs"/>
      <sheetName val="Debits as on 12.04.08"/>
      <sheetName val="Block A - BOQ"/>
      <sheetName val="STAFFSCHED "/>
      <sheetName val="Progress"/>
      <sheetName val="3cd Annexure"/>
      <sheetName val="Assmpns"/>
      <sheetName val="Site Dev BOQ"/>
      <sheetName val="JCR Oct 06 TOP SHEET"/>
      <sheetName val="JCR Oct 06 CIVIL"/>
      <sheetName val="JCR Oct 06 MECH"/>
      <sheetName val="Oct 06 DESI &amp;SP.CONT"/>
      <sheetName val="JCR Oct 06 IDC"/>
      <sheetName val="Cum Measure"/>
      <sheetName val="PS Rate Working"/>
      <sheetName val="CIVIL Str vise"/>
      <sheetName val="JCR sEP 06 IDC WORKINGS"/>
      <sheetName val="Pur"/>
      <sheetName val="Civil Boq"/>
      <sheetName val="Linked Lead"/>
      <sheetName val="Builtup Area"/>
      <sheetName val="March Analysts"/>
      <sheetName val="India F&amp;S Template"/>
      <sheetName val="jobhist"/>
      <sheetName val="Process"/>
      <sheetName val="Option 159"/>
      <sheetName val="CABLERET"/>
      <sheetName val="loadcal"/>
      <sheetName val="PCS DATA"/>
      <sheetName val="Cashflow"/>
      <sheetName val="Notes"/>
      <sheetName val="hyperstatic-3"/>
      <sheetName val="Interpretations (incl piling)"/>
      <sheetName val="Dem"/>
      <sheetName val="LABOUR"/>
      <sheetName val="Input"/>
      <sheetName val="A-General"/>
      <sheetName val="VCH-SLC"/>
      <sheetName val="07016, Master List-Major Minor"/>
      <sheetName val="VIWSCo1"/>
      <sheetName val="Staff Acco."/>
      <sheetName val="BOQ (2)"/>
      <sheetName val="factor"/>
      <sheetName val="currency (2)"/>
      <sheetName val="Headings"/>
      <sheetName val="Macro1"/>
      <sheetName val="Basis"/>
      <sheetName val="Basement Budget"/>
      <sheetName val="Ratio"/>
      <sheetName val="S &amp; A"/>
      <sheetName val="calcul"/>
      <sheetName val="WACC Calculation"/>
      <sheetName val="MSU"/>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Actuals_by_Job"/>
      <sheetName val="Heads_Equiv_QI"/>
      <sheetName val="PT_Heads_SD"/>
      <sheetName val="Month"/>
      <sheetName val="Outlook"/>
      <sheetName val="AutoOpen_Stub_Data1"/>
      <sheetName val="IO_List1"/>
      <sheetName val="Stress_Calculation1"/>
      <sheetName val="SPT_vs_PHI"/>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공장별판관비배부"/>
      <sheetName val="Abstract"/>
      <sheetName val="MORGACTS"/>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3cd_Annexure"/>
      <sheetName val="Linked_Lead"/>
      <sheetName val="Fill_this_out_first___1"/>
      <sheetName val="ABP_inputs1"/>
      <sheetName val="Synergy_Sales_Budget1"/>
      <sheetName val="WORK_TABLE1"/>
      <sheetName val="SCurv_(3)1"/>
      <sheetName val="TBAL9697_-group_wise__sdpl1"/>
      <sheetName val="GN-ST-06(2)(Design_Sheet-Ruled1"/>
      <sheetName val="Cashflow_projection1"/>
      <sheetName val="Deprec_1"/>
      <sheetName val="TB-JUNE-2003-18_7_031"/>
      <sheetName val="Extra_Item1"/>
      <sheetName val="E_&amp;_R1"/>
      <sheetName val="Detail_In_Door_Stad1"/>
      <sheetName val="INPUT_SHEET1"/>
      <sheetName val="Inc_St_-Link1"/>
      <sheetName val="kppl_pl1"/>
      <sheetName val="PRECAST_lightconc-II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3cd_Annexure1"/>
      <sheetName val="Linked_Lead1"/>
      <sheetName val="AutoOpen_Stub_Data2"/>
      <sheetName val="IO_List2"/>
      <sheetName val="Stress_Calculation2"/>
      <sheetName val="Fill_this_out_first___2"/>
      <sheetName val="ABP_inputs2"/>
      <sheetName val="Synergy_Sales_Budget2"/>
      <sheetName val="WORK_TABLE2"/>
      <sheetName val="SCurv_(3)2"/>
      <sheetName val="TBAL9697_-group_wise__sdpl2"/>
      <sheetName val="GN-ST-06(2)(Design_Sheet-Ruled2"/>
      <sheetName val="Cashflow_projection2"/>
      <sheetName val="Deprec_2"/>
      <sheetName val="TB-JUNE-2003-18_7_032"/>
      <sheetName val="Extra_Item2"/>
      <sheetName val="E_&amp;_R2"/>
      <sheetName val="Detail_In_Door_Stad2"/>
      <sheetName val="INPUT_SHEET2"/>
      <sheetName val="Inc_St_-Link2"/>
      <sheetName val="kppl_pl2"/>
      <sheetName val="PRECAST_lightconc-II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AutoOpen_Stub_Data3"/>
      <sheetName val="IO_List3"/>
      <sheetName val="Stress_Calculation3"/>
      <sheetName val="Fill_this_out_first___3"/>
      <sheetName val="ABP_inputs3"/>
      <sheetName val="Synergy_Sales_Budget3"/>
      <sheetName val="WORK_TABLE3"/>
      <sheetName val="SCurv_(3)3"/>
      <sheetName val="TBAL9697_-group_wise__sdpl3"/>
      <sheetName val="GN-ST-06(2)(Design_Sheet-Ruled3"/>
      <sheetName val="Cashflow_projection3"/>
      <sheetName val="Deprec_3"/>
      <sheetName val="TB-JUNE-2003-18_7_033"/>
      <sheetName val="Extra_Item3"/>
      <sheetName val="E_&amp;_R3"/>
      <sheetName val="Detail_In_Door_Stad3"/>
      <sheetName val="INPUT_SHEET3"/>
      <sheetName val="Inc_St_-Link3"/>
      <sheetName val="kppl_pl3"/>
      <sheetName val="PRECAST_lightconc-II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AutoOpen_Stub_Data4"/>
      <sheetName val="IO_List4"/>
      <sheetName val="Stress_Calculation4"/>
      <sheetName val="Fill_this_out_first___4"/>
      <sheetName val="ABP_inputs4"/>
      <sheetName val="Synergy_Sales_Budget4"/>
      <sheetName val="WORK_TABLE4"/>
      <sheetName val="SCurv_(3)4"/>
      <sheetName val="TBAL9697_-group_wise__sdpl4"/>
      <sheetName val="GN-ST-06(2)(Design_Sheet-Ruled4"/>
      <sheetName val="Cashflow_projection4"/>
      <sheetName val="Deprec_4"/>
      <sheetName val="TB-JUNE-2003-18_7_034"/>
      <sheetName val="Extra_Item4"/>
      <sheetName val="E_&amp;_R4"/>
      <sheetName val="Detail_In_Door_Stad4"/>
      <sheetName val="INPUT_SHEET4"/>
      <sheetName val="Inc_St_-Link4"/>
      <sheetName val="kppl_pl4"/>
      <sheetName val="PRECAST_lightconc-II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AutoOpen_Stub_Data5"/>
      <sheetName val="IO_List5"/>
      <sheetName val="Stress_Calculation5"/>
      <sheetName val="Fill_this_out_first___5"/>
      <sheetName val="ABP_inputs5"/>
      <sheetName val="Synergy_Sales_Budget5"/>
      <sheetName val="WORK_TABLE5"/>
      <sheetName val="SCurv_(3)5"/>
      <sheetName val="TBAL9697_-group_wise__sdpl5"/>
      <sheetName val="GN-ST-06(2)(Design_Sheet-Ruled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1.00"/>
      <sheetName val="98Price"/>
      <sheetName val="Project Budget Worksheet"/>
      <sheetName val="budget"/>
      <sheetName val="Detail 1A"/>
      <sheetName val="Rate"/>
      <sheetName val="DetEst"/>
      <sheetName val="BOQ-Part1"/>
      <sheetName val="RA_markate"/>
      <sheetName val="MG"/>
      <sheetName val="P&amp;L-BDMC"/>
      <sheetName val="Occ, Other Rev, Exp, Dispo"/>
      <sheetName val="Pay_Sep"/>
      <sheetName val="grid"/>
      <sheetName val="Basic Rates"/>
      <sheetName val="col-reinft1"/>
      <sheetName val="office"/>
      <sheetName val="Lab"/>
      <sheetName val="CABLE DATA"/>
      <sheetName val="Cable-data"/>
      <sheetName val="9. Package split - Cost "/>
      <sheetName val="Ave.wtd.rates"/>
      <sheetName val="ANNX - I ( a )"/>
      <sheetName val="Flooring"/>
      <sheetName val="Ceilings"/>
      <sheetName val="ACAD Finishes"/>
      <sheetName val="Measurements"/>
      <sheetName val="Chair"/>
      <sheetName val="Doors"/>
      <sheetName val="Estimate"/>
      <sheetName val="Tables"/>
      <sheetName val="Site Details"/>
      <sheetName val="Legend"/>
      <sheetName val="Sheet7"/>
      <sheetName val="Materials Cost"/>
      <sheetName val="verrous"/>
      <sheetName val="FPS_Labour"/>
      <sheetName val="Inputs"/>
      <sheetName val="PHE_Labour"/>
      <sheetName val="MAKES"/>
      <sheetName val="SALES"/>
      <sheetName val="DATA YTD"/>
      <sheetName val="VIEW YTG"/>
      <sheetName val="PAL"/>
      <sheetName val="DCF"/>
      <sheetName val="NJ Approved Cost Bar Only"/>
      <sheetName val="Assumption"/>
      <sheetName val="A"/>
      <sheetName val="Non-Factory"/>
      <sheetName val="Cus Count Backup"/>
      <sheetName val="Car Count Backup"/>
      <sheetName val="OpTrack"/>
      <sheetName val="Output"/>
      <sheetName val=" "/>
      <sheetName val="Addl.40"/>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sheetData sheetId="572"/>
      <sheetData sheetId="573"/>
      <sheetData sheetId="574"/>
      <sheetData sheetId="575"/>
      <sheetData sheetId="576"/>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umm"/>
      <sheetName val="MOHALI - I"/>
      <sheetName val="MOHALI - II"/>
      <sheetName val="TOANSA"/>
      <sheetName val="DEWAS"/>
      <sheetName val="PAONTA"/>
    </sheetNames>
    <sheetDataSet>
      <sheetData sheetId="0"/>
      <sheetData sheetId="1"/>
      <sheetData sheetId="2"/>
      <sheetData sheetId="3"/>
      <sheetData sheetId="4"/>
      <sheetData sheetId="5"/>
      <sheetData sheetId="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umm"/>
      <sheetName val="MOHALI - I"/>
      <sheetName val="MOHALI - II"/>
      <sheetName val="TOANSA"/>
      <sheetName val="DEWAS"/>
      <sheetName val="PAONTA"/>
    </sheetNames>
    <sheetDataSet>
      <sheetData sheetId="0"/>
      <sheetData sheetId="1"/>
      <sheetData sheetId="2"/>
      <sheetData sheetId="3"/>
      <sheetData sheetId="4"/>
      <sheetData sheetId="5"/>
      <sheetData sheetId="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mco"/>
      <sheetName val="Sheet1"/>
      <sheetName val="Sheet2"/>
      <sheetName val="Sheet1 (2)"/>
      <sheetName val="Sheet4"/>
      <sheetName val="June Analysis"/>
      <sheetName val="Dir"/>
      <sheetName val="Exec"/>
      <sheetName val="Chrm"/>
      <sheetName val="Mkt"/>
      <sheetName val="HR"/>
      <sheetName val="IT"/>
      <sheetName val="Ctr"/>
      <sheetName val="Adv"/>
      <sheetName val="PR"/>
      <sheetName val="Sec"/>
      <sheetName val="Adm"/>
      <sheetName val="Fac"/>
      <sheetName val="Fin"/>
      <sheetName val="Dep"/>
      <sheetName val="Int"/>
      <sheetName val="RES"/>
      <sheetName val="AptAdm"/>
      <sheetName val="InfAdm"/>
      <sheetName val="InfDir"/>
      <sheetName val="FOpsAdm"/>
      <sheetName val="FltOps Dir"/>
      <sheetName val="SOC"/>
      <sheetName val="DELS"/>
      <sheetName val="AMDS"/>
      <sheetName val="BOMS"/>
      <sheetName val="GOIS"/>
      <sheetName val="PNQS"/>
      <sheetName val="BLRS"/>
      <sheetName val="PATS"/>
      <sheetName val="CCUS"/>
      <sheetName val="NAGS"/>
      <sheetName val="MAAS"/>
      <sheetName val="IDRS"/>
      <sheetName val="JAIS"/>
      <sheetName val="COKS"/>
      <sheetName val="CJBS"/>
      <sheetName val="BBIS"/>
      <sheetName val="IXJS"/>
      <sheetName val="SXRS"/>
      <sheetName val="HYDS"/>
      <sheetName val="DELA"/>
      <sheetName val="AMDA"/>
      <sheetName val="BOMA"/>
      <sheetName val="GOIA"/>
      <sheetName val="PNQA"/>
      <sheetName val="BLRA"/>
      <sheetName val="PATA"/>
      <sheetName val="CCUA"/>
      <sheetName val="NAGA"/>
      <sheetName val="MAAA"/>
      <sheetName val="IDRA"/>
      <sheetName val="JAIA"/>
      <sheetName val="COKA"/>
      <sheetName val="CJBA"/>
      <sheetName val="HYDA"/>
      <sheetName val="BBIA"/>
      <sheetName val="IXJA"/>
      <sheetName val="SXRA"/>
      <sheetName val="MtcQA"/>
      <sheetName val="MtcPrd"/>
      <sheetName val="Mtc Plan"/>
      <sheetName val="MtcStores"/>
      <sheetName val="MtcAdm"/>
      <sheetName val="Cashflow Stmt"/>
      <sheetName val="Payroll HR"/>
      <sheetName val="Acft Purchase"/>
      <sheetName val="Acft Deposit"/>
      <sheetName val="Comm"/>
      <sheetName val="Navtr"/>
      <sheetName val="Grids"/>
      <sheetName val="CC&amp;Bank"/>
      <sheetName val="Fuel800"/>
      <sheetName val="Fuel700"/>
      <sheetName val="LTF800"/>
      <sheetName val="LTF700"/>
      <sheetName val="Insur"/>
      <sheetName val="AcftLse"/>
      <sheetName val="RP&amp;L"/>
      <sheetName val="Payroll"/>
      <sheetName val="Sheet3"/>
      <sheetName val="Payroll Dtl"/>
      <sheetName val="Actuals"/>
      <sheetName val="Graphs"/>
      <sheetName val="Income Stmt"/>
      <sheetName val="Statements"/>
      <sheetName val="MtcDir"/>
      <sheetName val="Sales &amp; Revenue &amp; Sked"/>
      <sheetName val="Stats800"/>
      <sheetName val="Stats700"/>
      <sheetName val="Capital"/>
      <sheetName val="Assets"/>
      <sheetName val="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ow r="1302">
          <cell r="A1302" t="str">
            <v>Total ASKs - All Types</v>
          </cell>
          <cell r="F1302">
            <v>81430682899.106827</v>
          </cell>
          <cell r="G1302">
            <v>1770521239.8757801</v>
          </cell>
          <cell r="H1302">
            <v>8180295559.4906406</v>
          </cell>
          <cell r="I1302">
            <v>17754116374.16148</v>
          </cell>
          <cell r="J1302">
            <v>26133668375.731319</v>
          </cell>
          <cell r="K1302">
            <v>27592081349.847599</v>
          </cell>
          <cell r="L1302">
            <v>1770521239.8757801</v>
          </cell>
          <cell r="M1302">
            <v>75821508</v>
          </cell>
          <cell r="N1302">
            <v>100739646</v>
          </cell>
          <cell r="O1302">
            <v>107195886</v>
          </cell>
          <cell r="P1302">
            <v>109941300</v>
          </cell>
          <cell r="Q1302">
            <v>113190966</v>
          </cell>
          <cell r="R1302">
            <v>141293111.40000001</v>
          </cell>
          <cell r="S1302">
            <v>146152872.18000001</v>
          </cell>
          <cell r="T1302">
            <v>146152872.18000001</v>
          </cell>
          <cell r="U1302">
            <v>164437434.83663997</v>
          </cell>
          <cell r="V1302">
            <v>182322998.36855999</v>
          </cell>
          <cell r="W1302">
            <v>203388092.44992</v>
          </cell>
          <cell r="X1302">
            <v>279884552.46066004</v>
          </cell>
          <cell r="Y1302">
            <v>8180295559.4906406</v>
          </cell>
          <cell r="Z1302">
            <v>497514415.07159996</v>
          </cell>
          <cell r="AA1302">
            <v>514098228.90731996</v>
          </cell>
          <cell r="AB1302">
            <v>514098228.90731996</v>
          </cell>
          <cell r="AC1302">
            <v>497514415.07159996</v>
          </cell>
          <cell r="AD1302">
            <v>601209601.15703988</v>
          </cell>
          <cell r="AE1302">
            <v>666117071.03879988</v>
          </cell>
          <cell r="AF1302">
            <v>775432345.65647972</v>
          </cell>
          <cell r="AG1302">
            <v>775432345.65647972</v>
          </cell>
          <cell r="AH1302">
            <v>779071745.20560014</v>
          </cell>
          <cell r="AI1302">
            <v>862543717.90619981</v>
          </cell>
          <cell r="AJ1302">
            <v>834719727.0059998</v>
          </cell>
          <cell r="AK1302">
            <v>862543717.90619981</v>
          </cell>
          <cell r="AL1302">
            <v>17754116374.16148</v>
          </cell>
          <cell r="AM1302">
            <v>919021054.98959982</v>
          </cell>
          <cell r="AN1302">
            <v>1123877834.6553597</v>
          </cell>
          <cell r="AO1302">
            <v>1298100579.1547999</v>
          </cell>
          <cell r="AP1302">
            <v>1340527694.9075999</v>
          </cell>
          <cell r="AQ1302">
            <v>1472323323.6542397</v>
          </cell>
          <cell r="AR1302">
            <v>1424829022.8911998</v>
          </cell>
          <cell r="AS1302">
            <v>1559434695.9039598</v>
          </cell>
          <cell r="AT1302">
            <v>1646546068.1536803</v>
          </cell>
          <cell r="AU1302">
            <v>1565884139.7191999</v>
          </cell>
          <cell r="AV1302">
            <v>1820768812.6531198</v>
          </cell>
          <cell r="AW1302">
            <v>1762034334.8255999</v>
          </cell>
          <cell r="AX1302">
            <v>1820768812.6531198</v>
          </cell>
          <cell r="AY1302">
            <v>26133668375.731319</v>
          </cell>
          <cell r="AZ1302">
            <v>1846335662.8091996</v>
          </cell>
          <cell r="BA1302">
            <v>1994991557.1525602</v>
          </cell>
          <cell r="BB1302">
            <v>2082102929.4022799</v>
          </cell>
          <cell r="BC1302">
            <v>2099239646.7600002</v>
          </cell>
          <cell r="BD1302">
            <v>2169214301.6520004</v>
          </cell>
          <cell r="BE1302">
            <v>2183540974.7435999</v>
          </cell>
          <cell r="BF1302">
            <v>2343437046.1514411</v>
          </cell>
          <cell r="BG1302">
            <v>2343437046.1514411</v>
          </cell>
          <cell r="BH1302">
            <v>2116652815.8787196</v>
          </cell>
          <cell r="BI1302">
            <v>2343437046.1514411</v>
          </cell>
          <cell r="BJ1302">
            <v>2267842302.7272005</v>
          </cell>
          <cell r="BK1302">
            <v>2343437046.1514411</v>
          </cell>
          <cell r="BL1302">
            <v>27592081349.847599</v>
          </cell>
          <cell r="BM1302">
            <v>2267842302.7272005</v>
          </cell>
          <cell r="BN1302">
            <v>2343437046.1514411</v>
          </cell>
          <cell r="BO1302">
            <v>2343437046.1514411</v>
          </cell>
          <cell r="BP1302">
            <v>2267842302.7272005</v>
          </cell>
          <cell r="BQ1302">
            <v>2343437046.1514411</v>
          </cell>
          <cell r="BR1302">
            <v>2267842302.7272005</v>
          </cell>
          <cell r="BS1302">
            <v>2343437046.1514411</v>
          </cell>
          <cell r="BT1302">
            <v>2343437046.1514411</v>
          </cell>
          <cell r="BU1302">
            <v>2116652815.8787196</v>
          </cell>
          <cell r="BV1302">
            <v>2343437046.1514411</v>
          </cell>
          <cell r="BW1302">
            <v>2267842302.7272005</v>
          </cell>
          <cell r="BX1302">
            <v>2343437046.1514411</v>
          </cell>
        </row>
      </sheetData>
      <sheetData sheetId="93" refreshError="1"/>
      <sheetData sheetId="94" refreshError="1"/>
      <sheetData sheetId="95" refreshError="1"/>
      <sheetData sheetId="96" refreshError="1"/>
      <sheetData sheetId="9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_serial no."/>
      <sheetName val="Sheet1"/>
      <sheetName val="tot_ass_9697"/>
      <sheetName val="Design"/>
      <sheetName val="Codes"/>
      <sheetName val="ASS_PP98"/>
      <sheetName val="Cash Flow Working"/>
      <sheetName val="Shivaji"/>
    </sheetNames>
    <sheetDataSet>
      <sheetData sheetId="0">
        <row r="1">
          <cell r="A1" t="str">
            <v>Main number</v>
          </cell>
          <cell r="B1" t="str">
            <v>SNo.</v>
          </cell>
          <cell r="C1" t="str">
            <v>Asset class</v>
          </cell>
          <cell r="D1" t="str">
            <v>Cap.date</v>
          </cell>
          <cell r="E1" t="str">
            <v>Quantity</v>
          </cell>
          <cell r="F1" t="str">
            <v>Old_serial no.</v>
          </cell>
        </row>
        <row r="2">
          <cell r="A2">
            <v>3400004910</v>
          </cell>
          <cell r="B2">
            <v>0</v>
          </cell>
          <cell r="C2">
            <v>5801</v>
          </cell>
          <cell r="D2" t="str">
            <v>31.12.1997</v>
          </cell>
          <cell r="E2">
            <v>1</v>
          </cell>
          <cell r="F2">
            <v>60980001</v>
          </cell>
        </row>
        <row r="3">
          <cell r="A3">
            <v>3400004911</v>
          </cell>
          <cell r="B3">
            <v>0</v>
          </cell>
          <cell r="C3">
            <v>5801</v>
          </cell>
          <cell r="D3" t="str">
            <v>31.12.1997</v>
          </cell>
          <cell r="E3">
            <v>2</v>
          </cell>
          <cell r="F3">
            <v>60980002</v>
          </cell>
        </row>
        <row r="4">
          <cell r="A4">
            <v>3400004913</v>
          </cell>
          <cell r="B4">
            <v>0</v>
          </cell>
          <cell r="C4">
            <v>5801</v>
          </cell>
          <cell r="D4" t="str">
            <v>31.12.1997</v>
          </cell>
          <cell r="E4">
            <v>1</v>
          </cell>
          <cell r="F4">
            <v>60980004</v>
          </cell>
        </row>
        <row r="5">
          <cell r="A5">
            <v>3400004915</v>
          </cell>
          <cell r="B5">
            <v>0</v>
          </cell>
          <cell r="C5">
            <v>6601</v>
          </cell>
          <cell r="D5" t="str">
            <v>10.01.1998</v>
          </cell>
          <cell r="E5">
            <v>1</v>
          </cell>
          <cell r="F5">
            <v>60980005</v>
          </cell>
        </row>
        <row r="6">
          <cell r="A6">
            <v>3400004915</v>
          </cell>
          <cell r="B6">
            <v>1</v>
          </cell>
          <cell r="C6">
            <v>6601</v>
          </cell>
          <cell r="D6" t="str">
            <v>10.01.1998</v>
          </cell>
          <cell r="E6">
            <v>1</v>
          </cell>
          <cell r="F6">
            <v>60980006</v>
          </cell>
        </row>
        <row r="7">
          <cell r="A7">
            <v>3400004917</v>
          </cell>
          <cell r="B7">
            <v>0</v>
          </cell>
          <cell r="C7">
            <v>6601</v>
          </cell>
          <cell r="D7" t="str">
            <v>27.03.1998</v>
          </cell>
          <cell r="E7">
            <v>1</v>
          </cell>
          <cell r="F7">
            <v>60980007</v>
          </cell>
        </row>
        <row r="8">
          <cell r="A8">
            <v>3400004918</v>
          </cell>
          <cell r="B8">
            <v>0</v>
          </cell>
          <cell r="C8">
            <v>5800</v>
          </cell>
          <cell r="D8" t="str">
            <v>27.03.1998</v>
          </cell>
          <cell r="E8">
            <v>1</v>
          </cell>
          <cell r="F8">
            <v>60980008</v>
          </cell>
        </row>
        <row r="9">
          <cell r="A9">
            <v>3400004919</v>
          </cell>
          <cell r="B9">
            <v>0</v>
          </cell>
          <cell r="C9">
            <v>5800</v>
          </cell>
          <cell r="D9" t="str">
            <v>27.03.1998</v>
          </cell>
          <cell r="E9">
            <v>1</v>
          </cell>
          <cell r="F9">
            <v>60980009</v>
          </cell>
        </row>
        <row r="10">
          <cell r="A10">
            <v>3400004920</v>
          </cell>
          <cell r="B10">
            <v>0</v>
          </cell>
          <cell r="C10">
            <v>5800</v>
          </cell>
          <cell r="D10" t="str">
            <v>27.03.1998</v>
          </cell>
          <cell r="E10">
            <v>1</v>
          </cell>
          <cell r="F10">
            <v>60980010</v>
          </cell>
        </row>
        <row r="11">
          <cell r="A11">
            <v>3400004921</v>
          </cell>
          <cell r="B11">
            <v>0</v>
          </cell>
          <cell r="C11">
            <v>6901</v>
          </cell>
          <cell r="D11" t="str">
            <v>27.03.1998</v>
          </cell>
          <cell r="E11">
            <v>45</v>
          </cell>
          <cell r="F11">
            <v>60980011</v>
          </cell>
        </row>
        <row r="12">
          <cell r="A12">
            <v>3400004922</v>
          </cell>
          <cell r="B12">
            <v>0</v>
          </cell>
          <cell r="C12">
            <v>5800</v>
          </cell>
          <cell r="D12" t="str">
            <v>27.03.1998</v>
          </cell>
          <cell r="E12">
            <v>1</v>
          </cell>
          <cell r="F12">
            <v>60980012</v>
          </cell>
        </row>
        <row r="13">
          <cell r="A13">
            <v>3400004930</v>
          </cell>
          <cell r="B13">
            <v>0</v>
          </cell>
          <cell r="C13">
            <v>5800</v>
          </cell>
          <cell r="D13" t="str">
            <v>23.01.1998</v>
          </cell>
          <cell r="E13">
            <v>1</v>
          </cell>
          <cell r="F13">
            <v>60980013</v>
          </cell>
        </row>
        <row r="14">
          <cell r="A14">
            <v>3400004931</v>
          </cell>
          <cell r="B14">
            <v>0</v>
          </cell>
          <cell r="C14">
            <v>6500</v>
          </cell>
          <cell r="D14" t="str">
            <v>09.01.1998</v>
          </cell>
          <cell r="E14">
            <v>1</v>
          </cell>
          <cell r="F14">
            <v>60980014</v>
          </cell>
        </row>
        <row r="15">
          <cell r="A15">
            <v>3400004932</v>
          </cell>
          <cell r="B15">
            <v>0</v>
          </cell>
          <cell r="C15">
            <v>6500</v>
          </cell>
          <cell r="D15" t="str">
            <v>09.01.1998</v>
          </cell>
          <cell r="E15">
            <v>1</v>
          </cell>
          <cell r="F15">
            <v>60980015</v>
          </cell>
        </row>
        <row r="16">
          <cell r="A16">
            <v>3400004933</v>
          </cell>
          <cell r="B16">
            <v>0</v>
          </cell>
          <cell r="C16">
            <v>6500</v>
          </cell>
          <cell r="D16" t="str">
            <v>09.01.1998</v>
          </cell>
          <cell r="E16">
            <v>1</v>
          </cell>
          <cell r="F16">
            <v>60980016</v>
          </cell>
        </row>
        <row r="17">
          <cell r="A17">
            <v>3400004934</v>
          </cell>
          <cell r="B17">
            <v>0</v>
          </cell>
          <cell r="C17">
            <v>6500</v>
          </cell>
          <cell r="D17" t="str">
            <v>09.01.1998</v>
          </cell>
          <cell r="E17">
            <v>1</v>
          </cell>
          <cell r="F17">
            <v>60980017</v>
          </cell>
        </row>
        <row r="18">
          <cell r="A18">
            <v>3400004935</v>
          </cell>
          <cell r="B18">
            <v>0</v>
          </cell>
          <cell r="C18">
            <v>5800</v>
          </cell>
          <cell r="D18" t="str">
            <v>20.01.1998</v>
          </cell>
          <cell r="E18">
            <v>1</v>
          </cell>
          <cell r="F18">
            <v>60980018</v>
          </cell>
        </row>
        <row r="19">
          <cell r="A19">
            <v>3400004936</v>
          </cell>
          <cell r="B19">
            <v>0</v>
          </cell>
          <cell r="C19">
            <v>5800</v>
          </cell>
          <cell r="D19" t="str">
            <v>20.01.1998</v>
          </cell>
          <cell r="E19">
            <v>1</v>
          </cell>
          <cell r="F19">
            <v>60980019</v>
          </cell>
        </row>
        <row r="20">
          <cell r="A20">
            <v>3400004937</v>
          </cell>
          <cell r="B20">
            <v>0</v>
          </cell>
          <cell r="C20">
            <v>5800</v>
          </cell>
          <cell r="D20" t="str">
            <v>20.01.1998</v>
          </cell>
          <cell r="E20">
            <v>1</v>
          </cell>
          <cell r="F20">
            <v>60980020</v>
          </cell>
        </row>
        <row r="21">
          <cell r="A21">
            <v>3400004939</v>
          </cell>
          <cell r="B21">
            <v>0</v>
          </cell>
          <cell r="C21">
            <v>5800</v>
          </cell>
          <cell r="D21" t="str">
            <v>20.01.1998</v>
          </cell>
          <cell r="E21">
            <v>40</v>
          </cell>
          <cell r="F21">
            <v>60980022</v>
          </cell>
        </row>
        <row r="22">
          <cell r="A22">
            <v>3400004940</v>
          </cell>
          <cell r="B22">
            <v>0</v>
          </cell>
          <cell r="C22">
            <v>6500</v>
          </cell>
          <cell r="D22" t="str">
            <v>03.02.1998</v>
          </cell>
          <cell r="E22">
            <v>1</v>
          </cell>
          <cell r="F22">
            <v>60980023</v>
          </cell>
        </row>
        <row r="23">
          <cell r="A23">
            <v>3400004941</v>
          </cell>
          <cell r="B23">
            <v>0</v>
          </cell>
          <cell r="C23">
            <v>6800</v>
          </cell>
          <cell r="D23" t="str">
            <v>10.02.1998</v>
          </cell>
          <cell r="E23">
            <v>1</v>
          </cell>
          <cell r="F23">
            <v>60980023</v>
          </cell>
        </row>
        <row r="24">
          <cell r="A24">
            <v>3400004942</v>
          </cell>
          <cell r="B24">
            <v>0</v>
          </cell>
          <cell r="C24">
            <v>6800</v>
          </cell>
          <cell r="D24" t="str">
            <v>10.02.1998</v>
          </cell>
          <cell r="E24">
            <v>1</v>
          </cell>
          <cell r="F24">
            <v>60980024</v>
          </cell>
        </row>
        <row r="25">
          <cell r="A25">
            <v>3400004943</v>
          </cell>
          <cell r="B25">
            <v>0</v>
          </cell>
          <cell r="C25">
            <v>6800</v>
          </cell>
          <cell r="D25" t="str">
            <v>10.02.1998</v>
          </cell>
          <cell r="E25">
            <v>1</v>
          </cell>
          <cell r="F25">
            <v>60980025</v>
          </cell>
        </row>
        <row r="26">
          <cell r="A26">
            <v>3400004944</v>
          </cell>
          <cell r="B26">
            <v>0</v>
          </cell>
          <cell r="C26">
            <v>5800</v>
          </cell>
          <cell r="D26" t="str">
            <v>18.02.1998</v>
          </cell>
          <cell r="E26">
            <v>1</v>
          </cell>
          <cell r="F26">
            <v>60980026</v>
          </cell>
        </row>
        <row r="27">
          <cell r="A27">
            <v>3400004945</v>
          </cell>
          <cell r="B27">
            <v>0</v>
          </cell>
          <cell r="C27">
            <v>5800</v>
          </cell>
          <cell r="D27" t="str">
            <v>18.02.1998</v>
          </cell>
          <cell r="E27">
            <v>1</v>
          </cell>
          <cell r="F27">
            <v>60980027</v>
          </cell>
        </row>
        <row r="28">
          <cell r="A28">
            <v>3400004946</v>
          </cell>
          <cell r="B28">
            <v>0</v>
          </cell>
          <cell r="C28">
            <v>5800</v>
          </cell>
          <cell r="D28" t="str">
            <v>18.02.1998</v>
          </cell>
          <cell r="E28">
            <v>1</v>
          </cell>
          <cell r="F28">
            <v>60980028</v>
          </cell>
        </row>
        <row r="29">
          <cell r="A29">
            <v>3400004947</v>
          </cell>
          <cell r="B29">
            <v>0</v>
          </cell>
          <cell r="C29">
            <v>5800</v>
          </cell>
          <cell r="D29" t="str">
            <v>18.02.1998</v>
          </cell>
          <cell r="E29">
            <v>1</v>
          </cell>
          <cell r="F29">
            <v>60980029</v>
          </cell>
        </row>
        <row r="30">
          <cell r="A30">
            <v>3400004948</v>
          </cell>
          <cell r="B30">
            <v>0</v>
          </cell>
          <cell r="C30">
            <v>5800</v>
          </cell>
          <cell r="D30" t="str">
            <v>07.02.1998</v>
          </cell>
          <cell r="E30">
            <v>1</v>
          </cell>
          <cell r="F30">
            <v>60980030</v>
          </cell>
        </row>
        <row r="31">
          <cell r="A31">
            <v>3400004949</v>
          </cell>
          <cell r="B31">
            <v>0</v>
          </cell>
          <cell r="C31">
            <v>5800</v>
          </cell>
          <cell r="D31" t="str">
            <v>07.02.1998</v>
          </cell>
          <cell r="E31">
            <v>1</v>
          </cell>
          <cell r="F31">
            <v>60980031</v>
          </cell>
        </row>
        <row r="32">
          <cell r="A32">
            <v>3400004950</v>
          </cell>
          <cell r="B32">
            <v>0</v>
          </cell>
          <cell r="C32">
            <v>5800</v>
          </cell>
          <cell r="D32" t="str">
            <v>07.02.1998</v>
          </cell>
          <cell r="E32">
            <v>1</v>
          </cell>
          <cell r="F32">
            <v>60980032</v>
          </cell>
        </row>
        <row r="33">
          <cell r="A33">
            <v>3400004951</v>
          </cell>
          <cell r="B33">
            <v>0</v>
          </cell>
          <cell r="C33">
            <v>5800</v>
          </cell>
          <cell r="D33" t="str">
            <v>07.02.1998</v>
          </cell>
          <cell r="E33">
            <v>1</v>
          </cell>
          <cell r="F33">
            <v>60980033</v>
          </cell>
        </row>
        <row r="34">
          <cell r="A34">
            <v>3400004952</v>
          </cell>
          <cell r="B34">
            <v>0</v>
          </cell>
          <cell r="C34">
            <v>5800</v>
          </cell>
          <cell r="D34" t="str">
            <v>03.03.1998</v>
          </cell>
          <cell r="E34">
            <v>1</v>
          </cell>
          <cell r="F34">
            <v>60980034</v>
          </cell>
        </row>
        <row r="35">
          <cell r="A35">
            <v>3400004953</v>
          </cell>
          <cell r="B35">
            <v>0</v>
          </cell>
          <cell r="C35">
            <v>6901</v>
          </cell>
          <cell r="D35" t="str">
            <v>03.03.1998</v>
          </cell>
          <cell r="E35">
            <v>25</v>
          </cell>
          <cell r="F35">
            <v>60980035</v>
          </cell>
        </row>
        <row r="36">
          <cell r="A36">
            <v>3400004954</v>
          </cell>
          <cell r="B36">
            <v>0</v>
          </cell>
          <cell r="C36">
            <v>5800</v>
          </cell>
          <cell r="D36" t="str">
            <v>25.03.1998</v>
          </cell>
          <cell r="E36">
            <v>1</v>
          </cell>
          <cell r="F36">
            <v>60980036</v>
          </cell>
        </row>
        <row r="37">
          <cell r="A37">
            <v>3400004956</v>
          </cell>
          <cell r="B37">
            <v>0</v>
          </cell>
          <cell r="C37">
            <v>5800</v>
          </cell>
          <cell r="D37" t="str">
            <v>19.03.1998</v>
          </cell>
          <cell r="E37">
            <v>1</v>
          </cell>
          <cell r="F37">
            <v>60980038</v>
          </cell>
        </row>
        <row r="38">
          <cell r="A38">
            <v>3400004938</v>
          </cell>
          <cell r="B38">
            <v>0</v>
          </cell>
          <cell r="C38">
            <v>5800</v>
          </cell>
          <cell r="D38" t="str">
            <v>20.01.1998</v>
          </cell>
          <cell r="E38">
            <v>1</v>
          </cell>
          <cell r="F38">
            <v>60980038</v>
          </cell>
        </row>
        <row r="39">
          <cell r="A39">
            <v>3400004957</v>
          </cell>
          <cell r="B39">
            <v>0</v>
          </cell>
          <cell r="C39">
            <v>5800</v>
          </cell>
          <cell r="D39" t="str">
            <v>19.03.1998</v>
          </cell>
          <cell r="E39">
            <v>1</v>
          </cell>
          <cell r="F39">
            <v>60980039</v>
          </cell>
        </row>
        <row r="40">
          <cell r="A40">
            <v>3400005126</v>
          </cell>
          <cell r="B40">
            <v>0</v>
          </cell>
          <cell r="C40">
            <v>6220</v>
          </cell>
          <cell r="D40" t="str">
            <v>11.08.1998</v>
          </cell>
          <cell r="E40">
            <v>1</v>
          </cell>
          <cell r="F40">
            <v>61007200</v>
          </cell>
        </row>
        <row r="41">
          <cell r="A41">
            <v>3400002473</v>
          </cell>
          <cell r="B41">
            <v>0</v>
          </cell>
          <cell r="C41">
            <v>6103</v>
          </cell>
          <cell r="D41" t="str">
            <v>01.04.1995</v>
          </cell>
          <cell r="E41">
            <v>1</v>
          </cell>
          <cell r="F41">
            <v>6195000019</v>
          </cell>
        </row>
        <row r="42">
          <cell r="A42">
            <v>3400002474</v>
          </cell>
          <cell r="B42">
            <v>0</v>
          </cell>
          <cell r="C42">
            <v>6801</v>
          </cell>
          <cell r="D42" t="str">
            <v>01.10.1996</v>
          </cell>
          <cell r="E42">
            <v>1</v>
          </cell>
          <cell r="F42">
            <v>6195000035</v>
          </cell>
        </row>
        <row r="43">
          <cell r="A43">
            <v>3400002475</v>
          </cell>
          <cell r="B43">
            <v>0</v>
          </cell>
          <cell r="C43">
            <v>6901</v>
          </cell>
          <cell r="D43" t="str">
            <v>01.04.1995</v>
          </cell>
          <cell r="E43">
            <v>1</v>
          </cell>
          <cell r="F43">
            <v>6195000043</v>
          </cell>
        </row>
        <row r="44">
          <cell r="A44">
            <v>3400002476</v>
          </cell>
          <cell r="B44">
            <v>0</v>
          </cell>
          <cell r="C44">
            <v>6901</v>
          </cell>
          <cell r="D44" t="str">
            <v>01.04.1995</v>
          </cell>
          <cell r="E44">
            <v>2</v>
          </cell>
          <cell r="F44">
            <v>6195000051</v>
          </cell>
        </row>
        <row r="45">
          <cell r="A45">
            <v>3400002477</v>
          </cell>
          <cell r="B45">
            <v>0</v>
          </cell>
          <cell r="C45">
            <v>6901</v>
          </cell>
          <cell r="D45" t="str">
            <v>01.04.1995</v>
          </cell>
          <cell r="E45">
            <v>36</v>
          </cell>
          <cell r="F45">
            <v>6195000072</v>
          </cell>
        </row>
        <row r="46">
          <cell r="A46">
            <v>3400002478</v>
          </cell>
          <cell r="B46">
            <v>0</v>
          </cell>
          <cell r="C46">
            <v>6801</v>
          </cell>
          <cell r="D46" t="str">
            <v>01.10.1996</v>
          </cell>
          <cell r="E46">
            <v>1</v>
          </cell>
          <cell r="F46">
            <v>6195000084</v>
          </cell>
        </row>
        <row r="47">
          <cell r="A47">
            <v>3400002479</v>
          </cell>
          <cell r="B47">
            <v>0</v>
          </cell>
          <cell r="C47">
            <v>6801</v>
          </cell>
          <cell r="D47" t="str">
            <v>01.10.1996</v>
          </cell>
          <cell r="E47">
            <v>1</v>
          </cell>
          <cell r="F47">
            <v>6195000096</v>
          </cell>
        </row>
        <row r="48">
          <cell r="A48">
            <v>3400002480</v>
          </cell>
          <cell r="B48">
            <v>0</v>
          </cell>
          <cell r="C48">
            <v>6901</v>
          </cell>
          <cell r="D48" t="str">
            <v>01.04.1995</v>
          </cell>
          <cell r="E48">
            <v>1</v>
          </cell>
          <cell r="F48">
            <v>6195000108</v>
          </cell>
        </row>
        <row r="49">
          <cell r="A49">
            <v>3400002481</v>
          </cell>
          <cell r="B49">
            <v>0</v>
          </cell>
          <cell r="C49">
            <v>6901</v>
          </cell>
          <cell r="D49" t="str">
            <v>01.04.1995</v>
          </cell>
          <cell r="E49">
            <v>14</v>
          </cell>
          <cell r="F49">
            <v>6195000116</v>
          </cell>
        </row>
        <row r="50">
          <cell r="A50">
            <v>3400002482</v>
          </cell>
          <cell r="B50">
            <v>0</v>
          </cell>
          <cell r="C50">
            <v>6801</v>
          </cell>
          <cell r="D50" t="str">
            <v>01.10.1996</v>
          </cell>
          <cell r="E50">
            <v>0</v>
          </cell>
          <cell r="F50">
            <v>6195000124</v>
          </cell>
        </row>
        <row r="51">
          <cell r="A51">
            <v>3400002483</v>
          </cell>
          <cell r="B51">
            <v>0</v>
          </cell>
          <cell r="C51">
            <v>6801</v>
          </cell>
          <cell r="D51" t="str">
            <v>01.10.1996</v>
          </cell>
          <cell r="E51">
            <v>1</v>
          </cell>
          <cell r="F51">
            <v>6195000132</v>
          </cell>
        </row>
        <row r="52">
          <cell r="A52">
            <v>3400002484</v>
          </cell>
          <cell r="B52">
            <v>0</v>
          </cell>
          <cell r="C52">
            <v>6801</v>
          </cell>
          <cell r="D52" t="str">
            <v>01.10.1996</v>
          </cell>
          <cell r="E52">
            <v>1</v>
          </cell>
          <cell r="F52">
            <v>6195000149</v>
          </cell>
        </row>
        <row r="53">
          <cell r="A53">
            <v>3400002485</v>
          </cell>
          <cell r="B53">
            <v>0</v>
          </cell>
          <cell r="C53">
            <v>6901</v>
          </cell>
          <cell r="D53" t="str">
            <v>01.04.1995</v>
          </cell>
          <cell r="E53">
            <v>1</v>
          </cell>
          <cell r="F53">
            <v>6195000151</v>
          </cell>
        </row>
        <row r="54">
          <cell r="A54">
            <v>3400002486</v>
          </cell>
          <cell r="B54">
            <v>0</v>
          </cell>
          <cell r="C54">
            <v>6901</v>
          </cell>
          <cell r="D54" t="str">
            <v>01.04.1995</v>
          </cell>
          <cell r="E54">
            <v>1</v>
          </cell>
          <cell r="F54">
            <v>6195000163</v>
          </cell>
        </row>
        <row r="55">
          <cell r="A55">
            <v>3400002487</v>
          </cell>
          <cell r="B55">
            <v>0</v>
          </cell>
          <cell r="C55">
            <v>6801</v>
          </cell>
          <cell r="D55" t="str">
            <v>01.10.1996</v>
          </cell>
          <cell r="E55">
            <v>1</v>
          </cell>
          <cell r="F55">
            <v>6195000175</v>
          </cell>
        </row>
        <row r="56">
          <cell r="A56">
            <v>3400002488</v>
          </cell>
          <cell r="B56">
            <v>0</v>
          </cell>
          <cell r="C56">
            <v>6801</v>
          </cell>
          <cell r="D56" t="str">
            <v>01.10.1996</v>
          </cell>
          <cell r="E56">
            <v>1</v>
          </cell>
          <cell r="F56">
            <v>6195000187</v>
          </cell>
        </row>
        <row r="57">
          <cell r="A57">
            <v>3400002489</v>
          </cell>
          <cell r="B57">
            <v>0</v>
          </cell>
          <cell r="C57">
            <v>6801</v>
          </cell>
          <cell r="D57" t="str">
            <v>01.10.1996</v>
          </cell>
          <cell r="E57">
            <v>1</v>
          </cell>
          <cell r="F57">
            <v>6195000199</v>
          </cell>
        </row>
        <row r="58">
          <cell r="A58">
            <v>3400002490</v>
          </cell>
          <cell r="B58">
            <v>0</v>
          </cell>
          <cell r="C58">
            <v>6801</v>
          </cell>
          <cell r="D58" t="str">
            <v>01.10.1996</v>
          </cell>
          <cell r="E58">
            <v>1</v>
          </cell>
          <cell r="F58">
            <v>6195000213</v>
          </cell>
        </row>
        <row r="59">
          <cell r="A59">
            <v>3400002491</v>
          </cell>
          <cell r="B59">
            <v>0</v>
          </cell>
          <cell r="C59">
            <v>6901</v>
          </cell>
          <cell r="D59" t="str">
            <v>01.04.1995</v>
          </cell>
          <cell r="E59">
            <v>1</v>
          </cell>
          <cell r="F59">
            <v>6195000221</v>
          </cell>
        </row>
        <row r="60">
          <cell r="A60">
            <v>3400002492</v>
          </cell>
          <cell r="B60">
            <v>0</v>
          </cell>
          <cell r="C60">
            <v>6901</v>
          </cell>
          <cell r="D60" t="str">
            <v>01.04.1995</v>
          </cell>
          <cell r="E60">
            <v>58</v>
          </cell>
          <cell r="F60">
            <v>6195000230</v>
          </cell>
        </row>
        <row r="61">
          <cell r="A61">
            <v>3400002493</v>
          </cell>
          <cell r="B61">
            <v>0</v>
          </cell>
          <cell r="C61">
            <v>6901</v>
          </cell>
          <cell r="D61" t="str">
            <v>01.04.1995</v>
          </cell>
          <cell r="E61">
            <v>25</v>
          </cell>
          <cell r="F61">
            <v>6195000266</v>
          </cell>
        </row>
        <row r="62">
          <cell r="A62">
            <v>3400002494</v>
          </cell>
          <cell r="B62">
            <v>0</v>
          </cell>
          <cell r="C62">
            <v>6901</v>
          </cell>
          <cell r="D62" t="str">
            <v>01.04.1995</v>
          </cell>
          <cell r="E62">
            <v>1</v>
          </cell>
          <cell r="F62">
            <v>6195000278</v>
          </cell>
        </row>
        <row r="63">
          <cell r="A63">
            <v>3400002495</v>
          </cell>
          <cell r="B63">
            <v>0</v>
          </cell>
          <cell r="C63">
            <v>6801</v>
          </cell>
          <cell r="D63" t="str">
            <v>01.10.1996</v>
          </cell>
          <cell r="E63">
            <v>1</v>
          </cell>
          <cell r="F63">
            <v>6195000289</v>
          </cell>
        </row>
        <row r="64">
          <cell r="A64">
            <v>3400002496</v>
          </cell>
          <cell r="B64">
            <v>0</v>
          </cell>
          <cell r="C64">
            <v>6901</v>
          </cell>
          <cell r="D64" t="str">
            <v>01.04.1995</v>
          </cell>
          <cell r="E64">
            <v>36</v>
          </cell>
          <cell r="F64">
            <v>6195000302</v>
          </cell>
        </row>
        <row r="65">
          <cell r="A65">
            <v>3400002497</v>
          </cell>
          <cell r="B65">
            <v>0</v>
          </cell>
          <cell r="C65">
            <v>6801</v>
          </cell>
          <cell r="D65" t="str">
            <v>01.10.1996</v>
          </cell>
          <cell r="E65">
            <v>0</v>
          </cell>
          <cell r="F65">
            <v>6195000319</v>
          </cell>
        </row>
        <row r="66">
          <cell r="A66">
            <v>3400002498</v>
          </cell>
          <cell r="B66">
            <v>0</v>
          </cell>
          <cell r="C66">
            <v>6901</v>
          </cell>
          <cell r="D66" t="str">
            <v>01.04.1995</v>
          </cell>
          <cell r="E66">
            <v>1</v>
          </cell>
          <cell r="F66">
            <v>6195000321</v>
          </cell>
        </row>
        <row r="67">
          <cell r="A67">
            <v>3400002499</v>
          </cell>
          <cell r="B67">
            <v>0</v>
          </cell>
          <cell r="C67">
            <v>6801</v>
          </cell>
          <cell r="D67" t="str">
            <v>01.10.1996</v>
          </cell>
          <cell r="E67">
            <v>1</v>
          </cell>
          <cell r="F67">
            <v>6195000357</v>
          </cell>
        </row>
        <row r="68">
          <cell r="A68">
            <v>3400002500</v>
          </cell>
          <cell r="B68">
            <v>0</v>
          </cell>
          <cell r="C68">
            <v>6801</v>
          </cell>
          <cell r="D68" t="str">
            <v>01.10.1996</v>
          </cell>
          <cell r="E68">
            <v>1</v>
          </cell>
          <cell r="F68">
            <v>6195000369</v>
          </cell>
        </row>
        <row r="69">
          <cell r="A69">
            <v>3400002501</v>
          </cell>
          <cell r="B69">
            <v>0</v>
          </cell>
          <cell r="C69">
            <v>6901</v>
          </cell>
          <cell r="D69" t="str">
            <v>01.04.1995</v>
          </cell>
          <cell r="E69">
            <v>1</v>
          </cell>
          <cell r="F69">
            <v>6195000370</v>
          </cell>
        </row>
        <row r="70">
          <cell r="A70">
            <v>3400002502</v>
          </cell>
          <cell r="B70">
            <v>0</v>
          </cell>
          <cell r="C70">
            <v>6801</v>
          </cell>
          <cell r="D70" t="str">
            <v>01.10.1996</v>
          </cell>
          <cell r="E70">
            <v>1</v>
          </cell>
          <cell r="F70">
            <v>6195000382</v>
          </cell>
        </row>
        <row r="71">
          <cell r="A71">
            <v>3400002503</v>
          </cell>
          <cell r="B71">
            <v>0</v>
          </cell>
          <cell r="C71">
            <v>6901</v>
          </cell>
          <cell r="D71" t="str">
            <v>01.04.1995</v>
          </cell>
          <cell r="E71">
            <v>0</v>
          </cell>
          <cell r="F71">
            <v>6195000394</v>
          </cell>
        </row>
        <row r="72">
          <cell r="A72">
            <v>3400002504</v>
          </cell>
          <cell r="B72">
            <v>0</v>
          </cell>
          <cell r="C72">
            <v>6901</v>
          </cell>
          <cell r="D72" t="str">
            <v>01.04.1995</v>
          </cell>
          <cell r="E72">
            <v>1</v>
          </cell>
          <cell r="F72">
            <v>6195000400</v>
          </cell>
        </row>
        <row r="73">
          <cell r="A73">
            <v>3400002505</v>
          </cell>
          <cell r="B73">
            <v>0</v>
          </cell>
          <cell r="C73">
            <v>6901</v>
          </cell>
          <cell r="D73" t="str">
            <v>01.04.1995</v>
          </cell>
          <cell r="E73">
            <v>3</v>
          </cell>
          <cell r="F73">
            <v>6195000412</v>
          </cell>
        </row>
        <row r="74">
          <cell r="A74">
            <v>3400002506</v>
          </cell>
          <cell r="B74">
            <v>0</v>
          </cell>
          <cell r="C74">
            <v>6901</v>
          </cell>
          <cell r="D74" t="str">
            <v>01.04.1995</v>
          </cell>
          <cell r="E74">
            <v>38</v>
          </cell>
          <cell r="F74">
            <v>6195000424</v>
          </cell>
        </row>
        <row r="75">
          <cell r="A75">
            <v>3400002507</v>
          </cell>
          <cell r="B75">
            <v>0</v>
          </cell>
          <cell r="C75">
            <v>6801</v>
          </cell>
          <cell r="D75" t="str">
            <v>01.10.1996</v>
          </cell>
          <cell r="E75">
            <v>1</v>
          </cell>
          <cell r="F75">
            <v>6195000436</v>
          </cell>
        </row>
        <row r="76">
          <cell r="A76">
            <v>3400002508</v>
          </cell>
          <cell r="B76">
            <v>0</v>
          </cell>
          <cell r="C76">
            <v>6901</v>
          </cell>
          <cell r="D76" t="str">
            <v>01.04.1995</v>
          </cell>
          <cell r="E76">
            <v>11</v>
          </cell>
          <cell r="F76">
            <v>6195000448</v>
          </cell>
        </row>
        <row r="77">
          <cell r="A77">
            <v>3400002509</v>
          </cell>
          <cell r="B77">
            <v>0</v>
          </cell>
          <cell r="C77">
            <v>6901</v>
          </cell>
          <cell r="D77" t="str">
            <v>01.04.1995</v>
          </cell>
          <cell r="E77">
            <v>16</v>
          </cell>
          <cell r="F77">
            <v>6195000459</v>
          </cell>
        </row>
        <row r="78">
          <cell r="A78">
            <v>3400002510</v>
          </cell>
          <cell r="B78">
            <v>0</v>
          </cell>
          <cell r="C78">
            <v>6901</v>
          </cell>
          <cell r="D78" t="str">
            <v>01.04.1995</v>
          </cell>
          <cell r="E78">
            <v>5</v>
          </cell>
          <cell r="F78">
            <v>6195000461</v>
          </cell>
        </row>
        <row r="79">
          <cell r="A79">
            <v>3400002511</v>
          </cell>
          <cell r="B79">
            <v>0</v>
          </cell>
          <cell r="C79">
            <v>6901</v>
          </cell>
          <cell r="D79" t="str">
            <v>01.04.1995</v>
          </cell>
          <cell r="E79">
            <v>1</v>
          </cell>
          <cell r="F79">
            <v>6195000473</v>
          </cell>
        </row>
        <row r="80">
          <cell r="A80">
            <v>3400002512</v>
          </cell>
          <cell r="B80">
            <v>0</v>
          </cell>
          <cell r="C80">
            <v>6901</v>
          </cell>
          <cell r="D80" t="str">
            <v>01.04.1995</v>
          </cell>
          <cell r="E80">
            <v>20</v>
          </cell>
          <cell r="F80">
            <v>6195000485</v>
          </cell>
        </row>
        <row r="81">
          <cell r="A81">
            <v>3400002513</v>
          </cell>
          <cell r="B81">
            <v>0</v>
          </cell>
          <cell r="C81">
            <v>6801</v>
          </cell>
          <cell r="D81" t="str">
            <v>01.10.1996</v>
          </cell>
          <cell r="E81">
            <v>1</v>
          </cell>
          <cell r="F81">
            <v>6195000497</v>
          </cell>
        </row>
        <row r="82">
          <cell r="A82">
            <v>3400002514</v>
          </cell>
          <cell r="B82">
            <v>0</v>
          </cell>
          <cell r="C82">
            <v>6801</v>
          </cell>
          <cell r="D82" t="str">
            <v>01.10.1996</v>
          </cell>
          <cell r="E82">
            <v>1</v>
          </cell>
          <cell r="F82">
            <v>6195000503</v>
          </cell>
        </row>
        <row r="83">
          <cell r="A83">
            <v>3400002515</v>
          </cell>
          <cell r="B83">
            <v>0</v>
          </cell>
          <cell r="C83">
            <v>6901</v>
          </cell>
          <cell r="D83" t="str">
            <v>01.04.1995</v>
          </cell>
          <cell r="E83">
            <v>6</v>
          </cell>
          <cell r="F83">
            <v>6195000515</v>
          </cell>
        </row>
        <row r="84">
          <cell r="A84">
            <v>3400002516</v>
          </cell>
          <cell r="B84">
            <v>0</v>
          </cell>
          <cell r="C84">
            <v>6901</v>
          </cell>
          <cell r="D84" t="str">
            <v>01.04.1995</v>
          </cell>
          <cell r="E84">
            <v>2</v>
          </cell>
          <cell r="F84">
            <v>6195000527</v>
          </cell>
        </row>
        <row r="85">
          <cell r="A85">
            <v>3400002517</v>
          </cell>
          <cell r="B85">
            <v>0</v>
          </cell>
          <cell r="C85">
            <v>6801</v>
          </cell>
          <cell r="D85" t="str">
            <v>01.10.1996</v>
          </cell>
          <cell r="E85">
            <v>1</v>
          </cell>
          <cell r="F85">
            <v>6195000539</v>
          </cell>
        </row>
        <row r="86">
          <cell r="A86">
            <v>3400002518</v>
          </cell>
          <cell r="B86">
            <v>0</v>
          </cell>
          <cell r="C86">
            <v>6901</v>
          </cell>
          <cell r="D86" t="str">
            <v>01.04.1995</v>
          </cell>
          <cell r="E86">
            <v>2</v>
          </cell>
          <cell r="F86">
            <v>6195000540</v>
          </cell>
        </row>
        <row r="87">
          <cell r="A87">
            <v>3400002519</v>
          </cell>
          <cell r="B87">
            <v>0</v>
          </cell>
          <cell r="C87">
            <v>6901</v>
          </cell>
          <cell r="D87" t="str">
            <v>01.04.1995</v>
          </cell>
          <cell r="E87">
            <v>2</v>
          </cell>
          <cell r="F87">
            <v>6195000552</v>
          </cell>
        </row>
        <row r="88">
          <cell r="A88">
            <v>3400002520</v>
          </cell>
          <cell r="B88">
            <v>0</v>
          </cell>
          <cell r="C88">
            <v>6901</v>
          </cell>
          <cell r="D88" t="str">
            <v>01.04.1995</v>
          </cell>
          <cell r="E88">
            <v>1</v>
          </cell>
          <cell r="F88">
            <v>6195000564</v>
          </cell>
        </row>
        <row r="89">
          <cell r="A89">
            <v>3400002521</v>
          </cell>
          <cell r="B89">
            <v>0</v>
          </cell>
          <cell r="C89">
            <v>6901</v>
          </cell>
          <cell r="D89" t="str">
            <v>01.04.1995</v>
          </cell>
          <cell r="E89">
            <v>1</v>
          </cell>
          <cell r="F89">
            <v>6195000576</v>
          </cell>
        </row>
        <row r="90">
          <cell r="A90">
            <v>3400002522</v>
          </cell>
          <cell r="B90">
            <v>0</v>
          </cell>
          <cell r="C90">
            <v>6801</v>
          </cell>
          <cell r="D90" t="str">
            <v>01.10.1996</v>
          </cell>
          <cell r="E90">
            <v>1</v>
          </cell>
          <cell r="F90">
            <v>6195000588</v>
          </cell>
        </row>
        <row r="91">
          <cell r="A91">
            <v>3400002523</v>
          </cell>
          <cell r="B91">
            <v>0</v>
          </cell>
          <cell r="C91">
            <v>6901</v>
          </cell>
          <cell r="D91" t="str">
            <v>01.04.1995</v>
          </cell>
          <cell r="E91">
            <v>1</v>
          </cell>
          <cell r="F91">
            <v>6195000599</v>
          </cell>
        </row>
        <row r="92">
          <cell r="A92">
            <v>3400002524</v>
          </cell>
          <cell r="B92">
            <v>0</v>
          </cell>
          <cell r="C92">
            <v>6801</v>
          </cell>
          <cell r="D92" t="str">
            <v>01.10.1996</v>
          </cell>
          <cell r="E92">
            <v>0</v>
          </cell>
          <cell r="F92">
            <v>6195000606</v>
          </cell>
        </row>
        <row r="93">
          <cell r="A93">
            <v>3400002525</v>
          </cell>
          <cell r="B93">
            <v>0</v>
          </cell>
          <cell r="C93">
            <v>6901</v>
          </cell>
          <cell r="D93" t="str">
            <v>01.04.1995</v>
          </cell>
          <cell r="E93">
            <v>1</v>
          </cell>
          <cell r="F93">
            <v>6195000618</v>
          </cell>
        </row>
        <row r="94">
          <cell r="A94">
            <v>3400002526</v>
          </cell>
          <cell r="B94">
            <v>0</v>
          </cell>
          <cell r="C94">
            <v>6801</v>
          </cell>
          <cell r="D94" t="str">
            <v>01.10.1996</v>
          </cell>
          <cell r="E94">
            <v>1</v>
          </cell>
          <cell r="F94">
            <v>6195000629</v>
          </cell>
        </row>
        <row r="95">
          <cell r="A95">
            <v>3400002527</v>
          </cell>
          <cell r="B95">
            <v>0</v>
          </cell>
          <cell r="C95">
            <v>6801</v>
          </cell>
          <cell r="D95" t="str">
            <v>01.10.1996</v>
          </cell>
          <cell r="E95">
            <v>1</v>
          </cell>
          <cell r="F95">
            <v>6195000631</v>
          </cell>
        </row>
        <row r="96">
          <cell r="A96">
            <v>3400002528</v>
          </cell>
          <cell r="B96">
            <v>0</v>
          </cell>
          <cell r="C96">
            <v>6801</v>
          </cell>
          <cell r="D96" t="str">
            <v>01.10.1996</v>
          </cell>
          <cell r="E96">
            <v>1</v>
          </cell>
          <cell r="F96">
            <v>6195000643</v>
          </cell>
        </row>
        <row r="97">
          <cell r="A97">
            <v>3400002529</v>
          </cell>
          <cell r="B97">
            <v>0</v>
          </cell>
          <cell r="C97">
            <v>6901</v>
          </cell>
          <cell r="D97" t="str">
            <v>01.04.1995</v>
          </cell>
          <cell r="E97">
            <v>1</v>
          </cell>
          <cell r="F97">
            <v>6195000655</v>
          </cell>
        </row>
        <row r="98">
          <cell r="A98">
            <v>3400002530</v>
          </cell>
          <cell r="B98">
            <v>0</v>
          </cell>
          <cell r="C98">
            <v>6901</v>
          </cell>
          <cell r="D98" t="str">
            <v>01.04.1995</v>
          </cell>
          <cell r="E98">
            <v>1</v>
          </cell>
          <cell r="F98">
            <v>6195000667</v>
          </cell>
        </row>
        <row r="99">
          <cell r="A99">
            <v>3400002531</v>
          </cell>
          <cell r="B99">
            <v>0</v>
          </cell>
          <cell r="C99">
            <v>6901</v>
          </cell>
          <cell r="D99" t="str">
            <v>01.04.1995</v>
          </cell>
          <cell r="E99">
            <v>2</v>
          </cell>
          <cell r="F99">
            <v>6195000679</v>
          </cell>
        </row>
        <row r="100">
          <cell r="A100">
            <v>3400002532</v>
          </cell>
          <cell r="B100">
            <v>0</v>
          </cell>
          <cell r="C100">
            <v>6901</v>
          </cell>
          <cell r="D100" t="str">
            <v>01.04.1995</v>
          </cell>
          <cell r="E100">
            <v>1</v>
          </cell>
          <cell r="F100">
            <v>6195000680</v>
          </cell>
        </row>
        <row r="101">
          <cell r="A101">
            <v>3400002533</v>
          </cell>
          <cell r="B101">
            <v>0</v>
          </cell>
          <cell r="C101">
            <v>6901</v>
          </cell>
          <cell r="D101" t="str">
            <v>01.04.1995</v>
          </cell>
          <cell r="E101">
            <v>2</v>
          </cell>
          <cell r="F101">
            <v>6195000692</v>
          </cell>
        </row>
        <row r="102">
          <cell r="A102">
            <v>3400002534</v>
          </cell>
          <cell r="B102">
            <v>0</v>
          </cell>
          <cell r="C102">
            <v>6901</v>
          </cell>
          <cell r="D102" t="str">
            <v>01.04.1995</v>
          </cell>
          <cell r="E102">
            <v>37</v>
          </cell>
          <cell r="F102">
            <v>6195000709</v>
          </cell>
        </row>
        <row r="103">
          <cell r="A103">
            <v>3400002535</v>
          </cell>
          <cell r="B103">
            <v>0</v>
          </cell>
          <cell r="C103">
            <v>6901</v>
          </cell>
          <cell r="D103" t="str">
            <v>01.04.1995</v>
          </cell>
          <cell r="E103">
            <v>1</v>
          </cell>
          <cell r="F103">
            <v>6195000710</v>
          </cell>
        </row>
        <row r="104">
          <cell r="A104">
            <v>3400002536</v>
          </cell>
          <cell r="B104">
            <v>0</v>
          </cell>
          <cell r="C104">
            <v>6901</v>
          </cell>
          <cell r="D104" t="str">
            <v>01.04.1995</v>
          </cell>
          <cell r="E104">
            <v>1</v>
          </cell>
          <cell r="F104">
            <v>6195000722</v>
          </cell>
        </row>
        <row r="105">
          <cell r="A105">
            <v>3400002537</v>
          </cell>
          <cell r="B105">
            <v>0</v>
          </cell>
          <cell r="C105">
            <v>6901</v>
          </cell>
          <cell r="D105" t="str">
            <v>01.04.1995</v>
          </cell>
          <cell r="E105">
            <v>9</v>
          </cell>
          <cell r="F105">
            <v>6195000734</v>
          </cell>
        </row>
        <row r="106">
          <cell r="A106">
            <v>3400002538</v>
          </cell>
          <cell r="B106">
            <v>0</v>
          </cell>
          <cell r="C106">
            <v>6901</v>
          </cell>
          <cell r="D106" t="str">
            <v>01.04.1995</v>
          </cell>
          <cell r="E106">
            <v>2</v>
          </cell>
          <cell r="F106">
            <v>6195000746</v>
          </cell>
        </row>
        <row r="107">
          <cell r="A107">
            <v>3400002539</v>
          </cell>
          <cell r="B107">
            <v>0</v>
          </cell>
          <cell r="C107">
            <v>6901</v>
          </cell>
          <cell r="D107" t="str">
            <v>01.04.1995</v>
          </cell>
          <cell r="E107">
            <v>29</v>
          </cell>
          <cell r="F107">
            <v>6195000758</v>
          </cell>
        </row>
        <row r="108">
          <cell r="A108">
            <v>3400002540</v>
          </cell>
          <cell r="B108">
            <v>0</v>
          </cell>
          <cell r="C108">
            <v>6801</v>
          </cell>
          <cell r="D108" t="str">
            <v>01.10.1996</v>
          </cell>
          <cell r="E108">
            <v>0</v>
          </cell>
          <cell r="F108">
            <v>6195000769</v>
          </cell>
        </row>
        <row r="109">
          <cell r="A109">
            <v>3400002541</v>
          </cell>
          <cell r="B109">
            <v>0</v>
          </cell>
          <cell r="C109">
            <v>6801</v>
          </cell>
          <cell r="D109" t="str">
            <v>01.10.1996</v>
          </cell>
          <cell r="E109">
            <v>1</v>
          </cell>
          <cell r="F109">
            <v>6195000771</v>
          </cell>
        </row>
        <row r="110">
          <cell r="A110">
            <v>3400002542</v>
          </cell>
          <cell r="B110">
            <v>0</v>
          </cell>
          <cell r="C110">
            <v>6801</v>
          </cell>
          <cell r="D110" t="str">
            <v>01.10.1996</v>
          </cell>
          <cell r="E110">
            <v>0</v>
          </cell>
          <cell r="F110">
            <v>6195000783</v>
          </cell>
        </row>
        <row r="111">
          <cell r="A111">
            <v>3400002543</v>
          </cell>
          <cell r="B111">
            <v>0</v>
          </cell>
          <cell r="C111">
            <v>6801</v>
          </cell>
          <cell r="D111" t="str">
            <v>01.10.1996</v>
          </cell>
          <cell r="E111">
            <v>0</v>
          </cell>
          <cell r="F111">
            <v>6195000795</v>
          </cell>
        </row>
        <row r="112">
          <cell r="A112">
            <v>3400002544</v>
          </cell>
          <cell r="B112">
            <v>0</v>
          </cell>
          <cell r="C112">
            <v>6801</v>
          </cell>
          <cell r="D112" t="str">
            <v>01.10.1996</v>
          </cell>
          <cell r="E112">
            <v>0</v>
          </cell>
          <cell r="F112">
            <v>6195000801</v>
          </cell>
        </row>
        <row r="113">
          <cell r="A113">
            <v>3400002545</v>
          </cell>
          <cell r="B113">
            <v>0</v>
          </cell>
          <cell r="C113">
            <v>6801</v>
          </cell>
          <cell r="D113" t="str">
            <v>01.10.1996</v>
          </cell>
          <cell r="E113">
            <v>0</v>
          </cell>
          <cell r="F113">
            <v>6195000813</v>
          </cell>
        </row>
        <row r="114">
          <cell r="A114">
            <v>3400002546</v>
          </cell>
          <cell r="B114">
            <v>0</v>
          </cell>
          <cell r="C114">
            <v>6801</v>
          </cell>
          <cell r="D114" t="str">
            <v>01.10.1996</v>
          </cell>
          <cell r="E114">
            <v>0</v>
          </cell>
          <cell r="F114">
            <v>6195000825</v>
          </cell>
        </row>
        <row r="115">
          <cell r="A115">
            <v>3400002547</v>
          </cell>
          <cell r="B115">
            <v>0</v>
          </cell>
          <cell r="C115">
            <v>6801</v>
          </cell>
          <cell r="D115" t="str">
            <v>01.10.1996</v>
          </cell>
          <cell r="E115">
            <v>1</v>
          </cell>
          <cell r="F115">
            <v>6195000837</v>
          </cell>
        </row>
        <row r="116">
          <cell r="A116">
            <v>3400002548</v>
          </cell>
          <cell r="B116">
            <v>0</v>
          </cell>
          <cell r="C116">
            <v>6801</v>
          </cell>
          <cell r="D116" t="str">
            <v>01.10.1996</v>
          </cell>
          <cell r="E116">
            <v>1</v>
          </cell>
          <cell r="F116">
            <v>6195000849</v>
          </cell>
        </row>
        <row r="117">
          <cell r="A117">
            <v>3400002549</v>
          </cell>
          <cell r="B117">
            <v>0</v>
          </cell>
          <cell r="C117">
            <v>6801</v>
          </cell>
          <cell r="D117" t="str">
            <v>01.10.1996</v>
          </cell>
          <cell r="E117">
            <v>1</v>
          </cell>
          <cell r="F117">
            <v>6195000850</v>
          </cell>
        </row>
        <row r="118">
          <cell r="A118">
            <v>3400002550</v>
          </cell>
          <cell r="B118">
            <v>0</v>
          </cell>
          <cell r="C118">
            <v>6901</v>
          </cell>
          <cell r="D118" t="str">
            <v>01.04.1995</v>
          </cell>
          <cell r="E118">
            <v>0</v>
          </cell>
          <cell r="F118">
            <v>6195000862</v>
          </cell>
        </row>
        <row r="119">
          <cell r="A119">
            <v>3400002551</v>
          </cell>
          <cell r="B119">
            <v>0</v>
          </cell>
          <cell r="C119">
            <v>6801</v>
          </cell>
          <cell r="D119" t="str">
            <v>01.10.1996</v>
          </cell>
          <cell r="E119">
            <v>1</v>
          </cell>
          <cell r="F119">
            <v>6195000874</v>
          </cell>
        </row>
        <row r="120">
          <cell r="A120">
            <v>3400004786</v>
          </cell>
          <cell r="B120">
            <v>0</v>
          </cell>
          <cell r="C120">
            <v>6801</v>
          </cell>
          <cell r="D120" t="str">
            <v>01.10.1996</v>
          </cell>
          <cell r="E120">
            <v>1</v>
          </cell>
          <cell r="F120">
            <v>6195000886</v>
          </cell>
        </row>
        <row r="121">
          <cell r="A121">
            <v>3400002552</v>
          </cell>
          <cell r="B121">
            <v>0</v>
          </cell>
          <cell r="C121">
            <v>6801</v>
          </cell>
          <cell r="D121" t="str">
            <v>01.10.1996</v>
          </cell>
          <cell r="E121">
            <v>1</v>
          </cell>
          <cell r="F121">
            <v>6195000898</v>
          </cell>
        </row>
        <row r="122">
          <cell r="A122">
            <v>3400002553</v>
          </cell>
          <cell r="B122">
            <v>0</v>
          </cell>
          <cell r="C122">
            <v>6801</v>
          </cell>
          <cell r="D122" t="str">
            <v>01.10.1996</v>
          </cell>
          <cell r="E122">
            <v>1</v>
          </cell>
          <cell r="F122">
            <v>6195000904</v>
          </cell>
        </row>
        <row r="123">
          <cell r="A123">
            <v>3400002554</v>
          </cell>
          <cell r="B123">
            <v>0</v>
          </cell>
          <cell r="C123">
            <v>6801</v>
          </cell>
          <cell r="D123" t="str">
            <v>01.10.1996</v>
          </cell>
          <cell r="E123">
            <v>1</v>
          </cell>
          <cell r="F123">
            <v>6195000916</v>
          </cell>
        </row>
        <row r="124">
          <cell r="A124">
            <v>3400002555</v>
          </cell>
          <cell r="B124">
            <v>0</v>
          </cell>
          <cell r="C124">
            <v>6801</v>
          </cell>
          <cell r="D124" t="str">
            <v>01.10.1996</v>
          </cell>
          <cell r="E124">
            <v>1</v>
          </cell>
          <cell r="F124">
            <v>6195000928</v>
          </cell>
        </row>
        <row r="125">
          <cell r="A125">
            <v>3400002556</v>
          </cell>
          <cell r="B125">
            <v>0</v>
          </cell>
          <cell r="C125">
            <v>6901</v>
          </cell>
          <cell r="D125" t="str">
            <v>01.04.1995</v>
          </cell>
          <cell r="E125">
            <v>3</v>
          </cell>
          <cell r="F125">
            <v>6195000939</v>
          </cell>
        </row>
        <row r="126">
          <cell r="A126">
            <v>3400002557</v>
          </cell>
          <cell r="B126">
            <v>0</v>
          </cell>
          <cell r="C126">
            <v>6901</v>
          </cell>
          <cell r="D126" t="str">
            <v>01.04.1995</v>
          </cell>
          <cell r="E126">
            <v>3</v>
          </cell>
          <cell r="F126">
            <v>6195000941</v>
          </cell>
        </row>
        <row r="127">
          <cell r="A127">
            <v>3400002558</v>
          </cell>
          <cell r="B127">
            <v>0</v>
          </cell>
          <cell r="C127">
            <v>6901</v>
          </cell>
          <cell r="D127" t="str">
            <v>01.04.1995</v>
          </cell>
          <cell r="E127">
            <v>1</v>
          </cell>
          <cell r="F127">
            <v>6195000953</v>
          </cell>
        </row>
        <row r="128">
          <cell r="A128">
            <v>3400002559</v>
          </cell>
          <cell r="B128">
            <v>0</v>
          </cell>
          <cell r="C128">
            <v>6901</v>
          </cell>
          <cell r="D128" t="str">
            <v>01.04.1995</v>
          </cell>
          <cell r="E128">
            <v>2</v>
          </cell>
          <cell r="F128">
            <v>6195000965</v>
          </cell>
        </row>
        <row r="129">
          <cell r="A129">
            <v>3400002560</v>
          </cell>
          <cell r="B129">
            <v>0</v>
          </cell>
          <cell r="C129">
            <v>6901</v>
          </cell>
          <cell r="D129" t="str">
            <v>01.04.1995</v>
          </cell>
          <cell r="E129">
            <v>11</v>
          </cell>
          <cell r="F129">
            <v>6195000977</v>
          </cell>
        </row>
        <row r="130">
          <cell r="A130">
            <v>3400002561</v>
          </cell>
          <cell r="B130">
            <v>0</v>
          </cell>
          <cell r="C130">
            <v>6901</v>
          </cell>
          <cell r="D130" t="str">
            <v>01.04.1995</v>
          </cell>
          <cell r="E130">
            <v>33</v>
          </cell>
          <cell r="F130">
            <v>6195000989</v>
          </cell>
        </row>
        <row r="131">
          <cell r="A131">
            <v>3400002562</v>
          </cell>
          <cell r="B131">
            <v>0</v>
          </cell>
          <cell r="C131">
            <v>6901</v>
          </cell>
          <cell r="D131" t="str">
            <v>01.04.1995</v>
          </cell>
          <cell r="E131">
            <v>21</v>
          </cell>
          <cell r="F131">
            <v>6195000990</v>
          </cell>
        </row>
        <row r="132">
          <cell r="A132">
            <v>3400002563</v>
          </cell>
          <cell r="B132">
            <v>0</v>
          </cell>
          <cell r="C132">
            <v>6901</v>
          </cell>
          <cell r="D132" t="str">
            <v>01.04.1995</v>
          </cell>
          <cell r="E132">
            <v>4</v>
          </cell>
          <cell r="F132">
            <v>6195001007</v>
          </cell>
        </row>
        <row r="133">
          <cell r="A133">
            <v>3400002564</v>
          </cell>
          <cell r="B133">
            <v>0</v>
          </cell>
          <cell r="C133">
            <v>6801</v>
          </cell>
          <cell r="D133" t="str">
            <v>01.10.1996</v>
          </cell>
          <cell r="E133">
            <v>1</v>
          </cell>
          <cell r="F133">
            <v>6195001015</v>
          </cell>
        </row>
        <row r="134">
          <cell r="A134">
            <v>3400002565</v>
          </cell>
          <cell r="B134">
            <v>0</v>
          </cell>
          <cell r="C134">
            <v>6901</v>
          </cell>
          <cell r="D134" t="str">
            <v>01.04.1995</v>
          </cell>
          <cell r="E134">
            <v>1</v>
          </cell>
          <cell r="F134">
            <v>6195001023</v>
          </cell>
        </row>
        <row r="135">
          <cell r="A135">
            <v>3400002566</v>
          </cell>
          <cell r="B135">
            <v>0</v>
          </cell>
          <cell r="C135">
            <v>6901</v>
          </cell>
          <cell r="D135" t="str">
            <v>01.04.1995</v>
          </cell>
          <cell r="E135">
            <v>1</v>
          </cell>
          <cell r="F135">
            <v>6195001031</v>
          </cell>
        </row>
        <row r="136">
          <cell r="A136">
            <v>3400002567</v>
          </cell>
          <cell r="B136">
            <v>0</v>
          </cell>
          <cell r="C136">
            <v>6901</v>
          </cell>
          <cell r="D136" t="str">
            <v>01.09.1995</v>
          </cell>
          <cell r="E136">
            <v>58</v>
          </cell>
          <cell r="F136">
            <v>6195001040</v>
          </cell>
        </row>
        <row r="137">
          <cell r="A137">
            <v>3400005590</v>
          </cell>
          <cell r="B137">
            <v>0</v>
          </cell>
          <cell r="C137">
            <v>6230</v>
          </cell>
          <cell r="D137" t="str">
            <v>01.10.1996</v>
          </cell>
          <cell r="E137">
            <v>2</v>
          </cell>
          <cell r="F137">
            <v>6195001052</v>
          </cell>
        </row>
        <row r="138">
          <cell r="A138">
            <v>3400002568</v>
          </cell>
          <cell r="B138">
            <v>0</v>
          </cell>
          <cell r="C138">
            <v>6801</v>
          </cell>
          <cell r="D138" t="str">
            <v>01.10.1996</v>
          </cell>
          <cell r="E138">
            <v>0</v>
          </cell>
          <cell r="F138">
            <v>6195001052</v>
          </cell>
        </row>
        <row r="139">
          <cell r="A139">
            <v>3400002569</v>
          </cell>
          <cell r="B139">
            <v>0</v>
          </cell>
          <cell r="C139">
            <v>6801</v>
          </cell>
          <cell r="D139" t="str">
            <v>01.10.1996</v>
          </cell>
          <cell r="E139">
            <v>0</v>
          </cell>
          <cell r="F139">
            <v>6195001064</v>
          </cell>
        </row>
        <row r="140">
          <cell r="A140">
            <v>3400002570</v>
          </cell>
          <cell r="B140">
            <v>0</v>
          </cell>
          <cell r="C140">
            <v>6801</v>
          </cell>
          <cell r="D140" t="str">
            <v>01.10.1996</v>
          </cell>
          <cell r="E140">
            <v>0</v>
          </cell>
          <cell r="F140">
            <v>6195001088</v>
          </cell>
        </row>
        <row r="141">
          <cell r="A141">
            <v>3400005591</v>
          </cell>
          <cell r="B141">
            <v>0</v>
          </cell>
          <cell r="C141">
            <v>6230</v>
          </cell>
          <cell r="D141" t="str">
            <v>01.10.1996</v>
          </cell>
          <cell r="E141">
            <v>2</v>
          </cell>
          <cell r="F141">
            <v>6195001088</v>
          </cell>
        </row>
        <row r="142">
          <cell r="A142">
            <v>3400005592</v>
          </cell>
          <cell r="B142">
            <v>0</v>
          </cell>
          <cell r="C142">
            <v>6230</v>
          </cell>
          <cell r="D142" t="str">
            <v>01.10.1996</v>
          </cell>
          <cell r="E142">
            <v>2</v>
          </cell>
          <cell r="F142">
            <v>6195001099</v>
          </cell>
        </row>
        <row r="143">
          <cell r="A143">
            <v>3400002571</v>
          </cell>
          <cell r="B143">
            <v>0</v>
          </cell>
          <cell r="C143">
            <v>6801</v>
          </cell>
          <cell r="D143" t="str">
            <v>01.10.1996</v>
          </cell>
          <cell r="E143">
            <v>0</v>
          </cell>
          <cell r="F143">
            <v>6195001099</v>
          </cell>
        </row>
        <row r="144">
          <cell r="A144">
            <v>3400002572</v>
          </cell>
          <cell r="B144">
            <v>0</v>
          </cell>
          <cell r="C144">
            <v>6801</v>
          </cell>
          <cell r="D144" t="str">
            <v>01.10.1996</v>
          </cell>
          <cell r="E144">
            <v>0</v>
          </cell>
          <cell r="F144">
            <v>6195001104</v>
          </cell>
        </row>
        <row r="145">
          <cell r="A145">
            <v>3400002573</v>
          </cell>
          <cell r="B145">
            <v>0</v>
          </cell>
          <cell r="C145">
            <v>6801</v>
          </cell>
          <cell r="D145" t="str">
            <v>01.10.1996</v>
          </cell>
          <cell r="E145">
            <v>0</v>
          </cell>
          <cell r="F145">
            <v>6195001112</v>
          </cell>
        </row>
        <row r="146">
          <cell r="A146">
            <v>3400002574</v>
          </cell>
          <cell r="B146">
            <v>0</v>
          </cell>
          <cell r="C146">
            <v>6801</v>
          </cell>
          <cell r="D146" t="str">
            <v>01.10.1996</v>
          </cell>
          <cell r="E146">
            <v>0</v>
          </cell>
          <cell r="F146">
            <v>6195001129</v>
          </cell>
        </row>
        <row r="147">
          <cell r="A147">
            <v>3400002575</v>
          </cell>
          <cell r="B147">
            <v>0</v>
          </cell>
          <cell r="C147">
            <v>6801</v>
          </cell>
          <cell r="D147" t="str">
            <v>01.10.1996</v>
          </cell>
          <cell r="E147">
            <v>0</v>
          </cell>
          <cell r="F147">
            <v>6195001131</v>
          </cell>
        </row>
        <row r="148">
          <cell r="A148">
            <v>3400002576</v>
          </cell>
          <cell r="B148">
            <v>0</v>
          </cell>
          <cell r="C148">
            <v>6801</v>
          </cell>
          <cell r="D148" t="str">
            <v>01.10.1996</v>
          </cell>
          <cell r="E148">
            <v>0</v>
          </cell>
          <cell r="F148">
            <v>6195001143</v>
          </cell>
        </row>
        <row r="149">
          <cell r="A149">
            <v>3400005593</v>
          </cell>
          <cell r="B149">
            <v>0</v>
          </cell>
          <cell r="C149">
            <v>6230</v>
          </cell>
          <cell r="D149" t="str">
            <v>01.10.1996</v>
          </cell>
          <cell r="E149">
            <v>2</v>
          </cell>
          <cell r="F149">
            <v>6195001143</v>
          </cell>
        </row>
        <row r="150">
          <cell r="A150">
            <v>3400002577</v>
          </cell>
          <cell r="B150">
            <v>0</v>
          </cell>
          <cell r="C150">
            <v>6801</v>
          </cell>
          <cell r="D150" t="str">
            <v>01.10.1996</v>
          </cell>
          <cell r="E150">
            <v>0</v>
          </cell>
          <cell r="F150">
            <v>6195001155</v>
          </cell>
        </row>
        <row r="151">
          <cell r="A151">
            <v>3400005594</v>
          </cell>
          <cell r="B151">
            <v>0</v>
          </cell>
          <cell r="C151">
            <v>6230</v>
          </cell>
          <cell r="D151" t="str">
            <v>01.10.1996</v>
          </cell>
          <cell r="E151">
            <v>2</v>
          </cell>
          <cell r="F151">
            <v>6195001155</v>
          </cell>
        </row>
        <row r="152">
          <cell r="A152">
            <v>3400002578</v>
          </cell>
          <cell r="B152">
            <v>0</v>
          </cell>
          <cell r="C152">
            <v>6801</v>
          </cell>
          <cell r="D152" t="str">
            <v>01.10.1996</v>
          </cell>
          <cell r="E152">
            <v>0</v>
          </cell>
          <cell r="F152">
            <v>6195001167</v>
          </cell>
        </row>
        <row r="153">
          <cell r="A153">
            <v>3400005595</v>
          </cell>
          <cell r="B153">
            <v>0</v>
          </cell>
          <cell r="C153">
            <v>6230</v>
          </cell>
          <cell r="D153" t="str">
            <v>01.10.1996</v>
          </cell>
          <cell r="E153">
            <v>2</v>
          </cell>
          <cell r="F153">
            <v>6195001167</v>
          </cell>
        </row>
        <row r="154">
          <cell r="A154">
            <v>3400005596</v>
          </cell>
          <cell r="B154">
            <v>0</v>
          </cell>
          <cell r="C154">
            <v>6230</v>
          </cell>
          <cell r="D154" t="str">
            <v>01.10.1996</v>
          </cell>
          <cell r="E154">
            <v>2</v>
          </cell>
          <cell r="F154">
            <v>6195001179</v>
          </cell>
        </row>
        <row r="155">
          <cell r="A155">
            <v>3400002579</v>
          </cell>
          <cell r="B155">
            <v>0</v>
          </cell>
          <cell r="C155">
            <v>6801</v>
          </cell>
          <cell r="D155" t="str">
            <v>01.10.1996</v>
          </cell>
          <cell r="E155">
            <v>0</v>
          </cell>
          <cell r="F155">
            <v>6195001179</v>
          </cell>
        </row>
        <row r="156">
          <cell r="A156">
            <v>3400002580</v>
          </cell>
          <cell r="B156">
            <v>0</v>
          </cell>
          <cell r="C156">
            <v>6901</v>
          </cell>
          <cell r="D156" t="str">
            <v>01.04.1995</v>
          </cell>
          <cell r="E156">
            <v>86</v>
          </cell>
          <cell r="F156">
            <v>6195001180</v>
          </cell>
        </row>
        <row r="157">
          <cell r="A157">
            <v>3400002581</v>
          </cell>
          <cell r="B157">
            <v>0</v>
          </cell>
          <cell r="C157">
            <v>6901</v>
          </cell>
          <cell r="D157" t="str">
            <v>01.04.1995</v>
          </cell>
          <cell r="E157">
            <v>3</v>
          </cell>
          <cell r="F157">
            <v>6195001192</v>
          </cell>
        </row>
        <row r="158">
          <cell r="A158">
            <v>3400002582</v>
          </cell>
          <cell r="B158">
            <v>0</v>
          </cell>
          <cell r="C158">
            <v>6801</v>
          </cell>
          <cell r="D158" t="str">
            <v>01.10.1996</v>
          </cell>
          <cell r="E158">
            <v>0</v>
          </cell>
          <cell r="F158">
            <v>6195001201</v>
          </cell>
        </row>
        <row r="159">
          <cell r="A159">
            <v>3400005597</v>
          </cell>
          <cell r="B159">
            <v>0</v>
          </cell>
          <cell r="C159">
            <v>6230</v>
          </cell>
          <cell r="D159" t="str">
            <v>01.10.1996</v>
          </cell>
          <cell r="E159">
            <v>2</v>
          </cell>
          <cell r="F159">
            <v>6195001201</v>
          </cell>
        </row>
        <row r="160">
          <cell r="A160">
            <v>3400002583</v>
          </cell>
          <cell r="B160">
            <v>0</v>
          </cell>
          <cell r="C160">
            <v>6901</v>
          </cell>
          <cell r="D160" t="str">
            <v>01.04.1995</v>
          </cell>
          <cell r="E160">
            <v>1</v>
          </cell>
          <cell r="F160">
            <v>6195001210</v>
          </cell>
        </row>
        <row r="161">
          <cell r="A161">
            <v>3400002584</v>
          </cell>
          <cell r="B161">
            <v>0</v>
          </cell>
          <cell r="C161">
            <v>6901</v>
          </cell>
          <cell r="D161" t="str">
            <v>01.04.1995</v>
          </cell>
          <cell r="E161">
            <v>0</v>
          </cell>
          <cell r="F161">
            <v>6195001222</v>
          </cell>
        </row>
        <row r="162">
          <cell r="A162">
            <v>3400002585</v>
          </cell>
          <cell r="B162">
            <v>0</v>
          </cell>
          <cell r="C162">
            <v>6801</v>
          </cell>
          <cell r="D162" t="str">
            <v>01.10.1996</v>
          </cell>
          <cell r="E162">
            <v>0</v>
          </cell>
          <cell r="F162">
            <v>6195001234</v>
          </cell>
        </row>
        <row r="163">
          <cell r="A163">
            <v>3400002586</v>
          </cell>
          <cell r="B163">
            <v>0</v>
          </cell>
          <cell r="C163">
            <v>6801</v>
          </cell>
          <cell r="D163" t="str">
            <v>01.10.1996</v>
          </cell>
          <cell r="E163">
            <v>0</v>
          </cell>
          <cell r="F163">
            <v>6195001246</v>
          </cell>
        </row>
        <row r="164">
          <cell r="A164">
            <v>3400002587</v>
          </cell>
          <cell r="B164">
            <v>0</v>
          </cell>
          <cell r="C164">
            <v>6801</v>
          </cell>
          <cell r="D164" t="str">
            <v>01.10.1996</v>
          </cell>
          <cell r="E164">
            <v>1</v>
          </cell>
          <cell r="F164">
            <v>6195001258</v>
          </cell>
        </row>
        <row r="165">
          <cell r="A165">
            <v>3400002588</v>
          </cell>
          <cell r="B165">
            <v>0</v>
          </cell>
          <cell r="C165">
            <v>6801</v>
          </cell>
          <cell r="D165" t="str">
            <v>01.10.1996</v>
          </cell>
          <cell r="E165">
            <v>1</v>
          </cell>
          <cell r="F165">
            <v>6195001269</v>
          </cell>
        </row>
        <row r="166">
          <cell r="A166">
            <v>3400002589</v>
          </cell>
          <cell r="B166">
            <v>0</v>
          </cell>
          <cell r="C166">
            <v>6901</v>
          </cell>
          <cell r="D166" t="str">
            <v>01.04.1995</v>
          </cell>
          <cell r="E166">
            <v>10</v>
          </cell>
          <cell r="F166">
            <v>6195001271</v>
          </cell>
        </row>
        <row r="167">
          <cell r="A167">
            <v>3400002590</v>
          </cell>
          <cell r="B167">
            <v>0</v>
          </cell>
          <cell r="C167">
            <v>6801</v>
          </cell>
          <cell r="D167" t="str">
            <v>01.10.1996</v>
          </cell>
          <cell r="E167">
            <v>1</v>
          </cell>
          <cell r="F167">
            <v>6195001283</v>
          </cell>
        </row>
        <row r="168">
          <cell r="A168">
            <v>3400002591</v>
          </cell>
          <cell r="B168">
            <v>0</v>
          </cell>
          <cell r="C168">
            <v>6901</v>
          </cell>
          <cell r="D168" t="str">
            <v>01.04.1995</v>
          </cell>
          <cell r="E168">
            <v>3</v>
          </cell>
          <cell r="F168">
            <v>6195001295</v>
          </cell>
        </row>
        <row r="169">
          <cell r="A169">
            <v>3400002592</v>
          </cell>
          <cell r="B169">
            <v>0</v>
          </cell>
          <cell r="C169">
            <v>6801</v>
          </cell>
          <cell r="D169" t="str">
            <v>01.10.1996</v>
          </cell>
          <cell r="E169">
            <v>1</v>
          </cell>
          <cell r="F169">
            <v>6195001301</v>
          </cell>
        </row>
        <row r="170">
          <cell r="A170">
            <v>3400002593</v>
          </cell>
          <cell r="B170">
            <v>0</v>
          </cell>
          <cell r="C170">
            <v>6801</v>
          </cell>
          <cell r="D170" t="str">
            <v>01.10.1996</v>
          </cell>
          <cell r="E170">
            <v>1</v>
          </cell>
          <cell r="F170">
            <v>6195001313</v>
          </cell>
        </row>
        <row r="171">
          <cell r="A171">
            <v>3400002594</v>
          </cell>
          <cell r="B171">
            <v>0</v>
          </cell>
          <cell r="C171">
            <v>6901</v>
          </cell>
          <cell r="D171" t="str">
            <v>01.04.1995</v>
          </cell>
          <cell r="E171">
            <v>1</v>
          </cell>
          <cell r="F171">
            <v>6195001325</v>
          </cell>
        </row>
        <row r="172">
          <cell r="A172">
            <v>3400002595</v>
          </cell>
          <cell r="B172">
            <v>0</v>
          </cell>
          <cell r="C172">
            <v>6901</v>
          </cell>
          <cell r="D172" t="str">
            <v>01.04.1995</v>
          </cell>
          <cell r="E172">
            <v>9</v>
          </cell>
          <cell r="F172">
            <v>6195001337</v>
          </cell>
        </row>
        <row r="173">
          <cell r="A173">
            <v>3400002596</v>
          </cell>
          <cell r="B173">
            <v>0</v>
          </cell>
          <cell r="C173">
            <v>6801</v>
          </cell>
          <cell r="D173" t="str">
            <v>01.10.1996</v>
          </cell>
          <cell r="E173">
            <v>1</v>
          </cell>
          <cell r="F173">
            <v>6195001349</v>
          </cell>
        </row>
        <row r="174">
          <cell r="A174">
            <v>3400002597</v>
          </cell>
          <cell r="B174">
            <v>0</v>
          </cell>
          <cell r="C174">
            <v>6901</v>
          </cell>
          <cell r="D174" t="str">
            <v>01.04.1995</v>
          </cell>
          <cell r="E174">
            <v>19</v>
          </cell>
          <cell r="F174">
            <v>6195001350</v>
          </cell>
        </row>
        <row r="175">
          <cell r="A175">
            <v>3400002598</v>
          </cell>
          <cell r="B175">
            <v>0</v>
          </cell>
          <cell r="C175">
            <v>6801</v>
          </cell>
          <cell r="D175" t="str">
            <v>01.10.1996</v>
          </cell>
          <cell r="E175">
            <v>1</v>
          </cell>
          <cell r="F175">
            <v>6195001441</v>
          </cell>
        </row>
        <row r="176">
          <cell r="A176">
            <v>3400002599</v>
          </cell>
          <cell r="B176">
            <v>0</v>
          </cell>
          <cell r="C176">
            <v>6801</v>
          </cell>
          <cell r="D176" t="str">
            <v>01.10.1996</v>
          </cell>
          <cell r="E176">
            <v>1</v>
          </cell>
          <cell r="F176">
            <v>6195001453</v>
          </cell>
        </row>
        <row r="177">
          <cell r="A177">
            <v>3400002600</v>
          </cell>
          <cell r="B177">
            <v>0</v>
          </cell>
          <cell r="C177">
            <v>6801</v>
          </cell>
          <cell r="D177" t="str">
            <v>01.10.1996</v>
          </cell>
          <cell r="E177">
            <v>1</v>
          </cell>
          <cell r="F177">
            <v>6195001465</v>
          </cell>
        </row>
        <row r="178">
          <cell r="A178">
            <v>3400002601</v>
          </cell>
          <cell r="B178">
            <v>0</v>
          </cell>
          <cell r="C178">
            <v>6901</v>
          </cell>
          <cell r="D178" t="str">
            <v>01.04.1995</v>
          </cell>
          <cell r="E178">
            <v>1</v>
          </cell>
          <cell r="F178">
            <v>6195001477</v>
          </cell>
        </row>
        <row r="179">
          <cell r="A179">
            <v>3400002602</v>
          </cell>
          <cell r="B179">
            <v>0</v>
          </cell>
          <cell r="C179">
            <v>6901</v>
          </cell>
          <cell r="D179" t="str">
            <v>01.04.1995</v>
          </cell>
          <cell r="E179">
            <v>1</v>
          </cell>
          <cell r="F179">
            <v>6195001489</v>
          </cell>
        </row>
        <row r="180">
          <cell r="A180">
            <v>3400002603</v>
          </cell>
          <cell r="B180">
            <v>0</v>
          </cell>
          <cell r="C180">
            <v>6901</v>
          </cell>
          <cell r="D180" t="str">
            <v>01.04.1995</v>
          </cell>
          <cell r="E180">
            <v>1</v>
          </cell>
          <cell r="F180">
            <v>6195001490</v>
          </cell>
        </row>
        <row r="181">
          <cell r="A181">
            <v>3400002604</v>
          </cell>
          <cell r="B181">
            <v>0</v>
          </cell>
          <cell r="C181">
            <v>6901</v>
          </cell>
          <cell r="D181" t="str">
            <v>01.04.1995</v>
          </cell>
          <cell r="E181">
            <v>1</v>
          </cell>
          <cell r="F181">
            <v>6195001507</v>
          </cell>
        </row>
        <row r="182">
          <cell r="A182">
            <v>3400002605</v>
          </cell>
          <cell r="B182">
            <v>0</v>
          </cell>
          <cell r="C182">
            <v>6801</v>
          </cell>
          <cell r="D182" t="str">
            <v>01.10.1996</v>
          </cell>
          <cell r="E182">
            <v>1</v>
          </cell>
          <cell r="F182">
            <v>6195001519</v>
          </cell>
        </row>
        <row r="183">
          <cell r="A183">
            <v>3400002606</v>
          </cell>
          <cell r="B183">
            <v>0</v>
          </cell>
          <cell r="C183">
            <v>6801</v>
          </cell>
          <cell r="D183" t="str">
            <v>01.10.1996</v>
          </cell>
          <cell r="E183">
            <v>1</v>
          </cell>
          <cell r="F183">
            <v>6195001520</v>
          </cell>
        </row>
        <row r="184">
          <cell r="A184">
            <v>3400002607</v>
          </cell>
          <cell r="B184">
            <v>0</v>
          </cell>
          <cell r="C184">
            <v>6901</v>
          </cell>
          <cell r="D184" t="str">
            <v>01.04.1995</v>
          </cell>
          <cell r="E184">
            <v>1</v>
          </cell>
          <cell r="F184">
            <v>6195001532</v>
          </cell>
        </row>
        <row r="185">
          <cell r="A185">
            <v>3400002608</v>
          </cell>
          <cell r="B185">
            <v>0</v>
          </cell>
          <cell r="C185">
            <v>6801</v>
          </cell>
          <cell r="D185" t="str">
            <v>01.10.1996</v>
          </cell>
          <cell r="E185">
            <v>1</v>
          </cell>
          <cell r="F185">
            <v>6195001544</v>
          </cell>
        </row>
        <row r="186">
          <cell r="A186">
            <v>3400005598</v>
          </cell>
          <cell r="B186">
            <v>0</v>
          </cell>
          <cell r="C186">
            <v>6230</v>
          </cell>
          <cell r="D186" t="str">
            <v>01.10.1996</v>
          </cell>
          <cell r="E186">
            <v>2</v>
          </cell>
          <cell r="F186">
            <v>6195001556</v>
          </cell>
        </row>
        <row r="187">
          <cell r="A187">
            <v>3400002609</v>
          </cell>
          <cell r="B187">
            <v>0</v>
          </cell>
          <cell r="C187">
            <v>6801</v>
          </cell>
          <cell r="D187" t="str">
            <v>01.10.1996</v>
          </cell>
          <cell r="E187">
            <v>0</v>
          </cell>
          <cell r="F187">
            <v>6195001556</v>
          </cell>
        </row>
        <row r="188">
          <cell r="A188">
            <v>3400002610</v>
          </cell>
          <cell r="B188">
            <v>0</v>
          </cell>
          <cell r="C188">
            <v>6901</v>
          </cell>
          <cell r="D188" t="str">
            <v>01.04.1995</v>
          </cell>
          <cell r="E188">
            <v>1</v>
          </cell>
          <cell r="F188">
            <v>6195001568</v>
          </cell>
        </row>
        <row r="189">
          <cell r="A189">
            <v>3400002611</v>
          </cell>
          <cell r="B189">
            <v>0</v>
          </cell>
          <cell r="C189">
            <v>6901</v>
          </cell>
          <cell r="D189" t="str">
            <v>01.04.1995</v>
          </cell>
          <cell r="E189">
            <v>1</v>
          </cell>
          <cell r="F189">
            <v>6195001579</v>
          </cell>
        </row>
        <row r="190">
          <cell r="A190">
            <v>3400002612</v>
          </cell>
          <cell r="B190">
            <v>0</v>
          </cell>
          <cell r="C190">
            <v>6901</v>
          </cell>
          <cell r="D190" t="str">
            <v>01.04.1995</v>
          </cell>
          <cell r="E190">
            <v>16</v>
          </cell>
          <cell r="F190">
            <v>6195001581</v>
          </cell>
        </row>
        <row r="191">
          <cell r="A191">
            <v>3400002613</v>
          </cell>
          <cell r="B191">
            <v>0</v>
          </cell>
          <cell r="C191">
            <v>6901</v>
          </cell>
          <cell r="D191" t="str">
            <v>01.04.1995</v>
          </cell>
          <cell r="E191">
            <v>1</v>
          </cell>
          <cell r="F191">
            <v>6195001593</v>
          </cell>
        </row>
        <row r="192">
          <cell r="A192">
            <v>3400002614</v>
          </cell>
          <cell r="B192">
            <v>0</v>
          </cell>
          <cell r="C192">
            <v>6901</v>
          </cell>
          <cell r="D192" t="str">
            <v>01.04.1995</v>
          </cell>
          <cell r="E192">
            <v>46</v>
          </cell>
          <cell r="F192">
            <v>6195001609</v>
          </cell>
        </row>
        <row r="193">
          <cell r="A193">
            <v>3400002615</v>
          </cell>
          <cell r="B193">
            <v>0</v>
          </cell>
          <cell r="C193">
            <v>6901</v>
          </cell>
          <cell r="D193" t="str">
            <v>01.04.1995</v>
          </cell>
          <cell r="E193">
            <v>6</v>
          </cell>
          <cell r="F193">
            <v>6195001611</v>
          </cell>
        </row>
        <row r="194">
          <cell r="A194">
            <v>3400002616</v>
          </cell>
          <cell r="B194">
            <v>0</v>
          </cell>
          <cell r="C194">
            <v>6901</v>
          </cell>
          <cell r="D194" t="str">
            <v>01.04.1995</v>
          </cell>
          <cell r="E194">
            <v>6</v>
          </cell>
          <cell r="F194">
            <v>6195001623</v>
          </cell>
        </row>
        <row r="195">
          <cell r="A195">
            <v>3400002617</v>
          </cell>
          <cell r="B195">
            <v>0</v>
          </cell>
          <cell r="C195">
            <v>6901</v>
          </cell>
          <cell r="D195" t="str">
            <v>01.04.1995</v>
          </cell>
          <cell r="E195">
            <v>5</v>
          </cell>
          <cell r="F195">
            <v>6195001635</v>
          </cell>
        </row>
        <row r="196">
          <cell r="A196">
            <v>3400002618</v>
          </cell>
          <cell r="B196">
            <v>0</v>
          </cell>
          <cell r="C196">
            <v>6801</v>
          </cell>
          <cell r="D196" t="str">
            <v>01.10.1996</v>
          </cell>
          <cell r="E196">
            <v>1</v>
          </cell>
          <cell r="F196">
            <v>6195001647</v>
          </cell>
        </row>
        <row r="197">
          <cell r="A197">
            <v>3400002619</v>
          </cell>
          <cell r="B197">
            <v>0</v>
          </cell>
          <cell r="C197">
            <v>6801</v>
          </cell>
          <cell r="D197" t="str">
            <v>01.10.1996</v>
          </cell>
          <cell r="E197">
            <v>1</v>
          </cell>
          <cell r="F197">
            <v>6195001659</v>
          </cell>
        </row>
        <row r="198">
          <cell r="A198">
            <v>3400002620</v>
          </cell>
          <cell r="B198">
            <v>0</v>
          </cell>
          <cell r="C198">
            <v>6901</v>
          </cell>
          <cell r="D198" t="str">
            <v>01.04.1995</v>
          </cell>
          <cell r="E198">
            <v>3</v>
          </cell>
          <cell r="F198">
            <v>6195001660</v>
          </cell>
        </row>
        <row r="199">
          <cell r="A199">
            <v>3400002621</v>
          </cell>
          <cell r="B199">
            <v>0</v>
          </cell>
          <cell r="C199">
            <v>6901</v>
          </cell>
          <cell r="D199" t="str">
            <v>01.04.1995</v>
          </cell>
          <cell r="E199">
            <v>32</v>
          </cell>
          <cell r="F199">
            <v>6195001672</v>
          </cell>
        </row>
        <row r="200">
          <cell r="A200">
            <v>3400002622</v>
          </cell>
          <cell r="B200">
            <v>0</v>
          </cell>
          <cell r="C200">
            <v>6801</v>
          </cell>
          <cell r="D200" t="str">
            <v>01.10.1996</v>
          </cell>
          <cell r="E200">
            <v>0</v>
          </cell>
          <cell r="F200">
            <v>6195001684</v>
          </cell>
        </row>
        <row r="201">
          <cell r="A201">
            <v>3400002623</v>
          </cell>
          <cell r="B201">
            <v>0</v>
          </cell>
          <cell r="C201">
            <v>6801</v>
          </cell>
          <cell r="D201" t="str">
            <v>01.10.1996</v>
          </cell>
          <cell r="E201">
            <v>1</v>
          </cell>
          <cell r="F201">
            <v>6195001696</v>
          </cell>
        </row>
        <row r="202">
          <cell r="A202">
            <v>3400002624</v>
          </cell>
          <cell r="B202">
            <v>0</v>
          </cell>
          <cell r="C202">
            <v>6901</v>
          </cell>
          <cell r="D202" t="str">
            <v>01.04.1995</v>
          </cell>
          <cell r="E202">
            <v>1</v>
          </cell>
          <cell r="F202">
            <v>6195001702</v>
          </cell>
        </row>
        <row r="203">
          <cell r="A203">
            <v>3400002625</v>
          </cell>
          <cell r="B203">
            <v>0</v>
          </cell>
          <cell r="C203">
            <v>6801</v>
          </cell>
          <cell r="D203" t="str">
            <v>01.10.1996</v>
          </cell>
          <cell r="E203">
            <v>0</v>
          </cell>
          <cell r="F203">
            <v>6195001714</v>
          </cell>
        </row>
        <row r="204">
          <cell r="A204">
            <v>3400002626</v>
          </cell>
          <cell r="B204">
            <v>0</v>
          </cell>
          <cell r="C204">
            <v>6901</v>
          </cell>
          <cell r="D204" t="str">
            <v>01.04.1995</v>
          </cell>
          <cell r="E204">
            <v>5</v>
          </cell>
          <cell r="F204">
            <v>6195001726</v>
          </cell>
        </row>
        <row r="205">
          <cell r="A205">
            <v>3400002627</v>
          </cell>
          <cell r="B205">
            <v>0</v>
          </cell>
          <cell r="C205">
            <v>6801</v>
          </cell>
          <cell r="D205" t="str">
            <v>01.10.1996</v>
          </cell>
          <cell r="E205">
            <v>1</v>
          </cell>
          <cell r="F205">
            <v>6195001738</v>
          </cell>
        </row>
        <row r="206">
          <cell r="A206">
            <v>3400002628</v>
          </cell>
          <cell r="B206">
            <v>0</v>
          </cell>
          <cell r="C206">
            <v>6801</v>
          </cell>
          <cell r="D206" t="str">
            <v>01.10.1996</v>
          </cell>
          <cell r="E206">
            <v>1</v>
          </cell>
          <cell r="F206">
            <v>6195001749</v>
          </cell>
        </row>
        <row r="207">
          <cell r="A207">
            <v>3400002629</v>
          </cell>
          <cell r="B207">
            <v>0</v>
          </cell>
          <cell r="C207">
            <v>6901</v>
          </cell>
          <cell r="D207" t="str">
            <v>01.04.1995</v>
          </cell>
          <cell r="E207">
            <v>7</v>
          </cell>
          <cell r="F207">
            <v>6195001751</v>
          </cell>
        </row>
        <row r="208">
          <cell r="A208">
            <v>3400002630</v>
          </cell>
          <cell r="B208">
            <v>0</v>
          </cell>
          <cell r="C208">
            <v>6901</v>
          </cell>
          <cell r="D208" t="str">
            <v>01.04.1995</v>
          </cell>
          <cell r="E208">
            <v>152</v>
          </cell>
          <cell r="F208">
            <v>6195001763</v>
          </cell>
        </row>
        <row r="209">
          <cell r="A209">
            <v>3400002631</v>
          </cell>
          <cell r="B209">
            <v>0</v>
          </cell>
          <cell r="C209">
            <v>6901</v>
          </cell>
          <cell r="D209" t="str">
            <v>01.04.1995</v>
          </cell>
          <cell r="E209">
            <v>1</v>
          </cell>
          <cell r="F209">
            <v>6195001775</v>
          </cell>
        </row>
        <row r="210">
          <cell r="A210">
            <v>3400005600</v>
          </cell>
          <cell r="B210">
            <v>0</v>
          </cell>
          <cell r="C210">
            <v>6230</v>
          </cell>
          <cell r="D210" t="str">
            <v>01.10.1996</v>
          </cell>
          <cell r="E210">
            <v>2</v>
          </cell>
          <cell r="F210">
            <v>6195001787</v>
          </cell>
        </row>
        <row r="211">
          <cell r="A211">
            <v>3400002632</v>
          </cell>
          <cell r="B211">
            <v>0</v>
          </cell>
          <cell r="C211">
            <v>6801</v>
          </cell>
          <cell r="D211" t="str">
            <v>01.10.1996</v>
          </cell>
          <cell r="E211">
            <v>0</v>
          </cell>
          <cell r="F211">
            <v>6195001787</v>
          </cell>
        </row>
        <row r="212">
          <cell r="A212">
            <v>3400002633</v>
          </cell>
          <cell r="B212">
            <v>0</v>
          </cell>
          <cell r="C212">
            <v>6801</v>
          </cell>
          <cell r="D212" t="str">
            <v>01.10.1996</v>
          </cell>
          <cell r="E212">
            <v>0</v>
          </cell>
          <cell r="F212">
            <v>6195001799</v>
          </cell>
        </row>
        <row r="213">
          <cell r="A213">
            <v>3400002634</v>
          </cell>
          <cell r="B213">
            <v>0</v>
          </cell>
          <cell r="C213">
            <v>6901</v>
          </cell>
          <cell r="D213" t="str">
            <v>01.04.1995</v>
          </cell>
          <cell r="E213">
            <v>1</v>
          </cell>
          <cell r="F213">
            <v>6195001805</v>
          </cell>
        </row>
        <row r="214">
          <cell r="A214">
            <v>3400002635</v>
          </cell>
          <cell r="B214">
            <v>0</v>
          </cell>
          <cell r="C214">
            <v>6801</v>
          </cell>
          <cell r="D214" t="str">
            <v>01.10.1996</v>
          </cell>
          <cell r="E214">
            <v>1</v>
          </cell>
          <cell r="F214">
            <v>6195001817</v>
          </cell>
        </row>
        <row r="215">
          <cell r="A215">
            <v>3400002636</v>
          </cell>
          <cell r="B215">
            <v>0</v>
          </cell>
          <cell r="C215">
            <v>6801</v>
          </cell>
          <cell r="D215" t="str">
            <v>01.10.1996</v>
          </cell>
          <cell r="E215">
            <v>1</v>
          </cell>
          <cell r="F215">
            <v>6195001829</v>
          </cell>
        </row>
        <row r="216">
          <cell r="A216">
            <v>3400002637</v>
          </cell>
          <cell r="B216">
            <v>0</v>
          </cell>
          <cell r="C216">
            <v>6801</v>
          </cell>
          <cell r="D216" t="str">
            <v>01.10.1996</v>
          </cell>
          <cell r="E216">
            <v>1</v>
          </cell>
          <cell r="F216">
            <v>6195001830</v>
          </cell>
        </row>
        <row r="217">
          <cell r="A217">
            <v>3400002638</v>
          </cell>
          <cell r="B217">
            <v>0</v>
          </cell>
          <cell r="C217">
            <v>6801</v>
          </cell>
          <cell r="D217" t="str">
            <v>01.10.1996</v>
          </cell>
          <cell r="E217">
            <v>1</v>
          </cell>
          <cell r="F217">
            <v>6195001842</v>
          </cell>
        </row>
        <row r="218">
          <cell r="A218">
            <v>3400002639</v>
          </cell>
          <cell r="B218">
            <v>0</v>
          </cell>
          <cell r="C218">
            <v>6801</v>
          </cell>
          <cell r="D218" t="str">
            <v>01.10.1996</v>
          </cell>
          <cell r="E218">
            <v>1</v>
          </cell>
          <cell r="F218">
            <v>6195001854</v>
          </cell>
        </row>
        <row r="219">
          <cell r="A219">
            <v>3400002640</v>
          </cell>
          <cell r="B219">
            <v>0</v>
          </cell>
          <cell r="C219">
            <v>6801</v>
          </cell>
          <cell r="D219" t="str">
            <v>01.10.1996</v>
          </cell>
          <cell r="E219">
            <v>0</v>
          </cell>
          <cell r="F219">
            <v>6195001866</v>
          </cell>
        </row>
        <row r="220">
          <cell r="A220">
            <v>3400002641</v>
          </cell>
          <cell r="B220">
            <v>0</v>
          </cell>
          <cell r="C220">
            <v>6901</v>
          </cell>
          <cell r="D220" t="str">
            <v>01.04.1995</v>
          </cell>
          <cell r="E220">
            <v>13</v>
          </cell>
          <cell r="F220">
            <v>6195001878</v>
          </cell>
        </row>
        <row r="221">
          <cell r="A221">
            <v>3400002642</v>
          </cell>
          <cell r="B221">
            <v>0</v>
          </cell>
          <cell r="C221">
            <v>6801</v>
          </cell>
          <cell r="D221" t="str">
            <v>01.10.1996</v>
          </cell>
          <cell r="E221">
            <v>0</v>
          </cell>
          <cell r="F221">
            <v>6195001889</v>
          </cell>
        </row>
        <row r="222">
          <cell r="A222">
            <v>3400002643</v>
          </cell>
          <cell r="B222">
            <v>0</v>
          </cell>
          <cell r="C222">
            <v>6901</v>
          </cell>
          <cell r="D222" t="str">
            <v>01.04.1995</v>
          </cell>
          <cell r="E222">
            <v>1</v>
          </cell>
          <cell r="F222">
            <v>6195001891</v>
          </cell>
        </row>
        <row r="223">
          <cell r="A223">
            <v>3400002644</v>
          </cell>
          <cell r="B223">
            <v>0</v>
          </cell>
          <cell r="C223">
            <v>6901</v>
          </cell>
          <cell r="D223" t="str">
            <v>01.04.1995</v>
          </cell>
          <cell r="E223">
            <v>81</v>
          </cell>
          <cell r="F223">
            <v>6195001908</v>
          </cell>
        </row>
        <row r="224">
          <cell r="A224">
            <v>3400002645</v>
          </cell>
          <cell r="B224">
            <v>0</v>
          </cell>
          <cell r="C224">
            <v>6901</v>
          </cell>
          <cell r="D224" t="str">
            <v>01.04.1995</v>
          </cell>
          <cell r="E224">
            <v>1</v>
          </cell>
          <cell r="F224">
            <v>6195001919</v>
          </cell>
        </row>
        <row r="225">
          <cell r="A225">
            <v>3400002646</v>
          </cell>
          <cell r="B225">
            <v>0</v>
          </cell>
          <cell r="C225">
            <v>6801</v>
          </cell>
          <cell r="D225" t="str">
            <v>01.10.1996</v>
          </cell>
          <cell r="E225">
            <v>1</v>
          </cell>
          <cell r="F225">
            <v>6195001921</v>
          </cell>
        </row>
        <row r="226">
          <cell r="A226">
            <v>3400002647</v>
          </cell>
          <cell r="B226">
            <v>0</v>
          </cell>
          <cell r="C226">
            <v>6801</v>
          </cell>
          <cell r="D226" t="str">
            <v>01.10.1996</v>
          </cell>
          <cell r="E226">
            <v>1</v>
          </cell>
          <cell r="F226">
            <v>6195001933</v>
          </cell>
        </row>
        <row r="227">
          <cell r="A227">
            <v>3400002648</v>
          </cell>
          <cell r="B227">
            <v>0</v>
          </cell>
          <cell r="C227">
            <v>6801</v>
          </cell>
          <cell r="D227" t="str">
            <v>01.10.1996</v>
          </cell>
          <cell r="E227">
            <v>1</v>
          </cell>
          <cell r="F227">
            <v>6195001945</v>
          </cell>
        </row>
        <row r="228">
          <cell r="A228">
            <v>3400002649</v>
          </cell>
          <cell r="B228">
            <v>0</v>
          </cell>
          <cell r="C228">
            <v>6801</v>
          </cell>
          <cell r="D228" t="str">
            <v>01.10.1996</v>
          </cell>
          <cell r="E228">
            <v>1</v>
          </cell>
          <cell r="F228">
            <v>6195001957</v>
          </cell>
        </row>
        <row r="229">
          <cell r="A229">
            <v>3400002650</v>
          </cell>
          <cell r="B229">
            <v>0</v>
          </cell>
          <cell r="C229">
            <v>6801</v>
          </cell>
          <cell r="D229" t="str">
            <v>01.10.1996</v>
          </cell>
          <cell r="E229">
            <v>1</v>
          </cell>
          <cell r="F229">
            <v>6195001969</v>
          </cell>
        </row>
        <row r="230">
          <cell r="A230">
            <v>3400002651</v>
          </cell>
          <cell r="B230">
            <v>0</v>
          </cell>
          <cell r="C230">
            <v>6801</v>
          </cell>
          <cell r="D230" t="str">
            <v>01.10.1996</v>
          </cell>
          <cell r="E230">
            <v>1</v>
          </cell>
          <cell r="F230">
            <v>6195001970</v>
          </cell>
        </row>
        <row r="231">
          <cell r="A231">
            <v>3400002652</v>
          </cell>
          <cell r="B231">
            <v>0</v>
          </cell>
          <cell r="C231">
            <v>6901</v>
          </cell>
          <cell r="D231" t="str">
            <v>01.04.1995</v>
          </cell>
          <cell r="E231">
            <v>1</v>
          </cell>
          <cell r="F231">
            <v>6195001982</v>
          </cell>
        </row>
        <row r="232">
          <cell r="A232">
            <v>3400002653</v>
          </cell>
          <cell r="B232">
            <v>0</v>
          </cell>
          <cell r="C232">
            <v>6901</v>
          </cell>
          <cell r="D232" t="str">
            <v>01.04.1995</v>
          </cell>
          <cell r="E232">
            <v>14</v>
          </cell>
          <cell r="F232">
            <v>6195001994</v>
          </cell>
        </row>
        <row r="233">
          <cell r="A233">
            <v>3400002654</v>
          </cell>
          <cell r="B233">
            <v>0</v>
          </cell>
          <cell r="C233">
            <v>6801</v>
          </cell>
          <cell r="D233" t="str">
            <v>01.10.1996</v>
          </cell>
          <cell r="E233">
            <v>1</v>
          </cell>
          <cell r="F233">
            <v>6195002003</v>
          </cell>
        </row>
        <row r="234">
          <cell r="A234">
            <v>3400002655</v>
          </cell>
          <cell r="B234">
            <v>0</v>
          </cell>
          <cell r="C234">
            <v>6901</v>
          </cell>
          <cell r="D234" t="str">
            <v>01.04.1995</v>
          </cell>
          <cell r="E234">
            <v>1</v>
          </cell>
          <cell r="F234">
            <v>6195002011</v>
          </cell>
        </row>
        <row r="235">
          <cell r="A235">
            <v>3400002656</v>
          </cell>
          <cell r="B235">
            <v>0</v>
          </cell>
          <cell r="C235">
            <v>6801</v>
          </cell>
          <cell r="D235" t="str">
            <v>01.10.1996</v>
          </cell>
          <cell r="E235">
            <v>1</v>
          </cell>
          <cell r="F235">
            <v>6195002020</v>
          </cell>
        </row>
        <row r="236">
          <cell r="A236">
            <v>3400002657</v>
          </cell>
          <cell r="B236">
            <v>0</v>
          </cell>
          <cell r="C236">
            <v>6901</v>
          </cell>
          <cell r="D236" t="str">
            <v>01.04.1995</v>
          </cell>
          <cell r="E236">
            <v>1</v>
          </cell>
          <cell r="F236">
            <v>6195002032</v>
          </cell>
        </row>
        <row r="237">
          <cell r="A237">
            <v>3400002658</v>
          </cell>
          <cell r="B237">
            <v>0</v>
          </cell>
          <cell r="C237">
            <v>6901</v>
          </cell>
          <cell r="D237" t="str">
            <v>01.04.1995</v>
          </cell>
          <cell r="E237">
            <v>4</v>
          </cell>
          <cell r="F237">
            <v>6195002044</v>
          </cell>
        </row>
        <row r="238">
          <cell r="A238">
            <v>3400002659</v>
          </cell>
          <cell r="B238">
            <v>0</v>
          </cell>
          <cell r="C238">
            <v>6901</v>
          </cell>
          <cell r="D238" t="str">
            <v>01.09.1995</v>
          </cell>
          <cell r="E238">
            <v>2</v>
          </cell>
          <cell r="F238">
            <v>6195002056</v>
          </cell>
        </row>
        <row r="239">
          <cell r="A239">
            <v>3400002660</v>
          </cell>
          <cell r="B239">
            <v>0</v>
          </cell>
          <cell r="C239">
            <v>6901</v>
          </cell>
          <cell r="D239" t="str">
            <v>01.04.1995</v>
          </cell>
          <cell r="E239">
            <v>2</v>
          </cell>
          <cell r="F239">
            <v>6195002068</v>
          </cell>
        </row>
        <row r="240">
          <cell r="A240">
            <v>3400002661</v>
          </cell>
          <cell r="B240">
            <v>0</v>
          </cell>
          <cell r="C240">
            <v>6901</v>
          </cell>
          <cell r="D240" t="str">
            <v>01.04.1995</v>
          </cell>
          <cell r="E240">
            <v>2</v>
          </cell>
          <cell r="F240">
            <v>6195002079</v>
          </cell>
        </row>
        <row r="241">
          <cell r="A241">
            <v>3400002662</v>
          </cell>
          <cell r="B241">
            <v>0</v>
          </cell>
          <cell r="C241">
            <v>6801</v>
          </cell>
          <cell r="D241" t="str">
            <v>01.10.1996</v>
          </cell>
          <cell r="E241">
            <v>1</v>
          </cell>
          <cell r="F241">
            <v>6195002081</v>
          </cell>
        </row>
        <row r="242">
          <cell r="A242">
            <v>3400002663</v>
          </cell>
          <cell r="B242">
            <v>0</v>
          </cell>
          <cell r="C242">
            <v>6801</v>
          </cell>
          <cell r="D242" t="str">
            <v>01.10.1996</v>
          </cell>
          <cell r="E242">
            <v>1</v>
          </cell>
          <cell r="F242">
            <v>6195002093</v>
          </cell>
        </row>
        <row r="243">
          <cell r="A243">
            <v>3400002664</v>
          </cell>
          <cell r="B243">
            <v>0</v>
          </cell>
          <cell r="C243">
            <v>6801</v>
          </cell>
          <cell r="D243" t="str">
            <v>01.10.1996</v>
          </cell>
          <cell r="E243">
            <v>1</v>
          </cell>
          <cell r="F243">
            <v>6195002109</v>
          </cell>
        </row>
        <row r="244">
          <cell r="A244">
            <v>3400002665</v>
          </cell>
          <cell r="B244">
            <v>0</v>
          </cell>
          <cell r="C244">
            <v>6801</v>
          </cell>
          <cell r="D244" t="str">
            <v>01.10.1996</v>
          </cell>
          <cell r="E244">
            <v>1</v>
          </cell>
          <cell r="F244">
            <v>6195002111</v>
          </cell>
        </row>
        <row r="245">
          <cell r="A245">
            <v>3400002666</v>
          </cell>
          <cell r="B245">
            <v>0</v>
          </cell>
          <cell r="C245">
            <v>6801</v>
          </cell>
          <cell r="D245" t="str">
            <v>01.10.1996</v>
          </cell>
          <cell r="E245">
            <v>1</v>
          </cell>
          <cell r="F245">
            <v>6195002123</v>
          </cell>
        </row>
        <row r="246">
          <cell r="A246">
            <v>3400002667</v>
          </cell>
          <cell r="B246">
            <v>0</v>
          </cell>
          <cell r="C246">
            <v>6801</v>
          </cell>
          <cell r="D246" t="str">
            <v>01.10.1996</v>
          </cell>
          <cell r="E246">
            <v>1</v>
          </cell>
          <cell r="F246">
            <v>6195002135</v>
          </cell>
        </row>
        <row r="247">
          <cell r="A247">
            <v>3400002668</v>
          </cell>
          <cell r="B247">
            <v>0</v>
          </cell>
          <cell r="C247">
            <v>6901</v>
          </cell>
          <cell r="D247" t="str">
            <v>01.04.1995</v>
          </cell>
          <cell r="E247">
            <v>0</v>
          </cell>
          <cell r="F247">
            <v>6195002147</v>
          </cell>
        </row>
        <row r="248">
          <cell r="A248">
            <v>3400002669</v>
          </cell>
          <cell r="B248">
            <v>0</v>
          </cell>
          <cell r="C248">
            <v>6901</v>
          </cell>
          <cell r="D248" t="str">
            <v>01.04.1995</v>
          </cell>
          <cell r="E248">
            <v>1</v>
          </cell>
          <cell r="F248">
            <v>6195002159</v>
          </cell>
        </row>
        <row r="249">
          <cell r="A249">
            <v>3400002670</v>
          </cell>
          <cell r="B249">
            <v>0</v>
          </cell>
          <cell r="C249">
            <v>6901</v>
          </cell>
          <cell r="D249" t="str">
            <v>01.09.1995</v>
          </cell>
          <cell r="E249">
            <v>2</v>
          </cell>
          <cell r="F249">
            <v>6195002160</v>
          </cell>
        </row>
        <row r="250">
          <cell r="A250">
            <v>3400002671</v>
          </cell>
          <cell r="B250">
            <v>0</v>
          </cell>
          <cell r="C250">
            <v>6901</v>
          </cell>
          <cell r="D250" t="str">
            <v>01.04.1995</v>
          </cell>
          <cell r="E250">
            <v>2</v>
          </cell>
          <cell r="F250">
            <v>6195002172</v>
          </cell>
        </row>
        <row r="251">
          <cell r="A251">
            <v>3400002672</v>
          </cell>
          <cell r="B251">
            <v>0</v>
          </cell>
          <cell r="C251">
            <v>6901</v>
          </cell>
          <cell r="D251" t="str">
            <v>01.04.1995</v>
          </cell>
          <cell r="E251">
            <v>199</v>
          </cell>
          <cell r="F251">
            <v>6195002184</v>
          </cell>
        </row>
        <row r="252">
          <cell r="A252">
            <v>3400002673</v>
          </cell>
          <cell r="B252">
            <v>0</v>
          </cell>
          <cell r="C252">
            <v>6901</v>
          </cell>
          <cell r="D252" t="str">
            <v>01.04.1995</v>
          </cell>
          <cell r="E252">
            <v>7</v>
          </cell>
          <cell r="F252">
            <v>6195002196</v>
          </cell>
        </row>
        <row r="253">
          <cell r="A253">
            <v>3400005614</v>
          </cell>
          <cell r="B253">
            <v>0</v>
          </cell>
          <cell r="C253">
            <v>6230</v>
          </cell>
          <cell r="D253" t="str">
            <v>01.10.1996</v>
          </cell>
          <cell r="E253">
            <v>2</v>
          </cell>
          <cell r="F253">
            <v>6195002202</v>
          </cell>
        </row>
        <row r="254">
          <cell r="A254">
            <v>3400002674</v>
          </cell>
          <cell r="B254">
            <v>0</v>
          </cell>
          <cell r="C254">
            <v>6801</v>
          </cell>
          <cell r="D254" t="str">
            <v>01.10.1996</v>
          </cell>
          <cell r="E254">
            <v>0</v>
          </cell>
          <cell r="F254">
            <v>6195002202</v>
          </cell>
        </row>
        <row r="255">
          <cell r="A255">
            <v>3400005615</v>
          </cell>
          <cell r="B255">
            <v>0</v>
          </cell>
          <cell r="C255">
            <v>6230</v>
          </cell>
          <cell r="D255" t="str">
            <v>01.10.1996</v>
          </cell>
          <cell r="E255">
            <v>2</v>
          </cell>
          <cell r="F255">
            <v>6195002214</v>
          </cell>
        </row>
        <row r="256">
          <cell r="A256">
            <v>3400002675</v>
          </cell>
          <cell r="B256">
            <v>0</v>
          </cell>
          <cell r="C256">
            <v>6801</v>
          </cell>
          <cell r="D256" t="str">
            <v>01.10.1996</v>
          </cell>
          <cell r="E256">
            <v>0</v>
          </cell>
          <cell r="F256">
            <v>6195002214</v>
          </cell>
        </row>
        <row r="257">
          <cell r="A257">
            <v>3400004787</v>
          </cell>
          <cell r="B257">
            <v>0</v>
          </cell>
          <cell r="C257">
            <v>6901</v>
          </cell>
          <cell r="D257" t="str">
            <v>01.04.1995</v>
          </cell>
          <cell r="E257">
            <v>64</v>
          </cell>
          <cell r="F257">
            <v>6195002226</v>
          </cell>
        </row>
        <row r="258">
          <cell r="A258">
            <v>3400002676</v>
          </cell>
          <cell r="B258">
            <v>0</v>
          </cell>
          <cell r="C258">
            <v>6901</v>
          </cell>
          <cell r="D258" t="str">
            <v>01.04.1995</v>
          </cell>
          <cell r="E258">
            <v>69</v>
          </cell>
          <cell r="F258">
            <v>6195002238</v>
          </cell>
        </row>
        <row r="259">
          <cell r="A259">
            <v>3400002677</v>
          </cell>
          <cell r="B259">
            <v>0</v>
          </cell>
          <cell r="C259">
            <v>6901</v>
          </cell>
          <cell r="D259" t="str">
            <v>01.04.1995</v>
          </cell>
          <cell r="E259">
            <v>4</v>
          </cell>
          <cell r="F259">
            <v>6195002249</v>
          </cell>
        </row>
        <row r="260">
          <cell r="A260">
            <v>3400002678</v>
          </cell>
          <cell r="B260">
            <v>0</v>
          </cell>
          <cell r="C260">
            <v>6901</v>
          </cell>
          <cell r="D260" t="str">
            <v>01.04.1995</v>
          </cell>
          <cell r="E260">
            <v>362</v>
          </cell>
          <cell r="F260">
            <v>6195002251</v>
          </cell>
        </row>
        <row r="261">
          <cell r="A261">
            <v>3400002679</v>
          </cell>
          <cell r="B261">
            <v>0</v>
          </cell>
          <cell r="C261">
            <v>6901</v>
          </cell>
          <cell r="D261" t="str">
            <v>01.04.1995</v>
          </cell>
          <cell r="E261">
            <v>125</v>
          </cell>
          <cell r="F261">
            <v>6195002263</v>
          </cell>
        </row>
        <row r="262">
          <cell r="A262">
            <v>3400002680</v>
          </cell>
          <cell r="B262">
            <v>0</v>
          </cell>
          <cell r="C262">
            <v>6901</v>
          </cell>
          <cell r="D262" t="str">
            <v>01.04.1995</v>
          </cell>
          <cell r="E262">
            <v>12</v>
          </cell>
          <cell r="F262">
            <v>6195002275</v>
          </cell>
        </row>
        <row r="263">
          <cell r="A263">
            <v>3400002681</v>
          </cell>
          <cell r="B263">
            <v>0</v>
          </cell>
          <cell r="C263">
            <v>6901</v>
          </cell>
          <cell r="D263" t="str">
            <v>01.04.1995</v>
          </cell>
          <cell r="E263">
            <v>3</v>
          </cell>
          <cell r="F263">
            <v>6195002287</v>
          </cell>
        </row>
        <row r="264">
          <cell r="A264">
            <v>3400002682</v>
          </cell>
          <cell r="B264">
            <v>0</v>
          </cell>
          <cell r="C264">
            <v>6801</v>
          </cell>
          <cell r="D264" t="str">
            <v>01.10.1996</v>
          </cell>
          <cell r="E264">
            <v>1</v>
          </cell>
          <cell r="F264">
            <v>6195002299</v>
          </cell>
        </row>
        <row r="265">
          <cell r="A265">
            <v>3400002683</v>
          </cell>
          <cell r="B265">
            <v>0</v>
          </cell>
          <cell r="C265">
            <v>6801</v>
          </cell>
          <cell r="D265" t="str">
            <v>01.10.1996</v>
          </cell>
          <cell r="E265">
            <v>1</v>
          </cell>
          <cell r="F265">
            <v>6195002305</v>
          </cell>
        </row>
        <row r="266">
          <cell r="A266">
            <v>3400002684</v>
          </cell>
          <cell r="B266">
            <v>0</v>
          </cell>
          <cell r="C266">
            <v>6901</v>
          </cell>
          <cell r="D266" t="str">
            <v>01.04.1995</v>
          </cell>
          <cell r="E266">
            <v>1</v>
          </cell>
          <cell r="F266">
            <v>6195002317</v>
          </cell>
        </row>
        <row r="267">
          <cell r="A267">
            <v>3400005617</v>
          </cell>
          <cell r="B267">
            <v>0</v>
          </cell>
          <cell r="C267">
            <v>6230</v>
          </cell>
          <cell r="D267" t="str">
            <v>01.10.1996</v>
          </cell>
          <cell r="E267">
            <v>2</v>
          </cell>
          <cell r="F267">
            <v>6195002329</v>
          </cell>
        </row>
        <row r="268">
          <cell r="A268">
            <v>3400002685</v>
          </cell>
          <cell r="B268">
            <v>0</v>
          </cell>
          <cell r="C268">
            <v>6801</v>
          </cell>
          <cell r="D268" t="str">
            <v>01.10.1996</v>
          </cell>
          <cell r="E268">
            <v>0</v>
          </cell>
          <cell r="F268">
            <v>6195002329</v>
          </cell>
        </row>
        <row r="269">
          <cell r="A269">
            <v>3400002686</v>
          </cell>
          <cell r="B269">
            <v>0</v>
          </cell>
          <cell r="C269">
            <v>6801</v>
          </cell>
          <cell r="D269" t="str">
            <v>01.10.1996</v>
          </cell>
          <cell r="E269">
            <v>0</v>
          </cell>
          <cell r="F269">
            <v>6195002330</v>
          </cell>
        </row>
        <row r="270">
          <cell r="A270">
            <v>3400005618</v>
          </cell>
          <cell r="B270">
            <v>0</v>
          </cell>
          <cell r="C270">
            <v>6230</v>
          </cell>
          <cell r="D270" t="str">
            <v>01.10.1996</v>
          </cell>
          <cell r="E270">
            <v>2</v>
          </cell>
          <cell r="F270">
            <v>6195002330</v>
          </cell>
        </row>
        <row r="271">
          <cell r="A271">
            <v>3400002687</v>
          </cell>
          <cell r="B271">
            <v>0</v>
          </cell>
          <cell r="C271">
            <v>6801</v>
          </cell>
          <cell r="D271" t="str">
            <v>01.10.1996</v>
          </cell>
          <cell r="E271">
            <v>0</v>
          </cell>
          <cell r="F271">
            <v>6195002342</v>
          </cell>
        </row>
        <row r="272">
          <cell r="A272">
            <v>3400002688</v>
          </cell>
          <cell r="B272">
            <v>0</v>
          </cell>
          <cell r="C272">
            <v>6901</v>
          </cell>
          <cell r="D272" t="str">
            <v>01.04.1995</v>
          </cell>
          <cell r="E272">
            <v>5</v>
          </cell>
          <cell r="F272">
            <v>6195002354</v>
          </cell>
        </row>
        <row r="273">
          <cell r="A273">
            <v>3400002689</v>
          </cell>
          <cell r="B273">
            <v>0</v>
          </cell>
          <cell r="C273">
            <v>6901</v>
          </cell>
          <cell r="D273" t="str">
            <v>01.04.1995</v>
          </cell>
          <cell r="E273">
            <v>1</v>
          </cell>
          <cell r="F273">
            <v>6195002366</v>
          </cell>
        </row>
        <row r="274">
          <cell r="A274">
            <v>3400002690</v>
          </cell>
          <cell r="B274">
            <v>0</v>
          </cell>
          <cell r="C274">
            <v>6901</v>
          </cell>
          <cell r="D274" t="str">
            <v>01.04.1995</v>
          </cell>
          <cell r="E274">
            <v>2</v>
          </cell>
          <cell r="F274">
            <v>6195002378</v>
          </cell>
        </row>
        <row r="275">
          <cell r="A275">
            <v>3400002691</v>
          </cell>
          <cell r="B275">
            <v>0</v>
          </cell>
          <cell r="C275">
            <v>6901</v>
          </cell>
          <cell r="D275" t="str">
            <v>01.04.1995</v>
          </cell>
          <cell r="E275">
            <v>1</v>
          </cell>
          <cell r="F275">
            <v>6195002389</v>
          </cell>
        </row>
        <row r="276">
          <cell r="A276">
            <v>3400002692</v>
          </cell>
          <cell r="B276">
            <v>0</v>
          </cell>
          <cell r="C276">
            <v>6801</v>
          </cell>
          <cell r="D276" t="str">
            <v>01.10.1996</v>
          </cell>
          <cell r="E276">
            <v>1</v>
          </cell>
          <cell r="F276">
            <v>6195002391</v>
          </cell>
        </row>
        <row r="277">
          <cell r="A277">
            <v>3400002693</v>
          </cell>
          <cell r="B277">
            <v>0</v>
          </cell>
          <cell r="C277">
            <v>6801</v>
          </cell>
          <cell r="D277" t="str">
            <v>01.10.1996</v>
          </cell>
          <cell r="E277">
            <v>1</v>
          </cell>
          <cell r="F277">
            <v>6195002408</v>
          </cell>
        </row>
        <row r="278">
          <cell r="A278">
            <v>3400002694</v>
          </cell>
          <cell r="B278">
            <v>0</v>
          </cell>
          <cell r="C278">
            <v>6801</v>
          </cell>
          <cell r="D278" t="str">
            <v>01.10.1996</v>
          </cell>
          <cell r="E278">
            <v>1</v>
          </cell>
          <cell r="F278">
            <v>6195002419</v>
          </cell>
        </row>
        <row r="279">
          <cell r="A279">
            <v>3400002695</v>
          </cell>
          <cell r="B279">
            <v>0</v>
          </cell>
          <cell r="C279">
            <v>6901</v>
          </cell>
          <cell r="D279" t="str">
            <v>01.09.1995</v>
          </cell>
          <cell r="E279">
            <v>1844</v>
          </cell>
          <cell r="F279">
            <v>6195002421</v>
          </cell>
        </row>
        <row r="280">
          <cell r="A280">
            <v>3400002696</v>
          </cell>
          <cell r="B280">
            <v>0</v>
          </cell>
          <cell r="C280">
            <v>6901</v>
          </cell>
          <cell r="D280" t="str">
            <v>01.04.1995</v>
          </cell>
          <cell r="E280">
            <v>275</v>
          </cell>
          <cell r="F280">
            <v>6195002433</v>
          </cell>
        </row>
        <row r="281">
          <cell r="A281">
            <v>3400002697</v>
          </cell>
          <cell r="B281">
            <v>0</v>
          </cell>
          <cell r="C281">
            <v>6901</v>
          </cell>
          <cell r="D281" t="str">
            <v>01.04.1995</v>
          </cell>
          <cell r="E281">
            <v>260</v>
          </cell>
          <cell r="F281">
            <v>6195002445</v>
          </cell>
        </row>
        <row r="282">
          <cell r="A282">
            <v>3400002698</v>
          </cell>
          <cell r="B282">
            <v>0</v>
          </cell>
          <cell r="C282">
            <v>6901</v>
          </cell>
          <cell r="D282" t="str">
            <v>01.04.1995</v>
          </cell>
          <cell r="E282">
            <v>30</v>
          </cell>
          <cell r="F282">
            <v>6195002457</v>
          </cell>
        </row>
        <row r="283">
          <cell r="A283">
            <v>3400002699</v>
          </cell>
          <cell r="B283">
            <v>0</v>
          </cell>
          <cell r="C283">
            <v>6901</v>
          </cell>
          <cell r="D283" t="str">
            <v>01.04.1995</v>
          </cell>
          <cell r="E283">
            <v>4</v>
          </cell>
          <cell r="F283">
            <v>6195002469</v>
          </cell>
        </row>
        <row r="284">
          <cell r="A284">
            <v>3400002700</v>
          </cell>
          <cell r="B284">
            <v>0</v>
          </cell>
          <cell r="C284">
            <v>6801</v>
          </cell>
          <cell r="D284" t="str">
            <v>01.10.1996</v>
          </cell>
          <cell r="E284">
            <v>1</v>
          </cell>
          <cell r="F284">
            <v>6195002470</v>
          </cell>
        </row>
        <row r="285">
          <cell r="A285">
            <v>3400002701</v>
          </cell>
          <cell r="B285">
            <v>0</v>
          </cell>
          <cell r="C285">
            <v>6901</v>
          </cell>
          <cell r="D285" t="str">
            <v>01.10.1996</v>
          </cell>
          <cell r="E285">
            <v>8</v>
          </cell>
          <cell r="F285">
            <v>6195002482</v>
          </cell>
        </row>
        <row r="286">
          <cell r="A286">
            <v>3400002702</v>
          </cell>
          <cell r="B286">
            <v>0</v>
          </cell>
          <cell r="C286">
            <v>6901</v>
          </cell>
          <cell r="D286" t="str">
            <v>01.10.1996</v>
          </cell>
          <cell r="E286">
            <v>3</v>
          </cell>
          <cell r="F286">
            <v>6195002494</v>
          </cell>
        </row>
        <row r="287">
          <cell r="A287">
            <v>3400002703</v>
          </cell>
          <cell r="B287">
            <v>0</v>
          </cell>
          <cell r="C287">
            <v>6901</v>
          </cell>
          <cell r="D287" t="str">
            <v>01.10.1996</v>
          </cell>
          <cell r="E287">
            <v>2</v>
          </cell>
          <cell r="F287">
            <v>6195002500</v>
          </cell>
        </row>
        <row r="288">
          <cell r="A288">
            <v>3400002704</v>
          </cell>
          <cell r="B288">
            <v>0</v>
          </cell>
          <cell r="C288">
            <v>6901</v>
          </cell>
          <cell r="D288" t="str">
            <v>01.10.1996</v>
          </cell>
          <cell r="E288">
            <v>1</v>
          </cell>
          <cell r="F288">
            <v>6195002512</v>
          </cell>
        </row>
        <row r="289">
          <cell r="A289">
            <v>3400002705</v>
          </cell>
          <cell r="B289">
            <v>0</v>
          </cell>
          <cell r="C289">
            <v>6901</v>
          </cell>
          <cell r="D289" t="str">
            <v>01.10.1996</v>
          </cell>
          <cell r="E289">
            <v>1</v>
          </cell>
          <cell r="F289">
            <v>6195002524</v>
          </cell>
        </row>
        <row r="290">
          <cell r="A290">
            <v>3400002706</v>
          </cell>
          <cell r="B290">
            <v>0</v>
          </cell>
          <cell r="C290">
            <v>6801</v>
          </cell>
          <cell r="D290" t="str">
            <v>01.10.1996</v>
          </cell>
          <cell r="E290">
            <v>1</v>
          </cell>
          <cell r="F290">
            <v>6195002536</v>
          </cell>
        </row>
        <row r="291">
          <cell r="A291">
            <v>3400002707</v>
          </cell>
          <cell r="B291">
            <v>0</v>
          </cell>
          <cell r="C291">
            <v>6901</v>
          </cell>
          <cell r="D291" t="str">
            <v>01.10.1996</v>
          </cell>
          <cell r="E291">
            <v>6</v>
          </cell>
          <cell r="F291">
            <v>6195002548</v>
          </cell>
        </row>
        <row r="292">
          <cell r="A292">
            <v>3400002708</v>
          </cell>
          <cell r="B292">
            <v>0</v>
          </cell>
          <cell r="C292">
            <v>6901</v>
          </cell>
          <cell r="D292" t="str">
            <v>01.10.1996</v>
          </cell>
          <cell r="E292">
            <v>39</v>
          </cell>
          <cell r="F292">
            <v>6195002559</v>
          </cell>
        </row>
        <row r="293">
          <cell r="A293">
            <v>3400002709</v>
          </cell>
          <cell r="B293">
            <v>0</v>
          </cell>
          <cell r="C293">
            <v>6802</v>
          </cell>
          <cell r="D293" t="str">
            <v>01.10.1996</v>
          </cell>
          <cell r="E293">
            <v>1</v>
          </cell>
          <cell r="F293">
            <v>6195002561</v>
          </cell>
        </row>
        <row r="294">
          <cell r="A294">
            <v>3400004788</v>
          </cell>
          <cell r="B294">
            <v>0</v>
          </cell>
          <cell r="C294">
            <v>4131</v>
          </cell>
          <cell r="D294" t="str">
            <v>01.10.1996</v>
          </cell>
          <cell r="E294">
            <v>1</v>
          </cell>
          <cell r="F294">
            <v>6195002573</v>
          </cell>
        </row>
        <row r="295">
          <cell r="A295">
            <v>3400002710</v>
          </cell>
          <cell r="B295">
            <v>0</v>
          </cell>
          <cell r="C295">
            <v>4420</v>
          </cell>
          <cell r="D295" t="str">
            <v>01.10.1996</v>
          </cell>
          <cell r="E295">
            <v>1</v>
          </cell>
          <cell r="F295">
            <v>6195002585</v>
          </cell>
        </row>
        <row r="296">
          <cell r="A296">
            <v>3400002711</v>
          </cell>
          <cell r="B296">
            <v>0</v>
          </cell>
          <cell r="C296">
            <v>4420</v>
          </cell>
          <cell r="D296" t="str">
            <v>01.10.1996</v>
          </cell>
          <cell r="E296">
            <v>1</v>
          </cell>
          <cell r="F296">
            <v>6195002597</v>
          </cell>
        </row>
        <row r="297">
          <cell r="A297">
            <v>3400002712</v>
          </cell>
          <cell r="B297">
            <v>0</v>
          </cell>
          <cell r="C297">
            <v>4420</v>
          </cell>
          <cell r="D297" t="str">
            <v>01.10.1996</v>
          </cell>
          <cell r="E297">
            <v>1</v>
          </cell>
          <cell r="F297">
            <v>6195002603</v>
          </cell>
        </row>
        <row r="298">
          <cell r="A298">
            <v>3400002713</v>
          </cell>
          <cell r="B298">
            <v>0</v>
          </cell>
          <cell r="C298">
            <v>4420</v>
          </cell>
          <cell r="D298" t="str">
            <v>01.10.1996</v>
          </cell>
          <cell r="E298">
            <v>1</v>
          </cell>
          <cell r="F298">
            <v>6195002615</v>
          </cell>
        </row>
        <row r="299">
          <cell r="A299">
            <v>3400002714</v>
          </cell>
          <cell r="B299">
            <v>0</v>
          </cell>
          <cell r="C299">
            <v>4410</v>
          </cell>
          <cell r="D299" t="str">
            <v>01.10.1996</v>
          </cell>
          <cell r="E299">
            <v>1</v>
          </cell>
          <cell r="F299">
            <v>6195002627</v>
          </cell>
        </row>
        <row r="300">
          <cell r="A300">
            <v>3400002715</v>
          </cell>
          <cell r="B300">
            <v>0</v>
          </cell>
          <cell r="C300">
            <v>6602</v>
          </cell>
          <cell r="D300" t="str">
            <v>01.10.1996</v>
          </cell>
          <cell r="E300">
            <v>0</v>
          </cell>
          <cell r="F300">
            <v>6195002639</v>
          </cell>
        </row>
        <row r="301">
          <cell r="A301">
            <v>3400002716</v>
          </cell>
          <cell r="B301">
            <v>0</v>
          </cell>
          <cell r="C301">
            <v>6602</v>
          </cell>
          <cell r="D301" t="str">
            <v>01.10.1996</v>
          </cell>
          <cell r="E301">
            <v>1</v>
          </cell>
          <cell r="F301">
            <v>6195002640</v>
          </cell>
        </row>
        <row r="302">
          <cell r="A302">
            <v>3400002717</v>
          </cell>
          <cell r="B302">
            <v>0</v>
          </cell>
          <cell r="C302">
            <v>6602</v>
          </cell>
          <cell r="D302" t="str">
            <v>01.10.1996</v>
          </cell>
          <cell r="E302">
            <v>1</v>
          </cell>
          <cell r="F302">
            <v>6195002664</v>
          </cell>
        </row>
        <row r="303">
          <cell r="A303">
            <v>3400002718</v>
          </cell>
          <cell r="B303">
            <v>0</v>
          </cell>
          <cell r="C303">
            <v>6600</v>
          </cell>
          <cell r="D303" t="str">
            <v>01.10.1996</v>
          </cell>
          <cell r="E303">
            <v>0</v>
          </cell>
          <cell r="F303">
            <v>6195002688</v>
          </cell>
        </row>
        <row r="304">
          <cell r="A304">
            <v>3400002719</v>
          </cell>
          <cell r="B304">
            <v>0</v>
          </cell>
          <cell r="C304">
            <v>6600</v>
          </cell>
          <cell r="D304" t="str">
            <v>01.10.1996</v>
          </cell>
          <cell r="E304">
            <v>1</v>
          </cell>
          <cell r="F304">
            <v>6195002706</v>
          </cell>
        </row>
        <row r="305">
          <cell r="A305">
            <v>3400002720</v>
          </cell>
          <cell r="B305">
            <v>0</v>
          </cell>
          <cell r="C305">
            <v>5302</v>
          </cell>
          <cell r="D305" t="str">
            <v>01.10.1996</v>
          </cell>
          <cell r="E305">
            <v>1</v>
          </cell>
          <cell r="F305">
            <v>6195002718</v>
          </cell>
        </row>
        <row r="306">
          <cell r="A306">
            <v>3400002721</v>
          </cell>
          <cell r="B306">
            <v>0</v>
          </cell>
          <cell r="C306">
            <v>5302</v>
          </cell>
          <cell r="D306" t="str">
            <v>01.10.1996</v>
          </cell>
          <cell r="E306">
            <v>1</v>
          </cell>
          <cell r="F306">
            <v>6195002729</v>
          </cell>
        </row>
        <row r="307">
          <cell r="A307">
            <v>3400002722</v>
          </cell>
          <cell r="B307">
            <v>0</v>
          </cell>
          <cell r="C307">
            <v>5302</v>
          </cell>
          <cell r="D307" t="str">
            <v>01.10.1996</v>
          </cell>
          <cell r="E307">
            <v>1</v>
          </cell>
          <cell r="F307">
            <v>6195002731</v>
          </cell>
        </row>
        <row r="308">
          <cell r="A308">
            <v>3400002723</v>
          </cell>
          <cell r="B308">
            <v>0</v>
          </cell>
          <cell r="C308">
            <v>5302</v>
          </cell>
          <cell r="D308" t="str">
            <v>01.10.1996</v>
          </cell>
          <cell r="E308">
            <v>1</v>
          </cell>
          <cell r="F308">
            <v>6195002743</v>
          </cell>
        </row>
        <row r="309">
          <cell r="A309">
            <v>3400002724</v>
          </cell>
          <cell r="B309">
            <v>0</v>
          </cell>
          <cell r="C309">
            <v>5302</v>
          </cell>
          <cell r="D309" t="str">
            <v>01.10.1996</v>
          </cell>
          <cell r="E309">
            <v>1</v>
          </cell>
          <cell r="F309">
            <v>6195002755</v>
          </cell>
        </row>
        <row r="310">
          <cell r="A310">
            <v>3400002725</v>
          </cell>
          <cell r="B310">
            <v>0</v>
          </cell>
          <cell r="C310">
            <v>5302</v>
          </cell>
          <cell r="D310" t="str">
            <v>01.10.1996</v>
          </cell>
          <cell r="E310">
            <v>1</v>
          </cell>
          <cell r="F310">
            <v>6195002767</v>
          </cell>
        </row>
        <row r="311">
          <cell r="A311">
            <v>3400002726</v>
          </cell>
          <cell r="B311">
            <v>0</v>
          </cell>
          <cell r="C311">
            <v>5302</v>
          </cell>
          <cell r="D311" t="str">
            <v>01.10.1996</v>
          </cell>
          <cell r="E311">
            <v>1</v>
          </cell>
          <cell r="F311">
            <v>6195002779</v>
          </cell>
        </row>
        <row r="312">
          <cell r="A312">
            <v>3400002727</v>
          </cell>
          <cell r="B312">
            <v>0</v>
          </cell>
          <cell r="C312">
            <v>5302</v>
          </cell>
          <cell r="D312" t="str">
            <v>01.10.1996</v>
          </cell>
          <cell r="E312">
            <v>1</v>
          </cell>
          <cell r="F312">
            <v>6195002780</v>
          </cell>
        </row>
        <row r="313">
          <cell r="A313">
            <v>3400002728</v>
          </cell>
          <cell r="B313">
            <v>0</v>
          </cell>
          <cell r="C313">
            <v>5301</v>
          </cell>
          <cell r="D313" t="str">
            <v>01.10.1996</v>
          </cell>
          <cell r="E313">
            <v>1</v>
          </cell>
          <cell r="F313">
            <v>6195002792</v>
          </cell>
        </row>
        <row r="314">
          <cell r="A314">
            <v>3400002729</v>
          </cell>
          <cell r="B314">
            <v>0</v>
          </cell>
          <cell r="C314">
            <v>5301</v>
          </cell>
          <cell r="D314" t="str">
            <v>01.10.1996</v>
          </cell>
          <cell r="E314">
            <v>1</v>
          </cell>
          <cell r="F314">
            <v>6195002809</v>
          </cell>
        </row>
        <row r="315">
          <cell r="A315">
            <v>3400002730</v>
          </cell>
          <cell r="B315">
            <v>0</v>
          </cell>
          <cell r="C315">
            <v>5301</v>
          </cell>
          <cell r="D315" t="str">
            <v>01.10.1996</v>
          </cell>
          <cell r="E315">
            <v>1</v>
          </cell>
          <cell r="F315">
            <v>6195002810</v>
          </cell>
        </row>
        <row r="316">
          <cell r="A316">
            <v>3400002731</v>
          </cell>
          <cell r="B316">
            <v>0</v>
          </cell>
          <cell r="C316">
            <v>5301</v>
          </cell>
          <cell r="D316" t="str">
            <v>01.10.1996</v>
          </cell>
          <cell r="E316">
            <v>1</v>
          </cell>
          <cell r="F316">
            <v>6195002822</v>
          </cell>
        </row>
        <row r="317">
          <cell r="A317">
            <v>3400002732</v>
          </cell>
          <cell r="B317">
            <v>0</v>
          </cell>
          <cell r="C317">
            <v>5301</v>
          </cell>
          <cell r="D317" t="str">
            <v>01.10.1996</v>
          </cell>
          <cell r="E317">
            <v>1</v>
          </cell>
          <cell r="F317">
            <v>6195002834</v>
          </cell>
        </row>
        <row r="318">
          <cell r="A318">
            <v>3400002733</v>
          </cell>
          <cell r="B318">
            <v>0</v>
          </cell>
          <cell r="C318">
            <v>5301</v>
          </cell>
          <cell r="D318" t="str">
            <v>01.10.1996</v>
          </cell>
          <cell r="E318">
            <v>1</v>
          </cell>
          <cell r="F318">
            <v>6195002846</v>
          </cell>
        </row>
        <row r="319">
          <cell r="A319">
            <v>3400002734</v>
          </cell>
          <cell r="B319">
            <v>0</v>
          </cell>
          <cell r="C319">
            <v>5304</v>
          </cell>
          <cell r="D319" t="str">
            <v>01.10.1996</v>
          </cell>
          <cell r="E319">
            <v>2</v>
          </cell>
          <cell r="F319">
            <v>6195002858</v>
          </cell>
        </row>
        <row r="320">
          <cell r="A320">
            <v>3400002735</v>
          </cell>
          <cell r="B320">
            <v>0</v>
          </cell>
          <cell r="C320">
            <v>5301</v>
          </cell>
          <cell r="D320" t="str">
            <v>01.10.1996</v>
          </cell>
          <cell r="E320">
            <v>1</v>
          </cell>
          <cell r="F320">
            <v>6195002869</v>
          </cell>
        </row>
        <row r="321">
          <cell r="A321">
            <v>3400002736</v>
          </cell>
          <cell r="B321">
            <v>0</v>
          </cell>
          <cell r="C321">
            <v>5304</v>
          </cell>
          <cell r="D321" t="str">
            <v>01.10.1996</v>
          </cell>
          <cell r="E321">
            <v>1</v>
          </cell>
          <cell r="F321">
            <v>6195002871</v>
          </cell>
        </row>
        <row r="322">
          <cell r="A322">
            <v>3400002737</v>
          </cell>
          <cell r="B322">
            <v>0</v>
          </cell>
          <cell r="C322">
            <v>5301</v>
          </cell>
          <cell r="D322" t="str">
            <v>01.10.1996</v>
          </cell>
          <cell r="E322">
            <v>1</v>
          </cell>
          <cell r="F322">
            <v>6195002883</v>
          </cell>
        </row>
        <row r="323">
          <cell r="A323">
            <v>3400002738</v>
          </cell>
          <cell r="B323">
            <v>0</v>
          </cell>
          <cell r="C323">
            <v>5303</v>
          </cell>
          <cell r="D323" t="str">
            <v>01.10.1996</v>
          </cell>
          <cell r="E323">
            <v>0</v>
          </cell>
          <cell r="F323">
            <v>6195002895</v>
          </cell>
        </row>
        <row r="324">
          <cell r="A324">
            <v>3400002739</v>
          </cell>
          <cell r="B324">
            <v>0</v>
          </cell>
          <cell r="C324">
            <v>5303</v>
          </cell>
          <cell r="D324" t="str">
            <v>01.10.1996</v>
          </cell>
          <cell r="E324">
            <v>1</v>
          </cell>
          <cell r="F324">
            <v>6195002901</v>
          </cell>
        </row>
        <row r="325">
          <cell r="A325">
            <v>3400002740</v>
          </cell>
          <cell r="B325">
            <v>0</v>
          </cell>
          <cell r="C325">
            <v>5301</v>
          </cell>
          <cell r="D325" t="str">
            <v>01.10.1996</v>
          </cell>
          <cell r="E325">
            <v>0</v>
          </cell>
          <cell r="F325">
            <v>6195002913</v>
          </cell>
        </row>
        <row r="326">
          <cell r="A326">
            <v>3400002741</v>
          </cell>
          <cell r="B326">
            <v>0</v>
          </cell>
          <cell r="C326">
            <v>6600</v>
          </cell>
          <cell r="D326" t="str">
            <v>01.10.1996</v>
          </cell>
          <cell r="E326">
            <v>0</v>
          </cell>
          <cell r="F326">
            <v>6195002950</v>
          </cell>
        </row>
        <row r="327">
          <cell r="A327">
            <v>3400002742</v>
          </cell>
          <cell r="B327">
            <v>0</v>
          </cell>
          <cell r="C327">
            <v>6600</v>
          </cell>
          <cell r="D327" t="str">
            <v>01.10.1996</v>
          </cell>
          <cell r="E327">
            <v>0</v>
          </cell>
          <cell r="F327">
            <v>6195002974</v>
          </cell>
        </row>
        <row r="328">
          <cell r="A328">
            <v>3400002743</v>
          </cell>
          <cell r="B328">
            <v>0</v>
          </cell>
          <cell r="C328">
            <v>6600</v>
          </cell>
          <cell r="D328" t="str">
            <v>01.10.1996</v>
          </cell>
          <cell r="E328">
            <v>0</v>
          </cell>
          <cell r="F328">
            <v>6195002986</v>
          </cell>
        </row>
        <row r="329">
          <cell r="A329">
            <v>3400002744</v>
          </cell>
          <cell r="B329">
            <v>0</v>
          </cell>
          <cell r="C329">
            <v>6602</v>
          </cell>
          <cell r="D329" t="str">
            <v>01.10.1996</v>
          </cell>
          <cell r="E329">
            <v>1</v>
          </cell>
          <cell r="F329">
            <v>6195003085</v>
          </cell>
        </row>
        <row r="330">
          <cell r="A330">
            <v>3400002745</v>
          </cell>
          <cell r="B330">
            <v>0</v>
          </cell>
          <cell r="C330">
            <v>6602</v>
          </cell>
          <cell r="D330" t="str">
            <v>01.10.1996</v>
          </cell>
          <cell r="E330">
            <v>2</v>
          </cell>
          <cell r="F330">
            <v>6195003097</v>
          </cell>
        </row>
        <row r="331">
          <cell r="A331">
            <v>3400002746</v>
          </cell>
          <cell r="B331">
            <v>0</v>
          </cell>
          <cell r="C331">
            <v>6602</v>
          </cell>
          <cell r="D331" t="str">
            <v>01.10.1996</v>
          </cell>
          <cell r="E331">
            <v>3</v>
          </cell>
          <cell r="F331">
            <v>6195003218</v>
          </cell>
        </row>
        <row r="332">
          <cell r="A332">
            <v>3400002747</v>
          </cell>
          <cell r="B332">
            <v>0</v>
          </cell>
          <cell r="C332">
            <v>6602</v>
          </cell>
          <cell r="D332" t="str">
            <v>01.10.1996</v>
          </cell>
          <cell r="E332">
            <v>0</v>
          </cell>
          <cell r="F332">
            <v>6195003334</v>
          </cell>
        </row>
        <row r="333">
          <cell r="A333">
            <v>3400002748</v>
          </cell>
          <cell r="B333">
            <v>0</v>
          </cell>
          <cell r="C333">
            <v>6602</v>
          </cell>
          <cell r="D333" t="str">
            <v>01.10.1996</v>
          </cell>
          <cell r="E333">
            <v>1</v>
          </cell>
          <cell r="F333">
            <v>6195003401</v>
          </cell>
        </row>
        <row r="334">
          <cell r="A334">
            <v>3400002749</v>
          </cell>
          <cell r="B334">
            <v>0</v>
          </cell>
          <cell r="C334">
            <v>6602</v>
          </cell>
          <cell r="D334" t="str">
            <v>01.10.1996</v>
          </cell>
          <cell r="E334">
            <v>0</v>
          </cell>
          <cell r="F334">
            <v>6195003449</v>
          </cell>
        </row>
        <row r="335">
          <cell r="A335">
            <v>3400002750</v>
          </cell>
          <cell r="B335">
            <v>0</v>
          </cell>
          <cell r="C335">
            <v>6602</v>
          </cell>
          <cell r="D335" t="str">
            <v>01.10.1996</v>
          </cell>
          <cell r="E335">
            <v>4</v>
          </cell>
          <cell r="F335">
            <v>6195003516</v>
          </cell>
        </row>
        <row r="336">
          <cell r="A336">
            <v>3400002751</v>
          </cell>
          <cell r="B336">
            <v>0</v>
          </cell>
          <cell r="C336">
            <v>6602</v>
          </cell>
          <cell r="D336" t="str">
            <v>01.10.1996</v>
          </cell>
          <cell r="E336">
            <v>1</v>
          </cell>
          <cell r="F336">
            <v>6195003539</v>
          </cell>
        </row>
        <row r="337">
          <cell r="A337">
            <v>3400002752</v>
          </cell>
          <cell r="B337">
            <v>0</v>
          </cell>
          <cell r="C337">
            <v>6602</v>
          </cell>
          <cell r="D337" t="str">
            <v>01.10.1996</v>
          </cell>
          <cell r="E337">
            <v>2</v>
          </cell>
          <cell r="F337">
            <v>6195003577</v>
          </cell>
        </row>
        <row r="338">
          <cell r="A338">
            <v>3400002753</v>
          </cell>
          <cell r="B338">
            <v>0</v>
          </cell>
          <cell r="C338">
            <v>6600</v>
          </cell>
          <cell r="D338" t="str">
            <v>01.10.1996</v>
          </cell>
          <cell r="E338">
            <v>1</v>
          </cell>
          <cell r="F338">
            <v>6195003589</v>
          </cell>
        </row>
        <row r="339">
          <cell r="A339">
            <v>3400002754</v>
          </cell>
          <cell r="B339">
            <v>0</v>
          </cell>
          <cell r="C339">
            <v>6602</v>
          </cell>
          <cell r="D339" t="str">
            <v>01.10.1996</v>
          </cell>
          <cell r="E339">
            <v>1</v>
          </cell>
          <cell r="F339">
            <v>6195003590</v>
          </cell>
        </row>
        <row r="340">
          <cell r="A340">
            <v>3400002755</v>
          </cell>
          <cell r="B340">
            <v>0</v>
          </cell>
          <cell r="C340">
            <v>6602</v>
          </cell>
          <cell r="D340" t="str">
            <v>01.10.1996</v>
          </cell>
          <cell r="E340">
            <v>3</v>
          </cell>
          <cell r="F340">
            <v>6195003607</v>
          </cell>
        </row>
        <row r="341">
          <cell r="A341">
            <v>3400002756</v>
          </cell>
          <cell r="B341">
            <v>0</v>
          </cell>
          <cell r="C341">
            <v>6600</v>
          </cell>
          <cell r="D341" t="str">
            <v>01.10.1996</v>
          </cell>
          <cell r="E341">
            <v>0</v>
          </cell>
          <cell r="F341">
            <v>6195003632</v>
          </cell>
        </row>
        <row r="342">
          <cell r="A342">
            <v>3400002757</v>
          </cell>
          <cell r="B342">
            <v>0</v>
          </cell>
          <cell r="C342">
            <v>6600</v>
          </cell>
          <cell r="D342" t="str">
            <v>01.10.1996</v>
          </cell>
          <cell r="E342">
            <v>1</v>
          </cell>
          <cell r="F342">
            <v>6195003644</v>
          </cell>
        </row>
        <row r="343">
          <cell r="A343">
            <v>3400002758</v>
          </cell>
          <cell r="B343">
            <v>0</v>
          </cell>
          <cell r="C343">
            <v>6602</v>
          </cell>
          <cell r="D343" t="str">
            <v>01.10.1996</v>
          </cell>
          <cell r="E343">
            <v>1</v>
          </cell>
          <cell r="F343">
            <v>6195003693</v>
          </cell>
        </row>
        <row r="344">
          <cell r="A344">
            <v>3400004789</v>
          </cell>
          <cell r="B344">
            <v>0</v>
          </cell>
          <cell r="C344">
            <v>6600</v>
          </cell>
          <cell r="D344" t="str">
            <v>01.10.1996</v>
          </cell>
          <cell r="E344">
            <v>1</v>
          </cell>
          <cell r="F344">
            <v>6195003747</v>
          </cell>
        </row>
        <row r="345">
          <cell r="A345">
            <v>3400002759</v>
          </cell>
          <cell r="B345">
            <v>0</v>
          </cell>
          <cell r="C345">
            <v>6600</v>
          </cell>
          <cell r="D345" t="str">
            <v>01.10.1996</v>
          </cell>
          <cell r="E345">
            <v>0</v>
          </cell>
          <cell r="F345">
            <v>6195003802</v>
          </cell>
        </row>
        <row r="346">
          <cell r="A346">
            <v>3400002760</v>
          </cell>
          <cell r="B346">
            <v>0</v>
          </cell>
          <cell r="C346">
            <v>6600</v>
          </cell>
          <cell r="D346" t="str">
            <v>01.10.1996</v>
          </cell>
          <cell r="E346">
            <v>1</v>
          </cell>
          <cell r="F346">
            <v>6195004004</v>
          </cell>
        </row>
        <row r="347">
          <cell r="A347">
            <v>3400002761</v>
          </cell>
          <cell r="B347">
            <v>0</v>
          </cell>
          <cell r="C347">
            <v>6600</v>
          </cell>
          <cell r="D347" t="str">
            <v>01.10.1996</v>
          </cell>
          <cell r="E347">
            <v>0</v>
          </cell>
          <cell r="F347">
            <v>6195004028</v>
          </cell>
        </row>
        <row r="348">
          <cell r="A348">
            <v>3400004790</v>
          </cell>
          <cell r="B348">
            <v>0</v>
          </cell>
          <cell r="C348">
            <v>6600</v>
          </cell>
          <cell r="D348" t="str">
            <v>01.10.1996</v>
          </cell>
          <cell r="E348">
            <v>1</v>
          </cell>
          <cell r="F348">
            <v>6195004090</v>
          </cell>
        </row>
        <row r="349">
          <cell r="A349">
            <v>3400002762</v>
          </cell>
          <cell r="B349">
            <v>0</v>
          </cell>
          <cell r="C349">
            <v>6600</v>
          </cell>
          <cell r="D349" t="str">
            <v>01.10.1996</v>
          </cell>
          <cell r="E349">
            <v>1</v>
          </cell>
          <cell r="F349">
            <v>6195004181</v>
          </cell>
        </row>
        <row r="350">
          <cell r="A350">
            <v>3400002763</v>
          </cell>
          <cell r="B350">
            <v>0</v>
          </cell>
          <cell r="C350">
            <v>6600</v>
          </cell>
          <cell r="D350" t="str">
            <v>01.10.1996</v>
          </cell>
          <cell r="E350">
            <v>1</v>
          </cell>
          <cell r="F350">
            <v>6195004209</v>
          </cell>
        </row>
        <row r="351">
          <cell r="A351">
            <v>3400002764</v>
          </cell>
          <cell r="B351">
            <v>0</v>
          </cell>
          <cell r="C351">
            <v>6602</v>
          </cell>
          <cell r="D351" t="str">
            <v>01.10.1996</v>
          </cell>
          <cell r="E351">
            <v>6</v>
          </cell>
          <cell r="F351">
            <v>6195004211</v>
          </cell>
        </row>
        <row r="352">
          <cell r="A352">
            <v>3400002765</v>
          </cell>
          <cell r="B352">
            <v>0</v>
          </cell>
          <cell r="C352">
            <v>6602</v>
          </cell>
          <cell r="D352" t="str">
            <v>01.10.1996</v>
          </cell>
          <cell r="E352">
            <v>1</v>
          </cell>
          <cell r="F352">
            <v>6195004235</v>
          </cell>
        </row>
        <row r="353">
          <cell r="A353">
            <v>3400002766</v>
          </cell>
          <cell r="B353">
            <v>0</v>
          </cell>
          <cell r="C353">
            <v>6602</v>
          </cell>
          <cell r="D353" t="str">
            <v>01.10.1996</v>
          </cell>
          <cell r="E353">
            <v>1</v>
          </cell>
          <cell r="F353">
            <v>6195004247</v>
          </cell>
        </row>
        <row r="354">
          <cell r="A354">
            <v>3400002767</v>
          </cell>
          <cell r="B354">
            <v>0</v>
          </cell>
          <cell r="C354">
            <v>6602</v>
          </cell>
          <cell r="D354" t="str">
            <v>01.10.1996</v>
          </cell>
          <cell r="E354">
            <v>1</v>
          </cell>
          <cell r="F354">
            <v>6195004259</v>
          </cell>
        </row>
        <row r="355">
          <cell r="A355">
            <v>3400002768</v>
          </cell>
          <cell r="B355">
            <v>0</v>
          </cell>
          <cell r="C355">
            <v>6602</v>
          </cell>
          <cell r="D355" t="str">
            <v>01.10.1996</v>
          </cell>
          <cell r="E355">
            <v>2</v>
          </cell>
          <cell r="F355">
            <v>6195004363</v>
          </cell>
        </row>
        <row r="356">
          <cell r="A356">
            <v>3400002769</v>
          </cell>
          <cell r="B356">
            <v>0</v>
          </cell>
          <cell r="C356">
            <v>6602</v>
          </cell>
          <cell r="D356" t="str">
            <v>01.10.1996</v>
          </cell>
          <cell r="E356">
            <v>1</v>
          </cell>
          <cell r="F356">
            <v>6195004491</v>
          </cell>
        </row>
        <row r="357">
          <cell r="A357">
            <v>3400002770</v>
          </cell>
          <cell r="B357">
            <v>0</v>
          </cell>
          <cell r="C357">
            <v>6600</v>
          </cell>
          <cell r="D357" t="str">
            <v>01.10.1996</v>
          </cell>
          <cell r="E357">
            <v>1</v>
          </cell>
          <cell r="F357">
            <v>6195004570</v>
          </cell>
        </row>
        <row r="358">
          <cell r="A358">
            <v>3400002771</v>
          </cell>
          <cell r="B358">
            <v>0</v>
          </cell>
          <cell r="C358">
            <v>6600</v>
          </cell>
          <cell r="D358" t="str">
            <v>01.10.1996</v>
          </cell>
          <cell r="E358">
            <v>1</v>
          </cell>
          <cell r="F358">
            <v>6195004582</v>
          </cell>
        </row>
        <row r="359">
          <cell r="A359">
            <v>3400002772</v>
          </cell>
          <cell r="B359">
            <v>0</v>
          </cell>
          <cell r="C359">
            <v>6600</v>
          </cell>
          <cell r="D359" t="str">
            <v>01.10.1996</v>
          </cell>
          <cell r="E359">
            <v>0</v>
          </cell>
          <cell r="F359">
            <v>6195004818</v>
          </cell>
        </row>
        <row r="360">
          <cell r="A360">
            <v>3400002773</v>
          </cell>
          <cell r="B360">
            <v>0</v>
          </cell>
          <cell r="C360">
            <v>5900</v>
          </cell>
          <cell r="D360" t="str">
            <v>01.10.1996</v>
          </cell>
          <cell r="E360">
            <v>1</v>
          </cell>
          <cell r="F360">
            <v>6195004922</v>
          </cell>
        </row>
        <row r="361">
          <cell r="A361">
            <v>3400002774</v>
          </cell>
          <cell r="B361">
            <v>0</v>
          </cell>
          <cell r="C361">
            <v>5900</v>
          </cell>
          <cell r="D361" t="str">
            <v>01.10.1996</v>
          </cell>
          <cell r="E361">
            <v>14</v>
          </cell>
          <cell r="F361">
            <v>6195004934</v>
          </cell>
        </row>
        <row r="362">
          <cell r="A362">
            <v>3400002775</v>
          </cell>
          <cell r="B362">
            <v>0</v>
          </cell>
          <cell r="C362">
            <v>5801</v>
          </cell>
          <cell r="D362" t="str">
            <v>01.10.1996</v>
          </cell>
          <cell r="E362">
            <v>1</v>
          </cell>
          <cell r="F362">
            <v>6195004969</v>
          </cell>
        </row>
        <row r="363">
          <cell r="A363">
            <v>3400002776</v>
          </cell>
          <cell r="B363">
            <v>0</v>
          </cell>
          <cell r="C363">
            <v>5801</v>
          </cell>
          <cell r="D363" t="str">
            <v>01.10.1996</v>
          </cell>
          <cell r="E363">
            <v>1</v>
          </cell>
          <cell r="F363">
            <v>6195004971</v>
          </cell>
        </row>
        <row r="364">
          <cell r="A364">
            <v>3400002777</v>
          </cell>
          <cell r="B364">
            <v>0</v>
          </cell>
          <cell r="C364">
            <v>5801</v>
          </cell>
          <cell r="D364" t="str">
            <v>01.10.1996</v>
          </cell>
          <cell r="E364">
            <v>1</v>
          </cell>
          <cell r="F364">
            <v>6195004983</v>
          </cell>
        </row>
        <row r="365">
          <cell r="A365">
            <v>3400002778</v>
          </cell>
          <cell r="B365">
            <v>0</v>
          </cell>
          <cell r="C365">
            <v>5801</v>
          </cell>
          <cell r="D365" t="str">
            <v>01.10.1996</v>
          </cell>
          <cell r="E365">
            <v>1</v>
          </cell>
          <cell r="F365">
            <v>6195004995</v>
          </cell>
        </row>
        <row r="366">
          <cell r="A366">
            <v>3400002779</v>
          </cell>
          <cell r="B366">
            <v>0</v>
          </cell>
          <cell r="C366">
            <v>5801</v>
          </cell>
          <cell r="D366" t="str">
            <v>01.10.1996</v>
          </cell>
          <cell r="E366">
            <v>1</v>
          </cell>
          <cell r="F366">
            <v>6195005008</v>
          </cell>
        </row>
        <row r="367">
          <cell r="A367">
            <v>3400002780</v>
          </cell>
          <cell r="B367">
            <v>0</v>
          </cell>
          <cell r="C367">
            <v>5801</v>
          </cell>
          <cell r="D367" t="str">
            <v>01.10.1996</v>
          </cell>
          <cell r="E367">
            <v>1</v>
          </cell>
          <cell r="F367">
            <v>6195005019</v>
          </cell>
        </row>
        <row r="368">
          <cell r="A368">
            <v>3400002781</v>
          </cell>
          <cell r="B368">
            <v>0</v>
          </cell>
          <cell r="C368">
            <v>5801</v>
          </cell>
          <cell r="D368" t="str">
            <v>01.10.1996</v>
          </cell>
          <cell r="E368">
            <v>1</v>
          </cell>
          <cell r="F368">
            <v>6195005021</v>
          </cell>
        </row>
        <row r="369">
          <cell r="A369">
            <v>3400002782</v>
          </cell>
          <cell r="B369">
            <v>0</v>
          </cell>
          <cell r="C369">
            <v>5801</v>
          </cell>
          <cell r="D369" t="str">
            <v>01.10.1996</v>
          </cell>
          <cell r="E369">
            <v>1</v>
          </cell>
          <cell r="F369">
            <v>6195005033</v>
          </cell>
        </row>
        <row r="370">
          <cell r="A370">
            <v>3400002783</v>
          </cell>
          <cell r="B370">
            <v>0</v>
          </cell>
          <cell r="C370">
            <v>5801</v>
          </cell>
          <cell r="D370" t="str">
            <v>01.10.1996</v>
          </cell>
          <cell r="E370">
            <v>1</v>
          </cell>
          <cell r="F370">
            <v>6195005045</v>
          </cell>
        </row>
        <row r="371">
          <cell r="A371">
            <v>3400002784</v>
          </cell>
          <cell r="B371">
            <v>0</v>
          </cell>
          <cell r="C371">
            <v>5801</v>
          </cell>
          <cell r="D371" t="str">
            <v>01.10.1996</v>
          </cell>
          <cell r="E371">
            <v>1</v>
          </cell>
          <cell r="F371">
            <v>6195005057</v>
          </cell>
        </row>
        <row r="372">
          <cell r="A372">
            <v>3400002785</v>
          </cell>
          <cell r="B372">
            <v>0</v>
          </cell>
          <cell r="C372">
            <v>6600</v>
          </cell>
          <cell r="D372" t="str">
            <v>01.10.1996</v>
          </cell>
          <cell r="E372">
            <v>0</v>
          </cell>
          <cell r="F372">
            <v>6195005069</v>
          </cell>
        </row>
        <row r="373">
          <cell r="A373">
            <v>3400002786</v>
          </cell>
          <cell r="B373">
            <v>0</v>
          </cell>
          <cell r="C373">
            <v>6602</v>
          </cell>
          <cell r="D373" t="str">
            <v>01.10.1996</v>
          </cell>
          <cell r="E373">
            <v>0</v>
          </cell>
          <cell r="F373">
            <v>6195005070</v>
          </cell>
        </row>
        <row r="374">
          <cell r="A374">
            <v>3400002787</v>
          </cell>
          <cell r="B374">
            <v>0</v>
          </cell>
          <cell r="C374">
            <v>6600</v>
          </cell>
          <cell r="D374" t="str">
            <v>01.10.1996</v>
          </cell>
          <cell r="E374">
            <v>0</v>
          </cell>
          <cell r="F374">
            <v>6195005082</v>
          </cell>
        </row>
        <row r="375">
          <cell r="A375">
            <v>3400002788</v>
          </cell>
          <cell r="B375">
            <v>0</v>
          </cell>
          <cell r="C375">
            <v>6600</v>
          </cell>
          <cell r="D375" t="str">
            <v>01.10.1996</v>
          </cell>
          <cell r="E375">
            <v>1</v>
          </cell>
          <cell r="F375">
            <v>6195005094</v>
          </cell>
        </row>
        <row r="376">
          <cell r="A376">
            <v>3400002789</v>
          </cell>
          <cell r="B376">
            <v>0</v>
          </cell>
          <cell r="C376">
            <v>6600</v>
          </cell>
          <cell r="D376" t="str">
            <v>01.10.1996</v>
          </cell>
          <cell r="E376">
            <v>1</v>
          </cell>
          <cell r="F376">
            <v>6195005100</v>
          </cell>
        </row>
        <row r="377">
          <cell r="A377">
            <v>3400002790</v>
          </cell>
          <cell r="B377">
            <v>0</v>
          </cell>
          <cell r="C377">
            <v>6600</v>
          </cell>
          <cell r="D377" t="str">
            <v>01.10.1996</v>
          </cell>
          <cell r="E377">
            <v>1</v>
          </cell>
          <cell r="F377">
            <v>6195005112</v>
          </cell>
        </row>
        <row r="378">
          <cell r="A378">
            <v>3400002791</v>
          </cell>
          <cell r="B378">
            <v>0</v>
          </cell>
          <cell r="C378">
            <v>6602</v>
          </cell>
          <cell r="D378" t="str">
            <v>01.10.1996</v>
          </cell>
          <cell r="E378">
            <v>1</v>
          </cell>
          <cell r="F378">
            <v>6195005124</v>
          </cell>
        </row>
        <row r="379">
          <cell r="A379">
            <v>3400002792</v>
          </cell>
          <cell r="B379">
            <v>0</v>
          </cell>
          <cell r="C379">
            <v>6602</v>
          </cell>
          <cell r="D379" t="str">
            <v>01.10.1996</v>
          </cell>
          <cell r="E379">
            <v>1</v>
          </cell>
          <cell r="F379">
            <v>6195005159</v>
          </cell>
        </row>
        <row r="380">
          <cell r="A380">
            <v>3400002793</v>
          </cell>
          <cell r="B380">
            <v>0</v>
          </cell>
          <cell r="C380">
            <v>6602</v>
          </cell>
          <cell r="D380" t="str">
            <v>01.10.1996</v>
          </cell>
          <cell r="E380">
            <v>3</v>
          </cell>
          <cell r="F380">
            <v>6195005161</v>
          </cell>
        </row>
        <row r="381">
          <cell r="A381">
            <v>3400002794</v>
          </cell>
          <cell r="B381">
            <v>0</v>
          </cell>
          <cell r="C381">
            <v>6602</v>
          </cell>
          <cell r="D381" t="str">
            <v>01.10.1996</v>
          </cell>
          <cell r="E381">
            <v>1</v>
          </cell>
          <cell r="F381">
            <v>6195005173</v>
          </cell>
        </row>
        <row r="382">
          <cell r="A382">
            <v>3400002795</v>
          </cell>
          <cell r="B382">
            <v>0</v>
          </cell>
          <cell r="C382">
            <v>6600</v>
          </cell>
          <cell r="D382" t="str">
            <v>01.10.1996</v>
          </cell>
          <cell r="E382">
            <v>1</v>
          </cell>
          <cell r="F382">
            <v>6195005185</v>
          </cell>
        </row>
        <row r="383">
          <cell r="A383">
            <v>3400002796</v>
          </cell>
          <cell r="B383">
            <v>0</v>
          </cell>
          <cell r="C383">
            <v>6600</v>
          </cell>
          <cell r="D383" t="str">
            <v>01.10.1996</v>
          </cell>
          <cell r="E383">
            <v>1</v>
          </cell>
          <cell r="F383">
            <v>6195005203</v>
          </cell>
        </row>
        <row r="384">
          <cell r="A384">
            <v>3400002797</v>
          </cell>
          <cell r="B384">
            <v>0</v>
          </cell>
          <cell r="C384">
            <v>6602</v>
          </cell>
          <cell r="D384" t="str">
            <v>01.10.1996</v>
          </cell>
          <cell r="E384">
            <v>2</v>
          </cell>
          <cell r="F384">
            <v>6195005215</v>
          </cell>
        </row>
        <row r="385">
          <cell r="A385">
            <v>3400002798</v>
          </cell>
          <cell r="B385">
            <v>0</v>
          </cell>
          <cell r="C385">
            <v>6600</v>
          </cell>
          <cell r="D385" t="str">
            <v>01.10.1996</v>
          </cell>
          <cell r="E385">
            <v>0</v>
          </cell>
          <cell r="F385">
            <v>6195005227</v>
          </cell>
        </row>
        <row r="386">
          <cell r="A386">
            <v>3400002799</v>
          </cell>
          <cell r="B386">
            <v>0</v>
          </cell>
          <cell r="C386">
            <v>6602</v>
          </cell>
          <cell r="D386" t="str">
            <v>01.10.1996</v>
          </cell>
          <cell r="E386">
            <v>1</v>
          </cell>
          <cell r="F386">
            <v>6195005252</v>
          </cell>
        </row>
        <row r="387">
          <cell r="A387">
            <v>3400002800</v>
          </cell>
          <cell r="B387">
            <v>0</v>
          </cell>
          <cell r="C387">
            <v>5900</v>
          </cell>
          <cell r="D387" t="str">
            <v>01.10.1996</v>
          </cell>
          <cell r="E387">
            <v>2</v>
          </cell>
          <cell r="F387">
            <v>6195005318</v>
          </cell>
        </row>
        <row r="388">
          <cell r="A388">
            <v>3400002801</v>
          </cell>
          <cell r="B388">
            <v>0</v>
          </cell>
          <cell r="C388">
            <v>5801</v>
          </cell>
          <cell r="D388" t="str">
            <v>01.10.1996</v>
          </cell>
          <cell r="E388">
            <v>0</v>
          </cell>
          <cell r="F388">
            <v>6195005331</v>
          </cell>
        </row>
        <row r="389">
          <cell r="A389">
            <v>3400005568</v>
          </cell>
          <cell r="B389">
            <v>0</v>
          </cell>
          <cell r="C389">
            <v>6230</v>
          </cell>
          <cell r="D389" t="str">
            <v>01.10.1996</v>
          </cell>
          <cell r="E389">
            <v>2</v>
          </cell>
          <cell r="F389">
            <v>6195005343</v>
          </cell>
        </row>
        <row r="390">
          <cell r="A390">
            <v>3400002802</v>
          </cell>
          <cell r="B390">
            <v>0</v>
          </cell>
          <cell r="C390">
            <v>5900</v>
          </cell>
          <cell r="D390" t="str">
            <v>01.10.1996</v>
          </cell>
          <cell r="E390">
            <v>0</v>
          </cell>
          <cell r="F390">
            <v>6195005343</v>
          </cell>
        </row>
        <row r="391">
          <cell r="A391">
            <v>3400002803</v>
          </cell>
          <cell r="B391">
            <v>0</v>
          </cell>
          <cell r="C391">
            <v>5801</v>
          </cell>
          <cell r="D391" t="str">
            <v>01.10.1996</v>
          </cell>
          <cell r="E391">
            <v>1</v>
          </cell>
          <cell r="F391">
            <v>6195005355</v>
          </cell>
        </row>
        <row r="392">
          <cell r="A392">
            <v>3400002804</v>
          </cell>
          <cell r="B392">
            <v>0</v>
          </cell>
          <cell r="C392">
            <v>5900</v>
          </cell>
          <cell r="D392" t="str">
            <v>01.10.1996</v>
          </cell>
          <cell r="E392">
            <v>15</v>
          </cell>
          <cell r="F392">
            <v>6195005367</v>
          </cell>
        </row>
        <row r="393">
          <cell r="A393">
            <v>3400002805</v>
          </cell>
          <cell r="B393">
            <v>0</v>
          </cell>
          <cell r="C393">
            <v>5801</v>
          </cell>
          <cell r="D393" t="str">
            <v>01.10.1996</v>
          </cell>
          <cell r="E393">
            <v>1</v>
          </cell>
          <cell r="F393">
            <v>6195005409</v>
          </cell>
        </row>
        <row r="394">
          <cell r="A394">
            <v>3400002806</v>
          </cell>
          <cell r="B394">
            <v>0</v>
          </cell>
          <cell r="C394">
            <v>5900</v>
          </cell>
          <cell r="D394" t="str">
            <v>01.10.1996</v>
          </cell>
          <cell r="E394">
            <v>10</v>
          </cell>
          <cell r="F394">
            <v>6195005410</v>
          </cell>
        </row>
        <row r="395">
          <cell r="A395">
            <v>3400002807</v>
          </cell>
          <cell r="B395">
            <v>0</v>
          </cell>
          <cell r="C395">
            <v>5801</v>
          </cell>
          <cell r="D395" t="str">
            <v>01.10.1996</v>
          </cell>
          <cell r="E395">
            <v>1</v>
          </cell>
          <cell r="F395">
            <v>6195005422</v>
          </cell>
        </row>
        <row r="396">
          <cell r="A396">
            <v>3400002808</v>
          </cell>
          <cell r="B396">
            <v>0</v>
          </cell>
          <cell r="C396">
            <v>5801</v>
          </cell>
          <cell r="D396" t="str">
            <v>01.10.1996</v>
          </cell>
          <cell r="E396">
            <v>0</v>
          </cell>
          <cell r="F396">
            <v>6195005446</v>
          </cell>
        </row>
        <row r="397">
          <cell r="A397">
            <v>3400002809</v>
          </cell>
          <cell r="B397">
            <v>0</v>
          </cell>
          <cell r="C397">
            <v>5801</v>
          </cell>
          <cell r="D397" t="str">
            <v>01.10.1996</v>
          </cell>
          <cell r="E397">
            <v>0</v>
          </cell>
          <cell r="F397">
            <v>6195005469</v>
          </cell>
        </row>
        <row r="398">
          <cell r="A398">
            <v>3400005570</v>
          </cell>
          <cell r="B398">
            <v>0</v>
          </cell>
          <cell r="C398">
            <v>6230</v>
          </cell>
          <cell r="D398" t="str">
            <v>01.10.1996</v>
          </cell>
          <cell r="E398">
            <v>2</v>
          </cell>
          <cell r="F398">
            <v>6195005469</v>
          </cell>
        </row>
        <row r="399">
          <cell r="A399">
            <v>3400002810</v>
          </cell>
          <cell r="B399">
            <v>0</v>
          </cell>
          <cell r="C399">
            <v>5801</v>
          </cell>
          <cell r="D399" t="str">
            <v>01.10.1996</v>
          </cell>
          <cell r="E399">
            <v>0</v>
          </cell>
          <cell r="F399">
            <v>6195005483</v>
          </cell>
        </row>
        <row r="400">
          <cell r="A400">
            <v>3400002811</v>
          </cell>
          <cell r="B400">
            <v>0</v>
          </cell>
          <cell r="C400">
            <v>5801</v>
          </cell>
          <cell r="D400" t="str">
            <v>01.10.1996</v>
          </cell>
          <cell r="E400">
            <v>0</v>
          </cell>
          <cell r="F400">
            <v>6195005495</v>
          </cell>
        </row>
        <row r="401">
          <cell r="A401">
            <v>3400002812</v>
          </cell>
          <cell r="B401">
            <v>0</v>
          </cell>
          <cell r="C401">
            <v>5801</v>
          </cell>
          <cell r="D401" t="str">
            <v>01.10.1996</v>
          </cell>
          <cell r="E401">
            <v>1</v>
          </cell>
          <cell r="F401">
            <v>6195005513</v>
          </cell>
        </row>
        <row r="402">
          <cell r="A402">
            <v>3400002813</v>
          </cell>
          <cell r="B402">
            <v>0</v>
          </cell>
          <cell r="C402">
            <v>5801</v>
          </cell>
          <cell r="D402" t="str">
            <v>01.10.1996</v>
          </cell>
          <cell r="E402">
            <v>1</v>
          </cell>
          <cell r="F402">
            <v>6195005604</v>
          </cell>
        </row>
        <row r="403">
          <cell r="A403">
            <v>3400002814</v>
          </cell>
          <cell r="B403">
            <v>0</v>
          </cell>
          <cell r="C403">
            <v>5900</v>
          </cell>
          <cell r="D403" t="str">
            <v>01.10.1996</v>
          </cell>
          <cell r="E403">
            <v>3</v>
          </cell>
          <cell r="F403">
            <v>6195005616</v>
          </cell>
        </row>
        <row r="404">
          <cell r="A404">
            <v>3400002815</v>
          </cell>
          <cell r="B404">
            <v>0</v>
          </cell>
          <cell r="C404">
            <v>5801</v>
          </cell>
          <cell r="D404" t="str">
            <v>01.10.1996</v>
          </cell>
          <cell r="E404">
            <v>0</v>
          </cell>
          <cell r="F404">
            <v>6195005628</v>
          </cell>
        </row>
        <row r="405">
          <cell r="A405">
            <v>3400002816</v>
          </cell>
          <cell r="B405">
            <v>0</v>
          </cell>
          <cell r="C405">
            <v>5900</v>
          </cell>
          <cell r="D405" t="str">
            <v>01.10.1996</v>
          </cell>
          <cell r="E405">
            <v>0</v>
          </cell>
          <cell r="F405">
            <v>6195005639</v>
          </cell>
        </row>
        <row r="406">
          <cell r="A406">
            <v>3400002817</v>
          </cell>
          <cell r="B406">
            <v>0</v>
          </cell>
          <cell r="C406">
            <v>5900</v>
          </cell>
          <cell r="D406" t="str">
            <v>01.10.1996</v>
          </cell>
          <cell r="E406">
            <v>0</v>
          </cell>
          <cell r="F406">
            <v>6195005641</v>
          </cell>
        </row>
        <row r="407">
          <cell r="A407">
            <v>3400002818</v>
          </cell>
          <cell r="B407">
            <v>0</v>
          </cell>
          <cell r="C407">
            <v>5900</v>
          </cell>
          <cell r="D407" t="str">
            <v>01.10.1996</v>
          </cell>
          <cell r="E407">
            <v>0</v>
          </cell>
          <cell r="F407">
            <v>6195005653</v>
          </cell>
        </row>
        <row r="408">
          <cell r="A408">
            <v>3400002819</v>
          </cell>
          <cell r="B408">
            <v>0</v>
          </cell>
          <cell r="C408">
            <v>5801</v>
          </cell>
          <cell r="D408" t="str">
            <v>01.10.1996</v>
          </cell>
          <cell r="E408">
            <v>1</v>
          </cell>
          <cell r="F408">
            <v>6195005665</v>
          </cell>
        </row>
        <row r="409">
          <cell r="A409">
            <v>3400002820</v>
          </cell>
          <cell r="B409">
            <v>0</v>
          </cell>
          <cell r="C409">
            <v>5801</v>
          </cell>
          <cell r="D409" t="str">
            <v>01.10.1996</v>
          </cell>
          <cell r="E409">
            <v>1</v>
          </cell>
          <cell r="F409">
            <v>6195005677</v>
          </cell>
        </row>
        <row r="410">
          <cell r="A410">
            <v>3400002821</v>
          </cell>
          <cell r="B410">
            <v>0</v>
          </cell>
          <cell r="C410">
            <v>5801</v>
          </cell>
          <cell r="D410" t="str">
            <v>01.10.1996</v>
          </cell>
          <cell r="E410">
            <v>1</v>
          </cell>
          <cell r="F410">
            <v>6195005689</v>
          </cell>
        </row>
        <row r="411">
          <cell r="A411">
            <v>3400002822</v>
          </cell>
          <cell r="B411">
            <v>0</v>
          </cell>
          <cell r="C411">
            <v>5801</v>
          </cell>
          <cell r="D411" t="str">
            <v>01.10.1996</v>
          </cell>
          <cell r="E411">
            <v>1</v>
          </cell>
          <cell r="F411">
            <v>6195005690</v>
          </cell>
        </row>
        <row r="412">
          <cell r="A412">
            <v>3400002823</v>
          </cell>
          <cell r="B412">
            <v>0</v>
          </cell>
          <cell r="C412">
            <v>5801</v>
          </cell>
          <cell r="D412" t="str">
            <v>01.10.1996</v>
          </cell>
          <cell r="E412">
            <v>1</v>
          </cell>
          <cell r="F412">
            <v>6195005707</v>
          </cell>
        </row>
        <row r="413">
          <cell r="A413">
            <v>3400002824</v>
          </cell>
          <cell r="B413">
            <v>0</v>
          </cell>
          <cell r="C413">
            <v>5900</v>
          </cell>
          <cell r="D413" t="str">
            <v>01.10.1996</v>
          </cell>
          <cell r="E413">
            <v>1</v>
          </cell>
          <cell r="F413">
            <v>6195005719</v>
          </cell>
        </row>
        <row r="414">
          <cell r="A414">
            <v>3400002825</v>
          </cell>
          <cell r="B414">
            <v>0</v>
          </cell>
          <cell r="C414">
            <v>5900</v>
          </cell>
          <cell r="D414" t="str">
            <v>01.10.1996</v>
          </cell>
          <cell r="E414">
            <v>1</v>
          </cell>
          <cell r="F414">
            <v>6195005768</v>
          </cell>
        </row>
        <row r="415">
          <cell r="A415">
            <v>3400002826</v>
          </cell>
          <cell r="B415">
            <v>0</v>
          </cell>
          <cell r="C415">
            <v>5900</v>
          </cell>
          <cell r="D415" t="str">
            <v>01.10.1996</v>
          </cell>
          <cell r="E415">
            <v>1</v>
          </cell>
          <cell r="F415">
            <v>6195005779</v>
          </cell>
        </row>
        <row r="416">
          <cell r="A416">
            <v>3400002827</v>
          </cell>
          <cell r="B416">
            <v>0</v>
          </cell>
          <cell r="C416">
            <v>5800</v>
          </cell>
          <cell r="D416" t="str">
            <v>01.10.1996</v>
          </cell>
          <cell r="E416">
            <v>0</v>
          </cell>
          <cell r="F416">
            <v>6195005781</v>
          </cell>
        </row>
        <row r="417">
          <cell r="A417">
            <v>3400002828</v>
          </cell>
          <cell r="B417">
            <v>0</v>
          </cell>
          <cell r="C417">
            <v>5800</v>
          </cell>
          <cell r="D417" t="str">
            <v>01.10.1996</v>
          </cell>
          <cell r="E417">
            <v>1</v>
          </cell>
          <cell r="F417">
            <v>6195005793</v>
          </cell>
        </row>
        <row r="418">
          <cell r="A418">
            <v>3400002829</v>
          </cell>
          <cell r="B418">
            <v>0</v>
          </cell>
          <cell r="C418">
            <v>5900</v>
          </cell>
          <cell r="D418" t="str">
            <v>01.10.1996</v>
          </cell>
          <cell r="E418">
            <v>35</v>
          </cell>
          <cell r="F418">
            <v>6195005811</v>
          </cell>
        </row>
        <row r="419">
          <cell r="A419">
            <v>3400002830</v>
          </cell>
          <cell r="B419">
            <v>0</v>
          </cell>
          <cell r="C419">
            <v>5900</v>
          </cell>
          <cell r="D419" t="str">
            <v>01.10.1996</v>
          </cell>
          <cell r="E419">
            <v>1</v>
          </cell>
          <cell r="F419">
            <v>6195005823</v>
          </cell>
        </row>
        <row r="420">
          <cell r="A420">
            <v>3400002831</v>
          </cell>
          <cell r="B420">
            <v>0</v>
          </cell>
          <cell r="C420">
            <v>5900</v>
          </cell>
          <cell r="D420" t="str">
            <v>01.04.1995</v>
          </cell>
          <cell r="E420">
            <v>0</v>
          </cell>
          <cell r="F420">
            <v>6195005860</v>
          </cell>
        </row>
        <row r="421">
          <cell r="A421">
            <v>3400002832</v>
          </cell>
          <cell r="B421">
            <v>0</v>
          </cell>
          <cell r="C421">
            <v>5801</v>
          </cell>
          <cell r="D421" t="str">
            <v>01.10.1996</v>
          </cell>
          <cell r="E421">
            <v>0</v>
          </cell>
          <cell r="F421">
            <v>6195005896</v>
          </cell>
        </row>
        <row r="422">
          <cell r="A422">
            <v>3400002833</v>
          </cell>
          <cell r="B422">
            <v>0</v>
          </cell>
          <cell r="C422">
            <v>5800</v>
          </cell>
          <cell r="D422" t="str">
            <v>01.10.1996</v>
          </cell>
          <cell r="E422">
            <v>1</v>
          </cell>
          <cell r="F422">
            <v>6195005914</v>
          </cell>
        </row>
        <row r="423">
          <cell r="A423">
            <v>3400002834</v>
          </cell>
          <cell r="B423">
            <v>0</v>
          </cell>
          <cell r="C423">
            <v>5800</v>
          </cell>
          <cell r="D423" t="str">
            <v>01.10.1996</v>
          </cell>
          <cell r="E423">
            <v>1</v>
          </cell>
          <cell r="F423">
            <v>6195005926</v>
          </cell>
        </row>
        <row r="424">
          <cell r="A424">
            <v>3400002835</v>
          </cell>
          <cell r="B424">
            <v>0</v>
          </cell>
          <cell r="C424">
            <v>5801</v>
          </cell>
          <cell r="D424" t="str">
            <v>01.10.1996</v>
          </cell>
          <cell r="E424">
            <v>1</v>
          </cell>
          <cell r="F424">
            <v>6195005938</v>
          </cell>
        </row>
        <row r="425">
          <cell r="A425">
            <v>3400004791</v>
          </cell>
          <cell r="B425">
            <v>0</v>
          </cell>
          <cell r="C425">
            <v>5900</v>
          </cell>
          <cell r="D425" t="str">
            <v>01.04.1995</v>
          </cell>
          <cell r="E425">
            <v>1</v>
          </cell>
          <cell r="F425">
            <v>6195005975</v>
          </cell>
        </row>
        <row r="426">
          <cell r="A426">
            <v>3400002836</v>
          </cell>
          <cell r="B426">
            <v>0</v>
          </cell>
          <cell r="C426">
            <v>5900</v>
          </cell>
          <cell r="D426" t="str">
            <v>01.04.1995</v>
          </cell>
          <cell r="E426">
            <v>0</v>
          </cell>
          <cell r="F426">
            <v>6195005987</v>
          </cell>
        </row>
        <row r="427">
          <cell r="A427">
            <v>3400002837</v>
          </cell>
          <cell r="B427">
            <v>0</v>
          </cell>
          <cell r="C427">
            <v>5801</v>
          </cell>
          <cell r="D427" t="str">
            <v>01.10.1996</v>
          </cell>
          <cell r="E427">
            <v>1</v>
          </cell>
          <cell r="F427">
            <v>6195006025</v>
          </cell>
        </row>
        <row r="428">
          <cell r="A428">
            <v>3400002838</v>
          </cell>
          <cell r="B428">
            <v>0</v>
          </cell>
          <cell r="C428">
            <v>5800</v>
          </cell>
          <cell r="D428" t="str">
            <v>01.10.1996</v>
          </cell>
          <cell r="E428">
            <v>1</v>
          </cell>
          <cell r="F428">
            <v>6195006050</v>
          </cell>
        </row>
        <row r="429">
          <cell r="A429">
            <v>3400002839</v>
          </cell>
          <cell r="B429">
            <v>0</v>
          </cell>
          <cell r="C429">
            <v>5800</v>
          </cell>
          <cell r="D429" t="str">
            <v>01.10.1996</v>
          </cell>
          <cell r="E429">
            <v>1</v>
          </cell>
          <cell r="F429">
            <v>6195006062</v>
          </cell>
        </row>
        <row r="430">
          <cell r="A430">
            <v>3400002840</v>
          </cell>
          <cell r="B430">
            <v>0</v>
          </cell>
          <cell r="C430">
            <v>5801</v>
          </cell>
          <cell r="D430" t="str">
            <v>01.10.1996</v>
          </cell>
          <cell r="E430">
            <v>1</v>
          </cell>
          <cell r="F430">
            <v>6195006104</v>
          </cell>
        </row>
        <row r="431">
          <cell r="A431">
            <v>3400002841</v>
          </cell>
          <cell r="B431">
            <v>0</v>
          </cell>
          <cell r="C431">
            <v>5801</v>
          </cell>
          <cell r="D431" t="str">
            <v>01.10.1996</v>
          </cell>
          <cell r="E431">
            <v>1</v>
          </cell>
          <cell r="F431">
            <v>6195006116</v>
          </cell>
        </row>
        <row r="432">
          <cell r="A432">
            <v>3400002842</v>
          </cell>
          <cell r="B432">
            <v>0</v>
          </cell>
          <cell r="C432">
            <v>5801</v>
          </cell>
          <cell r="D432" t="str">
            <v>01.10.1996</v>
          </cell>
          <cell r="E432">
            <v>0</v>
          </cell>
          <cell r="F432">
            <v>6195006128</v>
          </cell>
        </row>
        <row r="433">
          <cell r="A433">
            <v>3400002843</v>
          </cell>
          <cell r="B433">
            <v>0</v>
          </cell>
          <cell r="C433">
            <v>5801</v>
          </cell>
          <cell r="D433" t="str">
            <v>01.10.1996</v>
          </cell>
          <cell r="E433">
            <v>0</v>
          </cell>
          <cell r="F433">
            <v>6195006165</v>
          </cell>
        </row>
        <row r="434">
          <cell r="A434">
            <v>3400002844</v>
          </cell>
          <cell r="B434">
            <v>0</v>
          </cell>
          <cell r="C434">
            <v>5801</v>
          </cell>
          <cell r="D434" t="str">
            <v>01.10.1996</v>
          </cell>
          <cell r="E434">
            <v>0</v>
          </cell>
          <cell r="F434">
            <v>6195006207</v>
          </cell>
        </row>
        <row r="435">
          <cell r="A435">
            <v>3400002845</v>
          </cell>
          <cell r="B435">
            <v>0</v>
          </cell>
          <cell r="C435">
            <v>5801</v>
          </cell>
          <cell r="D435" t="str">
            <v>01.10.1996</v>
          </cell>
          <cell r="E435">
            <v>0</v>
          </cell>
          <cell r="F435">
            <v>6195006220</v>
          </cell>
        </row>
        <row r="436">
          <cell r="A436">
            <v>3400002846</v>
          </cell>
          <cell r="B436">
            <v>0</v>
          </cell>
          <cell r="C436">
            <v>5801</v>
          </cell>
          <cell r="D436" t="str">
            <v>01.10.1996</v>
          </cell>
          <cell r="E436">
            <v>0</v>
          </cell>
          <cell r="F436">
            <v>6195006232</v>
          </cell>
        </row>
        <row r="437">
          <cell r="A437">
            <v>3400002847</v>
          </cell>
          <cell r="B437">
            <v>0</v>
          </cell>
          <cell r="C437">
            <v>5801</v>
          </cell>
          <cell r="D437" t="str">
            <v>01.10.1996</v>
          </cell>
          <cell r="E437">
            <v>0</v>
          </cell>
          <cell r="F437">
            <v>6195006256</v>
          </cell>
        </row>
        <row r="438">
          <cell r="A438">
            <v>3400002848</v>
          </cell>
          <cell r="B438">
            <v>0</v>
          </cell>
          <cell r="C438">
            <v>5801</v>
          </cell>
          <cell r="D438" t="str">
            <v>01.10.1996</v>
          </cell>
          <cell r="E438">
            <v>0</v>
          </cell>
          <cell r="F438">
            <v>6195006268</v>
          </cell>
        </row>
        <row r="439">
          <cell r="A439">
            <v>3400002849</v>
          </cell>
          <cell r="B439">
            <v>0</v>
          </cell>
          <cell r="C439">
            <v>5801</v>
          </cell>
          <cell r="D439" t="str">
            <v>01.10.1996</v>
          </cell>
          <cell r="E439">
            <v>1</v>
          </cell>
          <cell r="F439">
            <v>6195006279</v>
          </cell>
        </row>
        <row r="440">
          <cell r="A440">
            <v>3400002850</v>
          </cell>
          <cell r="B440">
            <v>0</v>
          </cell>
          <cell r="C440">
            <v>5900</v>
          </cell>
          <cell r="D440" t="str">
            <v>01.04.1995</v>
          </cell>
          <cell r="E440">
            <v>1</v>
          </cell>
          <cell r="F440">
            <v>6195006281</v>
          </cell>
        </row>
        <row r="441">
          <cell r="A441">
            <v>3400002851</v>
          </cell>
          <cell r="B441">
            <v>0</v>
          </cell>
          <cell r="C441">
            <v>5801</v>
          </cell>
          <cell r="D441" t="str">
            <v>01.10.1996</v>
          </cell>
          <cell r="E441">
            <v>2</v>
          </cell>
          <cell r="F441">
            <v>6195006309</v>
          </cell>
        </row>
        <row r="442">
          <cell r="A442">
            <v>3400002852</v>
          </cell>
          <cell r="B442">
            <v>0</v>
          </cell>
          <cell r="C442">
            <v>5900</v>
          </cell>
          <cell r="D442" t="str">
            <v>01.04.1995</v>
          </cell>
          <cell r="E442">
            <v>3</v>
          </cell>
          <cell r="F442">
            <v>6195006311</v>
          </cell>
        </row>
        <row r="443">
          <cell r="A443">
            <v>3400002853</v>
          </cell>
          <cell r="B443">
            <v>0</v>
          </cell>
          <cell r="C443">
            <v>5800</v>
          </cell>
          <cell r="D443" t="str">
            <v>01.10.1996</v>
          </cell>
          <cell r="E443">
            <v>0</v>
          </cell>
          <cell r="F443">
            <v>6195006323</v>
          </cell>
        </row>
        <row r="444">
          <cell r="A444">
            <v>3400002854</v>
          </cell>
          <cell r="B444">
            <v>0</v>
          </cell>
          <cell r="C444">
            <v>5900</v>
          </cell>
          <cell r="D444" t="str">
            <v>01.04.1995</v>
          </cell>
          <cell r="E444">
            <v>2</v>
          </cell>
          <cell r="F444">
            <v>6195006335</v>
          </cell>
        </row>
        <row r="445">
          <cell r="A445">
            <v>3400002855</v>
          </cell>
          <cell r="B445">
            <v>0</v>
          </cell>
          <cell r="C445">
            <v>5900</v>
          </cell>
          <cell r="D445" t="str">
            <v>01.04.1995</v>
          </cell>
          <cell r="E445">
            <v>3</v>
          </cell>
          <cell r="F445">
            <v>6195006347</v>
          </cell>
        </row>
        <row r="446">
          <cell r="A446">
            <v>3400002856</v>
          </cell>
          <cell r="B446">
            <v>0</v>
          </cell>
          <cell r="C446">
            <v>5900</v>
          </cell>
          <cell r="D446" t="str">
            <v>01.04.1995</v>
          </cell>
          <cell r="E446">
            <v>1</v>
          </cell>
          <cell r="F446">
            <v>6195006359</v>
          </cell>
        </row>
        <row r="447">
          <cell r="A447">
            <v>3400002857</v>
          </cell>
          <cell r="B447">
            <v>0</v>
          </cell>
          <cell r="C447">
            <v>5900</v>
          </cell>
          <cell r="D447" t="str">
            <v>01.04.1995</v>
          </cell>
          <cell r="E447">
            <v>1</v>
          </cell>
          <cell r="F447">
            <v>6195006372</v>
          </cell>
        </row>
        <row r="448">
          <cell r="A448">
            <v>3400002858</v>
          </cell>
          <cell r="B448">
            <v>0</v>
          </cell>
          <cell r="C448">
            <v>5900</v>
          </cell>
          <cell r="D448" t="str">
            <v>01.04.1995</v>
          </cell>
          <cell r="E448">
            <v>0</v>
          </cell>
          <cell r="F448">
            <v>6195006384</v>
          </cell>
        </row>
        <row r="449">
          <cell r="A449">
            <v>3400002859</v>
          </cell>
          <cell r="B449">
            <v>0</v>
          </cell>
          <cell r="C449">
            <v>5801</v>
          </cell>
          <cell r="D449" t="str">
            <v>01.10.1996</v>
          </cell>
          <cell r="E449">
            <v>1</v>
          </cell>
          <cell r="F449">
            <v>6195006402</v>
          </cell>
        </row>
        <row r="450">
          <cell r="A450">
            <v>3400002860</v>
          </cell>
          <cell r="B450">
            <v>0</v>
          </cell>
          <cell r="C450">
            <v>5900</v>
          </cell>
          <cell r="D450" t="str">
            <v>01.04.1995</v>
          </cell>
          <cell r="E450">
            <v>2</v>
          </cell>
          <cell r="F450">
            <v>6195006414</v>
          </cell>
        </row>
        <row r="451">
          <cell r="A451">
            <v>3400002861</v>
          </cell>
          <cell r="B451">
            <v>0</v>
          </cell>
          <cell r="C451">
            <v>5801</v>
          </cell>
          <cell r="D451" t="str">
            <v>01.10.1996</v>
          </cell>
          <cell r="E451">
            <v>1</v>
          </cell>
          <cell r="F451">
            <v>6195006426</v>
          </cell>
        </row>
        <row r="452">
          <cell r="A452">
            <v>3400002862</v>
          </cell>
          <cell r="B452">
            <v>0</v>
          </cell>
          <cell r="C452">
            <v>5801</v>
          </cell>
          <cell r="D452" t="str">
            <v>01.10.1996</v>
          </cell>
          <cell r="E452">
            <v>1</v>
          </cell>
          <cell r="F452">
            <v>6195006438</v>
          </cell>
        </row>
        <row r="453">
          <cell r="A453">
            <v>3400002863</v>
          </cell>
          <cell r="B453">
            <v>0</v>
          </cell>
          <cell r="C453">
            <v>5900</v>
          </cell>
          <cell r="D453" t="str">
            <v>01.04.1995</v>
          </cell>
          <cell r="E453">
            <v>0</v>
          </cell>
          <cell r="F453">
            <v>6195006449</v>
          </cell>
        </row>
        <row r="454">
          <cell r="A454">
            <v>3400002864</v>
          </cell>
          <cell r="B454">
            <v>0</v>
          </cell>
          <cell r="C454">
            <v>5801</v>
          </cell>
          <cell r="D454" t="str">
            <v>01.10.1996</v>
          </cell>
          <cell r="E454">
            <v>0</v>
          </cell>
          <cell r="F454">
            <v>6195006463</v>
          </cell>
        </row>
        <row r="455">
          <cell r="A455">
            <v>3400002865</v>
          </cell>
          <cell r="B455">
            <v>0</v>
          </cell>
          <cell r="C455">
            <v>5801</v>
          </cell>
          <cell r="D455" t="str">
            <v>01.10.1996</v>
          </cell>
          <cell r="E455">
            <v>0</v>
          </cell>
          <cell r="F455">
            <v>6195006475</v>
          </cell>
        </row>
        <row r="456">
          <cell r="A456">
            <v>3400002866</v>
          </cell>
          <cell r="B456">
            <v>0</v>
          </cell>
          <cell r="C456">
            <v>5801</v>
          </cell>
          <cell r="D456" t="str">
            <v>01.10.1996</v>
          </cell>
          <cell r="E456">
            <v>0</v>
          </cell>
          <cell r="F456">
            <v>6195006499</v>
          </cell>
        </row>
        <row r="457">
          <cell r="A457">
            <v>3400002867</v>
          </cell>
          <cell r="B457">
            <v>0</v>
          </cell>
          <cell r="C457">
            <v>5801</v>
          </cell>
          <cell r="D457" t="str">
            <v>01.10.1996</v>
          </cell>
          <cell r="E457">
            <v>1</v>
          </cell>
          <cell r="F457">
            <v>6195006505</v>
          </cell>
        </row>
        <row r="458">
          <cell r="A458">
            <v>3400002868</v>
          </cell>
          <cell r="B458">
            <v>0</v>
          </cell>
          <cell r="C458">
            <v>5801</v>
          </cell>
          <cell r="D458" t="str">
            <v>01.10.1996</v>
          </cell>
          <cell r="E458">
            <v>1</v>
          </cell>
          <cell r="F458">
            <v>6195006517</v>
          </cell>
        </row>
        <row r="459">
          <cell r="A459">
            <v>3400002869</v>
          </cell>
          <cell r="B459">
            <v>0</v>
          </cell>
          <cell r="C459">
            <v>5801</v>
          </cell>
          <cell r="D459" t="str">
            <v>01.10.1996</v>
          </cell>
          <cell r="E459">
            <v>1</v>
          </cell>
          <cell r="F459">
            <v>6195006529</v>
          </cell>
        </row>
        <row r="460">
          <cell r="A460">
            <v>3400002870</v>
          </cell>
          <cell r="B460">
            <v>0</v>
          </cell>
          <cell r="C460">
            <v>5801</v>
          </cell>
          <cell r="D460" t="str">
            <v>01.10.1996</v>
          </cell>
          <cell r="E460">
            <v>0</v>
          </cell>
          <cell r="F460">
            <v>6195006608</v>
          </cell>
        </row>
        <row r="461">
          <cell r="A461">
            <v>3400002871</v>
          </cell>
          <cell r="B461">
            <v>0</v>
          </cell>
          <cell r="C461">
            <v>5801</v>
          </cell>
          <cell r="D461" t="str">
            <v>01.10.1996</v>
          </cell>
          <cell r="E461">
            <v>0</v>
          </cell>
          <cell r="F461">
            <v>6195006619</v>
          </cell>
        </row>
        <row r="462">
          <cell r="A462">
            <v>3400002872</v>
          </cell>
          <cell r="B462">
            <v>0</v>
          </cell>
          <cell r="C462">
            <v>5801</v>
          </cell>
          <cell r="D462" t="str">
            <v>01.10.1996</v>
          </cell>
          <cell r="E462">
            <v>0</v>
          </cell>
          <cell r="F462">
            <v>6195006633</v>
          </cell>
        </row>
        <row r="463">
          <cell r="A463">
            <v>3400002873</v>
          </cell>
          <cell r="B463">
            <v>0</v>
          </cell>
          <cell r="C463">
            <v>5800</v>
          </cell>
          <cell r="D463" t="str">
            <v>01.10.1996</v>
          </cell>
          <cell r="E463">
            <v>1</v>
          </cell>
          <cell r="F463">
            <v>6195006645</v>
          </cell>
        </row>
        <row r="464">
          <cell r="A464">
            <v>3400002874</v>
          </cell>
          <cell r="B464">
            <v>0</v>
          </cell>
          <cell r="C464">
            <v>5800</v>
          </cell>
          <cell r="D464" t="str">
            <v>01.10.1996</v>
          </cell>
          <cell r="E464">
            <v>1</v>
          </cell>
          <cell r="F464">
            <v>6195006657</v>
          </cell>
        </row>
        <row r="465">
          <cell r="A465">
            <v>3400002875</v>
          </cell>
          <cell r="B465">
            <v>0</v>
          </cell>
          <cell r="C465">
            <v>5900</v>
          </cell>
          <cell r="D465" t="str">
            <v>01.04.1995</v>
          </cell>
          <cell r="E465">
            <v>1</v>
          </cell>
          <cell r="F465">
            <v>6195006669</v>
          </cell>
        </row>
        <row r="466">
          <cell r="A466">
            <v>3400002876</v>
          </cell>
          <cell r="B466">
            <v>0</v>
          </cell>
          <cell r="C466">
            <v>5801</v>
          </cell>
          <cell r="D466" t="str">
            <v>01.10.1996</v>
          </cell>
          <cell r="E466">
            <v>0</v>
          </cell>
          <cell r="F466">
            <v>6195006785</v>
          </cell>
        </row>
        <row r="467">
          <cell r="A467">
            <v>3400002877</v>
          </cell>
          <cell r="B467">
            <v>0</v>
          </cell>
          <cell r="C467">
            <v>5801</v>
          </cell>
          <cell r="D467" t="str">
            <v>01.10.1996</v>
          </cell>
          <cell r="E467">
            <v>0</v>
          </cell>
          <cell r="F467">
            <v>6195006815</v>
          </cell>
        </row>
        <row r="468">
          <cell r="A468">
            <v>3400002878</v>
          </cell>
          <cell r="B468">
            <v>0</v>
          </cell>
          <cell r="C468">
            <v>5801</v>
          </cell>
          <cell r="D468" t="str">
            <v>01.10.1996</v>
          </cell>
          <cell r="E468">
            <v>0</v>
          </cell>
          <cell r="F468">
            <v>6195006840</v>
          </cell>
        </row>
        <row r="469">
          <cell r="A469">
            <v>3400002879</v>
          </cell>
          <cell r="B469">
            <v>0</v>
          </cell>
          <cell r="C469">
            <v>5801</v>
          </cell>
          <cell r="D469" t="str">
            <v>01.10.1996</v>
          </cell>
          <cell r="E469">
            <v>0</v>
          </cell>
          <cell r="F469">
            <v>6195006864</v>
          </cell>
        </row>
        <row r="470">
          <cell r="A470">
            <v>3400002880</v>
          </cell>
          <cell r="B470">
            <v>0</v>
          </cell>
          <cell r="C470">
            <v>5900</v>
          </cell>
          <cell r="D470" t="str">
            <v>01.04.1995</v>
          </cell>
          <cell r="E470">
            <v>2</v>
          </cell>
          <cell r="F470">
            <v>6195006906</v>
          </cell>
        </row>
        <row r="471">
          <cell r="A471">
            <v>3400002881</v>
          </cell>
          <cell r="B471">
            <v>0</v>
          </cell>
          <cell r="C471">
            <v>5303</v>
          </cell>
          <cell r="D471" t="str">
            <v>01.10.1996</v>
          </cell>
          <cell r="E471">
            <v>1</v>
          </cell>
          <cell r="F471">
            <v>6195007017</v>
          </cell>
        </row>
        <row r="472">
          <cell r="A472">
            <v>3400002882</v>
          </cell>
          <cell r="B472">
            <v>0</v>
          </cell>
          <cell r="C472">
            <v>6900</v>
          </cell>
          <cell r="D472" t="str">
            <v>01.05.1995</v>
          </cell>
          <cell r="E472">
            <v>1</v>
          </cell>
          <cell r="F472">
            <v>6195007029</v>
          </cell>
        </row>
        <row r="473">
          <cell r="A473">
            <v>3400002883</v>
          </cell>
          <cell r="B473">
            <v>0</v>
          </cell>
          <cell r="C473">
            <v>6901</v>
          </cell>
          <cell r="D473" t="str">
            <v>01.05.1995</v>
          </cell>
          <cell r="E473">
            <v>2</v>
          </cell>
          <cell r="F473">
            <v>6195007030</v>
          </cell>
        </row>
        <row r="474">
          <cell r="A474">
            <v>3400002884</v>
          </cell>
          <cell r="B474">
            <v>0</v>
          </cell>
          <cell r="C474">
            <v>6901</v>
          </cell>
          <cell r="D474" t="str">
            <v>01.04.1995</v>
          </cell>
          <cell r="E474">
            <v>4</v>
          </cell>
          <cell r="F474">
            <v>6195007042</v>
          </cell>
        </row>
        <row r="475">
          <cell r="A475">
            <v>3400002885</v>
          </cell>
          <cell r="B475">
            <v>0</v>
          </cell>
          <cell r="C475">
            <v>6801</v>
          </cell>
          <cell r="D475" t="str">
            <v>01.10.1996</v>
          </cell>
          <cell r="E475">
            <v>1</v>
          </cell>
          <cell r="F475">
            <v>6195007054</v>
          </cell>
        </row>
        <row r="476">
          <cell r="A476">
            <v>3400002886</v>
          </cell>
          <cell r="B476">
            <v>0</v>
          </cell>
          <cell r="C476">
            <v>6801</v>
          </cell>
          <cell r="D476" t="str">
            <v>01.10.1996</v>
          </cell>
          <cell r="E476">
            <v>1</v>
          </cell>
          <cell r="F476">
            <v>6195007066</v>
          </cell>
        </row>
        <row r="477">
          <cell r="A477">
            <v>3400002887</v>
          </cell>
          <cell r="B477">
            <v>0</v>
          </cell>
          <cell r="C477">
            <v>6801</v>
          </cell>
          <cell r="D477" t="str">
            <v>01.10.1996</v>
          </cell>
          <cell r="E477">
            <v>1</v>
          </cell>
          <cell r="F477">
            <v>6195007078</v>
          </cell>
        </row>
        <row r="478">
          <cell r="A478">
            <v>3400002888</v>
          </cell>
          <cell r="B478">
            <v>0</v>
          </cell>
          <cell r="C478">
            <v>6230</v>
          </cell>
          <cell r="D478" t="str">
            <v>01.10.1996</v>
          </cell>
          <cell r="E478">
            <v>0</v>
          </cell>
          <cell r="F478">
            <v>6195007089</v>
          </cell>
        </row>
        <row r="479">
          <cell r="A479">
            <v>3400002889</v>
          </cell>
          <cell r="B479">
            <v>0</v>
          </cell>
          <cell r="C479">
            <v>6230</v>
          </cell>
          <cell r="D479" t="str">
            <v>01.10.1996</v>
          </cell>
          <cell r="E479">
            <v>0</v>
          </cell>
          <cell r="F479">
            <v>6195007091</v>
          </cell>
        </row>
        <row r="480">
          <cell r="A480">
            <v>3400002890</v>
          </cell>
          <cell r="B480">
            <v>0</v>
          </cell>
          <cell r="C480">
            <v>6900</v>
          </cell>
          <cell r="D480" t="str">
            <v>01.04.1995</v>
          </cell>
          <cell r="E480">
            <v>1</v>
          </cell>
          <cell r="F480">
            <v>6195007108</v>
          </cell>
        </row>
        <row r="481">
          <cell r="A481">
            <v>3400002891</v>
          </cell>
          <cell r="B481">
            <v>0</v>
          </cell>
          <cell r="C481">
            <v>6230</v>
          </cell>
          <cell r="D481" t="str">
            <v>01.10.1996</v>
          </cell>
          <cell r="E481">
            <v>0</v>
          </cell>
          <cell r="F481">
            <v>6195007119</v>
          </cell>
        </row>
        <row r="482">
          <cell r="A482">
            <v>3400002892</v>
          </cell>
          <cell r="B482">
            <v>0</v>
          </cell>
          <cell r="C482">
            <v>6230</v>
          </cell>
          <cell r="D482" t="str">
            <v>01.10.1996</v>
          </cell>
          <cell r="E482">
            <v>0</v>
          </cell>
          <cell r="F482">
            <v>6195007121</v>
          </cell>
        </row>
        <row r="483">
          <cell r="A483">
            <v>3400002893</v>
          </cell>
          <cell r="B483">
            <v>0</v>
          </cell>
          <cell r="C483">
            <v>6801</v>
          </cell>
          <cell r="D483" t="str">
            <v>01.10.1996</v>
          </cell>
          <cell r="E483">
            <v>1</v>
          </cell>
          <cell r="F483">
            <v>6195007133</v>
          </cell>
        </row>
        <row r="484">
          <cell r="A484">
            <v>3400002894</v>
          </cell>
          <cell r="B484">
            <v>0</v>
          </cell>
          <cell r="C484">
            <v>6801</v>
          </cell>
          <cell r="D484" t="str">
            <v>01.10.1996</v>
          </cell>
          <cell r="E484">
            <v>1</v>
          </cell>
          <cell r="F484">
            <v>6195007145</v>
          </cell>
        </row>
        <row r="485">
          <cell r="A485">
            <v>3400002895</v>
          </cell>
          <cell r="B485">
            <v>0</v>
          </cell>
          <cell r="C485">
            <v>6801</v>
          </cell>
          <cell r="D485" t="str">
            <v>01.10.1996</v>
          </cell>
          <cell r="E485">
            <v>1</v>
          </cell>
          <cell r="F485">
            <v>6195007157</v>
          </cell>
        </row>
        <row r="486">
          <cell r="A486">
            <v>3400002896</v>
          </cell>
          <cell r="B486">
            <v>0</v>
          </cell>
          <cell r="C486">
            <v>6801</v>
          </cell>
          <cell r="D486" t="str">
            <v>01.10.1996</v>
          </cell>
          <cell r="E486">
            <v>1</v>
          </cell>
          <cell r="F486">
            <v>6195007169</v>
          </cell>
        </row>
        <row r="487">
          <cell r="A487">
            <v>3400002897</v>
          </cell>
          <cell r="B487">
            <v>0</v>
          </cell>
          <cell r="C487">
            <v>6900</v>
          </cell>
          <cell r="D487" t="str">
            <v>01.06.1995</v>
          </cell>
          <cell r="E487">
            <v>2</v>
          </cell>
          <cell r="F487">
            <v>6195007170</v>
          </cell>
        </row>
        <row r="488">
          <cell r="A488">
            <v>3400002898</v>
          </cell>
          <cell r="B488">
            <v>0</v>
          </cell>
          <cell r="C488">
            <v>6800</v>
          </cell>
          <cell r="D488" t="str">
            <v>01.10.1996</v>
          </cell>
          <cell r="E488">
            <v>1</v>
          </cell>
          <cell r="F488">
            <v>6195007182</v>
          </cell>
        </row>
        <row r="489">
          <cell r="A489">
            <v>3400002899</v>
          </cell>
          <cell r="B489">
            <v>0</v>
          </cell>
          <cell r="C489">
            <v>6800</v>
          </cell>
          <cell r="D489" t="str">
            <v>01.10.1996</v>
          </cell>
          <cell r="E489">
            <v>1</v>
          </cell>
          <cell r="F489">
            <v>6195007194</v>
          </cell>
        </row>
        <row r="490">
          <cell r="A490">
            <v>3400002900</v>
          </cell>
          <cell r="B490">
            <v>0</v>
          </cell>
          <cell r="C490">
            <v>6230</v>
          </cell>
          <cell r="D490" t="str">
            <v>01.10.1996</v>
          </cell>
          <cell r="E490">
            <v>0</v>
          </cell>
          <cell r="F490">
            <v>6195007200</v>
          </cell>
        </row>
        <row r="491">
          <cell r="A491">
            <v>3400002901</v>
          </cell>
          <cell r="B491">
            <v>0</v>
          </cell>
          <cell r="C491">
            <v>6901</v>
          </cell>
          <cell r="D491" t="str">
            <v>01.04.1995</v>
          </cell>
          <cell r="E491">
            <v>30</v>
          </cell>
          <cell r="F491">
            <v>6195007212</v>
          </cell>
        </row>
        <row r="492">
          <cell r="A492">
            <v>3400002902</v>
          </cell>
          <cell r="B492">
            <v>0</v>
          </cell>
          <cell r="C492">
            <v>6602</v>
          </cell>
          <cell r="D492" t="str">
            <v>01.04.1995</v>
          </cell>
          <cell r="E492">
            <v>3</v>
          </cell>
          <cell r="F492">
            <v>6195007224</v>
          </cell>
        </row>
        <row r="493">
          <cell r="A493">
            <v>3400002903</v>
          </cell>
          <cell r="B493">
            <v>0</v>
          </cell>
          <cell r="C493">
            <v>6602</v>
          </cell>
          <cell r="D493" t="str">
            <v>01.04.1995</v>
          </cell>
          <cell r="E493">
            <v>1</v>
          </cell>
          <cell r="F493">
            <v>6195007236</v>
          </cell>
        </row>
        <row r="494">
          <cell r="A494">
            <v>3400002904</v>
          </cell>
          <cell r="B494">
            <v>0</v>
          </cell>
          <cell r="C494">
            <v>6230</v>
          </cell>
          <cell r="D494" t="str">
            <v>01.10.1996</v>
          </cell>
          <cell r="E494">
            <v>0</v>
          </cell>
          <cell r="F494">
            <v>6196000001</v>
          </cell>
        </row>
        <row r="495">
          <cell r="A495">
            <v>3400002905</v>
          </cell>
          <cell r="B495">
            <v>0</v>
          </cell>
          <cell r="C495">
            <v>6230</v>
          </cell>
          <cell r="D495" t="str">
            <v>01.10.1996</v>
          </cell>
          <cell r="E495">
            <v>0</v>
          </cell>
          <cell r="F495">
            <v>6196000002</v>
          </cell>
        </row>
        <row r="496">
          <cell r="A496">
            <v>3400002906</v>
          </cell>
          <cell r="B496">
            <v>0</v>
          </cell>
          <cell r="C496">
            <v>6230</v>
          </cell>
          <cell r="D496" t="str">
            <v>01.10.1996</v>
          </cell>
          <cell r="E496">
            <v>0</v>
          </cell>
          <cell r="F496">
            <v>6196000003</v>
          </cell>
        </row>
        <row r="497">
          <cell r="A497">
            <v>3400002907</v>
          </cell>
          <cell r="B497">
            <v>0</v>
          </cell>
          <cell r="C497">
            <v>6230</v>
          </cell>
          <cell r="D497" t="str">
            <v>01.10.1996</v>
          </cell>
          <cell r="E497">
            <v>0</v>
          </cell>
          <cell r="F497">
            <v>6196000004</v>
          </cell>
        </row>
        <row r="498">
          <cell r="A498">
            <v>3400002908</v>
          </cell>
          <cell r="B498">
            <v>0</v>
          </cell>
          <cell r="C498">
            <v>6210</v>
          </cell>
          <cell r="D498" t="str">
            <v>01.10.1996</v>
          </cell>
          <cell r="E498">
            <v>0</v>
          </cell>
          <cell r="F498">
            <v>6196000005</v>
          </cell>
        </row>
        <row r="499">
          <cell r="A499">
            <v>3400002909</v>
          </cell>
          <cell r="B499">
            <v>0</v>
          </cell>
          <cell r="C499">
            <v>6210</v>
          </cell>
          <cell r="D499" t="str">
            <v>01.10.1996</v>
          </cell>
          <cell r="E499">
            <v>0</v>
          </cell>
          <cell r="F499">
            <v>6196000006</v>
          </cell>
        </row>
        <row r="500">
          <cell r="A500">
            <v>3400002910</v>
          </cell>
          <cell r="B500">
            <v>0</v>
          </cell>
          <cell r="C500">
            <v>6210</v>
          </cell>
          <cell r="D500" t="str">
            <v>01.10.1996</v>
          </cell>
          <cell r="E500">
            <v>0</v>
          </cell>
          <cell r="F500">
            <v>6196000007</v>
          </cell>
        </row>
        <row r="501">
          <cell r="A501">
            <v>3400002911</v>
          </cell>
          <cell r="B501">
            <v>0</v>
          </cell>
          <cell r="C501">
            <v>5300</v>
          </cell>
          <cell r="D501" t="str">
            <v>01.10.1996</v>
          </cell>
          <cell r="E501">
            <v>1</v>
          </cell>
          <cell r="F501">
            <v>6196000008</v>
          </cell>
        </row>
        <row r="502">
          <cell r="A502">
            <v>3400002912</v>
          </cell>
          <cell r="B502">
            <v>0</v>
          </cell>
          <cell r="C502">
            <v>6210</v>
          </cell>
          <cell r="D502" t="str">
            <v>01.10.1996</v>
          </cell>
          <cell r="E502">
            <v>0</v>
          </cell>
          <cell r="F502">
            <v>6196000009</v>
          </cell>
        </row>
        <row r="503">
          <cell r="A503">
            <v>3400002913</v>
          </cell>
          <cell r="B503">
            <v>1</v>
          </cell>
          <cell r="C503">
            <v>5301</v>
          </cell>
          <cell r="D503" t="str">
            <v>01.10.1996</v>
          </cell>
          <cell r="E503">
            <v>1</v>
          </cell>
          <cell r="F503">
            <v>6196000010</v>
          </cell>
        </row>
        <row r="504">
          <cell r="A504">
            <v>3400002913</v>
          </cell>
          <cell r="B504">
            <v>0</v>
          </cell>
          <cell r="C504">
            <v>5301</v>
          </cell>
          <cell r="D504" t="str">
            <v>01.10.1996</v>
          </cell>
          <cell r="E504">
            <v>0</v>
          </cell>
          <cell r="F504">
            <v>6196000010</v>
          </cell>
        </row>
        <row r="505">
          <cell r="A505">
            <v>3400002914</v>
          </cell>
          <cell r="B505">
            <v>0</v>
          </cell>
          <cell r="C505">
            <v>5400</v>
          </cell>
          <cell r="D505" t="str">
            <v>01.10.1996</v>
          </cell>
          <cell r="E505">
            <v>0</v>
          </cell>
          <cell r="F505">
            <v>6196000011</v>
          </cell>
        </row>
        <row r="506">
          <cell r="A506">
            <v>3400002915</v>
          </cell>
          <cell r="B506">
            <v>0</v>
          </cell>
          <cell r="C506">
            <v>6600</v>
          </cell>
          <cell r="D506" t="str">
            <v>01.10.1996</v>
          </cell>
          <cell r="E506">
            <v>1</v>
          </cell>
          <cell r="F506">
            <v>6196000012</v>
          </cell>
        </row>
        <row r="507">
          <cell r="A507">
            <v>3400002916</v>
          </cell>
          <cell r="B507">
            <v>0</v>
          </cell>
          <cell r="C507">
            <v>5302</v>
          </cell>
          <cell r="D507" t="str">
            <v>01.10.1996</v>
          </cell>
          <cell r="E507">
            <v>1</v>
          </cell>
          <cell r="F507">
            <v>6196000013</v>
          </cell>
        </row>
        <row r="508">
          <cell r="A508">
            <v>3400002917</v>
          </cell>
          <cell r="B508">
            <v>0</v>
          </cell>
          <cell r="C508">
            <v>5302</v>
          </cell>
          <cell r="D508" t="str">
            <v>01.10.1996</v>
          </cell>
          <cell r="E508">
            <v>1</v>
          </cell>
          <cell r="F508">
            <v>6196000014</v>
          </cell>
        </row>
        <row r="509">
          <cell r="A509">
            <v>3400002918</v>
          </cell>
          <cell r="B509">
            <v>0</v>
          </cell>
          <cell r="C509">
            <v>5302</v>
          </cell>
          <cell r="D509" t="str">
            <v>01.10.1996</v>
          </cell>
          <cell r="E509">
            <v>1</v>
          </cell>
          <cell r="F509">
            <v>6196000015</v>
          </cell>
        </row>
        <row r="510">
          <cell r="A510">
            <v>3400002919</v>
          </cell>
          <cell r="B510">
            <v>0</v>
          </cell>
          <cell r="C510">
            <v>5302</v>
          </cell>
          <cell r="D510" t="str">
            <v>01.10.1996</v>
          </cell>
          <cell r="E510">
            <v>1</v>
          </cell>
          <cell r="F510">
            <v>6196000016</v>
          </cell>
        </row>
        <row r="511">
          <cell r="A511">
            <v>3400002920</v>
          </cell>
          <cell r="B511">
            <v>0</v>
          </cell>
          <cell r="C511">
            <v>5302</v>
          </cell>
          <cell r="D511" t="str">
            <v>01.10.1996</v>
          </cell>
          <cell r="E511">
            <v>1</v>
          </cell>
          <cell r="F511">
            <v>6196000017</v>
          </cell>
        </row>
        <row r="512">
          <cell r="A512">
            <v>3400002921</v>
          </cell>
          <cell r="B512">
            <v>0</v>
          </cell>
          <cell r="C512">
            <v>5302</v>
          </cell>
          <cell r="D512" t="str">
            <v>01.10.1996</v>
          </cell>
          <cell r="E512">
            <v>0</v>
          </cell>
          <cell r="F512">
            <v>6196000018</v>
          </cell>
        </row>
        <row r="513">
          <cell r="A513">
            <v>3400002922</v>
          </cell>
          <cell r="B513">
            <v>0</v>
          </cell>
          <cell r="C513">
            <v>6210</v>
          </cell>
          <cell r="D513" t="str">
            <v>01.10.1996</v>
          </cell>
          <cell r="E513">
            <v>0</v>
          </cell>
          <cell r="F513">
            <v>6196000019</v>
          </cell>
        </row>
        <row r="514">
          <cell r="A514">
            <v>3400002923</v>
          </cell>
          <cell r="B514">
            <v>0</v>
          </cell>
          <cell r="C514">
            <v>5300</v>
          </cell>
          <cell r="D514" t="str">
            <v>01.10.1996</v>
          </cell>
          <cell r="E514">
            <v>1</v>
          </cell>
          <cell r="F514">
            <v>6196000020</v>
          </cell>
        </row>
        <row r="515">
          <cell r="A515">
            <v>3400002924</v>
          </cell>
          <cell r="B515">
            <v>0</v>
          </cell>
          <cell r="C515">
            <v>5300</v>
          </cell>
          <cell r="D515" t="str">
            <v>01.10.1996</v>
          </cell>
          <cell r="E515">
            <v>1</v>
          </cell>
          <cell r="F515">
            <v>6196000021</v>
          </cell>
        </row>
        <row r="516">
          <cell r="A516">
            <v>3400002925</v>
          </cell>
          <cell r="B516">
            <v>0</v>
          </cell>
          <cell r="C516">
            <v>6230</v>
          </cell>
          <cell r="D516" t="str">
            <v>01.10.1996</v>
          </cell>
          <cell r="E516">
            <v>0</v>
          </cell>
          <cell r="F516">
            <v>6196000023</v>
          </cell>
        </row>
        <row r="517">
          <cell r="A517">
            <v>3400002926</v>
          </cell>
          <cell r="B517">
            <v>0</v>
          </cell>
          <cell r="C517">
            <v>6601</v>
          </cell>
          <cell r="D517" t="str">
            <v>01.10.1996</v>
          </cell>
          <cell r="E517">
            <v>1</v>
          </cell>
          <cell r="F517">
            <v>6196000024</v>
          </cell>
        </row>
        <row r="518">
          <cell r="A518">
            <v>3400002927</v>
          </cell>
          <cell r="B518">
            <v>0</v>
          </cell>
          <cell r="C518">
            <v>6901</v>
          </cell>
          <cell r="D518" t="str">
            <v>03.01.1996</v>
          </cell>
          <cell r="E518">
            <v>25</v>
          </cell>
          <cell r="F518">
            <v>6196000025</v>
          </cell>
        </row>
        <row r="519">
          <cell r="A519">
            <v>3400002928</v>
          </cell>
          <cell r="B519">
            <v>0</v>
          </cell>
          <cell r="C519">
            <v>6230</v>
          </cell>
          <cell r="D519" t="str">
            <v>01.10.1996</v>
          </cell>
          <cell r="E519">
            <v>0</v>
          </cell>
          <cell r="F519">
            <v>6196000027</v>
          </cell>
        </row>
        <row r="520">
          <cell r="A520">
            <v>3400002929</v>
          </cell>
          <cell r="B520">
            <v>0</v>
          </cell>
          <cell r="C520">
            <v>6230</v>
          </cell>
          <cell r="D520" t="str">
            <v>01.10.1996</v>
          </cell>
          <cell r="E520">
            <v>0</v>
          </cell>
          <cell r="F520">
            <v>6196000028</v>
          </cell>
        </row>
        <row r="521">
          <cell r="A521">
            <v>3400002930</v>
          </cell>
          <cell r="B521">
            <v>0</v>
          </cell>
          <cell r="C521">
            <v>6230</v>
          </cell>
          <cell r="D521" t="str">
            <v>01.10.1996</v>
          </cell>
          <cell r="E521">
            <v>0</v>
          </cell>
          <cell r="F521">
            <v>6196000029</v>
          </cell>
        </row>
        <row r="522">
          <cell r="A522">
            <v>3400002931</v>
          </cell>
          <cell r="B522">
            <v>0</v>
          </cell>
          <cell r="C522">
            <v>6230</v>
          </cell>
          <cell r="D522" t="str">
            <v>01.10.1996</v>
          </cell>
          <cell r="E522">
            <v>0</v>
          </cell>
          <cell r="F522">
            <v>6196000030</v>
          </cell>
        </row>
        <row r="523">
          <cell r="A523">
            <v>3400002931</v>
          </cell>
          <cell r="B523">
            <v>1</v>
          </cell>
          <cell r="C523">
            <v>6230</v>
          </cell>
          <cell r="D523" t="str">
            <v>01.10.1996</v>
          </cell>
          <cell r="E523">
            <v>0</v>
          </cell>
          <cell r="F523">
            <v>6196000030</v>
          </cell>
        </row>
        <row r="524">
          <cell r="A524">
            <v>3400002932</v>
          </cell>
          <cell r="B524">
            <v>0</v>
          </cell>
          <cell r="C524">
            <v>5400</v>
          </cell>
          <cell r="D524" t="str">
            <v>01.10.1996</v>
          </cell>
          <cell r="E524">
            <v>1</v>
          </cell>
          <cell r="F524">
            <v>6196000031</v>
          </cell>
        </row>
        <row r="525">
          <cell r="A525">
            <v>3400002933</v>
          </cell>
          <cell r="B525">
            <v>0</v>
          </cell>
          <cell r="C525">
            <v>6901</v>
          </cell>
          <cell r="D525" t="str">
            <v>09.01.1996</v>
          </cell>
          <cell r="E525">
            <v>2</v>
          </cell>
          <cell r="F525">
            <v>6196000032</v>
          </cell>
        </row>
        <row r="526">
          <cell r="A526">
            <v>3400002934</v>
          </cell>
          <cell r="B526">
            <v>0</v>
          </cell>
          <cell r="C526">
            <v>6230</v>
          </cell>
          <cell r="D526" t="str">
            <v>01.10.1996</v>
          </cell>
          <cell r="E526">
            <v>0</v>
          </cell>
          <cell r="F526">
            <v>6196000033</v>
          </cell>
        </row>
        <row r="527">
          <cell r="A527">
            <v>3400002935</v>
          </cell>
          <cell r="B527">
            <v>0</v>
          </cell>
          <cell r="C527">
            <v>6230</v>
          </cell>
          <cell r="D527" t="str">
            <v>01.10.1996</v>
          </cell>
          <cell r="E527">
            <v>0</v>
          </cell>
          <cell r="F527">
            <v>6196000034</v>
          </cell>
        </row>
        <row r="528">
          <cell r="A528">
            <v>3400002936</v>
          </cell>
          <cell r="B528">
            <v>0</v>
          </cell>
          <cell r="C528">
            <v>5400</v>
          </cell>
          <cell r="D528" t="str">
            <v>01.10.1996</v>
          </cell>
          <cell r="E528">
            <v>0</v>
          </cell>
          <cell r="F528">
            <v>6196000035</v>
          </cell>
        </row>
        <row r="529">
          <cell r="A529">
            <v>3400002937</v>
          </cell>
          <cell r="B529">
            <v>0</v>
          </cell>
          <cell r="C529">
            <v>6901</v>
          </cell>
          <cell r="D529" t="str">
            <v>12.01.1996</v>
          </cell>
          <cell r="E529">
            <v>7</v>
          </cell>
          <cell r="F529">
            <v>6196000036</v>
          </cell>
        </row>
        <row r="530">
          <cell r="A530">
            <v>3400002938</v>
          </cell>
          <cell r="B530">
            <v>0</v>
          </cell>
          <cell r="C530">
            <v>6901</v>
          </cell>
          <cell r="D530" t="str">
            <v>06.01.1996</v>
          </cell>
          <cell r="E530">
            <v>1</v>
          </cell>
          <cell r="F530">
            <v>6196000037</v>
          </cell>
        </row>
        <row r="531">
          <cell r="A531">
            <v>3400002939</v>
          </cell>
          <cell r="B531">
            <v>0</v>
          </cell>
          <cell r="C531">
            <v>6901</v>
          </cell>
          <cell r="D531" t="str">
            <v>06.01.1996</v>
          </cell>
          <cell r="E531">
            <v>1</v>
          </cell>
          <cell r="F531">
            <v>6196000038</v>
          </cell>
        </row>
        <row r="532">
          <cell r="A532">
            <v>3400002940</v>
          </cell>
          <cell r="B532">
            <v>0</v>
          </cell>
          <cell r="C532">
            <v>6600</v>
          </cell>
          <cell r="D532" t="str">
            <v>01.10.1996</v>
          </cell>
          <cell r="E532">
            <v>1</v>
          </cell>
          <cell r="F532">
            <v>6196000039</v>
          </cell>
        </row>
        <row r="533">
          <cell r="A533">
            <v>3400002941</v>
          </cell>
          <cell r="B533">
            <v>0</v>
          </cell>
          <cell r="C533">
            <v>6900</v>
          </cell>
          <cell r="D533" t="str">
            <v>27.12.1995</v>
          </cell>
          <cell r="E533">
            <v>6</v>
          </cell>
          <cell r="F533">
            <v>6196000040</v>
          </cell>
        </row>
        <row r="534">
          <cell r="A534">
            <v>3400002942</v>
          </cell>
          <cell r="B534">
            <v>0</v>
          </cell>
          <cell r="C534">
            <v>6901</v>
          </cell>
          <cell r="D534" t="str">
            <v>04.09.1995</v>
          </cell>
          <cell r="E534">
            <v>5</v>
          </cell>
          <cell r="F534">
            <v>6196000041</v>
          </cell>
        </row>
        <row r="535">
          <cell r="A535">
            <v>3400002943</v>
          </cell>
          <cell r="B535">
            <v>0</v>
          </cell>
          <cell r="C535">
            <v>6901</v>
          </cell>
          <cell r="D535" t="str">
            <v>04.09.1995</v>
          </cell>
          <cell r="E535">
            <v>3</v>
          </cell>
          <cell r="F535">
            <v>6196000042</v>
          </cell>
        </row>
        <row r="536">
          <cell r="A536">
            <v>3400002944</v>
          </cell>
          <cell r="B536">
            <v>0</v>
          </cell>
          <cell r="C536">
            <v>6901</v>
          </cell>
          <cell r="D536" t="str">
            <v>04.09.1995</v>
          </cell>
          <cell r="E536">
            <v>2</v>
          </cell>
          <cell r="F536">
            <v>6196000043</v>
          </cell>
        </row>
        <row r="537">
          <cell r="A537">
            <v>3400002945</v>
          </cell>
          <cell r="B537">
            <v>0</v>
          </cell>
          <cell r="C537">
            <v>5300</v>
          </cell>
          <cell r="D537" t="str">
            <v>01.10.1996</v>
          </cell>
          <cell r="E537">
            <v>1</v>
          </cell>
          <cell r="F537">
            <v>6196000044</v>
          </cell>
        </row>
        <row r="538">
          <cell r="A538">
            <v>3400002946</v>
          </cell>
          <cell r="B538">
            <v>0</v>
          </cell>
          <cell r="C538">
            <v>6801</v>
          </cell>
          <cell r="D538" t="str">
            <v>01.10.1996</v>
          </cell>
          <cell r="E538">
            <v>1</v>
          </cell>
          <cell r="F538">
            <v>6196000045</v>
          </cell>
        </row>
        <row r="539">
          <cell r="A539">
            <v>3400002947</v>
          </cell>
          <cell r="B539">
            <v>0</v>
          </cell>
          <cell r="C539">
            <v>6901</v>
          </cell>
          <cell r="D539" t="str">
            <v>13.09.1995</v>
          </cell>
          <cell r="E539">
            <v>2</v>
          </cell>
          <cell r="F539">
            <v>6196000046</v>
          </cell>
        </row>
        <row r="540">
          <cell r="A540">
            <v>3400002948</v>
          </cell>
          <cell r="B540">
            <v>0</v>
          </cell>
          <cell r="C540">
            <v>6901</v>
          </cell>
          <cell r="D540" t="str">
            <v>13.09.1995</v>
          </cell>
          <cell r="E540">
            <v>0</v>
          </cell>
          <cell r="F540">
            <v>6196000047</v>
          </cell>
        </row>
        <row r="541">
          <cell r="A541">
            <v>3400002949</v>
          </cell>
          <cell r="B541">
            <v>0</v>
          </cell>
          <cell r="C541">
            <v>6901</v>
          </cell>
          <cell r="D541" t="str">
            <v>26.09.1995</v>
          </cell>
          <cell r="E541">
            <v>8</v>
          </cell>
          <cell r="F541">
            <v>6196000048</v>
          </cell>
        </row>
        <row r="542">
          <cell r="A542">
            <v>3400004792</v>
          </cell>
          <cell r="B542">
            <v>0</v>
          </cell>
          <cell r="C542">
            <v>6901</v>
          </cell>
          <cell r="D542" t="str">
            <v>12.10.1995</v>
          </cell>
          <cell r="E542">
            <v>1</v>
          </cell>
          <cell r="F542">
            <v>6196000049</v>
          </cell>
        </row>
        <row r="543">
          <cell r="A543">
            <v>3400002950</v>
          </cell>
          <cell r="B543">
            <v>0</v>
          </cell>
          <cell r="C543">
            <v>5801</v>
          </cell>
          <cell r="D543" t="str">
            <v>01.10.1996</v>
          </cell>
          <cell r="E543">
            <v>0</v>
          </cell>
          <cell r="F543">
            <v>6196000050</v>
          </cell>
        </row>
        <row r="544">
          <cell r="A544">
            <v>3400002951</v>
          </cell>
          <cell r="B544">
            <v>0</v>
          </cell>
          <cell r="C544">
            <v>5801</v>
          </cell>
          <cell r="D544" t="str">
            <v>01.10.1996</v>
          </cell>
          <cell r="E544">
            <v>0</v>
          </cell>
          <cell r="F544">
            <v>6196000051</v>
          </cell>
        </row>
        <row r="545">
          <cell r="A545">
            <v>3400002952</v>
          </cell>
          <cell r="B545">
            <v>0</v>
          </cell>
          <cell r="C545">
            <v>5600</v>
          </cell>
          <cell r="D545" t="str">
            <v>01.10.1996</v>
          </cell>
          <cell r="E545">
            <v>1</v>
          </cell>
          <cell r="F545">
            <v>6196000052</v>
          </cell>
        </row>
        <row r="546">
          <cell r="A546">
            <v>3400002953</v>
          </cell>
          <cell r="B546">
            <v>0</v>
          </cell>
          <cell r="C546">
            <v>6900</v>
          </cell>
          <cell r="D546" t="str">
            <v>12.11.1995</v>
          </cell>
          <cell r="E546">
            <v>10</v>
          </cell>
          <cell r="F546">
            <v>6196000053</v>
          </cell>
        </row>
        <row r="547">
          <cell r="A547">
            <v>3400002954</v>
          </cell>
          <cell r="B547">
            <v>0</v>
          </cell>
          <cell r="C547">
            <v>6901</v>
          </cell>
          <cell r="D547" t="str">
            <v>31.10.1995</v>
          </cell>
          <cell r="E547">
            <v>3</v>
          </cell>
          <cell r="F547">
            <v>6196000054</v>
          </cell>
        </row>
        <row r="548">
          <cell r="A548">
            <v>3400002955</v>
          </cell>
          <cell r="B548">
            <v>0</v>
          </cell>
          <cell r="C548">
            <v>5400</v>
          </cell>
          <cell r="D548" t="str">
            <v>01.10.1996</v>
          </cell>
          <cell r="E548">
            <v>0</v>
          </cell>
          <cell r="F548">
            <v>6196000055</v>
          </cell>
        </row>
        <row r="549">
          <cell r="A549">
            <v>3400002956</v>
          </cell>
          <cell r="B549">
            <v>0</v>
          </cell>
          <cell r="C549">
            <v>5801</v>
          </cell>
          <cell r="D549" t="str">
            <v>01.10.1996</v>
          </cell>
          <cell r="E549">
            <v>1</v>
          </cell>
          <cell r="F549">
            <v>6196000056</v>
          </cell>
        </row>
        <row r="550">
          <cell r="A550">
            <v>3400002957</v>
          </cell>
          <cell r="B550">
            <v>0</v>
          </cell>
          <cell r="C550">
            <v>5300</v>
          </cell>
          <cell r="D550" t="str">
            <v>01.10.1996</v>
          </cell>
          <cell r="E550">
            <v>1</v>
          </cell>
          <cell r="F550">
            <v>6196000057</v>
          </cell>
        </row>
        <row r="551">
          <cell r="A551">
            <v>3400002958</v>
          </cell>
          <cell r="B551">
            <v>0</v>
          </cell>
          <cell r="C551">
            <v>6801</v>
          </cell>
          <cell r="D551" t="str">
            <v>01.10.1996</v>
          </cell>
          <cell r="E551">
            <v>1</v>
          </cell>
          <cell r="F551">
            <v>6196000058</v>
          </cell>
        </row>
        <row r="552">
          <cell r="A552">
            <v>3400002959</v>
          </cell>
          <cell r="B552">
            <v>0</v>
          </cell>
          <cell r="C552">
            <v>6801</v>
          </cell>
          <cell r="D552" t="str">
            <v>01.10.1996</v>
          </cell>
          <cell r="E552">
            <v>1</v>
          </cell>
          <cell r="F552">
            <v>6196000059</v>
          </cell>
        </row>
        <row r="553">
          <cell r="A553">
            <v>3400002960</v>
          </cell>
          <cell r="B553">
            <v>0</v>
          </cell>
          <cell r="C553">
            <v>6801</v>
          </cell>
          <cell r="D553" t="str">
            <v>01.10.1996</v>
          </cell>
          <cell r="E553">
            <v>1</v>
          </cell>
          <cell r="F553">
            <v>6196000060</v>
          </cell>
        </row>
        <row r="554">
          <cell r="A554">
            <v>3400002961</v>
          </cell>
          <cell r="B554">
            <v>0</v>
          </cell>
          <cell r="C554">
            <v>6901</v>
          </cell>
          <cell r="D554" t="str">
            <v>16.11.1995</v>
          </cell>
          <cell r="E554">
            <v>2</v>
          </cell>
          <cell r="F554">
            <v>6196000061</v>
          </cell>
        </row>
        <row r="555">
          <cell r="A555">
            <v>3400002962</v>
          </cell>
          <cell r="B555">
            <v>0</v>
          </cell>
          <cell r="C555">
            <v>6801</v>
          </cell>
          <cell r="D555" t="str">
            <v>01.10.1996</v>
          </cell>
          <cell r="E555">
            <v>1</v>
          </cell>
          <cell r="F555">
            <v>6196000062</v>
          </cell>
        </row>
        <row r="556">
          <cell r="A556">
            <v>3400002963</v>
          </cell>
          <cell r="B556">
            <v>0</v>
          </cell>
          <cell r="C556">
            <v>6801</v>
          </cell>
          <cell r="D556" t="str">
            <v>01.10.1996</v>
          </cell>
          <cell r="E556">
            <v>1</v>
          </cell>
          <cell r="F556">
            <v>6196000063</v>
          </cell>
        </row>
        <row r="557">
          <cell r="A557">
            <v>3400002964</v>
          </cell>
          <cell r="B557">
            <v>0</v>
          </cell>
          <cell r="C557">
            <v>6801</v>
          </cell>
          <cell r="D557" t="str">
            <v>01.10.1996</v>
          </cell>
          <cell r="E557">
            <v>1</v>
          </cell>
          <cell r="F557">
            <v>6196000064</v>
          </cell>
        </row>
        <row r="558">
          <cell r="A558">
            <v>3400002965</v>
          </cell>
          <cell r="B558">
            <v>0</v>
          </cell>
          <cell r="C558">
            <v>6801</v>
          </cell>
          <cell r="D558" t="str">
            <v>22.11.1995</v>
          </cell>
          <cell r="E558">
            <v>1</v>
          </cell>
          <cell r="F558">
            <v>6196000065</v>
          </cell>
        </row>
        <row r="559">
          <cell r="A559">
            <v>3400002966</v>
          </cell>
          <cell r="B559">
            <v>0</v>
          </cell>
          <cell r="C559">
            <v>6230</v>
          </cell>
          <cell r="D559" t="str">
            <v>01.10.1996</v>
          </cell>
          <cell r="E559">
            <v>0</v>
          </cell>
          <cell r="F559">
            <v>6196000066</v>
          </cell>
        </row>
        <row r="560">
          <cell r="A560">
            <v>3400002967</v>
          </cell>
          <cell r="B560">
            <v>0</v>
          </cell>
          <cell r="C560">
            <v>6901</v>
          </cell>
          <cell r="D560" t="str">
            <v>28.08.1995</v>
          </cell>
          <cell r="E560">
            <v>2</v>
          </cell>
          <cell r="F560">
            <v>6196000067</v>
          </cell>
        </row>
        <row r="561">
          <cell r="A561">
            <v>3400002968</v>
          </cell>
          <cell r="B561">
            <v>0</v>
          </cell>
          <cell r="C561">
            <v>5400</v>
          </cell>
          <cell r="D561" t="str">
            <v>01.10.1996</v>
          </cell>
          <cell r="E561">
            <v>0</v>
          </cell>
          <cell r="F561">
            <v>6196000068</v>
          </cell>
        </row>
        <row r="562">
          <cell r="A562">
            <v>3400002969</v>
          </cell>
          <cell r="B562">
            <v>0</v>
          </cell>
          <cell r="C562">
            <v>5400</v>
          </cell>
          <cell r="D562" t="str">
            <v>01.10.1996</v>
          </cell>
          <cell r="E562">
            <v>0</v>
          </cell>
          <cell r="F562">
            <v>6196000069</v>
          </cell>
        </row>
        <row r="563">
          <cell r="A563">
            <v>3400002970</v>
          </cell>
          <cell r="B563">
            <v>0</v>
          </cell>
          <cell r="C563">
            <v>5400</v>
          </cell>
          <cell r="D563" t="str">
            <v>01.10.1996</v>
          </cell>
          <cell r="E563">
            <v>0</v>
          </cell>
          <cell r="F563">
            <v>6196000070</v>
          </cell>
        </row>
        <row r="564">
          <cell r="A564">
            <v>3400002971</v>
          </cell>
          <cell r="B564">
            <v>0</v>
          </cell>
          <cell r="C564">
            <v>5400</v>
          </cell>
          <cell r="D564" t="str">
            <v>01.10.1996</v>
          </cell>
          <cell r="E564">
            <v>0</v>
          </cell>
          <cell r="F564">
            <v>6196000071</v>
          </cell>
        </row>
        <row r="565">
          <cell r="A565">
            <v>3400002972</v>
          </cell>
          <cell r="B565">
            <v>0</v>
          </cell>
          <cell r="C565">
            <v>5300</v>
          </cell>
          <cell r="D565" t="str">
            <v>01.10.1996</v>
          </cell>
          <cell r="E565">
            <v>1</v>
          </cell>
          <cell r="F565">
            <v>6196000072</v>
          </cell>
        </row>
        <row r="566">
          <cell r="A566">
            <v>3400002973</v>
          </cell>
          <cell r="B566">
            <v>0</v>
          </cell>
          <cell r="C566">
            <v>6901</v>
          </cell>
          <cell r="D566" t="str">
            <v>22.11.1995</v>
          </cell>
          <cell r="E566">
            <v>4</v>
          </cell>
          <cell r="F566">
            <v>6196000073</v>
          </cell>
        </row>
        <row r="567">
          <cell r="A567">
            <v>3400002974</v>
          </cell>
          <cell r="B567">
            <v>0</v>
          </cell>
          <cell r="C567">
            <v>5302</v>
          </cell>
          <cell r="D567" t="str">
            <v>01.10.1996</v>
          </cell>
          <cell r="E567">
            <v>1</v>
          </cell>
          <cell r="F567">
            <v>6196000074</v>
          </cell>
        </row>
        <row r="568">
          <cell r="A568">
            <v>3400002975</v>
          </cell>
          <cell r="B568">
            <v>0</v>
          </cell>
          <cell r="C568">
            <v>5302</v>
          </cell>
          <cell r="D568" t="str">
            <v>01.10.1996</v>
          </cell>
          <cell r="E568">
            <v>1</v>
          </cell>
          <cell r="F568">
            <v>6196000075</v>
          </cell>
        </row>
        <row r="569">
          <cell r="A569">
            <v>3400002976</v>
          </cell>
          <cell r="B569">
            <v>0</v>
          </cell>
          <cell r="C569">
            <v>5302</v>
          </cell>
          <cell r="D569" t="str">
            <v>01.10.1996</v>
          </cell>
          <cell r="E569">
            <v>1</v>
          </cell>
          <cell r="F569">
            <v>6196000076</v>
          </cell>
        </row>
        <row r="570">
          <cell r="A570">
            <v>3400002977</v>
          </cell>
          <cell r="B570">
            <v>0</v>
          </cell>
          <cell r="C570">
            <v>5302</v>
          </cell>
          <cell r="D570" t="str">
            <v>01.10.1996</v>
          </cell>
          <cell r="E570">
            <v>1</v>
          </cell>
          <cell r="F570">
            <v>6196000077</v>
          </cell>
        </row>
        <row r="571">
          <cell r="A571">
            <v>3400002978</v>
          </cell>
          <cell r="B571">
            <v>0</v>
          </cell>
          <cell r="C571">
            <v>5302</v>
          </cell>
          <cell r="D571" t="str">
            <v>01.10.1996</v>
          </cell>
          <cell r="E571">
            <v>1</v>
          </cell>
          <cell r="F571">
            <v>6196000078</v>
          </cell>
        </row>
        <row r="572">
          <cell r="A572">
            <v>3400002979</v>
          </cell>
          <cell r="B572">
            <v>0</v>
          </cell>
          <cell r="C572">
            <v>5302</v>
          </cell>
          <cell r="D572" t="str">
            <v>01.10.1996</v>
          </cell>
          <cell r="E572">
            <v>1</v>
          </cell>
          <cell r="F572">
            <v>6196000079</v>
          </cell>
        </row>
        <row r="573">
          <cell r="A573">
            <v>3400002980</v>
          </cell>
          <cell r="B573">
            <v>0</v>
          </cell>
          <cell r="C573">
            <v>5302</v>
          </cell>
          <cell r="D573" t="str">
            <v>01.10.1996</v>
          </cell>
          <cell r="E573">
            <v>1</v>
          </cell>
          <cell r="F573">
            <v>6196000080</v>
          </cell>
        </row>
        <row r="574">
          <cell r="A574">
            <v>3400002981</v>
          </cell>
          <cell r="B574">
            <v>0</v>
          </cell>
          <cell r="C574">
            <v>5303</v>
          </cell>
          <cell r="D574" t="str">
            <v>01.10.1996</v>
          </cell>
          <cell r="E574">
            <v>1</v>
          </cell>
          <cell r="F574">
            <v>6196000081</v>
          </cell>
        </row>
        <row r="575">
          <cell r="A575">
            <v>3400002982</v>
          </cell>
          <cell r="B575">
            <v>0</v>
          </cell>
          <cell r="C575">
            <v>5303</v>
          </cell>
          <cell r="D575" t="str">
            <v>01.10.1996</v>
          </cell>
          <cell r="E575">
            <v>1</v>
          </cell>
          <cell r="F575">
            <v>6196000082</v>
          </cell>
        </row>
        <row r="576">
          <cell r="A576">
            <v>3400004793</v>
          </cell>
          <cell r="B576">
            <v>0</v>
          </cell>
          <cell r="C576">
            <v>6901</v>
          </cell>
          <cell r="D576" t="str">
            <v>06.10.1995</v>
          </cell>
          <cell r="E576">
            <v>15</v>
          </cell>
          <cell r="F576">
            <v>6196000083</v>
          </cell>
        </row>
        <row r="577">
          <cell r="A577">
            <v>3400004794</v>
          </cell>
          <cell r="B577">
            <v>0</v>
          </cell>
          <cell r="C577">
            <v>6901</v>
          </cell>
          <cell r="D577" t="str">
            <v>06.10.1995</v>
          </cell>
          <cell r="E577">
            <v>25</v>
          </cell>
          <cell r="F577">
            <v>6196000084</v>
          </cell>
        </row>
        <row r="578">
          <cell r="A578">
            <v>3400002983</v>
          </cell>
          <cell r="B578">
            <v>0</v>
          </cell>
          <cell r="C578">
            <v>6600</v>
          </cell>
          <cell r="D578" t="str">
            <v>01.10.1996</v>
          </cell>
          <cell r="E578">
            <v>0</v>
          </cell>
          <cell r="F578">
            <v>6196000085</v>
          </cell>
        </row>
        <row r="579">
          <cell r="A579">
            <v>3400002984</v>
          </cell>
          <cell r="B579">
            <v>0</v>
          </cell>
          <cell r="C579">
            <v>6500</v>
          </cell>
          <cell r="D579" t="str">
            <v>01.10.1996</v>
          </cell>
          <cell r="E579">
            <v>0</v>
          </cell>
          <cell r="F579">
            <v>6196000086</v>
          </cell>
        </row>
        <row r="580">
          <cell r="A580">
            <v>3400002985</v>
          </cell>
          <cell r="B580">
            <v>0</v>
          </cell>
          <cell r="C580">
            <v>6500</v>
          </cell>
          <cell r="D580" t="str">
            <v>01.10.1996</v>
          </cell>
          <cell r="E580">
            <v>0</v>
          </cell>
          <cell r="F580">
            <v>6196000087</v>
          </cell>
        </row>
        <row r="581">
          <cell r="A581">
            <v>3400002986</v>
          </cell>
          <cell r="B581">
            <v>0</v>
          </cell>
          <cell r="C581">
            <v>5400</v>
          </cell>
          <cell r="D581" t="str">
            <v>01.10.1996</v>
          </cell>
          <cell r="E581">
            <v>0</v>
          </cell>
          <cell r="F581">
            <v>6196000089</v>
          </cell>
        </row>
        <row r="582">
          <cell r="A582">
            <v>3400002987</v>
          </cell>
          <cell r="B582">
            <v>0</v>
          </cell>
          <cell r="C582">
            <v>5301</v>
          </cell>
          <cell r="D582" t="str">
            <v>01.10.1996</v>
          </cell>
          <cell r="E582">
            <v>1</v>
          </cell>
          <cell r="F582">
            <v>6196000090</v>
          </cell>
        </row>
        <row r="583">
          <cell r="A583">
            <v>3400002988</v>
          </cell>
          <cell r="B583">
            <v>0</v>
          </cell>
          <cell r="C583">
            <v>5301</v>
          </cell>
          <cell r="D583" t="str">
            <v>01.10.1996</v>
          </cell>
          <cell r="E583">
            <v>1</v>
          </cell>
          <cell r="F583">
            <v>6196000091</v>
          </cell>
        </row>
        <row r="584">
          <cell r="A584">
            <v>3400002989</v>
          </cell>
          <cell r="B584">
            <v>0</v>
          </cell>
          <cell r="C584">
            <v>5400</v>
          </cell>
          <cell r="D584" t="str">
            <v>01.10.1996</v>
          </cell>
          <cell r="E584">
            <v>2</v>
          </cell>
          <cell r="F584">
            <v>6196000092</v>
          </cell>
        </row>
        <row r="585">
          <cell r="A585">
            <v>3400002990</v>
          </cell>
          <cell r="B585">
            <v>0</v>
          </cell>
          <cell r="C585">
            <v>5400</v>
          </cell>
          <cell r="D585" t="str">
            <v>01.10.1996</v>
          </cell>
          <cell r="E585">
            <v>1</v>
          </cell>
          <cell r="F585">
            <v>6196000093</v>
          </cell>
        </row>
        <row r="586">
          <cell r="A586">
            <v>3400002991</v>
          </cell>
          <cell r="B586">
            <v>0</v>
          </cell>
          <cell r="C586">
            <v>5400</v>
          </cell>
          <cell r="D586" t="str">
            <v>01.10.1996</v>
          </cell>
          <cell r="E586">
            <v>0</v>
          </cell>
          <cell r="F586">
            <v>6196000094</v>
          </cell>
        </row>
        <row r="587">
          <cell r="A587">
            <v>3400002992</v>
          </cell>
          <cell r="B587">
            <v>0</v>
          </cell>
          <cell r="C587">
            <v>6230</v>
          </cell>
          <cell r="D587" t="str">
            <v>01.10.1996</v>
          </cell>
          <cell r="E587">
            <v>0</v>
          </cell>
          <cell r="F587">
            <v>6196000095</v>
          </cell>
        </row>
        <row r="588">
          <cell r="A588">
            <v>3400002993</v>
          </cell>
          <cell r="B588">
            <v>0</v>
          </cell>
          <cell r="C588">
            <v>6230</v>
          </cell>
          <cell r="D588" t="str">
            <v>01.10.1996</v>
          </cell>
          <cell r="E588">
            <v>0</v>
          </cell>
          <cell r="F588">
            <v>6196000096</v>
          </cell>
        </row>
        <row r="589">
          <cell r="A589">
            <v>3400002994</v>
          </cell>
          <cell r="B589">
            <v>0</v>
          </cell>
          <cell r="C589">
            <v>6901</v>
          </cell>
          <cell r="D589" t="str">
            <v>08.09.1995</v>
          </cell>
          <cell r="E589">
            <v>30</v>
          </cell>
          <cell r="F589">
            <v>6196000097</v>
          </cell>
        </row>
        <row r="590">
          <cell r="A590">
            <v>3400002995</v>
          </cell>
          <cell r="B590">
            <v>0</v>
          </cell>
          <cell r="C590">
            <v>6901</v>
          </cell>
          <cell r="D590" t="str">
            <v>08.09.1995</v>
          </cell>
          <cell r="E590">
            <v>1</v>
          </cell>
          <cell r="F590">
            <v>6196000098</v>
          </cell>
        </row>
        <row r="591">
          <cell r="A591">
            <v>3400002996</v>
          </cell>
          <cell r="B591">
            <v>0</v>
          </cell>
          <cell r="C591">
            <v>5100</v>
          </cell>
          <cell r="D591" t="str">
            <v>01.10.1996</v>
          </cell>
          <cell r="E591">
            <v>0</v>
          </cell>
          <cell r="F591">
            <v>6196000099</v>
          </cell>
        </row>
        <row r="592">
          <cell r="A592">
            <v>3400002997</v>
          </cell>
          <cell r="B592">
            <v>0</v>
          </cell>
          <cell r="C592">
            <v>6901</v>
          </cell>
          <cell r="D592" t="str">
            <v>21.09.1995</v>
          </cell>
          <cell r="E592">
            <v>35</v>
          </cell>
          <cell r="F592">
            <v>6196000100</v>
          </cell>
        </row>
        <row r="593">
          <cell r="A593">
            <v>3400002998</v>
          </cell>
          <cell r="B593">
            <v>0</v>
          </cell>
          <cell r="C593">
            <v>6600</v>
          </cell>
          <cell r="D593" t="str">
            <v>01.10.1996</v>
          </cell>
          <cell r="E593">
            <v>2</v>
          </cell>
          <cell r="F593">
            <v>6196000101</v>
          </cell>
        </row>
        <row r="594">
          <cell r="A594">
            <v>3400002999</v>
          </cell>
          <cell r="B594">
            <v>0</v>
          </cell>
          <cell r="C594">
            <v>5100</v>
          </cell>
          <cell r="D594" t="str">
            <v>01.10.1996</v>
          </cell>
          <cell r="E594">
            <v>1</v>
          </cell>
          <cell r="F594">
            <v>6196000102</v>
          </cell>
        </row>
        <row r="595">
          <cell r="A595">
            <v>3400003000</v>
          </cell>
          <cell r="B595">
            <v>0</v>
          </cell>
          <cell r="C595">
            <v>5100</v>
          </cell>
          <cell r="D595" t="str">
            <v>01.10.1996</v>
          </cell>
          <cell r="E595">
            <v>1</v>
          </cell>
          <cell r="F595">
            <v>6196000103</v>
          </cell>
        </row>
        <row r="596">
          <cell r="A596">
            <v>3400003001</v>
          </cell>
          <cell r="B596">
            <v>0</v>
          </cell>
          <cell r="C596">
            <v>5100</v>
          </cell>
          <cell r="D596" t="str">
            <v>01.10.1996</v>
          </cell>
          <cell r="E596">
            <v>1</v>
          </cell>
          <cell r="F596">
            <v>6196000104</v>
          </cell>
        </row>
        <row r="597">
          <cell r="A597">
            <v>3400003002</v>
          </cell>
          <cell r="B597">
            <v>0</v>
          </cell>
          <cell r="C597">
            <v>5100</v>
          </cell>
          <cell r="D597" t="str">
            <v>01.10.1996</v>
          </cell>
          <cell r="E597">
            <v>1</v>
          </cell>
          <cell r="F597">
            <v>6196000105</v>
          </cell>
        </row>
        <row r="598">
          <cell r="A598">
            <v>3400003003</v>
          </cell>
          <cell r="B598">
            <v>0</v>
          </cell>
          <cell r="C598">
            <v>6801</v>
          </cell>
          <cell r="D598" t="str">
            <v>01.10.1996</v>
          </cell>
          <cell r="E598">
            <v>0</v>
          </cell>
          <cell r="F598">
            <v>6196000106</v>
          </cell>
        </row>
        <row r="599">
          <cell r="A599">
            <v>3400003004</v>
          </cell>
          <cell r="B599">
            <v>0</v>
          </cell>
          <cell r="C599">
            <v>6801</v>
          </cell>
          <cell r="D599" t="str">
            <v>01.10.1996</v>
          </cell>
          <cell r="E599">
            <v>0</v>
          </cell>
          <cell r="F599">
            <v>6196000107</v>
          </cell>
        </row>
        <row r="600">
          <cell r="A600">
            <v>3400003005</v>
          </cell>
          <cell r="B600">
            <v>0</v>
          </cell>
          <cell r="C600">
            <v>6901</v>
          </cell>
          <cell r="D600" t="str">
            <v>15.09.1995</v>
          </cell>
          <cell r="E600">
            <v>100</v>
          </cell>
          <cell r="F600">
            <v>6196000108</v>
          </cell>
        </row>
        <row r="601">
          <cell r="A601">
            <v>3400003006</v>
          </cell>
          <cell r="B601">
            <v>0</v>
          </cell>
          <cell r="C601">
            <v>6801</v>
          </cell>
          <cell r="D601" t="str">
            <v>01.10.1996</v>
          </cell>
          <cell r="E601">
            <v>0</v>
          </cell>
          <cell r="F601">
            <v>6196000109</v>
          </cell>
        </row>
        <row r="602">
          <cell r="A602">
            <v>3400003007</v>
          </cell>
          <cell r="B602">
            <v>0</v>
          </cell>
          <cell r="C602">
            <v>6901</v>
          </cell>
          <cell r="D602" t="str">
            <v>03.11.1995</v>
          </cell>
          <cell r="E602">
            <v>0</v>
          </cell>
          <cell r="F602">
            <v>6196000110</v>
          </cell>
        </row>
        <row r="603">
          <cell r="A603">
            <v>3400003008</v>
          </cell>
          <cell r="B603">
            <v>0</v>
          </cell>
          <cell r="C603">
            <v>6801</v>
          </cell>
          <cell r="D603" t="str">
            <v>01.10.1996</v>
          </cell>
          <cell r="E603">
            <v>1</v>
          </cell>
          <cell r="F603">
            <v>6196000111</v>
          </cell>
        </row>
        <row r="604">
          <cell r="A604">
            <v>3400003009</v>
          </cell>
          <cell r="B604">
            <v>0</v>
          </cell>
          <cell r="C604">
            <v>5301</v>
          </cell>
          <cell r="D604" t="str">
            <v>01.10.1996</v>
          </cell>
          <cell r="E604">
            <v>1</v>
          </cell>
          <cell r="F604">
            <v>6196000112</v>
          </cell>
        </row>
        <row r="605">
          <cell r="A605">
            <v>3400003010</v>
          </cell>
          <cell r="B605">
            <v>0</v>
          </cell>
          <cell r="C605">
            <v>5400</v>
          </cell>
          <cell r="D605" t="str">
            <v>01.10.1996</v>
          </cell>
          <cell r="E605">
            <v>1</v>
          </cell>
          <cell r="F605">
            <v>6196000113</v>
          </cell>
        </row>
        <row r="606">
          <cell r="A606">
            <v>3400003011</v>
          </cell>
          <cell r="B606">
            <v>0</v>
          </cell>
          <cell r="C606">
            <v>5400</v>
          </cell>
          <cell r="D606" t="str">
            <v>01.10.1996</v>
          </cell>
          <cell r="E606">
            <v>1</v>
          </cell>
          <cell r="F606">
            <v>6196000114</v>
          </cell>
        </row>
        <row r="607">
          <cell r="A607">
            <v>3400003012</v>
          </cell>
          <cell r="B607">
            <v>0</v>
          </cell>
          <cell r="C607">
            <v>6801</v>
          </cell>
          <cell r="D607" t="str">
            <v>01.10.1996</v>
          </cell>
          <cell r="E607">
            <v>0</v>
          </cell>
          <cell r="F607">
            <v>6196000115</v>
          </cell>
        </row>
        <row r="608">
          <cell r="A608">
            <v>3400003013</v>
          </cell>
          <cell r="B608">
            <v>0</v>
          </cell>
          <cell r="C608">
            <v>6230</v>
          </cell>
          <cell r="D608" t="str">
            <v>01.10.1996</v>
          </cell>
          <cell r="E608">
            <v>0</v>
          </cell>
          <cell r="F608">
            <v>6196000116</v>
          </cell>
        </row>
        <row r="609">
          <cell r="A609">
            <v>3400003014</v>
          </cell>
          <cell r="B609">
            <v>0</v>
          </cell>
          <cell r="C609">
            <v>6901</v>
          </cell>
          <cell r="D609" t="str">
            <v>06.11.1995</v>
          </cell>
          <cell r="E609">
            <v>15</v>
          </cell>
          <cell r="F609">
            <v>6196000117</v>
          </cell>
        </row>
        <row r="610">
          <cell r="A610">
            <v>3400003015</v>
          </cell>
          <cell r="B610">
            <v>0</v>
          </cell>
          <cell r="C610">
            <v>6210</v>
          </cell>
          <cell r="D610" t="str">
            <v>01.10.1996</v>
          </cell>
          <cell r="E610">
            <v>0</v>
          </cell>
          <cell r="F610">
            <v>6196000118</v>
          </cell>
        </row>
        <row r="611">
          <cell r="A611">
            <v>3400003016</v>
          </cell>
          <cell r="B611">
            <v>0</v>
          </cell>
          <cell r="C611">
            <v>6901</v>
          </cell>
          <cell r="D611" t="str">
            <v>06.11.1995</v>
          </cell>
          <cell r="E611">
            <v>20</v>
          </cell>
          <cell r="F611">
            <v>6196000119</v>
          </cell>
        </row>
        <row r="612">
          <cell r="A612">
            <v>3400003017</v>
          </cell>
          <cell r="B612">
            <v>0</v>
          </cell>
          <cell r="C612">
            <v>6901</v>
          </cell>
          <cell r="D612" t="str">
            <v>04.11.1995</v>
          </cell>
          <cell r="E612">
            <v>0</v>
          </cell>
          <cell r="F612">
            <v>6196000120</v>
          </cell>
        </row>
        <row r="613">
          <cell r="A613">
            <v>3400005202</v>
          </cell>
          <cell r="B613">
            <v>0</v>
          </cell>
          <cell r="C613">
            <v>6230</v>
          </cell>
          <cell r="D613" t="str">
            <v>01.10.1996</v>
          </cell>
          <cell r="E613">
            <v>2</v>
          </cell>
          <cell r="F613">
            <v>6196000121</v>
          </cell>
        </row>
        <row r="614">
          <cell r="A614">
            <v>3400003018</v>
          </cell>
          <cell r="B614">
            <v>0</v>
          </cell>
          <cell r="C614">
            <v>6230</v>
          </cell>
          <cell r="D614" t="str">
            <v>01.10.1996</v>
          </cell>
          <cell r="E614">
            <v>0</v>
          </cell>
          <cell r="F614">
            <v>6196000121</v>
          </cell>
        </row>
        <row r="615">
          <cell r="A615">
            <v>3400003019</v>
          </cell>
          <cell r="B615">
            <v>0</v>
          </cell>
          <cell r="C615">
            <v>6801</v>
          </cell>
          <cell r="D615" t="str">
            <v>01.10.1996</v>
          </cell>
          <cell r="E615">
            <v>1</v>
          </cell>
          <cell r="F615">
            <v>6196000122</v>
          </cell>
        </row>
        <row r="616">
          <cell r="A616">
            <v>3400003020</v>
          </cell>
          <cell r="B616">
            <v>0</v>
          </cell>
          <cell r="C616">
            <v>6801</v>
          </cell>
          <cell r="D616" t="str">
            <v>01.10.1996</v>
          </cell>
          <cell r="E616">
            <v>1</v>
          </cell>
          <cell r="F616">
            <v>6196000123</v>
          </cell>
        </row>
        <row r="617">
          <cell r="A617">
            <v>3400003021</v>
          </cell>
          <cell r="B617">
            <v>0</v>
          </cell>
          <cell r="C617">
            <v>6801</v>
          </cell>
          <cell r="D617" t="str">
            <v>01.10.1996</v>
          </cell>
          <cell r="E617">
            <v>1</v>
          </cell>
          <cell r="F617">
            <v>6196000124</v>
          </cell>
        </row>
        <row r="618">
          <cell r="A618">
            <v>3400003022</v>
          </cell>
          <cell r="B618">
            <v>0</v>
          </cell>
          <cell r="C618">
            <v>6801</v>
          </cell>
          <cell r="D618" t="str">
            <v>01.10.1996</v>
          </cell>
          <cell r="E618">
            <v>1</v>
          </cell>
          <cell r="F618">
            <v>6196000125</v>
          </cell>
        </row>
        <row r="619">
          <cell r="A619">
            <v>3400003023</v>
          </cell>
          <cell r="B619">
            <v>0</v>
          </cell>
          <cell r="C619">
            <v>5300</v>
          </cell>
          <cell r="D619" t="str">
            <v>01.10.1996</v>
          </cell>
          <cell r="E619">
            <v>1</v>
          </cell>
          <cell r="F619">
            <v>6196000126</v>
          </cell>
        </row>
        <row r="620">
          <cell r="A620">
            <v>3400003024</v>
          </cell>
          <cell r="B620">
            <v>0</v>
          </cell>
          <cell r="C620">
            <v>6901</v>
          </cell>
          <cell r="D620" t="str">
            <v>14.11.1995</v>
          </cell>
          <cell r="E620">
            <v>3</v>
          </cell>
          <cell r="F620">
            <v>6196000127</v>
          </cell>
        </row>
        <row r="621">
          <cell r="A621">
            <v>3400003025</v>
          </cell>
          <cell r="B621">
            <v>0</v>
          </cell>
          <cell r="C621">
            <v>6901</v>
          </cell>
          <cell r="D621" t="str">
            <v>08.11.1995</v>
          </cell>
          <cell r="E621">
            <v>2</v>
          </cell>
          <cell r="F621">
            <v>6196000128</v>
          </cell>
        </row>
        <row r="622">
          <cell r="A622">
            <v>3400003026</v>
          </cell>
          <cell r="B622">
            <v>0</v>
          </cell>
          <cell r="C622">
            <v>6801</v>
          </cell>
          <cell r="D622" t="str">
            <v>01.10.1996</v>
          </cell>
          <cell r="E622">
            <v>1</v>
          </cell>
          <cell r="F622">
            <v>6196000129</v>
          </cell>
        </row>
        <row r="623">
          <cell r="A623">
            <v>3400003027</v>
          </cell>
          <cell r="B623">
            <v>0</v>
          </cell>
          <cell r="C623">
            <v>6210</v>
          </cell>
          <cell r="D623" t="str">
            <v>01.10.1996</v>
          </cell>
          <cell r="E623">
            <v>0</v>
          </cell>
          <cell r="F623">
            <v>6196000130</v>
          </cell>
        </row>
        <row r="624">
          <cell r="A624">
            <v>3400003028</v>
          </cell>
          <cell r="B624">
            <v>0</v>
          </cell>
          <cell r="C624">
            <v>6210</v>
          </cell>
          <cell r="D624" t="str">
            <v>01.10.1996</v>
          </cell>
          <cell r="E624">
            <v>0</v>
          </cell>
          <cell r="F624">
            <v>6196000131</v>
          </cell>
        </row>
        <row r="625">
          <cell r="A625">
            <v>3400003029</v>
          </cell>
          <cell r="B625">
            <v>0</v>
          </cell>
          <cell r="C625">
            <v>6210</v>
          </cell>
          <cell r="D625" t="str">
            <v>01.10.1996</v>
          </cell>
          <cell r="E625">
            <v>0</v>
          </cell>
          <cell r="F625">
            <v>6196000132</v>
          </cell>
        </row>
        <row r="626">
          <cell r="A626">
            <v>3400003030</v>
          </cell>
          <cell r="B626">
            <v>0</v>
          </cell>
          <cell r="C626">
            <v>5300</v>
          </cell>
          <cell r="D626" t="str">
            <v>01.10.1996</v>
          </cell>
          <cell r="E626">
            <v>1</v>
          </cell>
          <cell r="F626">
            <v>6196000133</v>
          </cell>
        </row>
        <row r="627">
          <cell r="A627">
            <v>3400003031</v>
          </cell>
          <cell r="B627">
            <v>0</v>
          </cell>
          <cell r="C627">
            <v>5300</v>
          </cell>
          <cell r="D627" t="str">
            <v>01.10.1996</v>
          </cell>
          <cell r="E627">
            <v>0</v>
          </cell>
          <cell r="F627">
            <v>6196000134</v>
          </cell>
        </row>
        <row r="628">
          <cell r="A628">
            <v>3400003032</v>
          </cell>
          <cell r="B628">
            <v>0</v>
          </cell>
          <cell r="C628">
            <v>6600</v>
          </cell>
          <cell r="D628" t="str">
            <v>01.10.1996</v>
          </cell>
          <cell r="E628">
            <v>0</v>
          </cell>
          <cell r="F628">
            <v>6196000135</v>
          </cell>
        </row>
        <row r="629">
          <cell r="A629">
            <v>3400003033</v>
          </cell>
          <cell r="B629">
            <v>0</v>
          </cell>
          <cell r="C629">
            <v>6600</v>
          </cell>
          <cell r="D629" t="str">
            <v>01.10.1996</v>
          </cell>
          <cell r="E629">
            <v>1</v>
          </cell>
          <cell r="F629">
            <v>6196000136</v>
          </cell>
        </row>
        <row r="630">
          <cell r="A630">
            <v>3400003034</v>
          </cell>
          <cell r="B630">
            <v>0</v>
          </cell>
          <cell r="C630">
            <v>6600</v>
          </cell>
          <cell r="D630" t="str">
            <v>01.10.1996</v>
          </cell>
          <cell r="E630">
            <v>1</v>
          </cell>
          <cell r="F630">
            <v>6196000137</v>
          </cell>
        </row>
        <row r="631">
          <cell r="A631">
            <v>3400003035</v>
          </cell>
          <cell r="B631">
            <v>0</v>
          </cell>
          <cell r="C631">
            <v>6901</v>
          </cell>
          <cell r="D631" t="str">
            <v>31.01.1996</v>
          </cell>
          <cell r="E631">
            <v>25</v>
          </cell>
          <cell r="F631">
            <v>6196000138</v>
          </cell>
        </row>
        <row r="632">
          <cell r="A632">
            <v>3400003036</v>
          </cell>
          <cell r="B632">
            <v>0</v>
          </cell>
          <cell r="C632">
            <v>5400</v>
          </cell>
          <cell r="D632" t="str">
            <v>01.10.1996</v>
          </cell>
          <cell r="E632">
            <v>1</v>
          </cell>
          <cell r="F632">
            <v>6196000139</v>
          </cell>
        </row>
        <row r="633">
          <cell r="A633">
            <v>3400003037</v>
          </cell>
          <cell r="B633">
            <v>0</v>
          </cell>
          <cell r="C633">
            <v>6901</v>
          </cell>
          <cell r="D633" t="str">
            <v>02.02.1996</v>
          </cell>
          <cell r="E633">
            <v>2</v>
          </cell>
          <cell r="F633">
            <v>6196000140</v>
          </cell>
        </row>
        <row r="634">
          <cell r="A634">
            <v>3400003038</v>
          </cell>
          <cell r="B634">
            <v>0</v>
          </cell>
          <cell r="C634">
            <v>6500</v>
          </cell>
          <cell r="D634" t="str">
            <v>01.10.1996</v>
          </cell>
          <cell r="E634">
            <v>0</v>
          </cell>
          <cell r="F634">
            <v>6196000141</v>
          </cell>
        </row>
        <row r="635">
          <cell r="A635">
            <v>3400003039</v>
          </cell>
          <cell r="B635">
            <v>0</v>
          </cell>
          <cell r="C635">
            <v>6500</v>
          </cell>
          <cell r="D635" t="str">
            <v>01.10.1996</v>
          </cell>
          <cell r="E635">
            <v>0</v>
          </cell>
          <cell r="F635">
            <v>6196000142</v>
          </cell>
        </row>
        <row r="636">
          <cell r="A636">
            <v>3400003040</v>
          </cell>
          <cell r="B636">
            <v>0</v>
          </cell>
          <cell r="C636">
            <v>6500</v>
          </cell>
          <cell r="D636" t="str">
            <v>01.10.1996</v>
          </cell>
          <cell r="E636">
            <v>0</v>
          </cell>
          <cell r="F636">
            <v>6196000143</v>
          </cell>
        </row>
        <row r="637">
          <cell r="A637">
            <v>3400003041</v>
          </cell>
          <cell r="B637">
            <v>0</v>
          </cell>
          <cell r="C637">
            <v>6901</v>
          </cell>
          <cell r="D637" t="str">
            <v>06.02.1996</v>
          </cell>
          <cell r="E637">
            <v>1</v>
          </cell>
          <cell r="F637">
            <v>6196000144</v>
          </cell>
        </row>
        <row r="638">
          <cell r="A638">
            <v>3400003042</v>
          </cell>
          <cell r="B638">
            <v>0</v>
          </cell>
          <cell r="C638">
            <v>6901</v>
          </cell>
          <cell r="D638" t="str">
            <v>20.01.1996</v>
          </cell>
          <cell r="E638">
            <v>0</v>
          </cell>
          <cell r="F638">
            <v>6196000145</v>
          </cell>
        </row>
        <row r="639">
          <cell r="A639">
            <v>3400003043</v>
          </cell>
          <cell r="B639">
            <v>0</v>
          </cell>
          <cell r="C639">
            <v>5801</v>
          </cell>
          <cell r="D639" t="str">
            <v>01.10.1996</v>
          </cell>
          <cell r="E639">
            <v>0</v>
          </cell>
          <cell r="F639">
            <v>6196000146</v>
          </cell>
        </row>
        <row r="640">
          <cell r="A640">
            <v>3400003044</v>
          </cell>
          <cell r="B640">
            <v>0</v>
          </cell>
          <cell r="C640">
            <v>5801</v>
          </cell>
          <cell r="D640" t="str">
            <v>01.10.1996</v>
          </cell>
          <cell r="E640">
            <v>0</v>
          </cell>
          <cell r="F640">
            <v>6196000147</v>
          </cell>
        </row>
        <row r="641">
          <cell r="A641">
            <v>3400003045</v>
          </cell>
          <cell r="B641">
            <v>0</v>
          </cell>
          <cell r="C641">
            <v>5801</v>
          </cell>
          <cell r="D641" t="str">
            <v>01.10.1996</v>
          </cell>
          <cell r="E641">
            <v>0</v>
          </cell>
          <cell r="F641">
            <v>6196000148</v>
          </cell>
        </row>
        <row r="642">
          <cell r="A642">
            <v>3400003046</v>
          </cell>
          <cell r="B642">
            <v>0</v>
          </cell>
          <cell r="C642">
            <v>5100</v>
          </cell>
          <cell r="D642" t="str">
            <v>01.10.1996</v>
          </cell>
          <cell r="E642">
            <v>1</v>
          </cell>
          <cell r="F642">
            <v>6196000149</v>
          </cell>
        </row>
        <row r="643">
          <cell r="A643">
            <v>3400003047</v>
          </cell>
          <cell r="B643">
            <v>0</v>
          </cell>
          <cell r="C643">
            <v>5100</v>
          </cell>
          <cell r="D643" t="str">
            <v>01.10.1996</v>
          </cell>
          <cell r="E643">
            <v>1</v>
          </cell>
          <cell r="F643">
            <v>6196000150</v>
          </cell>
        </row>
        <row r="644">
          <cell r="A644">
            <v>3400003048</v>
          </cell>
          <cell r="B644">
            <v>0</v>
          </cell>
          <cell r="C644">
            <v>5100</v>
          </cell>
          <cell r="D644" t="str">
            <v>01.10.1996</v>
          </cell>
          <cell r="E644">
            <v>1</v>
          </cell>
          <cell r="F644">
            <v>6196000151</v>
          </cell>
        </row>
        <row r="645">
          <cell r="A645">
            <v>3400003049</v>
          </cell>
          <cell r="B645">
            <v>0</v>
          </cell>
          <cell r="C645">
            <v>5100</v>
          </cell>
          <cell r="D645" t="str">
            <v>01.10.1996</v>
          </cell>
          <cell r="E645">
            <v>1</v>
          </cell>
          <cell r="F645">
            <v>6196000152</v>
          </cell>
        </row>
        <row r="646">
          <cell r="A646">
            <v>3400003050</v>
          </cell>
          <cell r="B646">
            <v>0</v>
          </cell>
          <cell r="C646">
            <v>5801</v>
          </cell>
          <cell r="D646" t="str">
            <v>01.10.1996</v>
          </cell>
          <cell r="E646">
            <v>0</v>
          </cell>
          <cell r="F646">
            <v>6196000153</v>
          </cell>
        </row>
        <row r="647">
          <cell r="A647">
            <v>3400003051</v>
          </cell>
          <cell r="B647">
            <v>0</v>
          </cell>
          <cell r="C647">
            <v>5801</v>
          </cell>
          <cell r="D647" t="str">
            <v>01.10.1996</v>
          </cell>
          <cell r="E647">
            <v>0</v>
          </cell>
          <cell r="F647">
            <v>6196000154</v>
          </cell>
        </row>
        <row r="648">
          <cell r="A648">
            <v>3400003052</v>
          </cell>
          <cell r="B648">
            <v>0</v>
          </cell>
          <cell r="C648">
            <v>5801</v>
          </cell>
          <cell r="D648" t="str">
            <v>01.10.1996</v>
          </cell>
          <cell r="E648">
            <v>0</v>
          </cell>
          <cell r="F648">
            <v>6196000155</v>
          </cell>
        </row>
        <row r="649">
          <cell r="A649">
            <v>3400003053</v>
          </cell>
          <cell r="B649">
            <v>0</v>
          </cell>
          <cell r="C649">
            <v>5801</v>
          </cell>
          <cell r="D649" t="str">
            <v>01.10.1996</v>
          </cell>
          <cell r="E649">
            <v>0</v>
          </cell>
          <cell r="F649">
            <v>6196000156</v>
          </cell>
        </row>
        <row r="650">
          <cell r="A650">
            <v>3400003054</v>
          </cell>
          <cell r="B650">
            <v>0</v>
          </cell>
          <cell r="C650">
            <v>5801</v>
          </cell>
          <cell r="D650" t="str">
            <v>01.10.1996</v>
          </cell>
          <cell r="E650">
            <v>0</v>
          </cell>
          <cell r="F650">
            <v>6196000157</v>
          </cell>
        </row>
        <row r="651">
          <cell r="A651">
            <v>3400003055</v>
          </cell>
          <cell r="B651">
            <v>0</v>
          </cell>
          <cell r="C651">
            <v>5801</v>
          </cell>
          <cell r="D651" t="str">
            <v>01.10.1996</v>
          </cell>
          <cell r="E651">
            <v>0</v>
          </cell>
          <cell r="F651">
            <v>6196000158</v>
          </cell>
        </row>
        <row r="652">
          <cell r="A652">
            <v>3400003056</v>
          </cell>
          <cell r="B652">
            <v>0</v>
          </cell>
          <cell r="C652">
            <v>5801</v>
          </cell>
          <cell r="D652" t="str">
            <v>01.10.1996</v>
          </cell>
          <cell r="E652">
            <v>0</v>
          </cell>
          <cell r="F652">
            <v>6196000159</v>
          </cell>
        </row>
        <row r="653">
          <cell r="A653">
            <v>3400003057</v>
          </cell>
          <cell r="B653">
            <v>0</v>
          </cell>
          <cell r="C653">
            <v>5801</v>
          </cell>
          <cell r="D653" t="str">
            <v>01.10.1996</v>
          </cell>
          <cell r="E653">
            <v>0</v>
          </cell>
          <cell r="F653">
            <v>6196000160</v>
          </cell>
        </row>
        <row r="654">
          <cell r="A654">
            <v>3400003058</v>
          </cell>
          <cell r="B654">
            <v>0</v>
          </cell>
          <cell r="C654">
            <v>5801</v>
          </cell>
          <cell r="D654" t="str">
            <v>01.10.1996</v>
          </cell>
          <cell r="E654">
            <v>0</v>
          </cell>
          <cell r="F654">
            <v>6196000161</v>
          </cell>
        </row>
        <row r="655">
          <cell r="A655">
            <v>3400003059</v>
          </cell>
          <cell r="B655">
            <v>0</v>
          </cell>
          <cell r="C655">
            <v>5801</v>
          </cell>
          <cell r="D655" t="str">
            <v>01.10.1996</v>
          </cell>
          <cell r="E655">
            <v>0</v>
          </cell>
          <cell r="F655">
            <v>6196000162</v>
          </cell>
        </row>
        <row r="656">
          <cell r="A656">
            <v>3400003060</v>
          </cell>
          <cell r="B656">
            <v>0</v>
          </cell>
          <cell r="C656">
            <v>5801</v>
          </cell>
          <cell r="D656" t="str">
            <v>01.10.1996</v>
          </cell>
          <cell r="E656">
            <v>0</v>
          </cell>
          <cell r="F656">
            <v>6196000163</v>
          </cell>
        </row>
        <row r="657">
          <cell r="A657">
            <v>3400003061</v>
          </cell>
          <cell r="B657">
            <v>0</v>
          </cell>
          <cell r="C657">
            <v>5801</v>
          </cell>
          <cell r="D657" t="str">
            <v>01.10.1996</v>
          </cell>
          <cell r="E657">
            <v>0</v>
          </cell>
          <cell r="F657">
            <v>6196000164</v>
          </cell>
        </row>
        <row r="658">
          <cell r="A658">
            <v>3400003062</v>
          </cell>
          <cell r="B658">
            <v>0</v>
          </cell>
          <cell r="C658">
            <v>5801</v>
          </cell>
          <cell r="D658" t="str">
            <v>01.10.1996</v>
          </cell>
          <cell r="E658">
            <v>0</v>
          </cell>
          <cell r="F658">
            <v>6196000165</v>
          </cell>
        </row>
        <row r="659">
          <cell r="A659">
            <v>3400003063</v>
          </cell>
          <cell r="B659">
            <v>0</v>
          </cell>
          <cell r="C659">
            <v>5801</v>
          </cell>
          <cell r="D659" t="str">
            <v>01.10.1996</v>
          </cell>
          <cell r="E659">
            <v>0</v>
          </cell>
          <cell r="F659">
            <v>6196000166</v>
          </cell>
        </row>
        <row r="660">
          <cell r="A660">
            <v>3400003064</v>
          </cell>
          <cell r="B660">
            <v>0</v>
          </cell>
          <cell r="C660">
            <v>5801</v>
          </cell>
          <cell r="D660" t="str">
            <v>01.10.1996</v>
          </cell>
          <cell r="E660">
            <v>0</v>
          </cell>
          <cell r="F660">
            <v>6196000167</v>
          </cell>
        </row>
        <row r="661">
          <cell r="A661">
            <v>3400003065</v>
          </cell>
          <cell r="B661">
            <v>0</v>
          </cell>
          <cell r="C661">
            <v>5801</v>
          </cell>
          <cell r="D661" t="str">
            <v>01.10.1996</v>
          </cell>
          <cell r="E661">
            <v>0</v>
          </cell>
          <cell r="F661">
            <v>6196000168</v>
          </cell>
        </row>
        <row r="662">
          <cell r="A662">
            <v>3400003066</v>
          </cell>
          <cell r="B662">
            <v>0</v>
          </cell>
          <cell r="C662">
            <v>5801</v>
          </cell>
          <cell r="D662" t="str">
            <v>01.10.1996</v>
          </cell>
          <cell r="E662">
            <v>0</v>
          </cell>
          <cell r="F662">
            <v>6196000169</v>
          </cell>
        </row>
        <row r="663">
          <cell r="A663">
            <v>3400003067</v>
          </cell>
          <cell r="B663">
            <v>0</v>
          </cell>
          <cell r="C663">
            <v>5801</v>
          </cell>
          <cell r="D663" t="str">
            <v>01.10.1996</v>
          </cell>
          <cell r="E663">
            <v>0</v>
          </cell>
          <cell r="F663">
            <v>6196000170</v>
          </cell>
        </row>
        <row r="664">
          <cell r="A664">
            <v>3400003068</v>
          </cell>
          <cell r="B664">
            <v>0</v>
          </cell>
          <cell r="C664">
            <v>5801</v>
          </cell>
          <cell r="D664" t="str">
            <v>01.10.1996</v>
          </cell>
          <cell r="E664">
            <v>0</v>
          </cell>
          <cell r="F664">
            <v>6196000171</v>
          </cell>
        </row>
        <row r="665">
          <cell r="A665">
            <v>3400003069</v>
          </cell>
          <cell r="B665">
            <v>0</v>
          </cell>
          <cell r="C665">
            <v>5801</v>
          </cell>
          <cell r="D665" t="str">
            <v>01.10.1996</v>
          </cell>
          <cell r="E665">
            <v>0</v>
          </cell>
          <cell r="F665">
            <v>6196000172</v>
          </cell>
        </row>
        <row r="666">
          <cell r="A666">
            <v>3400003070</v>
          </cell>
          <cell r="B666">
            <v>0</v>
          </cell>
          <cell r="C666">
            <v>5801</v>
          </cell>
          <cell r="D666" t="str">
            <v>01.10.1996</v>
          </cell>
          <cell r="E666">
            <v>0</v>
          </cell>
          <cell r="F666">
            <v>6196000173</v>
          </cell>
        </row>
        <row r="667">
          <cell r="A667">
            <v>3400003071</v>
          </cell>
          <cell r="B667">
            <v>0</v>
          </cell>
          <cell r="C667">
            <v>5801</v>
          </cell>
          <cell r="D667" t="str">
            <v>01.10.1996</v>
          </cell>
          <cell r="E667">
            <v>0</v>
          </cell>
          <cell r="F667">
            <v>6196000174</v>
          </cell>
        </row>
        <row r="668">
          <cell r="A668">
            <v>3400003072</v>
          </cell>
          <cell r="B668">
            <v>0</v>
          </cell>
          <cell r="C668">
            <v>5801</v>
          </cell>
          <cell r="D668" t="str">
            <v>01.10.1996</v>
          </cell>
          <cell r="E668">
            <v>0</v>
          </cell>
          <cell r="F668">
            <v>6196000175</v>
          </cell>
        </row>
        <row r="669">
          <cell r="A669">
            <v>3400003073</v>
          </cell>
          <cell r="B669">
            <v>0</v>
          </cell>
          <cell r="C669">
            <v>5801</v>
          </cell>
          <cell r="D669" t="str">
            <v>01.10.1996</v>
          </cell>
          <cell r="E669">
            <v>0</v>
          </cell>
          <cell r="F669">
            <v>6196000176</v>
          </cell>
        </row>
        <row r="670">
          <cell r="A670">
            <v>3400003074</v>
          </cell>
          <cell r="B670">
            <v>0</v>
          </cell>
          <cell r="C670">
            <v>5801</v>
          </cell>
          <cell r="D670" t="str">
            <v>01.10.1996</v>
          </cell>
          <cell r="E670">
            <v>0</v>
          </cell>
          <cell r="F670">
            <v>6196000177</v>
          </cell>
        </row>
        <row r="671">
          <cell r="A671">
            <v>3400003075</v>
          </cell>
          <cell r="B671">
            <v>0</v>
          </cell>
          <cell r="C671">
            <v>5801</v>
          </cell>
          <cell r="D671" t="str">
            <v>01.10.1996</v>
          </cell>
          <cell r="E671">
            <v>0</v>
          </cell>
          <cell r="F671">
            <v>6196000178</v>
          </cell>
        </row>
        <row r="672">
          <cell r="A672">
            <v>3400003076</v>
          </cell>
          <cell r="B672">
            <v>0</v>
          </cell>
          <cell r="C672">
            <v>5801</v>
          </cell>
          <cell r="D672" t="str">
            <v>01.10.1996</v>
          </cell>
          <cell r="E672">
            <v>0</v>
          </cell>
          <cell r="F672">
            <v>6196000179</v>
          </cell>
        </row>
        <row r="673">
          <cell r="A673">
            <v>3400003077</v>
          </cell>
          <cell r="B673">
            <v>0</v>
          </cell>
          <cell r="C673">
            <v>5801</v>
          </cell>
          <cell r="D673" t="str">
            <v>01.10.1996</v>
          </cell>
          <cell r="E673">
            <v>0</v>
          </cell>
          <cell r="F673">
            <v>6196000180</v>
          </cell>
        </row>
        <row r="674">
          <cell r="A674">
            <v>3400003078</v>
          </cell>
          <cell r="B674">
            <v>0</v>
          </cell>
          <cell r="C674">
            <v>5801</v>
          </cell>
          <cell r="D674" t="str">
            <v>01.10.1996</v>
          </cell>
          <cell r="E674">
            <v>0</v>
          </cell>
          <cell r="F674">
            <v>6196000181</v>
          </cell>
        </row>
        <row r="675">
          <cell r="A675">
            <v>3400003079</v>
          </cell>
          <cell r="B675">
            <v>0</v>
          </cell>
          <cell r="C675">
            <v>5801</v>
          </cell>
          <cell r="D675" t="str">
            <v>01.10.1996</v>
          </cell>
          <cell r="E675">
            <v>0</v>
          </cell>
          <cell r="F675">
            <v>6196000182</v>
          </cell>
        </row>
        <row r="676">
          <cell r="A676">
            <v>3400003080</v>
          </cell>
          <cell r="B676">
            <v>0</v>
          </cell>
          <cell r="C676">
            <v>5801</v>
          </cell>
          <cell r="D676" t="str">
            <v>01.10.1996</v>
          </cell>
          <cell r="E676">
            <v>0</v>
          </cell>
          <cell r="F676">
            <v>6196000183</v>
          </cell>
        </row>
        <row r="677">
          <cell r="A677">
            <v>3400003081</v>
          </cell>
          <cell r="B677">
            <v>0</v>
          </cell>
          <cell r="C677">
            <v>5801</v>
          </cell>
          <cell r="D677" t="str">
            <v>01.10.1996</v>
          </cell>
          <cell r="E677">
            <v>0</v>
          </cell>
          <cell r="F677">
            <v>6196000184</v>
          </cell>
        </row>
        <row r="678">
          <cell r="A678">
            <v>3400003082</v>
          </cell>
          <cell r="B678">
            <v>0</v>
          </cell>
          <cell r="C678">
            <v>5801</v>
          </cell>
          <cell r="D678" t="str">
            <v>01.10.1996</v>
          </cell>
          <cell r="E678">
            <v>0</v>
          </cell>
          <cell r="F678">
            <v>6196000185</v>
          </cell>
        </row>
        <row r="679">
          <cell r="A679">
            <v>3400003083</v>
          </cell>
          <cell r="B679">
            <v>0</v>
          </cell>
          <cell r="C679">
            <v>5801</v>
          </cell>
          <cell r="D679" t="str">
            <v>01.10.1996</v>
          </cell>
          <cell r="E679">
            <v>0</v>
          </cell>
          <cell r="F679">
            <v>6196000186</v>
          </cell>
        </row>
        <row r="680">
          <cell r="A680">
            <v>3400003084</v>
          </cell>
          <cell r="B680">
            <v>0</v>
          </cell>
          <cell r="C680">
            <v>5801</v>
          </cell>
          <cell r="D680" t="str">
            <v>01.10.1996</v>
          </cell>
          <cell r="E680">
            <v>0</v>
          </cell>
          <cell r="F680">
            <v>6196000187</v>
          </cell>
        </row>
        <row r="681">
          <cell r="A681">
            <v>3400003085</v>
          </cell>
          <cell r="B681">
            <v>0</v>
          </cell>
          <cell r="C681">
            <v>5801</v>
          </cell>
          <cell r="D681" t="str">
            <v>01.10.1996</v>
          </cell>
          <cell r="E681">
            <v>0</v>
          </cell>
          <cell r="F681">
            <v>6196000188</v>
          </cell>
        </row>
        <row r="682">
          <cell r="A682">
            <v>3400003086</v>
          </cell>
          <cell r="B682">
            <v>0</v>
          </cell>
          <cell r="C682">
            <v>5801</v>
          </cell>
          <cell r="D682" t="str">
            <v>01.10.1996</v>
          </cell>
          <cell r="E682">
            <v>0</v>
          </cell>
          <cell r="F682">
            <v>6196000189</v>
          </cell>
        </row>
        <row r="683">
          <cell r="A683">
            <v>3400003087</v>
          </cell>
          <cell r="B683">
            <v>0</v>
          </cell>
          <cell r="C683">
            <v>5801</v>
          </cell>
          <cell r="D683" t="str">
            <v>01.10.1996</v>
          </cell>
          <cell r="E683">
            <v>0</v>
          </cell>
          <cell r="F683">
            <v>6196000190</v>
          </cell>
        </row>
        <row r="684">
          <cell r="A684">
            <v>3400003088</v>
          </cell>
          <cell r="B684">
            <v>0</v>
          </cell>
          <cell r="C684">
            <v>5801</v>
          </cell>
          <cell r="D684" t="str">
            <v>01.10.1996</v>
          </cell>
          <cell r="E684">
            <v>0</v>
          </cell>
          <cell r="F684">
            <v>6196000191</v>
          </cell>
        </row>
        <row r="685">
          <cell r="A685">
            <v>3400003089</v>
          </cell>
          <cell r="B685">
            <v>0</v>
          </cell>
          <cell r="C685">
            <v>5801</v>
          </cell>
          <cell r="D685" t="str">
            <v>01.10.1996</v>
          </cell>
          <cell r="E685">
            <v>0</v>
          </cell>
          <cell r="F685">
            <v>6196000192</v>
          </cell>
        </row>
        <row r="686">
          <cell r="A686">
            <v>3400003090</v>
          </cell>
          <cell r="B686">
            <v>0</v>
          </cell>
          <cell r="C686">
            <v>5801</v>
          </cell>
          <cell r="D686" t="str">
            <v>01.10.1996</v>
          </cell>
          <cell r="E686">
            <v>0</v>
          </cell>
          <cell r="F686">
            <v>6196000193</v>
          </cell>
        </row>
        <row r="687">
          <cell r="A687">
            <v>3400003091</v>
          </cell>
          <cell r="B687">
            <v>0</v>
          </cell>
          <cell r="C687">
            <v>5801</v>
          </cell>
          <cell r="D687" t="str">
            <v>01.10.1996</v>
          </cell>
          <cell r="E687">
            <v>0</v>
          </cell>
          <cell r="F687">
            <v>6196000194</v>
          </cell>
        </row>
        <row r="688">
          <cell r="A688">
            <v>3400003092</v>
          </cell>
          <cell r="B688">
            <v>0</v>
          </cell>
          <cell r="C688">
            <v>5801</v>
          </cell>
          <cell r="D688" t="str">
            <v>01.10.1996</v>
          </cell>
          <cell r="E688">
            <v>0</v>
          </cell>
          <cell r="F688">
            <v>6196000195</v>
          </cell>
        </row>
        <row r="689">
          <cell r="A689">
            <v>3400003093</v>
          </cell>
          <cell r="B689">
            <v>0</v>
          </cell>
          <cell r="C689">
            <v>5801</v>
          </cell>
          <cell r="D689" t="str">
            <v>01.10.1996</v>
          </cell>
          <cell r="E689">
            <v>0</v>
          </cell>
          <cell r="F689">
            <v>6196000196</v>
          </cell>
        </row>
        <row r="690">
          <cell r="A690">
            <v>3400003094</v>
          </cell>
          <cell r="B690">
            <v>0</v>
          </cell>
          <cell r="C690">
            <v>5801</v>
          </cell>
          <cell r="D690" t="str">
            <v>01.10.1996</v>
          </cell>
          <cell r="E690">
            <v>0</v>
          </cell>
          <cell r="F690">
            <v>6196000197</v>
          </cell>
        </row>
        <row r="691">
          <cell r="A691">
            <v>3400003095</v>
          </cell>
          <cell r="B691">
            <v>0</v>
          </cell>
          <cell r="C691">
            <v>5801</v>
          </cell>
          <cell r="D691" t="str">
            <v>01.10.1996</v>
          </cell>
          <cell r="E691">
            <v>0</v>
          </cell>
          <cell r="F691">
            <v>6196000198</v>
          </cell>
        </row>
        <row r="692">
          <cell r="A692">
            <v>3400003096</v>
          </cell>
          <cell r="B692">
            <v>0</v>
          </cell>
          <cell r="C692">
            <v>5801</v>
          </cell>
          <cell r="D692" t="str">
            <v>01.10.1996</v>
          </cell>
          <cell r="E692">
            <v>0</v>
          </cell>
          <cell r="F692">
            <v>6196000199</v>
          </cell>
        </row>
        <row r="693">
          <cell r="A693">
            <v>3400003097</v>
          </cell>
          <cell r="B693">
            <v>0</v>
          </cell>
          <cell r="C693">
            <v>5801</v>
          </cell>
          <cell r="D693" t="str">
            <v>01.10.1996</v>
          </cell>
          <cell r="E693">
            <v>0</v>
          </cell>
          <cell r="F693">
            <v>6196000200</v>
          </cell>
        </row>
        <row r="694">
          <cell r="A694">
            <v>3400003098</v>
          </cell>
          <cell r="B694">
            <v>0</v>
          </cell>
          <cell r="C694">
            <v>5801</v>
          </cell>
          <cell r="D694" t="str">
            <v>01.10.1996</v>
          </cell>
          <cell r="E694">
            <v>0</v>
          </cell>
          <cell r="F694">
            <v>6196000201</v>
          </cell>
        </row>
        <row r="695">
          <cell r="A695">
            <v>3400003099</v>
          </cell>
          <cell r="B695">
            <v>0</v>
          </cell>
          <cell r="C695">
            <v>5801</v>
          </cell>
          <cell r="D695" t="str">
            <v>01.10.1996</v>
          </cell>
          <cell r="E695">
            <v>0</v>
          </cell>
          <cell r="F695">
            <v>6196000202</v>
          </cell>
        </row>
        <row r="696">
          <cell r="A696">
            <v>3400003100</v>
          </cell>
          <cell r="B696">
            <v>0</v>
          </cell>
          <cell r="C696">
            <v>5801</v>
          </cell>
          <cell r="D696" t="str">
            <v>01.10.1996</v>
          </cell>
          <cell r="E696">
            <v>0</v>
          </cell>
          <cell r="F696">
            <v>6196000203</v>
          </cell>
        </row>
        <row r="697">
          <cell r="A697">
            <v>3400003101</v>
          </cell>
          <cell r="B697">
            <v>0</v>
          </cell>
          <cell r="C697">
            <v>5801</v>
          </cell>
          <cell r="D697" t="str">
            <v>01.10.1996</v>
          </cell>
          <cell r="E697">
            <v>0</v>
          </cell>
          <cell r="F697">
            <v>6196000204</v>
          </cell>
        </row>
        <row r="698">
          <cell r="A698">
            <v>3400003102</v>
          </cell>
          <cell r="B698">
            <v>0</v>
          </cell>
          <cell r="C698">
            <v>5801</v>
          </cell>
          <cell r="D698" t="str">
            <v>01.10.1996</v>
          </cell>
          <cell r="E698">
            <v>0</v>
          </cell>
          <cell r="F698">
            <v>6196000205</v>
          </cell>
        </row>
        <row r="699">
          <cell r="A699">
            <v>3400003103</v>
          </cell>
          <cell r="B699">
            <v>0</v>
          </cell>
          <cell r="C699">
            <v>5801</v>
          </cell>
          <cell r="D699" t="str">
            <v>01.10.1996</v>
          </cell>
          <cell r="E699">
            <v>0</v>
          </cell>
          <cell r="F699">
            <v>6196000206</v>
          </cell>
        </row>
        <row r="700">
          <cell r="A700">
            <v>3400003104</v>
          </cell>
          <cell r="B700">
            <v>0</v>
          </cell>
          <cell r="C700">
            <v>5801</v>
          </cell>
          <cell r="D700" t="str">
            <v>01.10.1996</v>
          </cell>
          <cell r="E700">
            <v>0</v>
          </cell>
          <cell r="F700">
            <v>6196000207</v>
          </cell>
        </row>
        <row r="701">
          <cell r="A701">
            <v>3400003105</v>
          </cell>
          <cell r="B701">
            <v>0</v>
          </cell>
          <cell r="C701">
            <v>5801</v>
          </cell>
          <cell r="D701" t="str">
            <v>01.10.1996</v>
          </cell>
          <cell r="E701">
            <v>0</v>
          </cell>
          <cell r="F701">
            <v>6196000208</v>
          </cell>
        </row>
        <row r="702">
          <cell r="A702">
            <v>3400003106</v>
          </cell>
          <cell r="B702">
            <v>0</v>
          </cell>
          <cell r="C702">
            <v>5801</v>
          </cell>
          <cell r="D702" t="str">
            <v>01.10.1996</v>
          </cell>
          <cell r="E702">
            <v>0</v>
          </cell>
          <cell r="F702">
            <v>6196000209</v>
          </cell>
        </row>
        <row r="703">
          <cell r="A703">
            <v>3400003107</v>
          </cell>
          <cell r="B703">
            <v>0</v>
          </cell>
          <cell r="C703">
            <v>5801</v>
          </cell>
          <cell r="D703" t="str">
            <v>01.10.1996</v>
          </cell>
          <cell r="E703">
            <v>0</v>
          </cell>
          <cell r="F703">
            <v>6196000210</v>
          </cell>
        </row>
        <row r="704">
          <cell r="A704">
            <v>3400003108</v>
          </cell>
          <cell r="B704">
            <v>0</v>
          </cell>
          <cell r="C704">
            <v>5801</v>
          </cell>
          <cell r="D704" t="str">
            <v>01.10.1996</v>
          </cell>
          <cell r="E704">
            <v>0</v>
          </cell>
          <cell r="F704">
            <v>6196000211</v>
          </cell>
        </row>
        <row r="705">
          <cell r="A705">
            <v>3400003109</v>
          </cell>
          <cell r="B705">
            <v>0</v>
          </cell>
          <cell r="C705">
            <v>5801</v>
          </cell>
          <cell r="D705" t="str">
            <v>01.10.1996</v>
          </cell>
          <cell r="E705">
            <v>0</v>
          </cell>
          <cell r="F705">
            <v>6196000212</v>
          </cell>
        </row>
        <row r="706">
          <cell r="A706">
            <v>3400003110</v>
          </cell>
          <cell r="B706">
            <v>0</v>
          </cell>
          <cell r="C706">
            <v>5801</v>
          </cell>
          <cell r="D706" t="str">
            <v>01.10.1996</v>
          </cell>
          <cell r="E706">
            <v>0</v>
          </cell>
          <cell r="F706">
            <v>6196000213</v>
          </cell>
        </row>
        <row r="707">
          <cell r="A707">
            <v>3400003111</v>
          </cell>
          <cell r="B707">
            <v>0</v>
          </cell>
          <cell r="C707">
            <v>5801</v>
          </cell>
          <cell r="D707" t="str">
            <v>01.10.1996</v>
          </cell>
          <cell r="E707">
            <v>0</v>
          </cell>
          <cell r="F707">
            <v>6196000214</v>
          </cell>
        </row>
        <row r="708">
          <cell r="A708">
            <v>3400003112</v>
          </cell>
          <cell r="B708">
            <v>0</v>
          </cell>
          <cell r="C708">
            <v>5801</v>
          </cell>
          <cell r="D708" t="str">
            <v>01.10.1996</v>
          </cell>
          <cell r="E708">
            <v>0</v>
          </cell>
          <cell r="F708">
            <v>6196000215</v>
          </cell>
        </row>
        <row r="709">
          <cell r="A709">
            <v>3400003113</v>
          </cell>
          <cell r="B709">
            <v>0</v>
          </cell>
          <cell r="C709">
            <v>5801</v>
          </cell>
          <cell r="D709" t="str">
            <v>01.10.1996</v>
          </cell>
          <cell r="E709">
            <v>0</v>
          </cell>
          <cell r="F709">
            <v>6196000216</v>
          </cell>
        </row>
        <row r="710">
          <cell r="A710">
            <v>3400003114</v>
          </cell>
          <cell r="B710">
            <v>0</v>
          </cell>
          <cell r="C710">
            <v>5801</v>
          </cell>
          <cell r="D710" t="str">
            <v>01.10.1996</v>
          </cell>
          <cell r="E710">
            <v>0</v>
          </cell>
          <cell r="F710">
            <v>6196000217</v>
          </cell>
        </row>
        <row r="711">
          <cell r="A711">
            <v>3400003115</v>
          </cell>
          <cell r="B711">
            <v>0</v>
          </cell>
          <cell r="C711">
            <v>5801</v>
          </cell>
          <cell r="D711" t="str">
            <v>01.10.1996</v>
          </cell>
          <cell r="E711">
            <v>0</v>
          </cell>
          <cell r="F711">
            <v>6196000218</v>
          </cell>
        </row>
        <row r="712">
          <cell r="A712">
            <v>3400003116</v>
          </cell>
          <cell r="B712">
            <v>0</v>
          </cell>
          <cell r="C712">
            <v>5801</v>
          </cell>
          <cell r="D712" t="str">
            <v>01.10.1996</v>
          </cell>
          <cell r="E712">
            <v>0</v>
          </cell>
          <cell r="F712">
            <v>6196000219</v>
          </cell>
        </row>
        <row r="713">
          <cell r="A713">
            <v>3400003117</v>
          </cell>
          <cell r="B713">
            <v>0</v>
          </cell>
          <cell r="C713">
            <v>5801</v>
          </cell>
          <cell r="D713" t="str">
            <v>01.10.1996</v>
          </cell>
          <cell r="E713">
            <v>0</v>
          </cell>
          <cell r="F713">
            <v>6196000220</v>
          </cell>
        </row>
        <row r="714">
          <cell r="A714">
            <v>3400003118</v>
          </cell>
          <cell r="B714">
            <v>0</v>
          </cell>
          <cell r="C714">
            <v>5801</v>
          </cell>
          <cell r="D714" t="str">
            <v>01.10.1996</v>
          </cell>
          <cell r="E714">
            <v>0</v>
          </cell>
          <cell r="F714">
            <v>6196000221</v>
          </cell>
        </row>
        <row r="715">
          <cell r="A715">
            <v>3400003119</v>
          </cell>
          <cell r="B715">
            <v>0</v>
          </cell>
          <cell r="C715">
            <v>5801</v>
          </cell>
          <cell r="D715" t="str">
            <v>01.10.1996</v>
          </cell>
          <cell r="E715">
            <v>0</v>
          </cell>
          <cell r="F715">
            <v>6196000222</v>
          </cell>
        </row>
        <row r="716">
          <cell r="A716">
            <v>3400003120</v>
          </cell>
          <cell r="B716">
            <v>0</v>
          </cell>
          <cell r="C716">
            <v>5801</v>
          </cell>
          <cell r="D716" t="str">
            <v>01.10.1996</v>
          </cell>
          <cell r="E716">
            <v>0</v>
          </cell>
          <cell r="F716">
            <v>6196000223</v>
          </cell>
        </row>
        <row r="717">
          <cell r="A717">
            <v>3400003121</v>
          </cell>
          <cell r="B717">
            <v>0</v>
          </cell>
          <cell r="C717">
            <v>5801</v>
          </cell>
          <cell r="D717" t="str">
            <v>01.10.1996</v>
          </cell>
          <cell r="E717">
            <v>0</v>
          </cell>
          <cell r="F717">
            <v>6196000224</v>
          </cell>
        </row>
        <row r="718">
          <cell r="A718">
            <v>3400003122</v>
          </cell>
          <cell r="B718">
            <v>0</v>
          </cell>
          <cell r="C718">
            <v>5801</v>
          </cell>
          <cell r="D718" t="str">
            <v>01.10.1996</v>
          </cell>
          <cell r="E718">
            <v>0</v>
          </cell>
          <cell r="F718">
            <v>6196000225</v>
          </cell>
        </row>
        <row r="719">
          <cell r="A719">
            <v>3400003123</v>
          </cell>
          <cell r="B719">
            <v>0</v>
          </cell>
          <cell r="C719">
            <v>5801</v>
          </cell>
          <cell r="D719" t="str">
            <v>01.10.1996</v>
          </cell>
          <cell r="E719">
            <v>0</v>
          </cell>
          <cell r="F719">
            <v>6196000226</v>
          </cell>
        </row>
        <row r="720">
          <cell r="A720">
            <v>3400003124</v>
          </cell>
          <cell r="B720">
            <v>0</v>
          </cell>
          <cell r="C720">
            <v>5801</v>
          </cell>
          <cell r="D720" t="str">
            <v>01.10.1996</v>
          </cell>
          <cell r="E720">
            <v>0</v>
          </cell>
          <cell r="F720">
            <v>6196000227</v>
          </cell>
        </row>
        <row r="721">
          <cell r="A721">
            <v>3400003125</v>
          </cell>
          <cell r="B721">
            <v>0</v>
          </cell>
          <cell r="C721">
            <v>5801</v>
          </cell>
          <cell r="D721" t="str">
            <v>01.10.1996</v>
          </cell>
          <cell r="E721">
            <v>0</v>
          </cell>
          <cell r="F721">
            <v>6196000228</v>
          </cell>
        </row>
        <row r="722">
          <cell r="A722">
            <v>3400003126</v>
          </cell>
          <cell r="B722">
            <v>0</v>
          </cell>
          <cell r="C722">
            <v>5801</v>
          </cell>
          <cell r="D722" t="str">
            <v>01.10.1996</v>
          </cell>
          <cell r="E722">
            <v>0</v>
          </cell>
          <cell r="F722">
            <v>6196000229</v>
          </cell>
        </row>
        <row r="723">
          <cell r="A723">
            <v>3400003127</v>
          </cell>
          <cell r="B723">
            <v>0</v>
          </cell>
          <cell r="C723">
            <v>5801</v>
          </cell>
          <cell r="D723" t="str">
            <v>01.10.1996</v>
          </cell>
          <cell r="E723">
            <v>0</v>
          </cell>
          <cell r="F723">
            <v>6196000230</v>
          </cell>
        </row>
        <row r="724">
          <cell r="A724">
            <v>3400003128</v>
          </cell>
          <cell r="B724">
            <v>0</v>
          </cell>
          <cell r="C724">
            <v>5801</v>
          </cell>
          <cell r="D724" t="str">
            <v>01.10.1996</v>
          </cell>
          <cell r="E724">
            <v>0</v>
          </cell>
          <cell r="F724">
            <v>6196000231</v>
          </cell>
        </row>
        <row r="725">
          <cell r="A725">
            <v>3400003129</v>
          </cell>
          <cell r="B725">
            <v>0</v>
          </cell>
          <cell r="C725">
            <v>5801</v>
          </cell>
          <cell r="D725" t="str">
            <v>01.10.1996</v>
          </cell>
          <cell r="E725">
            <v>0</v>
          </cell>
          <cell r="F725">
            <v>6196000232</v>
          </cell>
        </row>
        <row r="726">
          <cell r="A726">
            <v>3400003130</v>
          </cell>
          <cell r="B726">
            <v>0</v>
          </cell>
          <cell r="C726">
            <v>5801</v>
          </cell>
          <cell r="D726" t="str">
            <v>01.10.1996</v>
          </cell>
          <cell r="E726">
            <v>0</v>
          </cell>
          <cell r="F726">
            <v>6196000233</v>
          </cell>
        </row>
        <row r="727">
          <cell r="A727">
            <v>3400003131</v>
          </cell>
          <cell r="B727">
            <v>0</v>
          </cell>
          <cell r="C727">
            <v>5801</v>
          </cell>
          <cell r="D727" t="str">
            <v>01.10.1996</v>
          </cell>
          <cell r="E727">
            <v>0</v>
          </cell>
          <cell r="F727">
            <v>6196000234</v>
          </cell>
        </row>
        <row r="728">
          <cell r="A728">
            <v>3400003132</v>
          </cell>
          <cell r="B728">
            <v>0</v>
          </cell>
          <cell r="C728">
            <v>5801</v>
          </cell>
          <cell r="D728" t="str">
            <v>01.10.1996</v>
          </cell>
          <cell r="E728">
            <v>0</v>
          </cell>
          <cell r="F728">
            <v>6196000235</v>
          </cell>
        </row>
        <row r="729">
          <cell r="A729">
            <v>3400003133</v>
          </cell>
          <cell r="B729">
            <v>0</v>
          </cell>
          <cell r="C729">
            <v>5801</v>
          </cell>
          <cell r="D729" t="str">
            <v>01.10.1996</v>
          </cell>
          <cell r="E729">
            <v>0</v>
          </cell>
          <cell r="F729">
            <v>6196000236</v>
          </cell>
        </row>
        <row r="730">
          <cell r="A730">
            <v>3400003134</v>
          </cell>
          <cell r="B730">
            <v>0</v>
          </cell>
          <cell r="C730">
            <v>5801</v>
          </cell>
          <cell r="D730" t="str">
            <v>01.10.1996</v>
          </cell>
          <cell r="E730">
            <v>0</v>
          </cell>
          <cell r="F730">
            <v>6196000237</v>
          </cell>
        </row>
        <row r="731">
          <cell r="A731">
            <v>3400003135</v>
          </cell>
          <cell r="B731">
            <v>0</v>
          </cell>
          <cell r="C731">
            <v>5801</v>
          </cell>
          <cell r="D731" t="str">
            <v>01.10.1996</v>
          </cell>
          <cell r="E731">
            <v>0</v>
          </cell>
          <cell r="F731">
            <v>6196000238</v>
          </cell>
        </row>
        <row r="732">
          <cell r="A732">
            <v>3400003136</v>
          </cell>
          <cell r="B732">
            <v>0</v>
          </cell>
          <cell r="C732">
            <v>5801</v>
          </cell>
          <cell r="D732" t="str">
            <v>01.10.1996</v>
          </cell>
          <cell r="E732">
            <v>0</v>
          </cell>
          <cell r="F732">
            <v>6196000239</v>
          </cell>
        </row>
        <row r="733">
          <cell r="A733">
            <v>3400003137</v>
          </cell>
          <cell r="B733">
            <v>0</v>
          </cell>
          <cell r="C733">
            <v>5801</v>
          </cell>
          <cell r="D733" t="str">
            <v>01.10.1996</v>
          </cell>
          <cell r="E733">
            <v>0</v>
          </cell>
          <cell r="F733">
            <v>6196000240</v>
          </cell>
        </row>
        <row r="734">
          <cell r="A734">
            <v>3400003138</v>
          </cell>
          <cell r="B734">
            <v>0</v>
          </cell>
          <cell r="C734">
            <v>5801</v>
          </cell>
          <cell r="D734" t="str">
            <v>01.10.1996</v>
          </cell>
          <cell r="E734">
            <v>0</v>
          </cell>
          <cell r="F734">
            <v>6196000241</v>
          </cell>
        </row>
        <row r="735">
          <cell r="A735">
            <v>3400003139</v>
          </cell>
          <cell r="B735">
            <v>0</v>
          </cell>
          <cell r="C735">
            <v>5801</v>
          </cell>
          <cell r="D735" t="str">
            <v>01.10.1996</v>
          </cell>
          <cell r="E735">
            <v>0</v>
          </cell>
          <cell r="F735">
            <v>6196000242</v>
          </cell>
        </row>
        <row r="736">
          <cell r="A736">
            <v>3400003140</v>
          </cell>
          <cell r="B736">
            <v>0</v>
          </cell>
          <cell r="C736">
            <v>5801</v>
          </cell>
          <cell r="D736" t="str">
            <v>01.10.1996</v>
          </cell>
          <cell r="E736">
            <v>0</v>
          </cell>
          <cell r="F736">
            <v>6196000243</v>
          </cell>
        </row>
        <row r="737">
          <cell r="A737">
            <v>3400003141</v>
          </cell>
          <cell r="B737">
            <v>0</v>
          </cell>
          <cell r="C737">
            <v>5801</v>
          </cell>
          <cell r="D737" t="str">
            <v>01.10.1996</v>
          </cell>
          <cell r="E737">
            <v>0</v>
          </cell>
          <cell r="F737">
            <v>6196000244</v>
          </cell>
        </row>
        <row r="738">
          <cell r="A738">
            <v>3400003142</v>
          </cell>
          <cell r="B738">
            <v>0</v>
          </cell>
          <cell r="C738">
            <v>5801</v>
          </cell>
          <cell r="D738" t="str">
            <v>01.10.1996</v>
          </cell>
          <cell r="E738">
            <v>0</v>
          </cell>
          <cell r="F738">
            <v>6196000245</v>
          </cell>
        </row>
        <row r="739">
          <cell r="A739">
            <v>3400003143</v>
          </cell>
          <cell r="B739">
            <v>0</v>
          </cell>
          <cell r="C739">
            <v>5801</v>
          </cell>
          <cell r="D739" t="str">
            <v>01.10.1996</v>
          </cell>
          <cell r="E739">
            <v>0</v>
          </cell>
          <cell r="F739">
            <v>6196000246</v>
          </cell>
        </row>
        <row r="740">
          <cell r="A740">
            <v>3400003144</v>
          </cell>
          <cell r="B740">
            <v>0</v>
          </cell>
          <cell r="C740">
            <v>5801</v>
          </cell>
          <cell r="D740" t="str">
            <v>01.10.1996</v>
          </cell>
          <cell r="E740">
            <v>0</v>
          </cell>
          <cell r="F740">
            <v>6196000247</v>
          </cell>
        </row>
        <row r="741">
          <cell r="A741">
            <v>3400003145</v>
          </cell>
          <cell r="B741">
            <v>0</v>
          </cell>
          <cell r="C741">
            <v>5801</v>
          </cell>
          <cell r="D741" t="str">
            <v>01.10.1996</v>
          </cell>
          <cell r="E741">
            <v>0</v>
          </cell>
          <cell r="F741">
            <v>6196000248</v>
          </cell>
        </row>
        <row r="742">
          <cell r="A742">
            <v>3400003146</v>
          </cell>
          <cell r="B742">
            <v>0</v>
          </cell>
          <cell r="C742">
            <v>5801</v>
          </cell>
          <cell r="D742" t="str">
            <v>01.10.1996</v>
          </cell>
          <cell r="E742">
            <v>0</v>
          </cell>
          <cell r="F742">
            <v>6196000249</v>
          </cell>
        </row>
        <row r="743">
          <cell r="A743">
            <v>3400003147</v>
          </cell>
          <cell r="B743">
            <v>0</v>
          </cell>
          <cell r="C743">
            <v>5801</v>
          </cell>
          <cell r="D743" t="str">
            <v>01.10.1996</v>
          </cell>
          <cell r="E743">
            <v>0</v>
          </cell>
          <cell r="F743">
            <v>6196000250</v>
          </cell>
        </row>
        <row r="744">
          <cell r="A744">
            <v>3400003148</v>
          </cell>
          <cell r="B744">
            <v>0</v>
          </cell>
          <cell r="C744">
            <v>5801</v>
          </cell>
          <cell r="D744" t="str">
            <v>01.10.1996</v>
          </cell>
          <cell r="E744">
            <v>0</v>
          </cell>
          <cell r="F744">
            <v>6196000251</v>
          </cell>
        </row>
        <row r="745">
          <cell r="A745">
            <v>3400003149</v>
          </cell>
          <cell r="B745">
            <v>0</v>
          </cell>
          <cell r="C745">
            <v>5801</v>
          </cell>
          <cell r="D745" t="str">
            <v>01.10.1996</v>
          </cell>
          <cell r="E745">
            <v>0</v>
          </cell>
          <cell r="F745">
            <v>6196000252</v>
          </cell>
        </row>
        <row r="746">
          <cell r="A746">
            <v>3400003150</v>
          </cell>
          <cell r="B746">
            <v>0</v>
          </cell>
          <cell r="C746">
            <v>5801</v>
          </cell>
          <cell r="D746" t="str">
            <v>01.10.1996</v>
          </cell>
          <cell r="E746">
            <v>0</v>
          </cell>
          <cell r="F746">
            <v>6196000253</v>
          </cell>
        </row>
        <row r="747">
          <cell r="A747">
            <v>3400003151</v>
          </cell>
          <cell r="B747">
            <v>0</v>
          </cell>
          <cell r="C747">
            <v>5801</v>
          </cell>
          <cell r="D747" t="str">
            <v>01.10.1996</v>
          </cell>
          <cell r="E747">
            <v>0</v>
          </cell>
          <cell r="F747">
            <v>6196000254</v>
          </cell>
        </row>
        <row r="748">
          <cell r="A748">
            <v>3400003152</v>
          </cell>
          <cell r="B748">
            <v>0</v>
          </cell>
          <cell r="C748">
            <v>5801</v>
          </cell>
          <cell r="D748" t="str">
            <v>01.10.1996</v>
          </cell>
          <cell r="E748">
            <v>0</v>
          </cell>
          <cell r="F748">
            <v>6196000255</v>
          </cell>
        </row>
        <row r="749">
          <cell r="A749">
            <v>3400003153</v>
          </cell>
          <cell r="B749">
            <v>0</v>
          </cell>
          <cell r="C749">
            <v>5801</v>
          </cell>
          <cell r="D749" t="str">
            <v>01.10.1996</v>
          </cell>
          <cell r="E749">
            <v>0</v>
          </cell>
          <cell r="F749">
            <v>6196000256</v>
          </cell>
        </row>
        <row r="750">
          <cell r="A750">
            <v>3400003154</v>
          </cell>
          <cell r="B750">
            <v>0</v>
          </cell>
          <cell r="C750">
            <v>5801</v>
          </cell>
          <cell r="D750" t="str">
            <v>01.10.1996</v>
          </cell>
          <cell r="E750">
            <v>0</v>
          </cell>
          <cell r="F750">
            <v>6196000257</v>
          </cell>
        </row>
        <row r="751">
          <cell r="A751">
            <v>3400003155</v>
          </cell>
          <cell r="B751">
            <v>0</v>
          </cell>
          <cell r="C751">
            <v>5801</v>
          </cell>
          <cell r="D751" t="str">
            <v>01.10.1996</v>
          </cell>
          <cell r="E751">
            <v>0</v>
          </cell>
          <cell r="F751">
            <v>6196000258</v>
          </cell>
        </row>
        <row r="752">
          <cell r="A752">
            <v>3400003156</v>
          </cell>
          <cell r="B752">
            <v>0</v>
          </cell>
          <cell r="C752">
            <v>5801</v>
          </cell>
          <cell r="D752" t="str">
            <v>01.10.1996</v>
          </cell>
          <cell r="E752">
            <v>0</v>
          </cell>
          <cell r="F752">
            <v>6196000259</v>
          </cell>
        </row>
        <row r="753">
          <cell r="A753">
            <v>3400003157</v>
          </cell>
          <cell r="B753">
            <v>0</v>
          </cell>
          <cell r="C753">
            <v>5801</v>
          </cell>
          <cell r="D753" t="str">
            <v>01.10.1996</v>
          </cell>
          <cell r="E753">
            <v>0</v>
          </cell>
          <cell r="F753">
            <v>6196000260</v>
          </cell>
        </row>
        <row r="754">
          <cell r="A754">
            <v>3400003158</v>
          </cell>
          <cell r="B754">
            <v>0</v>
          </cell>
          <cell r="C754">
            <v>5801</v>
          </cell>
          <cell r="D754" t="str">
            <v>01.10.1996</v>
          </cell>
          <cell r="E754">
            <v>0</v>
          </cell>
          <cell r="F754">
            <v>6196000261</v>
          </cell>
        </row>
        <row r="755">
          <cell r="A755">
            <v>3400003159</v>
          </cell>
          <cell r="B755">
            <v>0</v>
          </cell>
          <cell r="C755">
            <v>5801</v>
          </cell>
          <cell r="D755" t="str">
            <v>01.10.1996</v>
          </cell>
          <cell r="E755">
            <v>0</v>
          </cell>
          <cell r="F755">
            <v>6196000262</v>
          </cell>
        </row>
        <row r="756">
          <cell r="A756">
            <v>3400003160</v>
          </cell>
          <cell r="B756">
            <v>0</v>
          </cell>
          <cell r="C756">
            <v>5801</v>
          </cell>
          <cell r="D756" t="str">
            <v>01.10.1996</v>
          </cell>
          <cell r="E756">
            <v>0</v>
          </cell>
          <cell r="F756">
            <v>6196000263</v>
          </cell>
        </row>
        <row r="757">
          <cell r="A757">
            <v>3400003161</v>
          </cell>
          <cell r="B757">
            <v>0</v>
          </cell>
          <cell r="C757">
            <v>5801</v>
          </cell>
          <cell r="D757" t="str">
            <v>01.10.1996</v>
          </cell>
          <cell r="E757">
            <v>0</v>
          </cell>
          <cell r="F757">
            <v>6196000264</v>
          </cell>
        </row>
        <row r="758">
          <cell r="A758">
            <v>3400003162</v>
          </cell>
          <cell r="B758">
            <v>0</v>
          </cell>
          <cell r="C758">
            <v>5801</v>
          </cell>
          <cell r="D758" t="str">
            <v>01.10.1996</v>
          </cell>
          <cell r="E758">
            <v>0</v>
          </cell>
          <cell r="F758">
            <v>6196000265</v>
          </cell>
        </row>
        <row r="759">
          <cell r="A759">
            <v>3400003163</v>
          </cell>
          <cell r="B759">
            <v>0</v>
          </cell>
          <cell r="C759">
            <v>5801</v>
          </cell>
          <cell r="D759" t="str">
            <v>01.10.1996</v>
          </cell>
          <cell r="E759">
            <v>0</v>
          </cell>
          <cell r="F759">
            <v>6196000266</v>
          </cell>
        </row>
        <row r="760">
          <cell r="A760">
            <v>3400003164</v>
          </cell>
          <cell r="B760">
            <v>0</v>
          </cell>
          <cell r="C760">
            <v>5801</v>
          </cell>
          <cell r="D760" t="str">
            <v>01.10.1996</v>
          </cell>
          <cell r="E760">
            <v>0</v>
          </cell>
          <cell r="F760">
            <v>6196000267</v>
          </cell>
        </row>
        <row r="761">
          <cell r="A761">
            <v>3400003165</v>
          </cell>
          <cell r="B761">
            <v>0</v>
          </cell>
          <cell r="C761">
            <v>5801</v>
          </cell>
          <cell r="D761" t="str">
            <v>01.10.1996</v>
          </cell>
          <cell r="E761">
            <v>0</v>
          </cell>
          <cell r="F761">
            <v>6196000268</v>
          </cell>
        </row>
        <row r="762">
          <cell r="A762">
            <v>3400003165</v>
          </cell>
          <cell r="B762">
            <v>1</v>
          </cell>
          <cell r="C762">
            <v>5801</v>
          </cell>
          <cell r="D762" t="str">
            <v>01.10.1996</v>
          </cell>
          <cell r="E762">
            <v>0</v>
          </cell>
          <cell r="F762">
            <v>6196000268</v>
          </cell>
        </row>
        <row r="763">
          <cell r="A763">
            <v>3400003166</v>
          </cell>
          <cell r="B763">
            <v>0</v>
          </cell>
          <cell r="C763">
            <v>5801</v>
          </cell>
          <cell r="D763" t="str">
            <v>01.10.1996</v>
          </cell>
          <cell r="E763">
            <v>0</v>
          </cell>
          <cell r="F763">
            <v>6196000269</v>
          </cell>
        </row>
        <row r="764">
          <cell r="A764">
            <v>3400003167</v>
          </cell>
          <cell r="B764">
            <v>0</v>
          </cell>
          <cell r="C764">
            <v>5801</v>
          </cell>
          <cell r="D764" t="str">
            <v>01.10.1996</v>
          </cell>
          <cell r="E764">
            <v>0</v>
          </cell>
          <cell r="F764">
            <v>6196000270</v>
          </cell>
        </row>
        <row r="765">
          <cell r="A765">
            <v>3400003168</v>
          </cell>
          <cell r="B765">
            <v>1</v>
          </cell>
          <cell r="C765">
            <v>5801</v>
          </cell>
          <cell r="D765" t="str">
            <v>01.10.1996</v>
          </cell>
          <cell r="E765">
            <v>0</v>
          </cell>
          <cell r="F765">
            <v>6196000271</v>
          </cell>
        </row>
        <row r="766">
          <cell r="A766">
            <v>3400003168</v>
          </cell>
          <cell r="B766">
            <v>0</v>
          </cell>
          <cell r="C766">
            <v>5801</v>
          </cell>
          <cell r="D766" t="str">
            <v>01.10.1996</v>
          </cell>
          <cell r="E766">
            <v>0</v>
          </cell>
          <cell r="F766">
            <v>6196000271</v>
          </cell>
        </row>
        <row r="767">
          <cell r="A767">
            <v>3400003169</v>
          </cell>
          <cell r="B767">
            <v>0</v>
          </cell>
          <cell r="C767">
            <v>5801</v>
          </cell>
          <cell r="D767" t="str">
            <v>01.10.1996</v>
          </cell>
          <cell r="E767">
            <v>0</v>
          </cell>
          <cell r="F767">
            <v>6196000272</v>
          </cell>
        </row>
        <row r="768">
          <cell r="A768">
            <v>3400003170</v>
          </cell>
          <cell r="B768">
            <v>0</v>
          </cell>
          <cell r="C768">
            <v>5801</v>
          </cell>
          <cell r="D768" t="str">
            <v>01.10.1996</v>
          </cell>
          <cell r="E768">
            <v>0</v>
          </cell>
          <cell r="F768">
            <v>6196000273</v>
          </cell>
        </row>
        <row r="769">
          <cell r="A769">
            <v>3400003171</v>
          </cell>
          <cell r="B769">
            <v>0</v>
          </cell>
          <cell r="C769">
            <v>5801</v>
          </cell>
          <cell r="D769" t="str">
            <v>01.10.1996</v>
          </cell>
          <cell r="E769">
            <v>0</v>
          </cell>
          <cell r="F769">
            <v>6196000274</v>
          </cell>
        </row>
        <row r="770">
          <cell r="A770">
            <v>3400003172</v>
          </cell>
          <cell r="B770">
            <v>0</v>
          </cell>
          <cell r="C770">
            <v>5801</v>
          </cell>
          <cell r="D770" t="str">
            <v>01.10.1996</v>
          </cell>
          <cell r="E770">
            <v>0</v>
          </cell>
          <cell r="F770">
            <v>6196000275</v>
          </cell>
        </row>
        <row r="771">
          <cell r="A771">
            <v>3400003173</v>
          </cell>
          <cell r="B771">
            <v>0</v>
          </cell>
          <cell r="C771">
            <v>5801</v>
          </cell>
          <cell r="D771" t="str">
            <v>01.10.1996</v>
          </cell>
          <cell r="E771">
            <v>0</v>
          </cell>
          <cell r="F771">
            <v>6196000276</v>
          </cell>
        </row>
        <row r="772">
          <cell r="A772">
            <v>3400003174</v>
          </cell>
          <cell r="B772">
            <v>0</v>
          </cell>
          <cell r="C772">
            <v>5801</v>
          </cell>
          <cell r="D772" t="str">
            <v>01.10.1996</v>
          </cell>
          <cell r="E772">
            <v>0</v>
          </cell>
          <cell r="F772">
            <v>6196000277</v>
          </cell>
        </row>
        <row r="773">
          <cell r="A773">
            <v>3400003175</v>
          </cell>
          <cell r="B773">
            <v>0</v>
          </cell>
          <cell r="C773">
            <v>5801</v>
          </cell>
          <cell r="D773" t="str">
            <v>01.10.1996</v>
          </cell>
          <cell r="E773">
            <v>0</v>
          </cell>
          <cell r="F773">
            <v>6196000278</v>
          </cell>
        </row>
        <row r="774">
          <cell r="A774">
            <v>3400003176</v>
          </cell>
          <cell r="B774">
            <v>0</v>
          </cell>
          <cell r="C774">
            <v>6801</v>
          </cell>
          <cell r="D774" t="str">
            <v>01.10.1996</v>
          </cell>
          <cell r="E774">
            <v>1</v>
          </cell>
          <cell r="F774">
            <v>6196000279</v>
          </cell>
        </row>
        <row r="775">
          <cell r="A775">
            <v>3400003177</v>
          </cell>
          <cell r="B775">
            <v>0</v>
          </cell>
          <cell r="C775">
            <v>6801</v>
          </cell>
          <cell r="D775" t="str">
            <v>01.10.1996</v>
          </cell>
          <cell r="E775">
            <v>1</v>
          </cell>
          <cell r="F775">
            <v>6196000280</v>
          </cell>
        </row>
        <row r="776">
          <cell r="A776">
            <v>3400003178</v>
          </cell>
          <cell r="B776">
            <v>0</v>
          </cell>
          <cell r="C776">
            <v>5400</v>
          </cell>
          <cell r="D776" t="str">
            <v>01.10.1996</v>
          </cell>
          <cell r="E776">
            <v>7</v>
          </cell>
          <cell r="F776">
            <v>6196000281</v>
          </cell>
        </row>
        <row r="777">
          <cell r="A777">
            <v>3400003179</v>
          </cell>
          <cell r="B777">
            <v>0</v>
          </cell>
          <cell r="C777">
            <v>5302</v>
          </cell>
          <cell r="D777" t="str">
            <v>01.10.1996</v>
          </cell>
          <cell r="E777">
            <v>1</v>
          </cell>
          <cell r="F777">
            <v>6196000282</v>
          </cell>
        </row>
        <row r="778">
          <cell r="A778">
            <v>3400003180</v>
          </cell>
          <cell r="B778">
            <v>0</v>
          </cell>
          <cell r="C778">
            <v>5302</v>
          </cell>
          <cell r="D778" t="str">
            <v>01.10.1996</v>
          </cell>
          <cell r="E778">
            <v>1</v>
          </cell>
          <cell r="F778">
            <v>6196000283</v>
          </cell>
        </row>
        <row r="779">
          <cell r="A779">
            <v>3400003181</v>
          </cell>
          <cell r="B779">
            <v>0</v>
          </cell>
          <cell r="C779">
            <v>5302</v>
          </cell>
          <cell r="D779" t="str">
            <v>01.10.1996</v>
          </cell>
          <cell r="E779">
            <v>1</v>
          </cell>
          <cell r="F779">
            <v>6196000284</v>
          </cell>
        </row>
        <row r="780">
          <cell r="A780">
            <v>3400003182</v>
          </cell>
          <cell r="B780">
            <v>0</v>
          </cell>
          <cell r="C780">
            <v>6801</v>
          </cell>
          <cell r="D780" t="str">
            <v>01.10.1996</v>
          </cell>
          <cell r="E780">
            <v>1</v>
          </cell>
          <cell r="F780">
            <v>6196000285</v>
          </cell>
        </row>
        <row r="781">
          <cell r="A781">
            <v>3400003183</v>
          </cell>
          <cell r="B781">
            <v>0</v>
          </cell>
          <cell r="C781">
            <v>6801</v>
          </cell>
          <cell r="D781" t="str">
            <v>01.10.1996</v>
          </cell>
          <cell r="E781">
            <v>1</v>
          </cell>
          <cell r="F781">
            <v>6196000286</v>
          </cell>
        </row>
        <row r="782">
          <cell r="A782">
            <v>3400003184</v>
          </cell>
          <cell r="B782">
            <v>0</v>
          </cell>
          <cell r="C782">
            <v>5302</v>
          </cell>
          <cell r="D782" t="str">
            <v>01.10.1996</v>
          </cell>
          <cell r="E782">
            <v>1</v>
          </cell>
          <cell r="F782">
            <v>6196000287</v>
          </cell>
        </row>
        <row r="783">
          <cell r="A783">
            <v>3400003185</v>
          </cell>
          <cell r="B783">
            <v>0</v>
          </cell>
          <cell r="C783">
            <v>6801</v>
          </cell>
          <cell r="D783" t="str">
            <v>01.10.1996</v>
          </cell>
          <cell r="E783">
            <v>1</v>
          </cell>
          <cell r="F783">
            <v>6196000288</v>
          </cell>
        </row>
        <row r="784">
          <cell r="A784">
            <v>3400003186</v>
          </cell>
          <cell r="B784">
            <v>0</v>
          </cell>
          <cell r="C784">
            <v>6801</v>
          </cell>
          <cell r="D784" t="str">
            <v>17.11.1995</v>
          </cell>
          <cell r="E784">
            <v>1</v>
          </cell>
          <cell r="F784">
            <v>6196000289</v>
          </cell>
        </row>
        <row r="785">
          <cell r="A785">
            <v>3400003187</v>
          </cell>
          <cell r="B785">
            <v>0</v>
          </cell>
          <cell r="C785">
            <v>6801</v>
          </cell>
          <cell r="D785" t="str">
            <v>01.10.1996</v>
          </cell>
          <cell r="E785">
            <v>1</v>
          </cell>
          <cell r="F785">
            <v>6196000290</v>
          </cell>
        </row>
        <row r="786">
          <cell r="A786">
            <v>3400003188</v>
          </cell>
          <cell r="B786">
            <v>0</v>
          </cell>
          <cell r="C786">
            <v>6801</v>
          </cell>
          <cell r="D786" t="str">
            <v>01.10.1996</v>
          </cell>
          <cell r="E786">
            <v>1</v>
          </cell>
          <cell r="F786">
            <v>6196000291</v>
          </cell>
        </row>
        <row r="787">
          <cell r="A787">
            <v>3400003189</v>
          </cell>
          <cell r="B787">
            <v>0</v>
          </cell>
          <cell r="C787">
            <v>6801</v>
          </cell>
          <cell r="D787" t="str">
            <v>01.10.1996</v>
          </cell>
          <cell r="E787">
            <v>1</v>
          </cell>
          <cell r="F787">
            <v>6196000292</v>
          </cell>
        </row>
        <row r="788">
          <cell r="A788">
            <v>3400003190</v>
          </cell>
          <cell r="B788">
            <v>0</v>
          </cell>
          <cell r="C788">
            <v>6801</v>
          </cell>
          <cell r="D788" t="str">
            <v>01.10.1996</v>
          </cell>
          <cell r="E788">
            <v>1</v>
          </cell>
          <cell r="F788">
            <v>6196000293</v>
          </cell>
        </row>
        <row r="789">
          <cell r="A789">
            <v>3400003191</v>
          </cell>
          <cell r="B789">
            <v>0</v>
          </cell>
          <cell r="C789">
            <v>6801</v>
          </cell>
          <cell r="D789" t="str">
            <v>01.10.1996</v>
          </cell>
          <cell r="E789">
            <v>1</v>
          </cell>
          <cell r="F789">
            <v>6196000294</v>
          </cell>
        </row>
        <row r="790">
          <cell r="A790">
            <v>3400003192</v>
          </cell>
          <cell r="B790">
            <v>0</v>
          </cell>
          <cell r="C790">
            <v>6801</v>
          </cell>
          <cell r="D790" t="str">
            <v>01.10.1996</v>
          </cell>
          <cell r="E790">
            <v>1</v>
          </cell>
          <cell r="F790">
            <v>6196000295</v>
          </cell>
        </row>
        <row r="791">
          <cell r="A791">
            <v>3400003193</v>
          </cell>
          <cell r="B791">
            <v>0</v>
          </cell>
          <cell r="C791">
            <v>6901</v>
          </cell>
          <cell r="D791" t="str">
            <v>17.11.1995</v>
          </cell>
          <cell r="E791">
            <v>2</v>
          </cell>
          <cell r="F791">
            <v>6196000296</v>
          </cell>
        </row>
        <row r="792">
          <cell r="A792">
            <v>3400003194</v>
          </cell>
          <cell r="B792">
            <v>0</v>
          </cell>
          <cell r="C792">
            <v>6801</v>
          </cell>
          <cell r="D792" t="str">
            <v>01.10.1996</v>
          </cell>
          <cell r="E792">
            <v>1</v>
          </cell>
          <cell r="F792">
            <v>6196000297</v>
          </cell>
        </row>
        <row r="793">
          <cell r="A793">
            <v>3400003195</v>
          </cell>
          <cell r="B793">
            <v>0</v>
          </cell>
          <cell r="C793">
            <v>6801</v>
          </cell>
          <cell r="D793" t="str">
            <v>01.10.1996</v>
          </cell>
          <cell r="E793">
            <v>1</v>
          </cell>
          <cell r="F793">
            <v>6196000298</v>
          </cell>
        </row>
        <row r="794">
          <cell r="A794">
            <v>3400003196</v>
          </cell>
          <cell r="B794">
            <v>0</v>
          </cell>
          <cell r="C794">
            <v>6801</v>
          </cell>
          <cell r="D794" t="str">
            <v>01.10.1996</v>
          </cell>
          <cell r="E794">
            <v>1</v>
          </cell>
          <cell r="F794">
            <v>6196000299</v>
          </cell>
        </row>
        <row r="795">
          <cell r="A795">
            <v>3400003197</v>
          </cell>
          <cell r="B795">
            <v>0</v>
          </cell>
          <cell r="C795">
            <v>6801</v>
          </cell>
          <cell r="D795" t="str">
            <v>01.10.1996</v>
          </cell>
          <cell r="E795">
            <v>1</v>
          </cell>
          <cell r="F795">
            <v>6196000300</v>
          </cell>
        </row>
        <row r="796">
          <cell r="A796">
            <v>3400003198</v>
          </cell>
          <cell r="B796">
            <v>0</v>
          </cell>
          <cell r="C796">
            <v>6801</v>
          </cell>
          <cell r="D796" t="str">
            <v>01.10.1996</v>
          </cell>
          <cell r="E796">
            <v>1</v>
          </cell>
          <cell r="F796">
            <v>6196000301</v>
          </cell>
        </row>
        <row r="797">
          <cell r="A797">
            <v>3400003199</v>
          </cell>
          <cell r="B797">
            <v>0</v>
          </cell>
          <cell r="C797">
            <v>5801</v>
          </cell>
          <cell r="D797" t="str">
            <v>01.10.1996</v>
          </cell>
          <cell r="E797">
            <v>0</v>
          </cell>
          <cell r="F797">
            <v>6196000302</v>
          </cell>
        </row>
        <row r="798">
          <cell r="A798">
            <v>3400003200</v>
          </cell>
          <cell r="B798">
            <v>0</v>
          </cell>
          <cell r="C798">
            <v>6801</v>
          </cell>
          <cell r="D798" t="str">
            <v>01.10.1996</v>
          </cell>
          <cell r="E798">
            <v>1</v>
          </cell>
          <cell r="F798">
            <v>6196000303</v>
          </cell>
        </row>
        <row r="799">
          <cell r="A799">
            <v>3400003201</v>
          </cell>
          <cell r="B799">
            <v>0</v>
          </cell>
          <cell r="C799">
            <v>5301</v>
          </cell>
          <cell r="D799" t="str">
            <v>01.10.1996</v>
          </cell>
          <cell r="E799">
            <v>1</v>
          </cell>
          <cell r="F799">
            <v>6196000304</v>
          </cell>
        </row>
        <row r="800">
          <cell r="A800">
            <v>3400003202</v>
          </cell>
          <cell r="B800">
            <v>0</v>
          </cell>
          <cell r="C800">
            <v>6801</v>
          </cell>
          <cell r="D800" t="str">
            <v>01.10.1996</v>
          </cell>
          <cell r="E800">
            <v>1</v>
          </cell>
          <cell r="F800">
            <v>6196000305</v>
          </cell>
        </row>
        <row r="801">
          <cell r="A801">
            <v>3400003203</v>
          </cell>
          <cell r="B801">
            <v>0</v>
          </cell>
          <cell r="C801">
            <v>5300</v>
          </cell>
          <cell r="D801" t="str">
            <v>01.10.1996</v>
          </cell>
          <cell r="E801">
            <v>1</v>
          </cell>
          <cell r="F801">
            <v>6196000306</v>
          </cell>
        </row>
        <row r="802">
          <cell r="A802">
            <v>3400003204</v>
          </cell>
          <cell r="B802">
            <v>0</v>
          </cell>
          <cell r="C802">
            <v>5400</v>
          </cell>
          <cell r="D802" t="str">
            <v>01.10.1996</v>
          </cell>
          <cell r="E802">
            <v>0</v>
          </cell>
          <cell r="F802">
            <v>6196000307</v>
          </cell>
        </row>
        <row r="803">
          <cell r="A803">
            <v>3400003205</v>
          </cell>
          <cell r="B803">
            <v>0</v>
          </cell>
          <cell r="C803">
            <v>6210</v>
          </cell>
          <cell r="D803" t="str">
            <v>01.10.1996</v>
          </cell>
          <cell r="E803">
            <v>0</v>
          </cell>
          <cell r="F803">
            <v>6196000308</v>
          </cell>
        </row>
        <row r="804">
          <cell r="A804">
            <v>3400003206</v>
          </cell>
          <cell r="B804">
            <v>0</v>
          </cell>
          <cell r="C804">
            <v>6210</v>
          </cell>
          <cell r="D804" t="str">
            <v>01.10.1996</v>
          </cell>
          <cell r="E804">
            <v>0</v>
          </cell>
          <cell r="F804">
            <v>6196000309</v>
          </cell>
        </row>
        <row r="805">
          <cell r="A805">
            <v>3400003207</v>
          </cell>
          <cell r="B805">
            <v>0</v>
          </cell>
          <cell r="C805">
            <v>6230</v>
          </cell>
          <cell r="D805" t="str">
            <v>01.10.1996</v>
          </cell>
          <cell r="E805">
            <v>0</v>
          </cell>
          <cell r="F805">
            <v>6196000310</v>
          </cell>
        </row>
        <row r="806">
          <cell r="A806">
            <v>3400003208</v>
          </cell>
          <cell r="B806">
            <v>0</v>
          </cell>
          <cell r="C806">
            <v>6600</v>
          </cell>
          <cell r="D806" t="str">
            <v>01.10.1996</v>
          </cell>
          <cell r="E806">
            <v>0</v>
          </cell>
          <cell r="F806">
            <v>6196000311</v>
          </cell>
        </row>
        <row r="807">
          <cell r="A807">
            <v>3400003209</v>
          </cell>
          <cell r="B807">
            <v>0</v>
          </cell>
          <cell r="C807">
            <v>6600</v>
          </cell>
          <cell r="D807" t="str">
            <v>01.10.1996</v>
          </cell>
          <cell r="E807">
            <v>1</v>
          </cell>
          <cell r="F807">
            <v>6196000312</v>
          </cell>
        </row>
        <row r="808">
          <cell r="A808">
            <v>3400003210</v>
          </cell>
          <cell r="B808">
            <v>0</v>
          </cell>
          <cell r="C808">
            <v>5303</v>
          </cell>
          <cell r="D808" t="str">
            <v>01.10.1996</v>
          </cell>
          <cell r="E808">
            <v>1</v>
          </cell>
          <cell r="F808">
            <v>6196000313</v>
          </cell>
        </row>
        <row r="809">
          <cell r="A809">
            <v>3400003211</v>
          </cell>
          <cell r="B809">
            <v>0</v>
          </cell>
          <cell r="C809">
            <v>6901</v>
          </cell>
          <cell r="D809" t="str">
            <v>27.12.1995</v>
          </cell>
          <cell r="E809">
            <v>0</v>
          </cell>
          <cell r="F809">
            <v>6196000314</v>
          </cell>
        </row>
        <row r="810">
          <cell r="A810">
            <v>3400003212</v>
          </cell>
          <cell r="B810">
            <v>0</v>
          </cell>
          <cell r="C810">
            <v>6230</v>
          </cell>
          <cell r="D810" t="str">
            <v>01.10.1996</v>
          </cell>
          <cell r="E810">
            <v>0</v>
          </cell>
          <cell r="F810">
            <v>6196000315</v>
          </cell>
        </row>
        <row r="811">
          <cell r="A811">
            <v>3400003213</v>
          </cell>
          <cell r="B811">
            <v>0</v>
          </cell>
          <cell r="C811">
            <v>6210</v>
          </cell>
          <cell r="D811" t="str">
            <v>01.10.1996</v>
          </cell>
          <cell r="E811">
            <v>0</v>
          </cell>
          <cell r="F811">
            <v>6196000316</v>
          </cell>
        </row>
        <row r="812">
          <cell r="A812">
            <v>3400003214</v>
          </cell>
          <cell r="B812">
            <v>0</v>
          </cell>
          <cell r="C812">
            <v>5304</v>
          </cell>
          <cell r="D812" t="str">
            <v>17.02.1996</v>
          </cell>
          <cell r="E812">
            <v>0</v>
          </cell>
          <cell r="F812">
            <v>6196000317</v>
          </cell>
        </row>
        <row r="813">
          <cell r="A813">
            <v>3400003215</v>
          </cell>
          <cell r="B813">
            <v>0</v>
          </cell>
          <cell r="C813">
            <v>5303</v>
          </cell>
          <cell r="D813" t="str">
            <v>01.10.1996</v>
          </cell>
          <cell r="E813">
            <v>0</v>
          </cell>
          <cell r="F813">
            <v>6196000318</v>
          </cell>
        </row>
        <row r="814">
          <cell r="A814">
            <v>3400003216</v>
          </cell>
          <cell r="B814">
            <v>0</v>
          </cell>
          <cell r="C814">
            <v>6602</v>
          </cell>
          <cell r="D814" t="str">
            <v>22.03.1996</v>
          </cell>
          <cell r="E814">
            <v>0</v>
          </cell>
          <cell r="F814">
            <v>6196000319</v>
          </cell>
        </row>
        <row r="815">
          <cell r="A815">
            <v>3400003217</v>
          </cell>
          <cell r="B815">
            <v>0</v>
          </cell>
          <cell r="C815">
            <v>5400</v>
          </cell>
          <cell r="D815" t="str">
            <v>01.10.1996</v>
          </cell>
          <cell r="E815">
            <v>0</v>
          </cell>
          <cell r="F815">
            <v>6196000320</v>
          </cell>
        </row>
        <row r="816">
          <cell r="A816">
            <v>3400003218</v>
          </cell>
          <cell r="B816">
            <v>0</v>
          </cell>
          <cell r="C816">
            <v>5400</v>
          </cell>
          <cell r="D816" t="str">
            <v>01.10.1996</v>
          </cell>
          <cell r="E816">
            <v>1</v>
          </cell>
          <cell r="F816">
            <v>6196000321</v>
          </cell>
        </row>
        <row r="817">
          <cell r="A817">
            <v>3400003219</v>
          </cell>
          <cell r="B817">
            <v>0</v>
          </cell>
          <cell r="C817">
            <v>6801</v>
          </cell>
          <cell r="D817" t="str">
            <v>01.10.1996</v>
          </cell>
          <cell r="E817">
            <v>0</v>
          </cell>
          <cell r="F817">
            <v>6196000322</v>
          </cell>
        </row>
        <row r="818">
          <cell r="A818">
            <v>3400003220</v>
          </cell>
          <cell r="B818">
            <v>0</v>
          </cell>
          <cell r="C818">
            <v>6500</v>
          </cell>
          <cell r="D818" t="str">
            <v>01.10.1996</v>
          </cell>
          <cell r="E818">
            <v>0</v>
          </cell>
          <cell r="F818">
            <v>6196000324</v>
          </cell>
        </row>
        <row r="819">
          <cell r="A819">
            <v>3400003221</v>
          </cell>
          <cell r="B819">
            <v>0</v>
          </cell>
          <cell r="C819">
            <v>6601</v>
          </cell>
          <cell r="D819" t="str">
            <v>01.10.1996</v>
          </cell>
          <cell r="E819">
            <v>1</v>
          </cell>
          <cell r="F819">
            <v>6196000325</v>
          </cell>
        </row>
        <row r="820">
          <cell r="A820">
            <v>3400003222</v>
          </cell>
          <cell r="B820">
            <v>0</v>
          </cell>
          <cell r="C820">
            <v>6601</v>
          </cell>
          <cell r="D820" t="str">
            <v>01.10.1996</v>
          </cell>
          <cell r="E820">
            <v>1</v>
          </cell>
          <cell r="F820">
            <v>6196000326</v>
          </cell>
        </row>
        <row r="821">
          <cell r="A821">
            <v>3400003223</v>
          </cell>
          <cell r="B821">
            <v>0</v>
          </cell>
          <cell r="C821">
            <v>5801</v>
          </cell>
          <cell r="D821" t="str">
            <v>01.10.1996</v>
          </cell>
          <cell r="E821">
            <v>0</v>
          </cell>
          <cell r="F821">
            <v>6196000327</v>
          </cell>
        </row>
        <row r="822">
          <cell r="A822">
            <v>3400003224</v>
          </cell>
          <cell r="B822">
            <v>0</v>
          </cell>
          <cell r="C822">
            <v>5801</v>
          </cell>
          <cell r="D822" t="str">
            <v>01.10.1996</v>
          </cell>
          <cell r="E822">
            <v>0</v>
          </cell>
          <cell r="F822">
            <v>6196000328</v>
          </cell>
        </row>
        <row r="823">
          <cell r="A823">
            <v>3400003225</v>
          </cell>
          <cell r="B823">
            <v>0</v>
          </cell>
          <cell r="C823">
            <v>5801</v>
          </cell>
          <cell r="D823" t="str">
            <v>01.10.1996</v>
          </cell>
          <cell r="E823">
            <v>0</v>
          </cell>
          <cell r="F823">
            <v>6196000329</v>
          </cell>
        </row>
        <row r="824">
          <cell r="A824">
            <v>3400003226</v>
          </cell>
          <cell r="B824">
            <v>0</v>
          </cell>
          <cell r="C824">
            <v>5801</v>
          </cell>
          <cell r="D824" t="str">
            <v>01.10.1996</v>
          </cell>
          <cell r="E824">
            <v>0</v>
          </cell>
          <cell r="F824">
            <v>6196000330</v>
          </cell>
        </row>
        <row r="825">
          <cell r="A825">
            <v>3400003227</v>
          </cell>
          <cell r="B825">
            <v>0</v>
          </cell>
          <cell r="C825">
            <v>5801</v>
          </cell>
          <cell r="D825" t="str">
            <v>01.10.1996</v>
          </cell>
          <cell r="E825">
            <v>0</v>
          </cell>
          <cell r="F825">
            <v>6196000331</v>
          </cell>
        </row>
        <row r="826">
          <cell r="A826">
            <v>3400003228</v>
          </cell>
          <cell r="B826">
            <v>0</v>
          </cell>
          <cell r="C826">
            <v>5801</v>
          </cell>
          <cell r="D826" t="str">
            <v>01.10.1996</v>
          </cell>
          <cell r="E826">
            <v>0</v>
          </cell>
          <cell r="F826">
            <v>6196000332</v>
          </cell>
        </row>
        <row r="827">
          <cell r="A827">
            <v>3400003229</v>
          </cell>
          <cell r="B827">
            <v>0</v>
          </cell>
          <cell r="C827">
            <v>5801</v>
          </cell>
          <cell r="D827" t="str">
            <v>01.10.1996</v>
          </cell>
          <cell r="E827">
            <v>0</v>
          </cell>
          <cell r="F827">
            <v>6196000333</v>
          </cell>
        </row>
        <row r="828">
          <cell r="A828">
            <v>3400003230</v>
          </cell>
          <cell r="B828">
            <v>0</v>
          </cell>
          <cell r="C828">
            <v>5801</v>
          </cell>
          <cell r="D828" t="str">
            <v>01.10.1996</v>
          </cell>
          <cell r="E828">
            <v>0</v>
          </cell>
          <cell r="F828">
            <v>6196000334</v>
          </cell>
        </row>
        <row r="829">
          <cell r="A829">
            <v>3400003231</v>
          </cell>
          <cell r="B829">
            <v>0</v>
          </cell>
          <cell r="C829">
            <v>5801</v>
          </cell>
          <cell r="D829" t="str">
            <v>01.10.1996</v>
          </cell>
          <cell r="E829">
            <v>0</v>
          </cell>
          <cell r="F829">
            <v>6196000336</v>
          </cell>
        </row>
        <row r="830">
          <cell r="A830">
            <v>3400003232</v>
          </cell>
          <cell r="B830">
            <v>0</v>
          </cell>
          <cell r="C830">
            <v>5801</v>
          </cell>
          <cell r="D830" t="str">
            <v>01.10.1996</v>
          </cell>
          <cell r="E830">
            <v>0</v>
          </cell>
          <cell r="F830">
            <v>6196000337</v>
          </cell>
        </row>
        <row r="831">
          <cell r="A831">
            <v>3400003233</v>
          </cell>
          <cell r="B831">
            <v>0</v>
          </cell>
          <cell r="C831">
            <v>5801</v>
          </cell>
          <cell r="D831" t="str">
            <v>01.10.1996</v>
          </cell>
          <cell r="E831">
            <v>1</v>
          </cell>
          <cell r="F831">
            <v>6196000338</v>
          </cell>
        </row>
        <row r="832">
          <cell r="A832">
            <v>3400003234</v>
          </cell>
          <cell r="B832">
            <v>0</v>
          </cell>
          <cell r="C832">
            <v>5801</v>
          </cell>
          <cell r="D832" t="str">
            <v>01.10.1996</v>
          </cell>
          <cell r="E832">
            <v>1</v>
          </cell>
          <cell r="F832">
            <v>6196000339</v>
          </cell>
        </row>
        <row r="833">
          <cell r="A833">
            <v>3400003235</v>
          </cell>
          <cell r="B833">
            <v>0</v>
          </cell>
          <cell r="C833">
            <v>5801</v>
          </cell>
          <cell r="D833" t="str">
            <v>01.10.1996</v>
          </cell>
          <cell r="E833">
            <v>1</v>
          </cell>
          <cell r="F833">
            <v>6196000340</v>
          </cell>
        </row>
        <row r="834">
          <cell r="A834">
            <v>3400003236</v>
          </cell>
          <cell r="B834">
            <v>0</v>
          </cell>
          <cell r="C834">
            <v>5801</v>
          </cell>
          <cell r="D834" t="str">
            <v>01.10.1996</v>
          </cell>
          <cell r="E834">
            <v>1</v>
          </cell>
          <cell r="F834">
            <v>6196000341</v>
          </cell>
        </row>
        <row r="835">
          <cell r="A835">
            <v>3400003237</v>
          </cell>
          <cell r="B835">
            <v>0</v>
          </cell>
          <cell r="C835">
            <v>5801</v>
          </cell>
          <cell r="D835" t="str">
            <v>01.10.1996</v>
          </cell>
          <cell r="E835">
            <v>1</v>
          </cell>
          <cell r="F835">
            <v>6196000342</v>
          </cell>
        </row>
        <row r="836">
          <cell r="A836">
            <v>3400003238</v>
          </cell>
          <cell r="B836">
            <v>0</v>
          </cell>
          <cell r="C836">
            <v>5801</v>
          </cell>
          <cell r="D836" t="str">
            <v>01.10.1996</v>
          </cell>
          <cell r="E836">
            <v>1</v>
          </cell>
          <cell r="F836">
            <v>6196000343</v>
          </cell>
        </row>
        <row r="837">
          <cell r="A837">
            <v>3400003239</v>
          </cell>
          <cell r="B837">
            <v>0</v>
          </cell>
          <cell r="C837">
            <v>5801</v>
          </cell>
          <cell r="D837" t="str">
            <v>01.10.1996</v>
          </cell>
          <cell r="E837">
            <v>1</v>
          </cell>
          <cell r="F837">
            <v>6196000344</v>
          </cell>
        </row>
        <row r="838">
          <cell r="A838">
            <v>3400003240</v>
          </cell>
          <cell r="B838">
            <v>0</v>
          </cell>
          <cell r="C838">
            <v>5801</v>
          </cell>
          <cell r="D838" t="str">
            <v>01.10.1996</v>
          </cell>
          <cell r="E838">
            <v>1</v>
          </cell>
          <cell r="F838">
            <v>6196000345</v>
          </cell>
        </row>
        <row r="839">
          <cell r="A839">
            <v>3400003241</v>
          </cell>
          <cell r="B839">
            <v>0</v>
          </cell>
          <cell r="C839">
            <v>5801</v>
          </cell>
          <cell r="D839" t="str">
            <v>01.10.1996</v>
          </cell>
          <cell r="E839">
            <v>1</v>
          </cell>
          <cell r="F839">
            <v>6196000346</v>
          </cell>
        </row>
        <row r="840">
          <cell r="A840">
            <v>3400003242</v>
          </cell>
          <cell r="B840">
            <v>0</v>
          </cell>
          <cell r="C840">
            <v>5801</v>
          </cell>
          <cell r="D840" t="str">
            <v>01.10.1996</v>
          </cell>
          <cell r="E840">
            <v>1</v>
          </cell>
          <cell r="F840">
            <v>6196000347</v>
          </cell>
        </row>
        <row r="841">
          <cell r="A841">
            <v>3400003243</v>
          </cell>
          <cell r="B841">
            <v>0</v>
          </cell>
          <cell r="C841">
            <v>5801</v>
          </cell>
          <cell r="D841" t="str">
            <v>01.10.1996</v>
          </cell>
          <cell r="E841">
            <v>1</v>
          </cell>
          <cell r="F841">
            <v>6196000348</v>
          </cell>
        </row>
        <row r="842">
          <cell r="A842">
            <v>3400003244</v>
          </cell>
          <cell r="B842">
            <v>0</v>
          </cell>
          <cell r="C842">
            <v>5801</v>
          </cell>
          <cell r="D842" t="str">
            <v>01.10.1996</v>
          </cell>
          <cell r="E842">
            <v>1</v>
          </cell>
          <cell r="F842">
            <v>6196000349</v>
          </cell>
        </row>
        <row r="843">
          <cell r="A843">
            <v>3400003245</v>
          </cell>
          <cell r="B843">
            <v>0</v>
          </cell>
          <cell r="C843">
            <v>5801</v>
          </cell>
          <cell r="D843" t="str">
            <v>01.10.1996</v>
          </cell>
          <cell r="E843">
            <v>1</v>
          </cell>
          <cell r="F843">
            <v>6196000350</v>
          </cell>
        </row>
        <row r="844">
          <cell r="A844">
            <v>3400003246</v>
          </cell>
          <cell r="B844">
            <v>0</v>
          </cell>
          <cell r="C844">
            <v>5801</v>
          </cell>
          <cell r="D844" t="str">
            <v>01.10.1996</v>
          </cell>
          <cell r="E844">
            <v>1</v>
          </cell>
          <cell r="F844">
            <v>6196000351</v>
          </cell>
        </row>
        <row r="845">
          <cell r="A845">
            <v>3400003247</v>
          </cell>
          <cell r="B845">
            <v>0</v>
          </cell>
          <cell r="C845">
            <v>5801</v>
          </cell>
          <cell r="D845" t="str">
            <v>01.10.1996</v>
          </cell>
          <cell r="E845">
            <v>1</v>
          </cell>
          <cell r="F845">
            <v>6196000352</v>
          </cell>
        </row>
        <row r="846">
          <cell r="A846">
            <v>3400003248</v>
          </cell>
          <cell r="B846">
            <v>0</v>
          </cell>
          <cell r="C846">
            <v>5801</v>
          </cell>
          <cell r="D846" t="str">
            <v>01.10.1996</v>
          </cell>
          <cell r="E846">
            <v>1</v>
          </cell>
          <cell r="F846">
            <v>6196000353</v>
          </cell>
        </row>
        <row r="847">
          <cell r="A847">
            <v>3400003249</v>
          </cell>
          <cell r="B847">
            <v>0</v>
          </cell>
          <cell r="C847">
            <v>5801</v>
          </cell>
          <cell r="D847" t="str">
            <v>01.10.1996</v>
          </cell>
          <cell r="E847">
            <v>1</v>
          </cell>
          <cell r="F847">
            <v>6196000354</v>
          </cell>
        </row>
        <row r="848">
          <cell r="A848">
            <v>3400003250</v>
          </cell>
          <cell r="B848">
            <v>0</v>
          </cell>
          <cell r="C848">
            <v>5801</v>
          </cell>
          <cell r="D848" t="str">
            <v>01.10.1996</v>
          </cell>
          <cell r="E848">
            <v>1</v>
          </cell>
          <cell r="F848">
            <v>6196000355</v>
          </cell>
        </row>
        <row r="849">
          <cell r="A849">
            <v>3400003251</v>
          </cell>
          <cell r="B849">
            <v>0</v>
          </cell>
          <cell r="C849">
            <v>5801</v>
          </cell>
          <cell r="D849" t="str">
            <v>01.10.1996</v>
          </cell>
          <cell r="E849">
            <v>1</v>
          </cell>
          <cell r="F849">
            <v>6196000356</v>
          </cell>
        </row>
        <row r="850">
          <cell r="A850">
            <v>3400003252</v>
          </cell>
          <cell r="B850">
            <v>0</v>
          </cell>
          <cell r="C850">
            <v>5801</v>
          </cell>
          <cell r="D850" t="str">
            <v>01.10.1996</v>
          </cell>
          <cell r="E850">
            <v>1</v>
          </cell>
          <cell r="F850">
            <v>6196000357</v>
          </cell>
        </row>
        <row r="851">
          <cell r="A851">
            <v>3400003253</v>
          </cell>
          <cell r="B851">
            <v>0</v>
          </cell>
          <cell r="C851">
            <v>5801</v>
          </cell>
          <cell r="D851" t="str">
            <v>01.10.1996</v>
          </cell>
          <cell r="E851">
            <v>1</v>
          </cell>
          <cell r="F851">
            <v>6196000358</v>
          </cell>
        </row>
        <row r="852">
          <cell r="A852">
            <v>3400003254</v>
          </cell>
          <cell r="B852">
            <v>0</v>
          </cell>
          <cell r="C852">
            <v>5801</v>
          </cell>
          <cell r="D852" t="str">
            <v>01.10.1996</v>
          </cell>
          <cell r="E852">
            <v>1</v>
          </cell>
          <cell r="F852">
            <v>6196000359</v>
          </cell>
        </row>
        <row r="853">
          <cell r="A853">
            <v>3400003255</v>
          </cell>
          <cell r="B853">
            <v>0</v>
          </cell>
          <cell r="C853">
            <v>5801</v>
          </cell>
          <cell r="D853" t="str">
            <v>01.10.1996</v>
          </cell>
          <cell r="E853">
            <v>1</v>
          </cell>
          <cell r="F853">
            <v>6196000360</v>
          </cell>
        </row>
        <row r="854">
          <cell r="A854">
            <v>3400003256</v>
          </cell>
          <cell r="B854">
            <v>0</v>
          </cell>
          <cell r="C854">
            <v>5801</v>
          </cell>
          <cell r="D854" t="str">
            <v>01.10.1996</v>
          </cell>
          <cell r="E854">
            <v>1</v>
          </cell>
          <cell r="F854">
            <v>6196000361</v>
          </cell>
        </row>
        <row r="855">
          <cell r="A855">
            <v>3400003257</v>
          </cell>
          <cell r="B855">
            <v>0</v>
          </cell>
          <cell r="C855">
            <v>5801</v>
          </cell>
          <cell r="D855" t="str">
            <v>01.10.1996</v>
          </cell>
          <cell r="E855">
            <v>1</v>
          </cell>
          <cell r="F855">
            <v>6196000362</v>
          </cell>
        </row>
        <row r="856">
          <cell r="A856">
            <v>3400003258</v>
          </cell>
          <cell r="B856">
            <v>0</v>
          </cell>
          <cell r="C856">
            <v>5801</v>
          </cell>
          <cell r="D856" t="str">
            <v>01.10.1996</v>
          </cell>
          <cell r="E856">
            <v>1</v>
          </cell>
          <cell r="F856">
            <v>6196000363</v>
          </cell>
        </row>
        <row r="857">
          <cell r="A857">
            <v>3400003259</v>
          </cell>
          <cell r="B857">
            <v>0</v>
          </cell>
          <cell r="C857">
            <v>5801</v>
          </cell>
          <cell r="D857" t="str">
            <v>01.10.1996</v>
          </cell>
          <cell r="E857">
            <v>1</v>
          </cell>
          <cell r="F857">
            <v>6196000364</v>
          </cell>
        </row>
        <row r="858">
          <cell r="A858">
            <v>3400003260</v>
          </cell>
          <cell r="B858">
            <v>0</v>
          </cell>
          <cell r="C858">
            <v>5801</v>
          </cell>
          <cell r="D858" t="str">
            <v>01.10.1996</v>
          </cell>
          <cell r="E858">
            <v>1</v>
          </cell>
          <cell r="F858">
            <v>6196000365</v>
          </cell>
        </row>
        <row r="859">
          <cell r="A859">
            <v>3400003261</v>
          </cell>
          <cell r="B859">
            <v>0</v>
          </cell>
          <cell r="C859">
            <v>5801</v>
          </cell>
          <cell r="D859" t="str">
            <v>01.10.1996</v>
          </cell>
          <cell r="E859">
            <v>1</v>
          </cell>
          <cell r="F859">
            <v>6196000366</v>
          </cell>
        </row>
        <row r="860">
          <cell r="A860">
            <v>3400003262</v>
          </cell>
          <cell r="B860">
            <v>0</v>
          </cell>
          <cell r="C860">
            <v>5801</v>
          </cell>
          <cell r="D860" t="str">
            <v>01.10.1996</v>
          </cell>
          <cell r="E860">
            <v>1</v>
          </cell>
          <cell r="F860">
            <v>6196000367</v>
          </cell>
        </row>
        <row r="861">
          <cell r="A861">
            <v>3400003263</v>
          </cell>
          <cell r="B861">
            <v>0</v>
          </cell>
          <cell r="C861">
            <v>5801</v>
          </cell>
          <cell r="D861" t="str">
            <v>01.10.1996</v>
          </cell>
          <cell r="E861">
            <v>1</v>
          </cell>
          <cell r="F861">
            <v>6196000368</v>
          </cell>
        </row>
        <row r="862">
          <cell r="A862">
            <v>3400003264</v>
          </cell>
          <cell r="B862">
            <v>0</v>
          </cell>
          <cell r="C862">
            <v>5801</v>
          </cell>
          <cell r="D862" t="str">
            <v>01.10.1996</v>
          </cell>
          <cell r="E862">
            <v>1</v>
          </cell>
          <cell r="F862">
            <v>6196000369</v>
          </cell>
        </row>
        <row r="863">
          <cell r="A863">
            <v>3400003265</v>
          </cell>
          <cell r="B863">
            <v>0</v>
          </cell>
          <cell r="C863">
            <v>5801</v>
          </cell>
          <cell r="D863" t="str">
            <v>01.10.1996</v>
          </cell>
          <cell r="E863">
            <v>1</v>
          </cell>
          <cell r="F863">
            <v>6196000370</v>
          </cell>
        </row>
        <row r="864">
          <cell r="A864">
            <v>3400003266</v>
          </cell>
          <cell r="B864">
            <v>0</v>
          </cell>
          <cell r="C864">
            <v>5801</v>
          </cell>
          <cell r="D864" t="str">
            <v>01.10.1996</v>
          </cell>
          <cell r="E864">
            <v>1</v>
          </cell>
          <cell r="F864">
            <v>6196000371</v>
          </cell>
        </row>
        <row r="865">
          <cell r="A865">
            <v>3400003267</v>
          </cell>
          <cell r="B865">
            <v>0</v>
          </cell>
          <cell r="C865">
            <v>5801</v>
          </cell>
          <cell r="D865" t="str">
            <v>01.10.1996</v>
          </cell>
          <cell r="E865">
            <v>1</v>
          </cell>
          <cell r="F865">
            <v>6196000372</v>
          </cell>
        </row>
        <row r="866">
          <cell r="A866">
            <v>3400003268</v>
          </cell>
          <cell r="B866">
            <v>0</v>
          </cell>
          <cell r="C866">
            <v>5801</v>
          </cell>
          <cell r="D866" t="str">
            <v>01.10.1996</v>
          </cell>
          <cell r="E866">
            <v>1</v>
          </cell>
          <cell r="F866">
            <v>6196000373</v>
          </cell>
        </row>
        <row r="867">
          <cell r="A867">
            <v>3400003269</v>
          </cell>
          <cell r="B867">
            <v>0</v>
          </cell>
          <cell r="C867">
            <v>5801</v>
          </cell>
          <cell r="D867" t="str">
            <v>01.10.1996</v>
          </cell>
          <cell r="E867">
            <v>1</v>
          </cell>
          <cell r="F867">
            <v>6196000374</v>
          </cell>
        </row>
        <row r="868">
          <cell r="A868">
            <v>3400003270</v>
          </cell>
          <cell r="B868">
            <v>0</v>
          </cell>
          <cell r="C868">
            <v>5801</v>
          </cell>
          <cell r="D868" t="str">
            <v>01.10.1996</v>
          </cell>
          <cell r="E868">
            <v>1</v>
          </cell>
          <cell r="F868">
            <v>6196000375</v>
          </cell>
        </row>
        <row r="869">
          <cell r="A869">
            <v>3400003271</v>
          </cell>
          <cell r="B869">
            <v>0</v>
          </cell>
          <cell r="C869">
            <v>5801</v>
          </cell>
          <cell r="D869" t="str">
            <v>01.10.1996</v>
          </cell>
          <cell r="E869">
            <v>1</v>
          </cell>
          <cell r="F869">
            <v>6196000376</v>
          </cell>
        </row>
        <row r="870">
          <cell r="A870">
            <v>3400003272</v>
          </cell>
          <cell r="B870">
            <v>0</v>
          </cell>
          <cell r="C870">
            <v>5801</v>
          </cell>
          <cell r="D870" t="str">
            <v>01.10.1996</v>
          </cell>
          <cell r="E870">
            <v>1</v>
          </cell>
          <cell r="F870">
            <v>6196000377</v>
          </cell>
        </row>
        <row r="871">
          <cell r="A871">
            <v>3400003273</v>
          </cell>
          <cell r="B871">
            <v>0</v>
          </cell>
          <cell r="C871">
            <v>5801</v>
          </cell>
          <cell r="D871" t="str">
            <v>01.10.1996</v>
          </cell>
          <cell r="E871">
            <v>1</v>
          </cell>
          <cell r="F871">
            <v>6196000378</v>
          </cell>
        </row>
        <row r="872">
          <cell r="A872">
            <v>3400003274</v>
          </cell>
          <cell r="B872">
            <v>0</v>
          </cell>
          <cell r="C872">
            <v>5801</v>
          </cell>
          <cell r="D872" t="str">
            <v>01.10.1996</v>
          </cell>
          <cell r="E872">
            <v>1</v>
          </cell>
          <cell r="F872">
            <v>6196000379</v>
          </cell>
        </row>
        <row r="873">
          <cell r="A873">
            <v>3400003275</v>
          </cell>
          <cell r="B873">
            <v>0</v>
          </cell>
          <cell r="C873">
            <v>5801</v>
          </cell>
          <cell r="D873" t="str">
            <v>01.10.1996</v>
          </cell>
          <cell r="E873">
            <v>1</v>
          </cell>
          <cell r="F873">
            <v>6196000380</v>
          </cell>
        </row>
        <row r="874">
          <cell r="A874">
            <v>3400003276</v>
          </cell>
          <cell r="B874">
            <v>0</v>
          </cell>
          <cell r="C874">
            <v>5801</v>
          </cell>
          <cell r="D874" t="str">
            <v>01.10.1996</v>
          </cell>
          <cell r="E874">
            <v>1</v>
          </cell>
          <cell r="F874">
            <v>6196000381</v>
          </cell>
        </row>
        <row r="875">
          <cell r="A875">
            <v>3400003277</v>
          </cell>
          <cell r="B875">
            <v>0</v>
          </cell>
          <cell r="C875">
            <v>5801</v>
          </cell>
          <cell r="D875" t="str">
            <v>01.10.1996</v>
          </cell>
          <cell r="E875">
            <v>1</v>
          </cell>
          <cell r="F875">
            <v>6196000382</v>
          </cell>
        </row>
        <row r="876">
          <cell r="A876">
            <v>3400003278</v>
          </cell>
          <cell r="B876">
            <v>0</v>
          </cell>
          <cell r="C876">
            <v>5801</v>
          </cell>
          <cell r="D876" t="str">
            <v>01.10.1996</v>
          </cell>
          <cell r="E876">
            <v>1</v>
          </cell>
          <cell r="F876">
            <v>6196000383</v>
          </cell>
        </row>
        <row r="877">
          <cell r="A877">
            <v>3400003279</v>
          </cell>
          <cell r="B877">
            <v>0</v>
          </cell>
          <cell r="C877">
            <v>5801</v>
          </cell>
          <cell r="D877" t="str">
            <v>01.10.1996</v>
          </cell>
          <cell r="E877">
            <v>1</v>
          </cell>
          <cell r="F877">
            <v>6196000384</v>
          </cell>
        </row>
        <row r="878">
          <cell r="A878">
            <v>3400003280</v>
          </cell>
          <cell r="B878">
            <v>0</v>
          </cell>
          <cell r="C878">
            <v>5801</v>
          </cell>
          <cell r="D878" t="str">
            <v>01.10.1996</v>
          </cell>
          <cell r="E878">
            <v>1</v>
          </cell>
          <cell r="F878">
            <v>6196000385</v>
          </cell>
        </row>
        <row r="879">
          <cell r="A879">
            <v>3400003281</v>
          </cell>
          <cell r="B879">
            <v>0</v>
          </cell>
          <cell r="C879">
            <v>5801</v>
          </cell>
          <cell r="D879" t="str">
            <v>01.10.1996</v>
          </cell>
          <cell r="E879">
            <v>2</v>
          </cell>
          <cell r="F879">
            <v>6196000386</v>
          </cell>
        </row>
        <row r="880">
          <cell r="A880">
            <v>3400003282</v>
          </cell>
          <cell r="B880">
            <v>0</v>
          </cell>
          <cell r="C880">
            <v>5801</v>
          </cell>
          <cell r="D880" t="str">
            <v>01.10.1996</v>
          </cell>
          <cell r="E880">
            <v>0</v>
          </cell>
          <cell r="F880">
            <v>6196000387</v>
          </cell>
        </row>
        <row r="881">
          <cell r="A881">
            <v>3400003283</v>
          </cell>
          <cell r="B881">
            <v>0</v>
          </cell>
          <cell r="C881">
            <v>5801</v>
          </cell>
          <cell r="D881" t="str">
            <v>01.10.1996</v>
          </cell>
          <cell r="E881">
            <v>6</v>
          </cell>
          <cell r="F881">
            <v>6196000388</v>
          </cell>
        </row>
        <row r="882">
          <cell r="A882">
            <v>3400003284</v>
          </cell>
          <cell r="B882">
            <v>0</v>
          </cell>
          <cell r="C882">
            <v>5801</v>
          </cell>
          <cell r="D882" t="str">
            <v>04.03.1996</v>
          </cell>
          <cell r="E882">
            <v>2</v>
          </cell>
          <cell r="F882">
            <v>6196000389</v>
          </cell>
        </row>
        <row r="883">
          <cell r="A883">
            <v>3400003285</v>
          </cell>
          <cell r="B883">
            <v>0</v>
          </cell>
          <cell r="C883">
            <v>5801</v>
          </cell>
          <cell r="D883" t="str">
            <v>01.10.1996</v>
          </cell>
          <cell r="E883">
            <v>12</v>
          </cell>
          <cell r="F883">
            <v>6196000390</v>
          </cell>
        </row>
        <row r="884">
          <cell r="A884">
            <v>3400003286</v>
          </cell>
          <cell r="B884">
            <v>0</v>
          </cell>
          <cell r="C884">
            <v>5801</v>
          </cell>
          <cell r="D884" t="str">
            <v>01.10.1996</v>
          </cell>
          <cell r="E884">
            <v>2</v>
          </cell>
          <cell r="F884">
            <v>6196000391</v>
          </cell>
        </row>
        <row r="885">
          <cell r="A885">
            <v>3400003287</v>
          </cell>
          <cell r="B885">
            <v>0</v>
          </cell>
          <cell r="C885">
            <v>5801</v>
          </cell>
          <cell r="D885" t="str">
            <v>01.10.1996</v>
          </cell>
          <cell r="E885">
            <v>1</v>
          </cell>
          <cell r="F885">
            <v>6196000392</v>
          </cell>
        </row>
        <row r="886">
          <cell r="A886">
            <v>3400003288</v>
          </cell>
          <cell r="B886">
            <v>0</v>
          </cell>
          <cell r="C886">
            <v>6210</v>
          </cell>
          <cell r="D886" t="str">
            <v>01.10.1996</v>
          </cell>
          <cell r="E886">
            <v>0</v>
          </cell>
          <cell r="F886">
            <v>6196000393</v>
          </cell>
        </row>
        <row r="887">
          <cell r="A887">
            <v>3400005564</v>
          </cell>
          <cell r="B887">
            <v>0</v>
          </cell>
          <cell r="C887">
            <v>6210</v>
          </cell>
          <cell r="D887" t="str">
            <v>01.10.1996</v>
          </cell>
          <cell r="E887">
            <v>2</v>
          </cell>
          <cell r="F887">
            <v>6196000394</v>
          </cell>
        </row>
        <row r="888">
          <cell r="A888">
            <v>3400005561</v>
          </cell>
          <cell r="B888">
            <v>0</v>
          </cell>
          <cell r="C888">
            <v>6210</v>
          </cell>
          <cell r="D888" t="str">
            <v>01.10.1996</v>
          </cell>
          <cell r="E888">
            <v>2</v>
          </cell>
          <cell r="F888">
            <v>6196000394</v>
          </cell>
        </row>
        <row r="889">
          <cell r="A889">
            <v>3400003289</v>
          </cell>
          <cell r="B889">
            <v>1</v>
          </cell>
          <cell r="C889">
            <v>6210</v>
          </cell>
          <cell r="D889" t="str">
            <v>01.10.1996</v>
          </cell>
          <cell r="E889">
            <v>0</v>
          </cell>
          <cell r="F889">
            <v>6196000394</v>
          </cell>
        </row>
        <row r="890">
          <cell r="A890">
            <v>3400003289</v>
          </cell>
          <cell r="B890">
            <v>0</v>
          </cell>
          <cell r="C890">
            <v>6210</v>
          </cell>
          <cell r="D890" t="str">
            <v>01.10.1996</v>
          </cell>
          <cell r="E890">
            <v>0</v>
          </cell>
          <cell r="F890">
            <v>6196000394</v>
          </cell>
        </row>
        <row r="891">
          <cell r="A891">
            <v>3400003290</v>
          </cell>
          <cell r="B891">
            <v>0</v>
          </cell>
          <cell r="C891">
            <v>6210</v>
          </cell>
          <cell r="D891" t="str">
            <v>01.10.1996</v>
          </cell>
          <cell r="E891">
            <v>0</v>
          </cell>
          <cell r="F891">
            <v>6196000395</v>
          </cell>
        </row>
        <row r="892">
          <cell r="A892">
            <v>3400003291</v>
          </cell>
          <cell r="B892">
            <v>0</v>
          </cell>
          <cell r="C892">
            <v>6210</v>
          </cell>
          <cell r="D892" t="str">
            <v>01.10.1996</v>
          </cell>
          <cell r="E892">
            <v>0</v>
          </cell>
          <cell r="F892">
            <v>6196000396</v>
          </cell>
        </row>
        <row r="893">
          <cell r="A893">
            <v>3400003292</v>
          </cell>
          <cell r="B893">
            <v>0</v>
          </cell>
          <cell r="C893">
            <v>6210</v>
          </cell>
          <cell r="D893" t="str">
            <v>01.10.1996</v>
          </cell>
          <cell r="E893">
            <v>0</v>
          </cell>
          <cell r="F893">
            <v>6196000397</v>
          </cell>
        </row>
        <row r="894">
          <cell r="A894">
            <v>3400003293</v>
          </cell>
          <cell r="B894">
            <v>0</v>
          </cell>
          <cell r="C894">
            <v>5301</v>
          </cell>
          <cell r="D894" t="str">
            <v>01.10.1996</v>
          </cell>
          <cell r="E894">
            <v>1</v>
          </cell>
          <cell r="F894">
            <v>6196000398</v>
          </cell>
        </row>
        <row r="895">
          <cell r="A895">
            <v>3400003294</v>
          </cell>
          <cell r="B895">
            <v>0</v>
          </cell>
          <cell r="C895">
            <v>6801</v>
          </cell>
          <cell r="D895" t="str">
            <v>01.10.1996</v>
          </cell>
          <cell r="E895">
            <v>1</v>
          </cell>
          <cell r="F895">
            <v>6196000399</v>
          </cell>
        </row>
        <row r="896">
          <cell r="A896">
            <v>3400003295</v>
          </cell>
          <cell r="B896">
            <v>0</v>
          </cell>
          <cell r="C896">
            <v>6210</v>
          </cell>
          <cell r="D896" t="str">
            <v>01.10.1996</v>
          </cell>
          <cell r="E896">
            <v>0</v>
          </cell>
          <cell r="F896">
            <v>6196000400</v>
          </cell>
        </row>
        <row r="897">
          <cell r="A897">
            <v>3400003296</v>
          </cell>
          <cell r="B897">
            <v>0</v>
          </cell>
          <cell r="C897">
            <v>6901</v>
          </cell>
          <cell r="D897" t="str">
            <v>09.01.1996</v>
          </cell>
          <cell r="E897">
            <v>25</v>
          </cell>
          <cell r="F897">
            <v>6196000401</v>
          </cell>
        </row>
        <row r="898">
          <cell r="A898">
            <v>3400003297</v>
          </cell>
          <cell r="B898">
            <v>0</v>
          </cell>
          <cell r="C898">
            <v>6901</v>
          </cell>
          <cell r="D898" t="str">
            <v>09.02.1996</v>
          </cell>
          <cell r="E898">
            <v>1</v>
          </cell>
          <cell r="F898">
            <v>6196000402</v>
          </cell>
        </row>
        <row r="899">
          <cell r="A899">
            <v>3400003298</v>
          </cell>
          <cell r="B899">
            <v>0</v>
          </cell>
          <cell r="C899">
            <v>6901</v>
          </cell>
          <cell r="D899" t="str">
            <v>09.02.1996</v>
          </cell>
          <cell r="E899">
            <v>8</v>
          </cell>
          <cell r="F899">
            <v>6196000403</v>
          </cell>
        </row>
        <row r="900">
          <cell r="A900">
            <v>3400003299</v>
          </cell>
          <cell r="B900">
            <v>0</v>
          </cell>
          <cell r="C900">
            <v>6901</v>
          </cell>
          <cell r="D900" t="str">
            <v>09.02.1996</v>
          </cell>
          <cell r="E900">
            <v>23</v>
          </cell>
          <cell r="F900">
            <v>6196000404</v>
          </cell>
        </row>
        <row r="901">
          <cell r="A901">
            <v>3400003300</v>
          </cell>
          <cell r="B901">
            <v>0</v>
          </cell>
          <cell r="C901">
            <v>6901</v>
          </cell>
          <cell r="D901" t="str">
            <v>07.02.1996</v>
          </cell>
          <cell r="E901">
            <v>0</v>
          </cell>
          <cell r="F901">
            <v>6196000405</v>
          </cell>
        </row>
        <row r="902">
          <cell r="A902">
            <v>3400003301</v>
          </cell>
          <cell r="B902">
            <v>0</v>
          </cell>
          <cell r="C902">
            <v>6901</v>
          </cell>
          <cell r="D902" t="str">
            <v>04.08.1995</v>
          </cell>
          <cell r="E902">
            <v>6</v>
          </cell>
          <cell r="F902">
            <v>6197000001</v>
          </cell>
        </row>
        <row r="903">
          <cell r="A903">
            <v>3400003302</v>
          </cell>
          <cell r="B903">
            <v>0</v>
          </cell>
          <cell r="C903">
            <v>6901</v>
          </cell>
          <cell r="D903" t="str">
            <v>04.08.1995</v>
          </cell>
          <cell r="E903">
            <v>4</v>
          </cell>
          <cell r="F903">
            <v>6197000002</v>
          </cell>
        </row>
        <row r="904">
          <cell r="A904">
            <v>3400003303</v>
          </cell>
          <cell r="B904">
            <v>0</v>
          </cell>
          <cell r="C904">
            <v>6901</v>
          </cell>
          <cell r="D904" t="str">
            <v>12.04.1996</v>
          </cell>
          <cell r="E904">
            <v>1</v>
          </cell>
          <cell r="F904">
            <v>6197000003</v>
          </cell>
        </row>
        <row r="905">
          <cell r="A905">
            <v>3400003304</v>
          </cell>
          <cell r="B905">
            <v>0</v>
          </cell>
          <cell r="C905">
            <v>6801</v>
          </cell>
          <cell r="D905" t="str">
            <v>01.10.1996</v>
          </cell>
          <cell r="E905">
            <v>1</v>
          </cell>
          <cell r="F905">
            <v>6197000004</v>
          </cell>
        </row>
        <row r="906">
          <cell r="A906">
            <v>3400003305</v>
          </cell>
          <cell r="B906">
            <v>0</v>
          </cell>
          <cell r="C906">
            <v>6801</v>
          </cell>
          <cell r="D906" t="str">
            <v>01.10.1996</v>
          </cell>
          <cell r="E906">
            <v>1</v>
          </cell>
          <cell r="F906">
            <v>6197000005</v>
          </cell>
        </row>
        <row r="907">
          <cell r="A907">
            <v>3400003306</v>
          </cell>
          <cell r="B907">
            <v>0</v>
          </cell>
          <cell r="C907">
            <v>6801</v>
          </cell>
          <cell r="D907" t="str">
            <v>01.10.1996</v>
          </cell>
          <cell r="E907">
            <v>1</v>
          </cell>
          <cell r="F907">
            <v>6197000006</v>
          </cell>
        </row>
        <row r="908">
          <cell r="A908">
            <v>3400003307</v>
          </cell>
          <cell r="B908">
            <v>0</v>
          </cell>
          <cell r="C908">
            <v>6801</v>
          </cell>
          <cell r="D908" t="str">
            <v>01.10.1996</v>
          </cell>
          <cell r="E908">
            <v>1</v>
          </cell>
          <cell r="F908">
            <v>6197000007</v>
          </cell>
        </row>
        <row r="909">
          <cell r="A909">
            <v>3400003308</v>
          </cell>
          <cell r="B909">
            <v>0</v>
          </cell>
          <cell r="C909">
            <v>6801</v>
          </cell>
          <cell r="D909" t="str">
            <v>01.10.1996</v>
          </cell>
          <cell r="E909">
            <v>1</v>
          </cell>
          <cell r="F909">
            <v>6197000008</v>
          </cell>
        </row>
        <row r="910">
          <cell r="A910">
            <v>3400003309</v>
          </cell>
          <cell r="B910">
            <v>0</v>
          </cell>
          <cell r="C910">
            <v>6801</v>
          </cell>
          <cell r="D910" t="str">
            <v>01.10.1996</v>
          </cell>
          <cell r="E910">
            <v>1</v>
          </cell>
          <cell r="F910">
            <v>6197000009</v>
          </cell>
        </row>
        <row r="911">
          <cell r="A911">
            <v>3400003310</v>
          </cell>
          <cell r="B911">
            <v>0</v>
          </cell>
          <cell r="C911">
            <v>6801</v>
          </cell>
          <cell r="D911" t="str">
            <v>01.10.1996</v>
          </cell>
          <cell r="E911">
            <v>1</v>
          </cell>
          <cell r="F911">
            <v>6197000010</v>
          </cell>
        </row>
        <row r="912">
          <cell r="A912">
            <v>3400003311</v>
          </cell>
          <cell r="B912">
            <v>0</v>
          </cell>
          <cell r="C912">
            <v>6801</v>
          </cell>
          <cell r="D912" t="str">
            <v>01.10.1996</v>
          </cell>
          <cell r="E912">
            <v>1</v>
          </cell>
          <cell r="F912">
            <v>6197000011</v>
          </cell>
        </row>
        <row r="913">
          <cell r="A913">
            <v>3400003312</v>
          </cell>
          <cell r="B913">
            <v>0</v>
          </cell>
          <cell r="C913">
            <v>5301</v>
          </cell>
          <cell r="D913" t="str">
            <v>01.10.1996</v>
          </cell>
          <cell r="E913">
            <v>0</v>
          </cell>
          <cell r="F913">
            <v>6197000012</v>
          </cell>
        </row>
        <row r="914">
          <cell r="A914">
            <v>3400003313</v>
          </cell>
          <cell r="B914">
            <v>0</v>
          </cell>
          <cell r="C914">
            <v>5301</v>
          </cell>
          <cell r="D914" t="str">
            <v>01.10.1996</v>
          </cell>
          <cell r="E914">
            <v>0</v>
          </cell>
          <cell r="F914">
            <v>6197000013</v>
          </cell>
        </row>
        <row r="915">
          <cell r="A915">
            <v>3400003314</v>
          </cell>
          <cell r="B915">
            <v>0</v>
          </cell>
          <cell r="C915">
            <v>5301</v>
          </cell>
          <cell r="D915" t="str">
            <v>01.10.1996</v>
          </cell>
          <cell r="E915">
            <v>0</v>
          </cell>
          <cell r="F915">
            <v>6197000014</v>
          </cell>
        </row>
        <row r="916">
          <cell r="A916">
            <v>3400003315</v>
          </cell>
          <cell r="B916">
            <v>0</v>
          </cell>
          <cell r="C916">
            <v>6900</v>
          </cell>
          <cell r="D916" t="str">
            <v>20.03.1996</v>
          </cell>
          <cell r="E916">
            <v>13</v>
          </cell>
          <cell r="F916">
            <v>6197000015</v>
          </cell>
        </row>
        <row r="917">
          <cell r="A917">
            <v>3400003316</v>
          </cell>
          <cell r="B917">
            <v>0</v>
          </cell>
          <cell r="C917">
            <v>6800</v>
          </cell>
          <cell r="D917" t="str">
            <v>01.10.1996</v>
          </cell>
          <cell r="E917">
            <v>0</v>
          </cell>
          <cell r="F917">
            <v>6197000016</v>
          </cell>
        </row>
        <row r="918">
          <cell r="A918">
            <v>3400005580</v>
          </cell>
          <cell r="B918">
            <v>0</v>
          </cell>
          <cell r="C918">
            <v>6230</v>
          </cell>
          <cell r="D918" t="str">
            <v>01.10.1996</v>
          </cell>
          <cell r="E918">
            <v>2</v>
          </cell>
          <cell r="F918">
            <v>6197000016</v>
          </cell>
        </row>
        <row r="919">
          <cell r="A919">
            <v>3400005581</v>
          </cell>
          <cell r="B919">
            <v>0</v>
          </cell>
          <cell r="C919">
            <v>6230</v>
          </cell>
          <cell r="D919" t="str">
            <v>01.10.1996</v>
          </cell>
          <cell r="E919">
            <v>2</v>
          </cell>
          <cell r="F919">
            <v>6197000017</v>
          </cell>
        </row>
        <row r="920">
          <cell r="A920">
            <v>3400003317</v>
          </cell>
          <cell r="B920">
            <v>0</v>
          </cell>
          <cell r="C920">
            <v>6800</v>
          </cell>
          <cell r="D920" t="str">
            <v>01.10.1996</v>
          </cell>
          <cell r="E920">
            <v>0</v>
          </cell>
          <cell r="F920">
            <v>6197000017</v>
          </cell>
        </row>
        <row r="921">
          <cell r="A921">
            <v>3400003318</v>
          </cell>
          <cell r="B921">
            <v>0</v>
          </cell>
          <cell r="C921">
            <v>6600</v>
          </cell>
          <cell r="D921" t="str">
            <v>01.10.1996</v>
          </cell>
          <cell r="E921">
            <v>0</v>
          </cell>
          <cell r="F921">
            <v>6197000018</v>
          </cell>
        </row>
        <row r="922">
          <cell r="A922">
            <v>3400003319</v>
          </cell>
          <cell r="B922">
            <v>0</v>
          </cell>
          <cell r="C922">
            <v>6600</v>
          </cell>
          <cell r="D922" t="str">
            <v>01.10.1996</v>
          </cell>
          <cell r="E922">
            <v>0</v>
          </cell>
          <cell r="F922">
            <v>6197000019</v>
          </cell>
        </row>
        <row r="923">
          <cell r="A923">
            <v>3400003320</v>
          </cell>
          <cell r="B923">
            <v>0</v>
          </cell>
          <cell r="C923">
            <v>6600</v>
          </cell>
          <cell r="D923" t="str">
            <v>01.10.1996</v>
          </cell>
          <cell r="E923">
            <v>0</v>
          </cell>
          <cell r="F923">
            <v>6197000020</v>
          </cell>
        </row>
        <row r="924">
          <cell r="A924">
            <v>3400003321</v>
          </cell>
          <cell r="B924">
            <v>0</v>
          </cell>
          <cell r="C924">
            <v>6600</v>
          </cell>
          <cell r="D924" t="str">
            <v>01.10.1996</v>
          </cell>
          <cell r="E924">
            <v>0</v>
          </cell>
          <cell r="F924">
            <v>6197000021</v>
          </cell>
        </row>
        <row r="925">
          <cell r="A925">
            <v>3400003322</v>
          </cell>
          <cell r="B925">
            <v>0</v>
          </cell>
          <cell r="C925">
            <v>6230</v>
          </cell>
          <cell r="D925" t="str">
            <v>01.10.1996</v>
          </cell>
          <cell r="E925">
            <v>0</v>
          </cell>
          <cell r="F925">
            <v>6197000022</v>
          </cell>
        </row>
        <row r="926">
          <cell r="A926">
            <v>3400003323</v>
          </cell>
          <cell r="B926">
            <v>0</v>
          </cell>
          <cell r="C926">
            <v>5304</v>
          </cell>
          <cell r="D926" t="str">
            <v>21.08.1995</v>
          </cell>
          <cell r="E926">
            <v>1</v>
          </cell>
          <cell r="F926">
            <v>6197000023</v>
          </cell>
        </row>
        <row r="927">
          <cell r="A927">
            <v>3400003324</v>
          </cell>
          <cell r="B927">
            <v>0</v>
          </cell>
          <cell r="C927">
            <v>6900</v>
          </cell>
          <cell r="D927" t="str">
            <v>21.08.1995</v>
          </cell>
          <cell r="E927">
            <v>1</v>
          </cell>
          <cell r="F927">
            <v>6197000024</v>
          </cell>
        </row>
        <row r="928">
          <cell r="A928">
            <v>3400003325</v>
          </cell>
          <cell r="B928">
            <v>0</v>
          </cell>
          <cell r="C928">
            <v>5302</v>
          </cell>
          <cell r="D928" t="str">
            <v>01.10.1996</v>
          </cell>
          <cell r="E928">
            <v>1</v>
          </cell>
          <cell r="F928">
            <v>6197000025</v>
          </cell>
        </row>
        <row r="929">
          <cell r="A929">
            <v>3400003326</v>
          </cell>
          <cell r="B929">
            <v>0</v>
          </cell>
          <cell r="C929">
            <v>5302</v>
          </cell>
          <cell r="D929" t="str">
            <v>01.10.1996</v>
          </cell>
          <cell r="E929">
            <v>1</v>
          </cell>
          <cell r="F929">
            <v>6197000026</v>
          </cell>
        </row>
        <row r="930">
          <cell r="A930">
            <v>3400003327</v>
          </cell>
          <cell r="B930">
            <v>0</v>
          </cell>
          <cell r="C930">
            <v>6210</v>
          </cell>
          <cell r="D930" t="str">
            <v>01.10.1996</v>
          </cell>
          <cell r="E930">
            <v>0</v>
          </cell>
          <cell r="F930">
            <v>6197000027</v>
          </cell>
        </row>
        <row r="931">
          <cell r="A931">
            <v>3400003328</v>
          </cell>
          <cell r="B931">
            <v>0</v>
          </cell>
          <cell r="C931">
            <v>6600</v>
          </cell>
          <cell r="D931" t="str">
            <v>01.10.1996</v>
          </cell>
          <cell r="E931">
            <v>1</v>
          </cell>
          <cell r="F931">
            <v>6197000029</v>
          </cell>
        </row>
        <row r="932">
          <cell r="A932">
            <v>3400003329</v>
          </cell>
          <cell r="B932">
            <v>0</v>
          </cell>
          <cell r="C932">
            <v>5400</v>
          </cell>
          <cell r="D932" t="str">
            <v>01.10.1996</v>
          </cell>
          <cell r="E932">
            <v>0</v>
          </cell>
          <cell r="F932">
            <v>6197000031</v>
          </cell>
        </row>
        <row r="933">
          <cell r="A933">
            <v>3400003330</v>
          </cell>
          <cell r="B933">
            <v>0</v>
          </cell>
          <cell r="C933">
            <v>5400</v>
          </cell>
          <cell r="D933" t="str">
            <v>01.10.1996</v>
          </cell>
          <cell r="E933">
            <v>0</v>
          </cell>
          <cell r="F933">
            <v>6197000032</v>
          </cell>
        </row>
        <row r="934">
          <cell r="A934">
            <v>3400003331</v>
          </cell>
          <cell r="B934">
            <v>0</v>
          </cell>
          <cell r="C934">
            <v>6230</v>
          </cell>
          <cell r="D934" t="str">
            <v>01.10.1996</v>
          </cell>
          <cell r="E934">
            <v>0</v>
          </cell>
          <cell r="F934">
            <v>6197000033</v>
          </cell>
        </row>
        <row r="935">
          <cell r="A935">
            <v>3400003332</v>
          </cell>
          <cell r="B935">
            <v>0</v>
          </cell>
          <cell r="C935">
            <v>6603</v>
          </cell>
          <cell r="D935" t="str">
            <v>08.09.1995</v>
          </cell>
          <cell r="E935">
            <v>0</v>
          </cell>
          <cell r="F935">
            <v>6197000034</v>
          </cell>
        </row>
        <row r="936">
          <cell r="A936">
            <v>3400003333</v>
          </cell>
          <cell r="B936">
            <v>0</v>
          </cell>
          <cell r="C936">
            <v>6901</v>
          </cell>
          <cell r="D936" t="str">
            <v>25.03.1993</v>
          </cell>
          <cell r="E936">
            <v>2</v>
          </cell>
          <cell r="F936">
            <v>6197000035</v>
          </cell>
        </row>
        <row r="937">
          <cell r="A937">
            <v>3400003334</v>
          </cell>
          <cell r="B937">
            <v>0</v>
          </cell>
          <cell r="C937">
            <v>6901</v>
          </cell>
          <cell r="D937" t="str">
            <v>23.04.1996</v>
          </cell>
          <cell r="E937">
            <v>0</v>
          </cell>
          <cell r="F937">
            <v>6197000036</v>
          </cell>
        </row>
        <row r="938">
          <cell r="A938">
            <v>3400003335</v>
          </cell>
          <cell r="B938">
            <v>0</v>
          </cell>
          <cell r="C938">
            <v>6901</v>
          </cell>
          <cell r="D938" t="str">
            <v>10.04.1996</v>
          </cell>
          <cell r="E938">
            <v>3</v>
          </cell>
          <cell r="F938">
            <v>6197000037</v>
          </cell>
        </row>
        <row r="939">
          <cell r="A939">
            <v>3400003336</v>
          </cell>
          <cell r="B939">
            <v>0</v>
          </cell>
          <cell r="C939">
            <v>6901</v>
          </cell>
          <cell r="D939" t="str">
            <v>10.04.1996</v>
          </cell>
          <cell r="E939">
            <v>0</v>
          </cell>
          <cell r="F939">
            <v>6197000038</v>
          </cell>
        </row>
        <row r="940">
          <cell r="A940">
            <v>3400003337</v>
          </cell>
          <cell r="B940">
            <v>0</v>
          </cell>
          <cell r="C940">
            <v>6901</v>
          </cell>
          <cell r="D940" t="str">
            <v>11.06.1996</v>
          </cell>
          <cell r="E940">
            <v>1</v>
          </cell>
          <cell r="F940">
            <v>6197000039</v>
          </cell>
        </row>
        <row r="941">
          <cell r="A941">
            <v>3400003338</v>
          </cell>
          <cell r="B941">
            <v>0</v>
          </cell>
          <cell r="C941">
            <v>6901</v>
          </cell>
          <cell r="D941" t="str">
            <v>30.05.1996</v>
          </cell>
          <cell r="E941">
            <v>1</v>
          </cell>
          <cell r="F941">
            <v>6197000040</v>
          </cell>
        </row>
        <row r="942">
          <cell r="A942">
            <v>3400003339</v>
          </cell>
          <cell r="B942">
            <v>0</v>
          </cell>
          <cell r="C942">
            <v>6801</v>
          </cell>
          <cell r="D942" t="str">
            <v>01.10.1996</v>
          </cell>
          <cell r="E942">
            <v>1</v>
          </cell>
          <cell r="F942">
            <v>6197000041</v>
          </cell>
        </row>
        <row r="943">
          <cell r="A943">
            <v>3400003340</v>
          </cell>
          <cell r="B943">
            <v>0</v>
          </cell>
          <cell r="C943">
            <v>5600</v>
          </cell>
          <cell r="D943" t="str">
            <v>01.10.1996</v>
          </cell>
          <cell r="E943">
            <v>0</v>
          </cell>
          <cell r="F943">
            <v>6197000042</v>
          </cell>
        </row>
        <row r="944">
          <cell r="A944">
            <v>3400003340</v>
          </cell>
          <cell r="B944">
            <v>1</v>
          </cell>
          <cell r="C944">
            <v>5600</v>
          </cell>
          <cell r="D944" t="str">
            <v>01.10.1996</v>
          </cell>
          <cell r="E944">
            <v>0</v>
          </cell>
          <cell r="F944">
            <v>6197000042</v>
          </cell>
        </row>
        <row r="945">
          <cell r="A945">
            <v>3400003341</v>
          </cell>
          <cell r="B945">
            <v>0</v>
          </cell>
          <cell r="C945">
            <v>5100</v>
          </cell>
          <cell r="D945" t="str">
            <v>01.10.1996</v>
          </cell>
          <cell r="E945">
            <v>1</v>
          </cell>
          <cell r="F945">
            <v>6197000043</v>
          </cell>
        </row>
        <row r="946">
          <cell r="A946">
            <v>3400003342</v>
          </cell>
          <cell r="B946">
            <v>0</v>
          </cell>
          <cell r="C946">
            <v>6900</v>
          </cell>
          <cell r="D946" t="str">
            <v>12.04.1996</v>
          </cell>
          <cell r="E946">
            <v>0</v>
          </cell>
          <cell r="F946">
            <v>6197000044</v>
          </cell>
        </row>
        <row r="947">
          <cell r="A947">
            <v>3400003343</v>
          </cell>
          <cell r="B947">
            <v>0</v>
          </cell>
          <cell r="C947">
            <v>6210</v>
          </cell>
          <cell r="D947" t="str">
            <v>01.10.1996</v>
          </cell>
          <cell r="E947">
            <v>0</v>
          </cell>
          <cell r="F947">
            <v>6197000045</v>
          </cell>
        </row>
        <row r="948">
          <cell r="A948">
            <v>3400003344</v>
          </cell>
          <cell r="B948">
            <v>0</v>
          </cell>
          <cell r="C948">
            <v>6210</v>
          </cell>
          <cell r="D948" t="str">
            <v>01.10.1996</v>
          </cell>
          <cell r="E948">
            <v>0</v>
          </cell>
          <cell r="F948">
            <v>6197000046</v>
          </cell>
        </row>
        <row r="949">
          <cell r="A949">
            <v>3400003345</v>
          </cell>
          <cell r="B949">
            <v>0</v>
          </cell>
          <cell r="C949">
            <v>5304</v>
          </cell>
          <cell r="D949" t="str">
            <v>15.05.1996</v>
          </cell>
          <cell r="E949">
            <v>140</v>
          </cell>
          <cell r="F949">
            <v>6197000047</v>
          </cell>
        </row>
        <row r="950">
          <cell r="A950">
            <v>3400003346</v>
          </cell>
          <cell r="B950">
            <v>0</v>
          </cell>
          <cell r="C950">
            <v>5304</v>
          </cell>
          <cell r="D950" t="str">
            <v>15.05.1996</v>
          </cell>
          <cell r="E950">
            <v>280</v>
          </cell>
          <cell r="F950">
            <v>6197000048</v>
          </cell>
        </row>
        <row r="951">
          <cell r="A951">
            <v>3400003347</v>
          </cell>
          <cell r="B951">
            <v>1</v>
          </cell>
          <cell r="C951">
            <v>6800</v>
          </cell>
          <cell r="D951" t="str">
            <v>01.10.1996</v>
          </cell>
          <cell r="E951">
            <v>1</v>
          </cell>
          <cell r="F951">
            <v>6197000049</v>
          </cell>
        </row>
        <row r="952">
          <cell r="A952">
            <v>3400003347</v>
          </cell>
          <cell r="B952">
            <v>0</v>
          </cell>
          <cell r="C952">
            <v>6800</v>
          </cell>
          <cell r="D952" t="str">
            <v>01.10.1996</v>
          </cell>
          <cell r="E952">
            <v>1</v>
          </cell>
          <cell r="F952">
            <v>6197000049</v>
          </cell>
        </row>
        <row r="953">
          <cell r="A953">
            <v>3400003348</v>
          </cell>
          <cell r="B953">
            <v>0</v>
          </cell>
          <cell r="C953">
            <v>6901</v>
          </cell>
          <cell r="D953" t="str">
            <v>25.04.1996</v>
          </cell>
          <cell r="E953">
            <v>0</v>
          </cell>
          <cell r="F953">
            <v>6197000050</v>
          </cell>
        </row>
        <row r="954">
          <cell r="A954">
            <v>3400003349</v>
          </cell>
          <cell r="B954">
            <v>0</v>
          </cell>
          <cell r="C954">
            <v>6901</v>
          </cell>
          <cell r="D954" t="str">
            <v>22.05.1996</v>
          </cell>
          <cell r="E954">
            <v>0</v>
          </cell>
          <cell r="F954">
            <v>6197000051</v>
          </cell>
        </row>
        <row r="955">
          <cell r="A955">
            <v>3400003350</v>
          </cell>
          <cell r="B955">
            <v>0</v>
          </cell>
          <cell r="C955">
            <v>6220</v>
          </cell>
          <cell r="D955" t="str">
            <v>01.10.1996</v>
          </cell>
          <cell r="E955">
            <v>1</v>
          </cell>
          <cell r="F955">
            <v>6197000052</v>
          </cell>
        </row>
        <row r="956">
          <cell r="A956">
            <v>3400003351</v>
          </cell>
          <cell r="B956">
            <v>0</v>
          </cell>
          <cell r="C956">
            <v>6220</v>
          </cell>
          <cell r="D956" t="str">
            <v>01.10.1996</v>
          </cell>
          <cell r="E956">
            <v>1</v>
          </cell>
          <cell r="F956">
            <v>6197000053</v>
          </cell>
        </row>
        <row r="957">
          <cell r="A957">
            <v>3400003352</v>
          </cell>
          <cell r="B957">
            <v>0</v>
          </cell>
          <cell r="C957">
            <v>6220</v>
          </cell>
          <cell r="D957" t="str">
            <v>01.10.1996</v>
          </cell>
          <cell r="E957">
            <v>1</v>
          </cell>
          <cell r="F957">
            <v>6197000054</v>
          </cell>
        </row>
        <row r="958">
          <cell r="A958">
            <v>3400003353</v>
          </cell>
          <cell r="B958">
            <v>0</v>
          </cell>
          <cell r="C958">
            <v>5301</v>
          </cell>
          <cell r="D958" t="str">
            <v>01.10.1996</v>
          </cell>
          <cell r="E958">
            <v>0</v>
          </cell>
          <cell r="F958">
            <v>6197000055</v>
          </cell>
        </row>
        <row r="959">
          <cell r="A959">
            <v>3400003354</v>
          </cell>
          <cell r="B959">
            <v>0</v>
          </cell>
          <cell r="C959">
            <v>5300</v>
          </cell>
          <cell r="D959" t="str">
            <v>01.10.1996</v>
          </cell>
          <cell r="E959">
            <v>0</v>
          </cell>
          <cell r="F959">
            <v>6197000056</v>
          </cell>
        </row>
        <row r="960">
          <cell r="A960">
            <v>3400003355</v>
          </cell>
          <cell r="B960">
            <v>0</v>
          </cell>
          <cell r="C960">
            <v>6801</v>
          </cell>
          <cell r="D960" t="str">
            <v>01.10.1996</v>
          </cell>
          <cell r="E960">
            <v>0</v>
          </cell>
          <cell r="F960">
            <v>6197000057</v>
          </cell>
        </row>
        <row r="961">
          <cell r="A961">
            <v>3400003356</v>
          </cell>
          <cell r="B961">
            <v>0</v>
          </cell>
          <cell r="C961">
            <v>5304</v>
          </cell>
          <cell r="D961" t="str">
            <v>27.06.1996</v>
          </cell>
          <cell r="E961">
            <v>6</v>
          </cell>
          <cell r="F961">
            <v>6197000058</v>
          </cell>
        </row>
        <row r="962">
          <cell r="A962">
            <v>3400003357</v>
          </cell>
          <cell r="B962">
            <v>0</v>
          </cell>
          <cell r="C962">
            <v>6230</v>
          </cell>
          <cell r="D962" t="str">
            <v>01.10.1996</v>
          </cell>
          <cell r="E962">
            <v>0</v>
          </cell>
          <cell r="F962">
            <v>6197000059</v>
          </cell>
        </row>
        <row r="963">
          <cell r="A963">
            <v>3400003358</v>
          </cell>
          <cell r="B963">
            <v>0</v>
          </cell>
          <cell r="C963">
            <v>6901</v>
          </cell>
          <cell r="D963" t="str">
            <v>19.06.1996</v>
          </cell>
          <cell r="E963">
            <v>53</v>
          </cell>
          <cell r="F963">
            <v>6197000060</v>
          </cell>
        </row>
        <row r="964">
          <cell r="A964">
            <v>3400003359</v>
          </cell>
          <cell r="B964">
            <v>0</v>
          </cell>
          <cell r="C964">
            <v>6901</v>
          </cell>
          <cell r="D964" t="str">
            <v>24.07.1996</v>
          </cell>
          <cell r="E964">
            <v>1</v>
          </cell>
          <cell r="F964">
            <v>6197000061</v>
          </cell>
        </row>
        <row r="965">
          <cell r="A965">
            <v>3400003360</v>
          </cell>
          <cell r="B965">
            <v>0</v>
          </cell>
          <cell r="C965">
            <v>5400</v>
          </cell>
          <cell r="D965" t="str">
            <v>01.10.1996</v>
          </cell>
          <cell r="E965">
            <v>0</v>
          </cell>
          <cell r="F965">
            <v>6197000062</v>
          </cell>
        </row>
        <row r="966">
          <cell r="A966">
            <v>3400003361</v>
          </cell>
          <cell r="B966">
            <v>0</v>
          </cell>
          <cell r="C966">
            <v>6230</v>
          </cell>
          <cell r="D966" t="str">
            <v>01.10.1996</v>
          </cell>
          <cell r="E966">
            <v>0</v>
          </cell>
          <cell r="F966">
            <v>6197000063</v>
          </cell>
        </row>
        <row r="967">
          <cell r="A967">
            <v>3400003362</v>
          </cell>
          <cell r="B967">
            <v>0</v>
          </cell>
          <cell r="C967">
            <v>6230</v>
          </cell>
          <cell r="D967" t="str">
            <v>01.10.1996</v>
          </cell>
          <cell r="E967">
            <v>0</v>
          </cell>
          <cell r="F967">
            <v>6197000064</v>
          </cell>
        </row>
        <row r="968">
          <cell r="A968">
            <v>3400003363</v>
          </cell>
          <cell r="B968">
            <v>0</v>
          </cell>
          <cell r="C968">
            <v>6800</v>
          </cell>
          <cell r="D968" t="str">
            <v>01.10.1996</v>
          </cell>
          <cell r="E968">
            <v>1</v>
          </cell>
          <cell r="F968">
            <v>6197000065</v>
          </cell>
        </row>
        <row r="969">
          <cell r="A969">
            <v>3400003364</v>
          </cell>
          <cell r="B969">
            <v>0</v>
          </cell>
          <cell r="C969">
            <v>6901</v>
          </cell>
          <cell r="D969" t="str">
            <v>19.07.1996</v>
          </cell>
          <cell r="E969">
            <v>0</v>
          </cell>
          <cell r="F969">
            <v>6197000066</v>
          </cell>
        </row>
        <row r="970">
          <cell r="A970">
            <v>3400003365</v>
          </cell>
          <cell r="B970">
            <v>0</v>
          </cell>
          <cell r="C970">
            <v>6901</v>
          </cell>
          <cell r="D970" t="str">
            <v>08.05.1996</v>
          </cell>
          <cell r="E970">
            <v>2</v>
          </cell>
          <cell r="F970">
            <v>6197000067</v>
          </cell>
        </row>
        <row r="971">
          <cell r="A971">
            <v>3400003366</v>
          </cell>
          <cell r="B971">
            <v>0</v>
          </cell>
          <cell r="C971">
            <v>6801</v>
          </cell>
          <cell r="D971" t="str">
            <v>01.10.1996</v>
          </cell>
          <cell r="E971">
            <v>27</v>
          </cell>
          <cell r="F971">
            <v>6197000088</v>
          </cell>
        </row>
        <row r="972">
          <cell r="A972">
            <v>3400003367</v>
          </cell>
          <cell r="B972">
            <v>0</v>
          </cell>
          <cell r="C972">
            <v>6900</v>
          </cell>
          <cell r="D972" t="str">
            <v>08.08.1996</v>
          </cell>
          <cell r="E972">
            <v>1350</v>
          </cell>
          <cell r="F972">
            <v>6197000089</v>
          </cell>
        </row>
        <row r="973">
          <cell r="A973">
            <v>3400003368</v>
          </cell>
          <cell r="B973">
            <v>1</v>
          </cell>
          <cell r="C973">
            <v>6602</v>
          </cell>
          <cell r="D973" t="str">
            <v>17.04.1996</v>
          </cell>
          <cell r="E973">
            <v>84</v>
          </cell>
          <cell r="F973">
            <v>6197000090</v>
          </cell>
        </row>
        <row r="974">
          <cell r="A974">
            <v>3400003368</v>
          </cell>
          <cell r="B974">
            <v>0</v>
          </cell>
          <cell r="C974">
            <v>6602</v>
          </cell>
          <cell r="D974" t="str">
            <v>17.04.1996</v>
          </cell>
          <cell r="E974">
            <v>84</v>
          </cell>
          <cell r="F974">
            <v>6197000090</v>
          </cell>
        </row>
        <row r="975">
          <cell r="A975">
            <v>3400003369</v>
          </cell>
          <cell r="B975">
            <v>0</v>
          </cell>
          <cell r="C975">
            <v>5800</v>
          </cell>
          <cell r="D975" t="str">
            <v>01.10.1996</v>
          </cell>
          <cell r="E975">
            <v>1</v>
          </cell>
          <cell r="F975">
            <v>6197000091</v>
          </cell>
        </row>
        <row r="976">
          <cell r="A976">
            <v>3400003370</v>
          </cell>
          <cell r="B976">
            <v>0</v>
          </cell>
          <cell r="C976">
            <v>6801</v>
          </cell>
          <cell r="D976" t="str">
            <v>01.10.1996</v>
          </cell>
          <cell r="E976">
            <v>1</v>
          </cell>
          <cell r="F976">
            <v>6197000092</v>
          </cell>
        </row>
        <row r="977">
          <cell r="A977">
            <v>3400003371</v>
          </cell>
          <cell r="B977">
            <v>0</v>
          </cell>
          <cell r="C977">
            <v>6801</v>
          </cell>
          <cell r="D977" t="str">
            <v>01.10.1996</v>
          </cell>
          <cell r="E977">
            <v>1</v>
          </cell>
          <cell r="F977">
            <v>6197000093</v>
          </cell>
        </row>
        <row r="978">
          <cell r="A978">
            <v>3400003372</v>
          </cell>
          <cell r="B978">
            <v>0</v>
          </cell>
          <cell r="C978">
            <v>6801</v>
          </cell>
          <cell r="D978" t="str">
            <v>01.10.1996</v>
          </cell>
          <cell r="E978">
            <v>1</v>
          </cell>
          <cell r="F978">
            <v>6197000094</v>
          </cell>
        </row>
        <row r="979">
          <cell r="A979">
            <v>3400003373</v>
          </cell>
          <cell r="B979">
            <v>0</v>
          </cell>
          <cell r="C979">
            <v>6801</v>
          </cell>
          <cell r="D979" t="str">
            <v>01.10.1996</v>
          </cell>
          <cell r="E979">
            <v>1</v>
          </cell>
          <cell r="F979">
            <v>6197000095</v>
          </cell>
        </row>
        <row r="980">
          <cell r="A980">
            <v>3400003374</v>
          </cell>
          <cell r="B980">
            <v>0</v>
          </cell>
          <cell r="C980">
            <v>5801</v>
          </cell>
          <cell r="D980" t="str">
            <v>01.10.1996</v>
          </cell>
          <cell r="E980">
            <v>0</v>
          </cell>
          <cell r="F980">
            <v>6197000096</v>
          </cell>
        </row>
        <row r="981">
          <cell r="A981">
            <v>3400003375</v>
          </cell>
          <cell r="B981">
            <v>0</v>
          </cell>
          <cell r="C981">
            <v>5801</v>
          </cell>
          <cell r="D981" t="str">
            <v>01.10.1996</v>
          </cell>
          <cell r="E981">
            <v>0</v>
          </cell>
          <cell r="F981">
            <v>6197000097</v>
          </cell>
        </row>
        <row r="982">
          <cell r="A982">
            <v>3400003376</v>
          </cell>
          <cell r="B982">
            <v>0</v>
          </cell>
          <cell r="C982">
            <v>5801</v>
          </cell>
          <cell r="D982" t="str">
            <v>01.10.1996</v>
          </cell>
          <cell r="E982">
            <v>0</v>
          </cell>
          <cell r="F982">
            <v>6197000098</v>
          </cell>
        </row>
        <row r="983">
          <cell r="A983">
            <v>3400003377</v>
          </cell>
          <cell r="B983">
            <v>0</v>
          </cell>
          <cell r="C983">
            <v>5801</v>
          </cell>
          <cell r="D983" t="str">
            <v>01.10.1996</v>
          </cell>
          <cell r="E983">
            <v>0</v>
          </cell>
          <cell r="F983">
            <v>6197000099</v>
          </cell>
        </row>
        <row r="984">
          <cell r="A984">
            <v>3400003378</v>
          </cell>
          <cell r="B984">
            <v>0</v>
          </cell>
          <cell r="C984">
            <v>5600</v>
          </cell>
          <cell r="D984" t="str">
            <v>01.10.1996</v>
          </cell>
          <cell r="E984">
            <v>0</v>
          </cell>
          <cell r="F984">
            <v>6197000100</v>
          </cell>
        </row>
        <row r="985">
          <cell r="A985">
            <v>3400003379</v>
          </cell>
          <cell r="B985">
            <v>0</v>
          </cell>
          <cell r="C985">
            <v>5600</v>
          </cell>
          <cell r="D985" t="str">
            <v>01.10.1996</v>
          </cell>
          <cell r="E985">
            <v>0</v>
          </cell>
          <cell r="F985">
            <v>6197000101</v>
          </cell>
        </row>
        <row r="986">
          <cell r="A986">
            <v>3400003380</v>
          </cell>
          <cell r="B986">
            <v>0</v>
          </cell>
          <cell r="C986">
            <v>5600</v>
          </cell>
          <cell r="D986" t="str">
            <v>01.10.1996</v>
          </cell>
          <cell r="E986">
            <v>0</v>
          </cell>
          <cell r="F986">
            <v>6197000102</v>
          </cell>
        </row>
        <row r="987">
          <cell r="A987">
            <v>3400003381</v>
          </cell>
          <cell r="B987">
            <v>0</v>
          </cell>
          <cell r="C987">
            <v>5100</v>
          </cell>
          <cell r="D987" t="str">
            <v>01.10.1996</v>
          </cell>
          <cell r="E987">
            <v>0</v>
          </cell>
          <cell r="F987">
            <v>6197000103</v>
          </cell>
        </row>
        <row r="988">
          <cell r="A988">
            <v>3400003382</v>
          </cell>
          <cell r="B988">
            <v>0</v>
          </cell>
          <cell r="C988">
            <v>5100</v>
          </cell>
          <cell r="D988" t="str">
            <v>01.10.1996</v>
          </cell>
          <cell r="E988">
            <v>0</v>
          </cell>
          <cell r="F988">
            <v>6197000104</v>
          </cell>
        </row>
        <row r="989">
          <cell r="A989">
            <v>3400003383</v>
          </cell>
          <cell r="B989">
            <v>0</v>
          </cell>
          <cell r="C989">
            <v>5100</v>
          </cell>
          <cell r="D989" t="str">
            <v>01.10.1996</v>
          </cell>
          <cell r="E989">
            <v>0</v>
          </cell>
          <cell r="F989">
            <v>6197000105</v>
          </cell>
        </row>
        <row r="990">
          <cell r="A990">
            <v>3400003384</v>
          </cell>
          <cell r="B990">
            <v>0</v>
          </cell>
          <cell r="C990">
            <v>5100</v>
          </cell>
          <cell r="D990" t="str">
            <v>01.10.1996</v>
          </cell>
          <cell r="E990">
            <v>0</v>
          </cell>
          <cell r="F990">
            <v>6197000106</v>
          </cell>
        </row>
        <row r="991">
          <cell r="A991">
            <v>3400003385</v>
          </cell>
          <cell r="B991">
            <v>0</v>
          </cell>
          <cell r="C991">
            <v>5100</v>
          </cell>
          <cell r="D991" t="str">
            <v>01.10.1996</v>
          </cell>
          <cell r="E991">
            <v>0</v>
          </cell>
          <cell r="F991">
            <v>6197000107</v>
          </cell>
        </row>
        <row r="992">
          <cell r="A992">
            <v>3400003386</v>
          </cell>
          <cell r="B992">
            <v>0</v>
          </cell>
          <cell r="C992">
            <v>5100</v>
          </cell>
          <cell r="D992" t="str">
            <v>01.10.1996</v>
          </cell>
          <cell r="E992">
            <v>0</v>
          </cell>
          <cell r="F992">
            <v>6197000108</v>
          </cell>
        </row>
        <row r="993">
          <cell r="A993">
            <v>3400003387</v>
          </cell>
          <cell r="B993">
            <v>0</v>
          </cell>
          <cell r="C993">
            <v>5100</v>
          </cell>
          <cell r="D993" t="str">
            <v>01.10.1996</v>
          </cell>
          <cell r="E993">
            <v>0</v>
          </cell>
          <cell r="F993">
            <v>6197000109</v>
          </cell>
        </row>
        <row r="994">
          <cell r="A994">
            <v>3400003388</v>
          </cell>
          <cell r="B994">
            <v>0</v>
          </cell>
          <cell r="C994">
            <v>5100</v>
          </cell>
          <cell r="D994" t="str">
            <v>01.10.1996</v>
          </cell>
          <cell r="E994">
            <v>0</v>
          </cell>
          <cell r="F994">
            <v>6197000110</v>
          </cell>
        </row>
        <row r="995">
          <cell r="A995">
            <v>3400003389</v>
          </cell>
          <cell r="B995">
            <v>0</v>
          </cell>
          <cell r="C995">
            <v>5801</v>
          </cell>
          <cell r="D995" t="str">
            <v>01.10.1996</v>
          </cell>
          <cell r="E995">
            <v>0</v>
          </cell>
          <cell r="F995">
            <v>6197000111</v>
          </cell>
        </row>
        <row r="996">
          <cell r="A996">
            <v>3400003390</v>
          </cell>
          <cell r="B996">
            <v>0</v>
          </cell>
          <cell r="C996">
            <v>5801</v>
          </cell>
          <cell r="D996" t="str">
            <v>01.10.1996</v>
          </cell>
          <cell r="E996">
            <v>0</v>
          </cell>
          <cell r="F996">
            <v>6197000112</v>
          </cell>
        </row>
        <row r="997">
          <cell r="A997">
            <v>3400003391</v>
          </cell>
          <cell r="B997">
            <v>0</v>
          </cell>
          <cell r="C997">
            <v>5801</v>
          </cell>
          <cell r="D997" t="str">
            <v>01.10.1996</v>
          </cell>
          <cell r="E997">
            <v>0</v>
          </cell>
          <cell r="F997">
            <v>6197000113</v>
          </cell>
        </row>
        <row r="998">
          <cell r="A998">
            <v>3400003392</v>
          </cell>
          <cell r="B998">
            <v>0</v>
          </cell>
          <cell r="C998">
            <v>5801</v>
          </cell>
          <cell r="D998" t="str">
            <v>01.10.1996</v>
          </cell>
          <cell r="E998">
            <v>0</v>
          </cell>
          <cell r="F998">
            <v>6197000114</v>
          </cell>
        </row>
        <row r="999">
          <cell r="A999">
            <v>3400003393</v>
          </cell>
          <cell r="B999">
            <v>0</v>
          </cell>
          <cell r="C999">
            <v>5801</v>
          </cell>
          <cell r="D999" t="str">
            <v>01.10.1996</v>
          </cell>
          <cell r="E999">
            <v>0</v>
          </cell>
          <cell r="F999">
            <v>6197000115</v>
          </cell>
        </row>
        <row r="1000">
          <cell r="A1000">
            <v>3400003394</v>
          </cell>
          <cell r="B1000">
            <v>0</v>
          </cell>
          <cell r="C1000">
            <v>5801</v>
          </cell>
          <cell r="D1000" t="str">
            <v>01.10.1996</v>
          </cell>
          <cell r="E1000">
            <v>0</v>
          </cell>
          <cell r="F1000">
            <v>6197000116</v>
          </cell>
        </row>
        <row r="1001">
          <cell r="A1001">
            <v>3400003395</v>
          </cell>
          <cell r="B1001">
            <v>0</v>
          </cell>
          <cell r="C1001">
            <v>5801</v>
          </cell>
          <cell r="D1001" t="str">
            <v>01.10.1996</v>
          </cell>
          <cell r="E1001">
            <v>0</v>
          </cell>
          <cell r="F1001">
            <v>6197000117</v>
          </cell>
        </row>
        <row r="1002">
          <cell r="A1002">
            <v>3400003396</v>
          </cell>
          <cell r="B1002">
            <v>0</v>
          </cell>
          <cell r="C1002">
            <v>5801</v>
          </cell>
          <cell r="D1002" t="str">
            <v>01.10.1996</v>
          </cell>
          <cell r="E1002">
            <v>0</v>
          </cell>
          <cell r="F1002">
            <v>6197000118</v>
          </cell>
        </row>
        <row r="1003">
          <cell r="A1003">
            <v>3400003397</v>
          </cell>
          <cell r="B1003">
            <v>0</v>
          </cell>
          <cell r="C1003">
            <v>5801</v>
          </cell>
          <cell r="D1003" t="str">
            <v>01.10.1996</v>
          </cell>
          <cell r="E1003">
            <v>0</v>
          </cell>
          <cell r="F1003">
            <v>6197000119</v>
          </cell>
        </row>
        <row r="1004">
          <cell r="A1004">
            <v>3400003398</v>
          </cell>
          <cell r="B1004">
            <v>0</v>
          </cell>
          <cell r="C1004">
            <v>5801</v>
          </cell>
          <cell r="D1004" t="str">
            <v>01.10.1996</v>
          </cell>
          <cell r="E1004">
            <v>0</v>
          </cell>
          <cell r="F1004">
            <v>6197000120</v>
          </cell>
        </row>
        <row r="1005">
          <cell r="A1005">
            <v>3400003399</v>
          </cell>
          <cell r="B1005">
            <v>0</v>
          </cell>
          <cell r="C1005">
            <v>5801</v>
          </cell>
          <cell r="D1005" t="str">
            <v>01.10.1996</v>
          </cell>
          <cell r="E1005">
            <v>0</v>
          </cell>
          <cell r="F1005">
            <v>6197000121</v>
          </cell>
        </row>
        <row r="1006">
          <cell r="A1006">
            <v>3400003400</v>
          </cell>
          <cell r="B1006">
            <v>0</v>
          </cell>
          <cell r="C1006">
            <v>5801</v>
          </cell>
          <cell r="D1006" t="str">
            <v>01.10.1996</v>
          </cell>
          <cell r="E1006">
            <v>0</v>
          </cell>
          <cell r="F1006">
            <v>6197000122</v>
          </cell>
        </row>
        <row r="1007">
          <cell r="A1007">
            <v>3400003401</v>
          </cell>
          <cell r="B1007">
            <v>0</v>
          </cell>
          <cell r="C1007">
            <v>5801</v>
          </cell>
          <cell r="D1007" t="str">
            <v>01.10.1996</v>
          </cell>
          <cell r="E1007">
            <v>0</v>
          </cell>
          <cell r="F1007">
            <v>6197000123</v>
          </cell>
        </row>
        <row r="1008">
          <cell r="A1008">
            <v>3400003402</v>
          </cell>
          <cell r="B1008">
            <v>0</v>
          </cell>
          <cell r="C1008">
            <v>5801</v>
          </cell>
          <cell r="D1008" t="str">
            <v>01.10.1996</v>
          </cell>
          <cell r="E1008">
            <v>0</v>
          </cell>
          <cell r="F1008">
            <v>6197000124</v>
          </cell>
        </row>
        <row r="1009">
          <cell r="A1009">
            <v>3400003403</v>
          </cell>
          <cell r="B1009">
            <v>0</v>
          </cell>
          <cell r="C1009">
            <v>5801</v>
          </cell>
          <cell r="D1009" t="str">
            <v>01.10.1996</v>
          </cell>
          <cell r="E1009">
            <v>0</v>
          </cell>
          <cell r="F1009">
            <v>6197000125</v>
          </cell>
        </row>
        <row r="1010">
          <cell r="A1010">
            <v>3400003404</v>
          </cell>
          <cell r="B1010">
            <v>0</v>
          </cell>
          <cell r="C1010">
            <v>5801</v>
          </cell>
          <cell r="D1010" t="str">
            <v>01.10.1996</v>
          </cell>
          <cell r="E1010">
            <v>0</v>
          </cell>
          <cell r="F1010">
            <v>6197000126</v>
          </cell>
        </row>
        <row r="1011">
          <cell r="A1011">
            <v>3400003405</v>
          </cell>
          <cell r="B1011">
            <v>0</v>
          </cell>
          <cell r="C1011">
            <v>5801</v>
          </cell>
          <cell r="D1011" t="str">
            <v>01.10.1996</v>
          </cell>
          <cell r="E1011">
            <v>0</v>
          </cell>
          <cell r="F1011">
            <v>6197000127</v>
          </cell>
        </row>
        <row r="1012">
          <cell r="A1012">
            <v>3400003406</v>
          </cell>
          <cell r="B1012">
            <v>0</v>
          </cell>
          <cell r="C1012">
            <v>5801</v>
          </cell>
          <cell r="D1012" t="str">
            <v>01.10.1996</v>
          </cell>
          <cell r="E1012">
            <v>0</v>
          </cell>
          <cell r="F1012">
            <v>6197000128</v>
          </cell>
        </row>
        <row r="1013">
          <cell r="A1013">
            <v>3400003407</v>
          </cell>
          <cell r="B1013">
            <v>0</v>
          </cell>
          <cell r="C1013">
            <v>5100</v>
          </cell>
          <cell r="D1013" t="str">
            <v>01.10.1996</v>
          </cell>
          <cell r="E1013">
            <v>0</v>
          </cell>
          <cell r="F1013">
            <v>6197000129</v>
          </cell>
        </row>
        <row r="1014">
          <cell r="A1014">
            <v>3400003408</v>
          </cell>
          <cell r="B1014">
            <v>0</v>
          </cell>
          <cell r="C1014">
            <v>5100</v>
          </cell>
          <cell r="D1014" t="str">
            <v>01.10.1996</v>
          </cell>
          <cell r="E1014">
            <v>0</v>
          </cell>
          <cell r="F1014">
            <v>6197000130</v>
          </cell>
        </row>
        <row r="1015">
          <cell r="A1015">
            <v>3400003409</v>
          </cell>
          <cell r="B1015">
            <v>0</v>
          </cell>
          <cell r="C1015">
            <v>5100</v>
          </cell>
          <cell r="D1015" t="str">
            <v>01.10.1996</v>
          </cell>
          <cell r="E1015">
            <v>0</v>
          </cell>
          <cell r="F1015">
            <v>6197000131</v>
          </cell>
        </row>
        <row r="1016">
          <cell r="A1016">
            <v>3400003410</v>
          </cell>
          <cell r="B1016">
            <v>0</v>
          </cell>
          <cell r="C1016">
            <v>5100</v>
          </cell>
          <cell r="D1016" t="str">
            <v>01.10.1996</v>
          </cell>
          <cell r="E1016">
            <v>0</v>
          </cell>
          <cell r="F1016">
            <v>6197000132</v>
          </cell>
        </row>
        <row r="1017">
          <cell r="A1017">
            <v>3400003411</v>
          </cell>
          <cell r="B1017">
            <v>0</v>
          </cell>
          <cell r="C1017">
            <v>5100</v>
          </cell>
          <cell r="D1017" t="str">
            <v>01.10.1996</v>
          </cell>
          <cell r="E1017">
            <v>0</v>
          </cell>
          <cell r="F1017">
            <v>6197000133</v>
          </cell>
        </row>
        <row r="1018">
          <cell r="A1018">
            <v>3400003412</v>
          </cell>
          <cell r="B1018">
            <v>0</v>
          </cell>
          <cell r="C1018">
            <v>5101</v>
          </cell>
          <cell r="D1018" t="str">
            <v>01.10.1996</v>
          </cell>
          <cell r="E1018">
            <v>0</v>
          </cell>
          <cell r="F1018">
            <v>6197000134</v>
          </cell>
        </row>
        <row r="1019">
          <cell r="A1019">
            <v>3400003413</v>
          </cell>
          <cell r="B1019">
            <v>0</v>
          </cell>
          <cell r="C1019">
            <v>5100</v>
          </cell>
          <cell r="D1019" t="str">
            <v>01.10.1996</v>
          </cell>
          <cell r="E1019">
            <v>0</v>
          </cell>
          <cell r="F1019">
            <v>6197000135</v>
          </cell>
        </row>
        <row r="1020">
          <cell r="A1020">
            <v>3400003414</v>
          </cell>
          <cell r="B1020">
            <v>0</v>
          </cell>
          <cell r="C1020">
            <v>5100</v>
          </cell>
          <cell r="D1020" t="str">
            <v>01.10.1996</v>
          </cell>
          <cell r="E1020">
            <v>0</v>
          </cell>
          <cell r="F1020">
            <v>6197000136</v>
          </cell>
        </row>
        <row r="1021">
          <cell r="A1021">
            <v>3400003415</v>
          </cell>
          <cell r="B1021">
            <v>0</v>
          </cell>
          <cell r="C1021">
            <v>5100</v>
          </cell>
          <cell r="D1021" t="str">
            <v>01.10.1996</v>
          </cell>
          <cell r="E1021">
            <v>0</v>
          </cell>
          <cell r="F1021">
            <v>6197000137</v>
          </cell>
        </row>
        <row r="1022">
          <cell r="A1022">
            <v>3400003416</v>
          </cell>
          <cell r="B1022">
            <v>0</v>
          </cell>
          <cell r="C1022">
            <v>5100</v>
          </cell>
          <cell r="D1022" t="str">
            <v>01.10.1996</v>
          </cell>
          <cell r="E1022">
            <v>0</v>
          </cell>
          <cell r="F1022">
            <v>6197000138</v>
          </cell>
        </row>
        <row r="1023">
          <cell r="A1023">
            <v>3400003417</v>
          </cell>
          <cell r="B1023">
            <v>0</v>
          </cell>
          <cell r="C1023">
            <v>5100</v>
          </cell>
          <cell r="D1023" t="str">
            <v>01.10.1996</v>
          </cell>
          <cell r="E1023">
            <v>0</v>
          </cell>
          <cell r="F1023">
            <v>6197000139</v>
          </cell>
        </row>
        <row r="1024">
          <cell r="A1024">
            <v>3400003418</v>
          </cell>
          <cell r="B1024">
            <v>0</v>
          </cell>
          <cell r="C1024">
            <v>5100</v>
          </cell>
          <cell r="D1024" t="str">
            <v>01.10.1996</v>
          </cell>
          <cell r="E1024">
            <v>0</v>
          </cell>
          <cell r="F1024">
            <v>6197000140</v>
          </cell>
        </row>
        <row r="1025">
          <cell r="A1025">
            <v>3400003419</v>
          </cell>
          <cell r="B1025">
            <v>0</v>
          </cell>
          <cell r="C1025">
            <v>5100</v>
          </cell>
          <cell r="D1025" t="str">
            <v>01.10.1996</v>
          </cell>
          <cell r="E1025">
            <v>0</v>
          </cell>
          <cell r="F1025">
            <v>6197000141</v>
          </cell>
        </row>
        <row r="1026">
          <cell r="A1026">
            <v>3400003420</v>
          </cell>
          <cell r="B1026">
            <v>0</v>
          </cell>
          <cell r="C1026">
            <v>5100</v>
          </cell>
          <cell r="D1026" t="str">
            <v>01.10.1996</v>
          </cell>
          <cell r="E1026">
            <v>0</v>
          </cell>
          <cell r="F1026">
            <v>6197000142</v>
          </cell>
        </row>
        <row r="1027">
          <cell r="A1027">
            <v>3400003421</v>
          </cell>
          <cell r="B1027">
            <v>0</v>
          </cell>
          <cell r="C1027">
            <v>5100</v>
          </cell>
          <cell r="D1027" t="str">
            <v>01.10.1996</v>
          </cell>
          <cell r="E1027">
            <v>0</v>
          </cell>
          <cell r="F1027">
            <v>6197000143</v>
          </cell>
        </row>
        <row r="1028">
          <cell r="A1028">
            <v>3400003422</v>
          </cell>
          <cell r="B1028">
            <v>0</v>
          </cell>
          <cell r="C1028">
            <v>5100</v>
          </cell>
          <cell r="D1028" t="str">
            <v>01.10.1996</v>
          </cell>
          <cell r="E1028">
            <v>0</v>
          </cell>
          <cell r="F1028">
            <v>6197000144</v>
          </cell>
        </row>
        <row r="1029">
          <cell r="A1029">
            <v>3400003423</v>
          </cell>
          <cell r="B1029">
            <v>0</v>
          </cell>
          <cell r="C1029">
            <v>5100</v>
          </cell>
          <cell r="D1029" t="str">
            <v>01.10.1996</v>
          </cell>
          <cell r="E1029">
            <v>0</v>
          </cell>
          <cell r="F1029">
            <v>6197000145</v>
          </cell>
        </row>
        <row r="1030">
          <cell r="A1030">
            <v>3400003424</v>
          </cell>
          <cell r="B1030">
            <v>0</v>
          </cell>
          <cell r="C1030">
            <v>5100</v>
          </cell>
          <cell r="D1030" t="str">
            <v>01.10.1996</v>
          </cell>
          <cell r="E1030">
            <v>0</v>
          </cell>
          <cell r="F1030">
            <v>6197000146</v>
          </cell>
        </row>
        <row r="1031">
          <cell r="A1031">
            <v>3400003425</v>
          </cell>
          <cell r="B1031">
            <v>0</v>
          </cell>
          <cell r="C1031">
            <v>5100</v>
          </cell>
          <cell r="D1031" t="str">
            <v>01.10.1996</v>
          </cell>
          <cell r="E1031">
            <v>0</v>
          </cell>
          <cell r="F1031">
            <v>6197000147</v>
          </cell>
        </row>
        <row r="1032">
          <cell r="A1032">
            <v>3400003426</v>
          </cell>
          <cell r="B1032">
            <v>0</v>
          </cell>
          <cell r="C1032">
            <v>5100</v>
          </cell>
          <cell r="D1032" t="str">
            <v>01.10.1996</v>
          </cell>
          <cell r="E1032">
            <v>0</v>
          </cell>
          <cell r="F1032">
            <v>6197000148</v>
          </cell>
        </row>
        <row r="1033">
          <cell r="A1033">
            <v>3400003427</v>
          </cell>
          <cell r="B1033">
            <v>0</v>
          </cell>
          <cell r="C1033">
            <v>5100</v>
          </cell>
          <cell r="D1033" t="str">
            <v>01.10.1996</v>
          </cell>
          <cell r="E1033">
            <v>0</v>
          </cell>
          <cell r="F1033">
            <v>6197000149</v>
          </cell>
        </row>
        <row r="1034">
          <cell r="A1034">
            <v>3400003428</v>
          </cell>
          <cell r="B1034">
            <v>0</v>
          </cell>
          <cell r="C1034">
            <v>5100</v>
          </cell>
          <cell r="D1034" t="str">
            <v>01.10.1996</v>
          </cell>
          <cell r="E1034">
            <v>0</v>
          </cell>
          <cell r="F1034">
            <v>6197000150</v>
          </cell>
        </row>
        <row r="1035">
          <cell r="A1035">
            <v>3400003429</v>
          </cell>
          <cell r="B1035">
            <v>0</v>
          </cell>
          <cell r="C1035">
            <v>5100</v>
          </cell>
          <cell r="D1035" t="str">
            <v>01.10.1996</v>
          </cell>
          <cell r="E1035">
            <v>0</v>
          </cell>
          <cell r="F1035">
            <v>6197000151</v>
          </cell>
        </row>
        <row r="1036">
          <cell r="A1036">
            <v>3400003430</v>
          </cell>
          <cell r="B1036">
            <v>0</v>
          </cell>
          <cell r="C1036">
            <v>5100</v>
          </cell>
          <cell r="D1036" t="str">
            <v>01.10.1996</v>
          </cell>
          <cell r="E1036">
            <v>0</v>
          </cell>
          <cell r="F1036">
            <v>6197000152</v>
          </cell>
        </row>
        <row r="1037">
          <cell r="A1037">
            <v>3400003431</v>
          </cell>
          <cell r="B1037">
            <v>0</v>
          </cell>
          <cell r="C1037">
            <v>5100</v>
          </cell>
          <cell r="D1037" t="str">
            <v>01.10.1996</v>
          </cell>
          <cell r="E1037">
            <v>0</v>
          </cell>
          <cell r="F1037">
            <v>6197000153</v>
          </cell>
        </row>
        <row r="1038">
          <cell r="A1038">
            <v>3400003432</v>
          </cell>
          <cell r="B1038">
            <v>0</v>
          </cell>
          <cell r="C1038">
            <v>5100</v>
          </cell>
          <cell r="D1038" t="str">
            <v>01.10.1996</v>
          </cell>
          <cell r="E1038">
            <v>0</v>
          </cell>
          <cell r="F1038">
            <v>6197000154</v>
          </cell>
        </row>
        <row r="1039">
          <cell r="A1039">
            <v>3400003433</v>
          </cell>
          <cell r="B1039">
            <v>0</v>
          </cell>
          <cell r="C1039">
            <v>5100</v>
          </cell>
          <cell r="D1039" t="str">
            <v>01.10.1996</v>
          </cell>
          <cell r="E1039">
            <v>0</v>
          </cell>
          <cell r="F1039">
            <v>6197000155</v>
          </cell>
        </row>
        <row r="1040">
          <cell r="A1040">
            <v>3400003434</v>
          </cell>
          <cell r="B1040">
            <v>0</v>
          </cell>
          <cell r="C1040">
            <v>5100</v>
          </cell>
          <cell r="D1040" t="str">
            <v>01.10.1996</v>
          </cell>
          <cell r="E1040">
            <v>0</v>
          </cell>
          <cell r="F1040">
            <v>6197000156</v>
          </cell>
        </row>
        <row r="1041">
          <cell r="A1041">
            <v>3400003435</v>
          </cell>
          <cell r="B1041">
            <v>0</v>
          </cell>
          <cell r="C1041">
            <v>5100</v>
          </cell>
          <cell r="D1041" t="str">
            <v>01.10.1996</v>
          </cell>
          <cell r="E1041">
            <v>0</v>
          </cell>
          <cell r="F1041">
            <v>6197000157</v>
          </cell>
        </row>
        <row r="1042">
          <cell r="A1042">
            <v>3400003436</v>
          </cell>
          <cell r="B1042">
            <v>0</v>
          </cell>
          <cell r="C1042">
            <v>5100</v>
          </cell>
          <cell r="D1042" t="str">
            <v>01.10.1996</v>
          </cell>
          <cell r="E1042">
            <v>0</v>
          </cell>
          <cell r="F1042">
            <v>6197000158</v>
          </cell>
        </row>
        <row r="1043">
          <cell r="A1043">
            <v>3400003437</v>
          </cell>
          <cell r="B1043">
            <v>0</v>
          </cell>
          <cell r="C1043">
            <v>5100</v>
          </cell>
          <cell r="D1043" t="str">
            <v>01.10.1996</v>
          </cell>
          <cell r="E1043">
            <v>0</v>
          </cell>
          <cell r="F1043">
            <v>6197000159</v>
          </cell>
        </row>
        <row r="1044">
          <cell r="A1044">
            <v>3400003438</v>
          </cell>
          <cell r="B1044">
            <v>0</v>
          </cell>
          <cell r="C1044">
            <v>5100</v>
          </cell>
          <cell r="D1044" t="str">
            <v>01.10.1996</v>
          </cell>
          <cell r="E1044">
            <v>0</v>
          </cell>
          <cell r="F1044">
            <v>6197000160</v>
          </cell>
        </row>
        <row r="1045">
          <cell r="A1045">
            <v>3400003439</v>
          </cell>
          <cell r="B1045">
            <v>0</v>
          </cell>
          <cell r="C1045">
            <v>5100</v>
          </cell>
          <cell r="D1045" t="str">
            <v>01.10.1996</v>
          </cell>
          <cell r="E1045">
            <v>0</v>
          </cell>
          <cell r="F1045">
            <v>6197000161</v>
          </cell>
        </row>
        <row r="1046">
          <cell r="A1046">
            <v>3400003440</v>
          </cell>
          <cell r="B1046">
            <v>0</v>
          </cell>
          <cell r="C1046">
            <v>5100</v>
          </cell>
          <cell r="D1046" t="str">
            <v>01.10.1996</v>
          </cell>
          <cell r="E1046">
            <v>0</v>
          </cell>
          <cell r="F1046">
            <v>6197000162</v>
          </cell>
        </row>
        <row r="1047">
          <cell r="A1047">
            <v>3400003441</v>
          </cell>
          <cell r="B1047">
            <v>0</v>
          </cell>
          <cell r="C1047">
            <v>5100</v>
          </cell>
          <cell r="D1047" t="str">
            <v>01.10.1996</v>
          </cell>
          <cell r="E1047">
            <v>0</v>
          </cell>
          <cell r="F1047">
            <v>6197000163</v>
          </cell>
        </row>
        <row r="1048">
          <cell r="A1048">
            <v>3400003442</v>
          </cell>
          <cell r="B1048">
            <v>0</v>
          </cell>
          <cell r="C1048">
            <v>5100</v>
          </cell>
          <cell r="D1048" t="str">
            <v>01.10.1996</v>
          </cell>
          <cell r="E1048">
            <v>0</v>
          </cell>
          <cell r="F1048">
            <v>6197000164</v>
          </cell>
        </row>
        <row r="1049">
          <cell r="A1049">
            <v>3400003443</v>
          </cell>
          <cell r="B1049">
            <v>0</v>
          </cell>
          <cell r="C1049">
            <v>5100</v>
          </cell>
          <cell r="D1049" t="str">
            <v>01.10.1996</v>
          </cell>
          <cell r="E1049">
            <v>0</v>
          </cell>
          <cell r="F1049">
            <v>6197000165</v>
          </cell>
        </row>
        <row r="1050">
          <cell r="A1050">
            <v>3400003444</v>
          </cell>
          <cell r="B1050">
            <v>0</v>
          </cell>
          <cell r="C1050">
            <v>5100</v>
          </cell>
          <cell r="D1050" t="str">
            <v>01.10.1996</v>
          </cell>
          <cell r="E1050">
            <v>0</v>
          </cell>
          <cell r="F1050">
            <v>6197000166</v>
          </cell>
        </row>
        <row r="1051">
          <cell r="A1051">
            <v>3400003445</v>
          </cell>
          <cell r="B1051">
            <v>0</v>
          </cell>
          <cell r="C1051">
            <v>5100</v>
          </cell>
          <cell r="D1051" t="str">
            <v>01.10.1996</v>
          </cell>
          <cell r="E1051">
            <v>0</v>
          </cell>
          <cell r="F1051">
            <v>6197000167</v>
          </cell>
        </row>
        <row r="1052">
          <cell r="A1052">
            <v>3400003446</v>
          </cell>
          <cell r="B1052">
            <v>0</v>
          </cell>
          <cell r="C1052">
            <v>5100</v>
          </cell>
          <cell r="D1052" t="str">
            <v>01.10.1996</v>
          </cell>
          <cell r="E1052">
            <v>0</v>
          </cell>
          <cell r="F1052">
            <v>6197000168</v>
          </cell>
        </row>
        <row r="1053">
          <cell r="A1053">
            <v>3400003447</v>
          </cell>
          <cell r="B1053">
            <v>0</v>
          </cell>
          <cell r="C1053">
            <v>5100</v>
          </cell>
          <cell r="D1053" t="str">
            <v>01.10.1996</v>
          </cell>
          <cell r="E1053">
            <v>0</v>
          </cell>
          <cell r="F1053">
            <v>6197000169</v>
          </cell>
        </row>
        <row r="1054">
          <cell r="A1054">
            <v>3400003448</v>
          </cell>
          <cell r="B1054">
            <v>0</v>
          </cell>
          <cell r="C1054">
            <v>5100</v>
          </cell>
          <cell r="D1054" t="str">
            <v>01.10.1996</v>
          </cell>
          <cell r="E1054">
            <v>0</v>
          </cell>
          <cell r="F1054">
            <v>6197000170</v>
          </cell>
        </row>
        <row r="1055">
          <cell r="A1055">
            <v>3400003449</v>
          </cell>
          <cell r="B1055">
            <v>0</v>
          </cell>
          <cell r="C1055">
            <v>5100</v>
          </cell>
          <cell r="D1055" t="str">
            <v>01.10.1996</v>
          </cell>
          <cell r="E1055">
            <v>0</v>
          </cell>
          <cell r="F1055">
            <v>6197000171</v>
          </cell>
        </row>
        <row r="1056">
          <cell r="A1056">
            <v>3400003450</v>
          </cell>
          <cell r="B1056">
            <v>0</v>
          </cell>
          <cell r="C1056">
            <v>5100</v>
          </cell>
          <cell r="D1056" t="str">
            <v>01.10.1996</v>
          </cell>
          <cell r="E1056">
            <v>0</v>
          </cell>
          <cell r="F1056">
            <v>6197000172</v>
          </cell>
        </row>
        <row r="1057">
          <cell r="A1057">
            <v>3400003451</v>
          </cell>
          <cell r="B1057">
            <v>0</v>
          </cell>
          <cell r="C1057">
            <v>5100</v>
          </cell>
          <cell r="D1057" t="str">
            <v>01.10.1996</v>
          </cell>
          <cell r="E1057">
            <v>0</v>
          </cell>
          <cell r="F1057">
            <v>6197000173</v>
          </cell>
        </row>
        <row r="1058">
          <cell r="A1058">
            <v>3400003452</v>
          </cell>
          <cell r="B1058">
            <v>0</v>
          </cell>
          <cell r="C1058">
            <v>5100</v>
          </cell>
          <cell r="D1058" t="str">
            <v>01.10.1996</v>
          </cell>
          <cell r="E1058">
            <v>0</v>
          </cell>
          <cell r="F1058">
            <v>6197000174</v>
          </cell>
        </row>
        <row r="1059">
          <cell r="A1059">
            <v>3400003453</v>
          </cell>
          <cell r="B1059">
            <v>0</v>
          </cell>
          <cell r="C1059">
            <v>5100</v>
          </cell>
          <cell r="D1059" t="str">
            <v>01.10.1996</v>
          </cell>
          <cell r="E1059">
            <v>0</v>
          </cell>
          <cell r="F1059">
            <v>6197000175</v>
          </cell>
        </row>
        <row r="1060">
          <cell r="A1060">
            <v>3400003454</v>
          </cell>
          <cell r="B1060">
            <v>0</v>
          </cell>
          <cell r="C1060">
            <v>5100</v>
          </cell>
          <cell r="D1060" t="str">
            <v>01.10.1996</v>
          </cell>
          <cell r="E1060">
            <v>0</v>
          </cell>
          <cell r="F1060">
            <v>6197000176</v>
          </cell>
        </row>
        <row r="1061">
          <cell r="A1061">
            <v>3400003455</v>
          </cell>
          <cell r="B1061">
            <v>0</v>
          </cell>
          <cell r="C1061">
            <v>5100</v>
          </cell>
          <cell r="D1061" t="str">
            <v>01.10.1996</v>
          </cell>
          <cell r="E1061">
            <v>0</v>
          </cell>
          <cell r="F1061">
            <v>6197000177</v>
          </cell>
        </row>
        <row r="1062">
          <cell r="A1062">
            <v>3400003456</v>
          </cell>
          <cell r="B1062">
            <v>0</v>
          </cell>
          <cell r="C1062">
            <v>5100</v>
          </cell>
          <cell r="D1062" t="str">
            <v>01.10.1996</v>
          </cell>
          <cell r="E1062">
            <v>0</v>
          </cell>
          <cell r="F1062">
            <v>6197000178</v>
          </cell>
        </row>
        <row r="1063">
          <cell r="A1063">
            <v>3400003457</v>
          </cell>
          <cell r="B1063">
            <v>0</v>
          </cell>
          <cell r="C1063">
            <v>5100</v>
          </cell>
          <cell r="D1063" t="str">
            <v>01.10.1996</v>
          </cell>
          <cell r="E1063">
            <v>0</v>
          </cell>
          <cell r="F1063">
            <v>6197000179</v>
          </cell>
        </row>
        <row r="1064">
          <cell r="A1064">
            <v>3400003458</v>
          </cell>
          <cell r="B1064">
            <v>0</v>
          </cell>
          <cell r="C1064">
            <v>5100</v>
          </cell>
          <cell r="D1064" t="str">
            <v>01.10.1996</v>
          </cell>
          <cell r="E1064">
            <v>0</v>
          </cell>
          <cell r="F1064">
            <v>6197000180</v>
          </cell>
        </row>
        <row r="1065">
          <cell r="A1065">
            <v>3400003459</v>
          </cell>
          <cell r="B1065">
            <v>0</v>
          </cell>
          <cell r="C1065">
            <v>5100</v>
          </cell>
          <cell r="D1065" t="str">
            <v>01.10.1996</v>
          </cell>
          <cell r="E1065">
            <v>0</v>
          </cell>
          <cell r="F1065">
            <v>6197000181</v>
          </cell>
        </row>
        <row r="1066">
          <cell r="A1066">
            <v>3400003460</v>
          </cell>
          <cell r="B1066">
            <v>0</v>
          </cell>
          <cell r="C1066">
            <v>5100</v>
          </cell>
          <cell r="D1066" t="str">
            <v>01.10.1996</v>
          </cell>
          <cell r="E1066">
            <v>0</v>
          </cell>
          <cell r="F1066">
            <v>6197000182</v>
          </cell>
        </row>
        <row r="1067">
          <cell r="A1067">
            <v>3400003461</v>
          </cell>
          <cell r="B1067">
            <v>0</v>
          </cell>
          <cell r="C1067">
            <v>5100</v>
          </cell>
          <cell r="D1067" t="str">
            <v>01.10.1996</v>
          </cell>
          <cell r="E1067">
            <v>0</v>
          </cell>
          <cell r="F1067">
            <v>6197000183</v>
          </cell>
        </row>
        <row r="1068">
          <cell r="A1068">
            <v>3400003462</v>
          </cell>
          <cell r="B1068">
            <v>0</v>
          </cell>
          <cell r="C1068">
            <v>5100</v>
          </cell>
          <cell r="D1068" t="str">
            <v>01.10.1996</v>
          </cell>
          <cell r="E1068">
            <v>0</v>
          </cell>
          <cell r="F1068">
            <v>6197000184</v>
          </cell>
        </row>
        <row r="1069">
          <cell r="A1069">
            <v>3400003463</v>
          </cell>
          <cell r="B1069">
            <v>0</v>
          </cell>
          <cell r="C1069">
            <v>5100</v>
          </cell>
          <cell r="D1069" t="str">
            <v>01.10.1996</v>
          </cell>
          <cell r="E1069">
            <v>0</v>
          </cell>
          <cell r="F1069">
            <v>6197000185</v>
          </cell>
        </row>
        <row r="1070">
          <cell r="A1070">
            <v>3400003464</v>
          </cell>
          <cell r="B1070">
            <v>0</v>
          </cell>
          <cell r="C1070">
            <v>5100</v>
          </cell>
          <cell r="D1070" t="str">
            <v>01.10.1996</v>
          </cell>
          <cell r="E1070">
            <v>0</v>
          </cell>
          <cell r="F1070">
            <v>6197000186</v>
          </cell>
        </row>
        <row r="1071">
          <cell r="A1071">
            <v>3400003465</v>
          </cell>
          <cell r="B1071">
            <v>0</v>
          </cell>
          <cell r="C1071">
            <v>5100</v>
          </cell>
          <cell r="D1071" t="str">
            <v>01.10.1996</v>
          </cell>
          <cell r="E1071">
            <v>0</v>
          </cell>
          <cell r="F1071">
            <v>6197000187</v>
          </cell>
        </row>
        <row r="1072">
          <cell r="A1072">
            <v>3400003466</v>
          </cell>
          <cell r="B1072">
            <v>0</v>
          </cell>
          <cell r="C1072">
            <v>5100</v>
          </cell>
          <cell r="D1072" t="str">
            <v>01.10.1996</v>
          </cell>
          <cell r="E1072">
            <v>0</v>
          </cell>
          <cell r="F1072">
            <v>6197000188</v>
          </cell>
        </row>
        <row r="1073">
          <cell r="A1073">
            <v>3400003467</v>
          </cell>
          <cell r="B1073">
            <v>0</v>
          </cell>
          <cell r="C1073">
            <v>5100</v>
          </cell>
          <cell r="D1073" t="str">
            <v>01.10.1996</v>
          </cell>
          <cell r="E1073">
            <v>0</v>
          </cell>
          <cell r="F1073">
            <v>6197000189</v>
          </cell>
        </row>
        <row r="1074">
          <cell r="A1074">
            <v>3400003468</v>
          </cell>
          <cell r="B1074">
            <v>0</v>
          </cell>
          <cell r="C1074">
            <v>5100</v>
          </cell>
          <cell r="D1074" t="str">
            <v>01.10.1996</v>
          </cell>
          <cell r="E1074">
            <v>0</v>
          </cell>
          <cell r="F1074">
            <v>6197000190</v>
          </cell>
        </row>
        <row r="1075">
          <cell r="A1075">
            <v>3400003469</v>
          </cell>
          <cell r="B1075">
            <v>0</v>
          </cell>
          <cell r="C1075">
            <v>5100</v>
          </cell>
          <cell r="D1075" t="str">
            <v>01.10.1996</v>
          </cell>
          <cell r="E1075">
            <v>0</v>
          </cell>
          <cell r="F1075">
            <v>6197000191</v>
          </cell>
        </row>
        <row r="1076">
          <cell r="A1076">
            <v>3400003470</v>
          </cell>
          <cell r="B1076">
            <v>0</v>
          </cell>
          <cell r="C1076">
            <v>5100</v>
          </cell>
          <cell r="D1076" t="str">
            <v>01.10.1996</v>
          </cell>
          <cell r="E1076">
            <v>0</v>
          </cell>
          <cell r="F1076">
            <v>6197000192</v>
          </cell>
        </row>
        <row r="1077">
          <cell r="A1077">
            <v>3400003471</v>
          </cell>
          <cell r="B1077">
            <v>0</v>
          </cell>
          <cell r="C1077">
            <v>5100</v>
          </cell>
          <cell r="D1077" t="str">
            <v>01.10.1996</v>
          </cell>
          <cell r="E1077">
            <v>0</v>
          </cell>
          <cell r="F1077">
            <v>6197000193</v>
          </cell>
        </row>
        <row r="1078">
          <cell r="A1078">
            <v>3400003472</v>
          </cell>
          <cell r="B1078">
            <v>0</v>
          </cell>
          <cell r="C1078">
            <v>5100</v>
          </cell>
          <cell r="D1078" t="str">
            <v>01.10.1996</v>
          </cell>
          <cell r="E1078">
            <v>0</v>
          </cell>
          <cell r="F1078">
            <v>6197000194</v>
          </cell>
        </row>
        <row r="1079">
          <cell r="A1079">
            <v>3400003473</v>
          </cell>
          <cell r="B1079">
            <v>0</v>
          </cell>
          <cell r="C1079">
            <v>5100</v>
          </cell>
          <cell r="D1079" t="str">
            <v>01.10.1996</v>
          </cell>
          <cell r="E1079">
            <v>0</v>
          </cell>
          <cell r="F1079">
            <v>6197000195</v>
          </cell>
        </row>
        <row r="1080">
          <cell r="A1080">
            <v>3400003474</v>
          </cell>
          <cell r="B1080">
            <v>0</v>
          </cell>
          <cell r="C1080">
            <v>5100</v>
          </cell>
          <cell r="D1080" t="str">
            <v>01.10.1996</v>
          </cell>
          <cell r="E1080">
            <v>0</v>
          </cell>
          <cell r="F1080">
            <v>6197000196</v>
          </cell>
        </row>
        <row r="1081">
          <cell r="A1081">
            <v>3400003475</v>
          </cell>
          <cell r="B1081">
            <v>0</v>
          </cell>
          <cell r="C1081">
            <v>5100</v>
          </cell>
          <cell r="D1081" t="str">
            <v>01.10.1996</v>
          </cell>
          <cell r="E1081">
            <v>0</v>
          </cell>
          <cell r="F1081">
            <v>6197000197</v>
          </cell>
        </row>
        <row r="1082">
          <cell r="A1082">
            <v>3400003476</v>
          </cell>
          <cell r="B1082">
            <v>0</v>
          </cell>
          <cell r="C1082">
            <v>5100</v>
          </cell>
          <cell r="D1082" t="str">
            <v>01.10.1996</v>
          </cell>
          <cell r="E1082">
            <v>0</v>
          </cell>
          <cell r="F1082">
            <v>6197000198</v>
          </cell>
        </row>
        <row r="1083">
          <cell r="A1083">
            <v>3400003477</v>
          </cell>
          <cell r="B1083">
            <v>0</v>
          </cell>
          <cell r="C1083">
            <v>5100</v>
          </cell>
          <cell r="D1083" t="str">
            <v>01.10.1996</v>
          </cell>
          <cell r="E1083">
            <v>0</v>
          </cell>
          <cell r="F1083">
            <v>6197000199</v>
          </cell>
        </row>
        <row r="1084">
          <cell r="A1084">
            <v>3400003478</v>
          </cell>
          <cell r="B1084">
            <v>0</v>
          </cell>
          <cell r="C1084">
            <v>5100</v>
          </cell>
          <cell r="D1084" t="str">
            <v>01.10.1996</v>
          </cell>
          <cell r="E1084">
            <v>0</v>
          </cell>
          <cell r="F1084">
            <v>6197000200</v>
          </cell>
        </row>
        <row r="1085">
          <cell r="A1085">
            <v>3400003479</v>
          </cell>
          <cell r="B1085">
            <v>0</v>
          </cell>
          <cell r="C1085">
            <v>5100</v>
          </cell>
          <cell r="D1085" t="str">
            <v>01.10.1996</v>
          </cell>
          <cell r="E1085">
            <v>0</v>
          </cell>
          <cell r="F1085">
            <v>6197000201</v>
          </cell>
        </row>
        <row r="1086">
          <cell r="A1086">
            <v>3400003480</v>
          </cell>
          <cell r="B1086">
            <v>0</v>
          </cell>
          <cell r="C1086">
            <v>5100</v>
          </cell>
          <cell r="D1086" t="str">
            <v>01.10.1996</v>
          </cell>
          <cell r="E1086">
            <v>0</v>
          </cell>
          <cell r="F1086">
            <v>6197000202</v>
          </cell>
        </row>
        <row r="1087">
          <cell r="A1087">
            <v>3400003481</v>
          </cell>
          <cell r="B1087">
            <v>0</v>
          </cell>
          <cell r="C1087">
            <v>5100</v>
          </cell>
          <cell r="D1087" t="str">
            <v>01.10.1996</v>
          </cell>
          <cell r="E1087">
            <v>0</v>
          </cell>
          <cell r="F1087">
            <v>6197000203</v>
          </cell>
        </row>
        <row r="1088">
          <cell r="A1088">
            <v>3400003482</v>
          </cell>
          <cell r="B1088">
            <v>0</v>
          </cell>
          <cell r="C1088">
            <v>5100</v>
          </cell>
          <cell r="D1088" t="str">
            <v>01.10.1996</v>
          </cell>
          <cell r="E1088">
            <v>0</v>
          </cell>
          <cell r="F1088">
            <v>6197000204</v>
          </cell>
        </row>
        <row r="1089">
          <cell r="A1089">
            <v>3400003483</v>
          </cell>
          <cell r="B1089">
            <v>0</v>
          </cell>
          <cell r="C1089">
            <v>5100</v>
          </cell>
          <cell r="D1089" t="str">
            <v>01.10.1996</v>
          </cell>
          <cell r="E1089">
            <v>0</v>
          </cell>
          <cell r="F1089">
            <v>6197000205</v>
          </cell>
        </row>
        <row r="1090">
          <cell r="A1090">
            <v>3400003484</v>
          </cell>
          <cell r="B1090">
            <v>0</v>
          </cell>
          <cell r="C1090">
            <v>5100</v>
          </cell>
          <cell r="D1090" t="str">
            <v>01.10.1996</v>
          </cell>
          <cell r="E1090">
            <v>0</v>
          </cell>
          <cell r="F1090">
            <v>6197000206</v>
          </cell>
        </row>
        <row r="1091">
          <cell r="A1091">
            <v>3400003485</v>
          </cell>
          <cell r="B1091">
            <v>0</v>
          </cell>
          <cell r="C1091">
            <v>5100</v>
          </cell>
          <cell r="D1091" t="str">
            <v>01.10.1996</v>
          </cell>
          <cell r="E1091">
            <v>0</v>
          </cell>
          <cell r="F1091">
            <v>6197000207</v>
          </cell>
        </row>
        <row r="1092">
          <cell r="A1092">
            <v>3400003486</v>
          </cell>
          <cell r="B1092">
            <v>0</v>
          </cell>
          <cell r="C1092">
            <v>5100</v>
          </cell>
          <cell r="D1092" t="str">
            <v>01.10.1996</v>
          </cell>
          <cell r="E1092">
            <v>0</v>
          </cell>
          <cell r="F1092">
            <v>6197000208</v>
          </cell>
        </row>
        <row r="1093">
          <cell r="A1093">
            <v>3400003487</v>
          </cell>
          <cell r="B1093">
            <v>0</v>
          </cell>
          <cell r="C1093">
            <v>5100</v>
          </cell>
          <cell r="D1093" t="str">
            <v>01.10.1996</v>
          </cell>
          <cell r="E1093">
            <v>0</v>
          </cell>
          <cell r="F1093">
            <v>6197000209</v>
          </cell>
        </row>
        <row r="1094">
          <cell r="A1094">
            <v>3400003488</v>
          </cell>
          <cell r="B1094">
            <v>0</v>
          </cell>
          <cell r="C1094">
            <v>5100</v>
          </cell>
          <cell r="D1094" t="str">
            <v>01.10.1996</v>
          </cell>
          <cell r="E1094">
            <v>0</v>
          </cell>
          <cell r="F1094">
            <v>6197000210</v>
          </cell>
        </row>
        <row r="1095">
          <cell r="A1095">
            <v>3400003489</v>
          </cell>
          <cell r="B1095">
            <v>0</v>
          </cell>
          <cell r="C1095">
            <v>5100</v>
          </cell>
          <cell r="D1095" t="str">
            <v>01.10.1996</v>
          </cell>
          <cell r="E1095">
            <v>0</v>
          </cell>
          <cell r="F1095">
            <v>6197000211</v>
          </cell>
        </row>
        <row r="1096">
          <cell r="A1096">
            <v>3400003490</v>
          </cell>
          <cell r="B1096">
            <v>0</v>
          </cell>
          <cell r="C1096">
            <v>5100</v>
          </cell>
          <cell r="D1096" t="str">
            <v>01.10.1996</v>
          </cell>
          <cell r="E1096">
            <v>0</v>
          </cell>
          <cell r="F1096">
            <v>6197000212</v>
          </cell>
        </row>
        <row r="1097">
          <cell r="A1097">
            <v>3400003491</v>
          </cell>
          <cell r="B1097">
            <v>0</v>
          </cell>
          <cell r="C1097">
            <v>5100</v>
          </cell>
          <cell r="D1097" t="str">
            <v>01.10.1996</v>
          </cell>
          <cell r="E1097">
            <v>0</v>
          </cell>
          <cell r="F1097">
            <v>6197000213</v>
          </cell>
        </row>
        <row r="1098">
          <cell r="A1098">
            <v>3400003492</v>
          </cell>
          <cell r="B1098">
            <v>0</v>
          </cell>
          <cell r="C1098">
            <v>5100</v>
          </cell>
          <cell r="D1098" t="str">
            <v>01.10.1996</v>
          </cell>
          <cell r="E1098">
            <v>0</v>
          </cell>
          <cell r="F1098">
            <v>6197000214</v>
          </cell>
        </row>
        <row r="1099">
          <cell r="A1099">
            <v>3400003493</v>
          </cell>
          <cell r="B1099">
            <v>0</v>
          </cell>
          <cell r="C1099">
            <v>5100</v>
          </cell>
          <cell r="D1099" t="str">
            <v>01.10.1996</v>
          </cell>
          <cell r="E1099">
            <v>0</v>
          </cell>
          <cell r="F1099">
            <v>6197000215</v>
          </cell>
        </row>
        <row r="1100">
          <cell r="A1100">
            <v>3400003494</v>
          </cell>
          <cell r="B1100">
            <v>0</v>
          </cell>
          <cell r="C1100">
            <v>5100</v>
          </cell>
          <cell r="D1100" t="str">
            <v>01.10.1996</v>
          </cell>
          <cell r="E1100">
            <v>0</v>
          </cell>
          <cell r="F1100">
            <v>6197000216</v>
          </cell>
        </row>
        <row r="1101">
          <cell r="A1101">
            <v>3400003495</v>
          </cell>
          <cell r="B1101">
            <v>0</v>
          </cell>
          <cell r="C1101">
            <v>5100</v>
          </cell>
          <cell r="D1101" t="str">
            <v>01.10.1996</v>
          </cell>
          <cell r="E1101">
            <v>0</v>
          </cell>
          <cell r="F1101">
            <v>6197000217</v>
          </cell>
        </row>
        <row r="1102">
          <cell r="A1102">
            <v>3400003496</v>
          </cell>
          <cell r="B1102">
            <v>0</v>
          </cell>
          <cell r="C1102">
            <v>5100</v>
          </cell>
          <cell r="D1102" t="str">
            <v>01.10.1996</v>
          </cell>
          <cell r="E1102">
            <v>0</v>
          </cell>
          <cell r="F1102">
            <v>6197000218</v>
          </cell>
        </row>
        <row r="1103">
          <cell r="A1103">
            <v>3400003497</v>
          </cell>
          <cell r="B1103">
            <v>0</v>
          </cell>
          <cell r="C1103">
            <v>5100</v>
          </cell>
          <cell r="D1103" t="str">
            <v>01.10.1996</v>
          </cell>
          <cell r="E1103">
            <v>0</v>
          </cell>
          <cell r="F1103">
            <v>6197000219</v>
          </cell>
        </row>
        <row r="1104">
          <cell r="A1104">
            <v>3400003498</v>
          </cell>
          <cell r="B1104">
            <v>0</v>
          </cell>
          <cell r="C1104">
            <v>5100</v>
          </cell>
          <cell r="D1104" t="str">
            <v>01.10.1996</v>
          </cell>
          <cell r="E1104">
            <v>0</v>
          </cell>
          <cell r="F1104">
            <v>6197000220</v>
          </cell>
        </row>
        <row r="1105">
          <cell r="A1105">
            <v>3400003499</v>
          </cell>
          <cell r="B1105">
            <v>0</v>
          </cell>
          <cell r="C1105">
            <v>5100</v>
          </cell>
          <cell r="D1105" t="str">
            <v>01.10.1996</v>
          </cell>
          <cell r="E1105">
            <v>0</v>
          </cell>
          <cell r="F1105">
            <v>6197000221</v>
          </cell>
        </row>
        <row r="1106">
          <cell r="A1106">
            <v>3400003500</v>
          </cell>
          <cell r="B1106">
            <v>0</v>
          </cell>
          <cell r="C1106">
            <v>5100</v>
          </cell>
          <cell r="D1106" t="str">
            <v>01.10.1996</v>
          </cell>
          <cell r="E1106">
            <v>0</v>
          </cell>
          <cell r="F1106">
            <v>6197000222</v>
          </cell>
        </row>
        <row r="1107">
          <cell r="A1107">
            <v>3400003501</v>
          </cell>
          <cell r="B1107">
            <v>0</v>
          </cell>
          <cell r="C1107">
            <v>5100</v>
          </cell>
          <cell r="D1107" t="str">
            <v>01.10.1996</v>
          </cell>
          <cell r="E1107">
            <v>0</v>
          </cell>
          <cell r="F1107">
            <v>6197000223</v>
          </cell>
        </row>
        <row r="1108">
          <cell r="A1108">
            <v>3400003502</v>
          </cell>
          <cell r="B1108">
            <v>0</v>
          </cell>
          <cell r="C1108">
            <v>5100</v>
          </cell>
          <cell r="D1108" t="str">
            <v>01.10.1996</v>
          </cell>
          <cell r="E1108">
            <v>0</v>
          </cell>
          <cell r="F1108">
            <v>6197000224</v>
          </cell>
        </row>
        <row r="1109">
          <cell r="A1109">
            <v>3400003503</v>
          </cell>
          <cell r="B1109">
            <v>0</v>
          </cell>
          <cell r="C1109">
            <v>5100</v>
          </cell>
          <cell r="D1109" t="str">
            <v>01.10.1996</v>
          </cell>
          <cell r="E1109">
            <v>0</v>
          </cell>
          <cell r="F1109">
            <v>6197000225</v>
          </cell>
        </row>
        <row r="1110">
          <cell r="A1110">
            <v>3400003504</v>
          </cell>
          <cell r="B1110">
            <v>0</v>
          </cell>
          <cell r="C1110">
            <v>5100</v>
          </cell>
          <cell r="D1110" t="str">
            <v>01.10.1996</v>
          </cell>
          <cell r="E1110">
            <v>0</v>
          </cell>
          <cell r="F1110">
            <v>6197000226</v>
          </cell>
        </row>
        <row r="1111">
          <cell r="A1111">
            <v>3400003505</v>
          </cell>
          <cell r="B1111">
            <v>0</v>
          </cell>
          <cell r="C1111">
            <v>5101</v>
          </cell>
          <cell r="D1111" t="str">
            <v>01.10.1996</v>
          </cell>
          <cell r="E1111">
            <v>0</v>
          </cell>
          <cell r="F1111">
            <v>6197000227</v>
          </cell>
        </row>
        <row r="1112">
          <cell r="A1112">
            <v>3400003506</v>
          </cell>
          <cell r="B1112">
            <v>0</v>
          </cell>
          <cell r="C1112">
            <v>4420</v>
          </cell>
          <cell r="D1112" t="str">
            <v>01.10.1996</v>
          </cell>
          <cell r="E1112">
            <v>1</v>
          </cell>
          <cell r="F1112">
            <v>6197000228</v>
          </cell>
        </row>
        <row r="1113">
          <cell r="A1113">
            <v>3400003507</v>
          </cell>
          <cell r="B1113">
            <v>0</v>
          </cell>
          <cell r="C1113">
            <v>4420</v>
          </cell>
          <cell r="D1113" t="str">
            <v>01.10.1996</v>
          </cell>
          <cell r="E1113">
            <v>1</v>
          </cell>
          <cell r="F1113">
            <v>6197000229</v>
          </cell>
        </row>
        <row r="1114">
          <cell r="A1114">
            <v>3400003508</v>
          </cell>
          <cell r="B1114">
            <v>0</v>
          </cell>
          <cell r="C1114">
            <v>4420</v>
          </cell>
          <cell r="D1114" t="str">
            <v>01.10.1996</v>
          </cell>
          <cell r="E1114">
            <v>1</v>
          </cell>
          <cell r="F1114">
            <v>6197000230</v>
          </cell>
        </row>
        <row r="1115">
          <cell r="A1115">
            <v>3400003509</v>
          </cell>
          <cell r="B1115">
            <v>0</v>
          </cell>
          <cell r="C1115">
            <v>4420</v>
          </cell>
          <cell r="D1115" t="str">
            <v>01.10.1996</v>
          </cell>
          <cell r="E1115">
            <v>1</v>
          </cell>
          <cell r="F1115">
            <v>6197000231</v>
          </cell>
        </row>
        <row r="1116">
          <cell r="A1116">
            <v>3400003510</v>
          </cell>
          <cell r="B1116">
            <v>0</v>
          </cell>
          <cell r="C1116">
            <v>4420</v>
          </cell>
          <cell r="D1116" t="str">
            <v>01.10.1996</v>
          </cell>
          <cell r="E1116">
            <v>1</v>
          </cell>
          <cell r="F1116">
            <v>6197000232</v>
          </cell>
        </row>
        <row r="1117">
          <cell r="A1117">
            <v>3400003511</v>
          </cell>
          <cell r="B1117">
            <v>0</v>
          </cell>
          <cell r="C1117">
            <v>4420</v>
          </cell>
          <cell r="D1117" t="str">
            <v>01.10.1996</v>
          </cell>
          <cell r="E1117">
            <v>1</v>
          </cell>
          <cell r="F1117">
            <v>6197000233</v>
          </cell>
        </row>
        <row r="1118">
          <cell r="A1118">
            <v>3400003512</v>
          </cell>
          <cell r="B1118">
            <v>0</v>
          </cell>
          <cell r="C1118">
            <v>4420</v>
          </cell>
          <cell r="D1118" t="str">
            <v>01.10.1996</v>
          </cell>
          <cell r="E1118">
            <v>1</v>
          </cell>
          <cell r="F1118">
            <v>6197000234</v>
          </cell>
        </row>
        <row r="1119">
          <cell r="A1119">
            <v>3400003513</v>
          </cell>
          <cell r="B1119">
            <v>0</v>
          </cell>
          <cell r="C1119">
            <v>4420</v>
          </cell>
          <cell r="D1119" t="str">
            <v>01.10.1996</v>
          </cell>
          <cell r="E1119">
            <v>1</v>
          </cell>
          <cell r="F1119">
            <v>6197000235</v>
          </cell>
        </row>
        <row r="1120">
          <cell r="A1120">
            <v>3400003514</v>
          </cell>
          <cell r="B1120">
            <v>0</v>
          </cell>
          <cell r="C1120">
            <v>4420</v>
          </cell>
          <cell r="D1120" t="str">
            <v>01.10.1996</v>
          </cell>
          <cell r="E1120">
            <v>1</v>
          </cell>
          <cell r="F1120">
            <v>6197000237</v>
          </cell>
        </row>
        <row r="1121">
          <cell r="A1121">
            <v>3400003515</v>
          </cell>
          <cell r="B1121">
            <v>0</v>
          </cell>
          <cell r="C1121">
            <v>4420</v>
          </cell>
          <cell r="D1121" t="str">
            <v>01.10.1996</v>
          </cell>
          <cell r="E1121">
            <v>1</v>
          </cell>
          <cell r="F1121">
            <v>6197000238</v>
          </cell>
        </row>
        <row r="1122">
          <cell r="A1122">
            <v>3400003516</v>
          </cell>
          <cell r="B1122">
            <v>0</v>
          </cell>
          <cell r="C1122">
            <v>4420</v>
          </cell>
          <cell r="D1122" t="str">
            <v>01.10.1996</v>
          </cell>
          <cell r="E1122">
            <v>1</v>
          </cell>
          <cell r="F1122">
            <v>6197000239</v>
          </cell>
        </row>
        <row r="1123">
          <cell r="A1123">
            <v>3400003517</v>
          </cell>
          <cell r="B1123">
            <v>0</v>
          </cell>
          <cell r="C1123">
            <v>4420</v>
          </cell>
          <cell r="D1123" t="str">
            <v>01.10.1996</v>
          </cell>
          <cell r="E1123">
            <v>1</v>
          </cell>
          <cell r="F1123">
            <v>6197000240</v>
          </cell>
        </row>
        <row r="1124">
          <cell r="A1124">
            <v>3400003518</v>
          </cell>
          <cell r="B1124">
            <v>0</v>
          </cell>
          <cell r="C1124">
            <v>5302</v>
          </cell>
          <cell r="D1124" t="str">
            <v>01.10.1996</v>
          </cell>
          <cell r="E1124">
            <v>1</v>
          </cell>
          <cell r="F1124">
            <v>6197000241</v>
          </cell>
        </row>
        <row r="1125">
          <cell r="A1125">
            <v>3400003519</v>
          </cell>
          <cell r="B1125">
            <v>0</v>
          </cell>
          <cell r="C1125">
            <v>5302</v>
          </cell>
          <cell r="D1125" t="str">
            <v>01.10.1996</v>
          </cell>
          <cell r="E1125">
            <v>1</v>
          </cell>
          <cell r="F1125">
            <v>6197000242</v>
          </cell>
        </row>
        <row r="1126">
          <cell r="A1126">
            <v>3400003520</v>
          </cell>
          <cell r="B1126">
            <v>0</v>
          </cell>
          <cell r="C1126">
            <v>5300</v>
          </cell>
          <cell r="D1126" t="str">
            <v>01.10.1996</v>
          </cell>
          <cell r="E1126">
            <v>1</v>
          </cell>
          <cell r="F1126">
            <v>6197000243</v>
          </cell>
        </row>
        <row r="1127">
          <cell r="A1127">
            <v>3400003521</v>
          </cell>
          <cell r="B1127">
            <v>0</v>
          </cell>
          <cell r="C1127">
            <v>5300</v>
          </cell>
          <cell r="D1127" t="str">
            <v>01.10.1996</v>
          </cell>
          <cell r="E1127">
            <v>1</v>
          </cell>
          <cell r="F1127">
            <v>6197000244</v>
          </cell>
        </row>
        <row r="1128">
          <cell r="A1128">
            <v>3400003522</v>
          </cell>
          <cell r="B1128">
            <v>0</v>
          </cell>
          <cell r="C1128">
            <v>5300</v>
          </cell>
          <cell r="D1128" t="str">
            <v>01.10.1996</v>
          </cell>
          <cell r="E1128">
            <v>1</v>
          </cell>
          <cell r="F1128">
            <v>6197000245</v>
          </cell>
        </row>
        <row r="1129">
          <cell r="A1129">
            <v>3400003523</v>
          </cell>
          <cell r="B1129">
            <v>0</v>
          </cell>
          <cell r="C1129">
            <v>4420</v>
          </cell>
          <cell r="D1129" t="str">
            <v>01.10.1996</v>
          </cell>
          <cell r="E1129">
            <v>1</v>
          </cell>
          <cell r="F1129">
            <v>6197000246</v>
          </cell>
        </row>
        <row r="1130">
          <cell r="A1130">
            <v>3400003524</v>
          </cell>
          <cell r="B1130">
            <v>0</v>
          </cell>
          <cell r="C1130">
            <v>5300</v>
          </cell>
          <cell r="D1130" t="str">
            <v>01.10.1996</v>
          </cell>
          <cell r="E1130">
            <v>1</v>
          </cell>
          <cell r="F1130">
            <v>6197000247</v>
          </cell>
        </row>
        <row r="1131">
          <cell r="A1131">
            <v>3400003525</v>
          </cell>
          <cell r="B1131">
            <v>0</v>
          </cell>
          <cell r="C1131">
            <v>5300</v>
          </cell>
          <cell r="D1131" t="str">
            <v>01.10.1996</v>
          </cell>
          <cell r="E1131">
            <v>1</v>
          </cell>
          <cell r="F1131">
            <v>6197000248</v>
          </cell>
        </row>
        <row r="1132">
          <cell r="A1132">
            <v>3400003526</v>
          </cell>
          <cell r="B1132">
            <v>0</v>
          </cell>
          <cell r="C1132">
            <v>5300</v>
          </cell>
          <cell r="D1132" t="str">
            <v>01.10.1996</v>
          </cell>
          <cell r="E1132">
            <v>1</v>
          </cell>
          <cell r="F1132">
            <v>6197000249</v>
          </cell>
        </row>
        <row r="1133">
          <cell r="A1133">
            <v>3400003527</v>
          </cell>
          <cell r="B1133">
            <v>0</v>
          </cell>
          <cell r="C1133">
            <v>6220</v>
          </cell>
          <cell r="D1133" t="str">
            <v>01.10.1996</v>
          </cell>
          <cell r="E1133">
            <v>1</v>
          </cell>
          <cell r="F1133">
            <v>6197000250</v>
          </cell>
        </row>
        <row r="1134">
          <cell r="A1134">
            <v>3400003528</v>
          </cell>
          <cell r="B1134">
            <v>0</v>
          </cell>
          <cell r="C1134">
            <v>6220</v>
          </cell>
          <cell r="D1134" t="str">
            <v>01.10.1996</v>
          </cell>
          <cell r="E1134">
            <v>1</v>
          </cell>
          <cell r="F1134">
            <v>6197000251</v>
          </cell>
        </row>
        <row r="1135">
          <cell r="A1135">
            <v>3400003529</v>
          </cell>
          <cell r="B1135">
            <v>0</v>
          </cell>
          <cell r="C1135">
            <v>6800</v>
          </cell>
          <cell r="D1135" t="str">
            <v>01.10.1996</v>
          </cell>
          <cell r="E1135">
            <v>1</v>
          </cell>
          <cell r="F1135">
            <v>6197000252</v>
          </cell>
        </row>
        <row r="1136">
          <cell r="A1136">
            <v>3400003530</v>
          </cell>
          <cell r="B1136">
            <v>0</v>
          </cell>
          <cell r="C1136">
            <v>5301</v>
          </cell>
          <cell r="D1136" t="str">
            <v>01.10.1996</v>
          </cell>
          <cell r="E1136">
            <v>1</v>
          </cell>
          <cell r="F1136">
            <v>6197000253</v>
          </cell>
        </row>
        <row r="1137">
          <cell r="A1137">
            <v>3400003531</v>
          </cell>
          <cell r="B1137">
            <v>0</v>
          </cell>
          <cell r="C1137">
            <v>6801</v>
          </cell>
          <cell r="D1137" t="str">
            <v>01.10.1996</v>
          </cell>
          <cell r="E1137">
            <v>1</v>
          </cell>
          <cell r="F1137">
            <v>6197000254</v>
          </cell>
        </row>
        <row r="1138">
          <cell r="A1138">
            <v>3400003532</v>
          </cell>
          <cell r="B1138">
            <v>0</v>
          </cell>
          <cell r="C1138">
            <v>6801</v>
          </cell>
          <cell r="D1138" t="str">
            <v>01.10.1996</v>
          </cell>
          <cell r="E1138">
            <v>1</v>
          </cell>
          <cell r="F1138">
            <v>6197000255</v>
          </cell>
        </row>
        <row r="1139">
          <cell r="A1139">
            <v>3400003533</v>
          </cell>
          <cell r="B1139">
            <v>0</v>
          </cell>
          <cell r="C1139">
            <v>6801</v>
          </cell>
          <cell r="D1139" t="str">
            <v>01.10.1996</v>
          </cell>
          <cell r="E1139">
            <v>0</v>
          </cell>
          <cell r="F1139">
            <v>6197000256</v>
          </cell>
        </row>
        <row r="1140">
          <cell r="A1140">
            <v>3400003534</v>
          </cell>
          <cell r="B1140">
            <v>0</v>
          </cell>
          <cell r="C1140">
            <v>6221</v>
          </cell>
          <cell r="D1140" t="str">
            <v>07.08.1996</v>
          </cell>
          <cell r="E1140">
            <v>11</v>
          </cell>
          <cell r="F1140">
            <v>6197000257</v>
          </cell>
        </row>
        <row r="1141">
          <cell r="A1141">
            <v>3400003535</v>
          </cell>
          <cell r="B1141">
            <v>0</v>
          </cell>
          <cell r="C1141">
            <v>6221</v>
          </cell>
          <cell r="D1141" t="str">
            <v>07.08.1996</v>
          </cell>
          <cell r="E1141">
            <v>2</v>
          </cell>
          <cell r="F1141">
            <v>6197000258</v>
          </cell>
        </row>
        <row r="1142">
          <cell r="A1142">
            <v>3400003536</v>
          </cell>
          <cell r="B1142">
            <v>0</v>
          </cell>
          <cell r="C1142">
            <v>6221</v>
          </cell>
          <cell r="D1142" t="str">
            <v>07.08.1996</v>
          </cell>
          <cell r="E1142">
            <v>1</v>
          </cell>
          <cell r="F1142">
            <v>6197000259</v>
          </cell>
        </row>
        <row r="1143">
          <cell r="A1143">
            <v>3400003537</v>
          </cell>
          <cell r="B1143">
            <v>0</v>
          </cell>
          <cell r="C1143">
            <v>6221</v>
          </cell>
          <cell r="D1143" t="str">
            <v>07.08.1996</v>
          </cell>
          <cell r="E1143">
            <v>1</v>
          </cell>
          <cell r="F1143">
            <v>6197000260</v>
          </cell>
        </row>
        <row r="1144">
          <cell r="A1144">
            <v>3400003538</v>
          </cell>
          <cell r="B1144">
            <v>0</v>
          </cell>
          <cell r="C1144">
            <v>6221</v>
          </cell>
          <cell r="D1144" t="str">
            <v>07.08.1996</v>
          </cell>
          <cell r="E1144">
            <v>32</v>
          </cell>
          <cell r="F1144">
            <v>6197000261</v>
          </cell>
        </row>
        <row r="1145">
          <cell r="A1145">
            <v>3400003539</v>
          </cell>
          <cell r="B1145">
            <v>0</v>
          </cell>
          <cell r="C1145">
            <v>6221</v>
          </cell>
          <cell r="D1145" t="str">
            <v>07.08.1996</v>
          </cell>
          <cell r="E1145">
            <v>8</v>
          </cell>
          <cell r="F1145">
            <v>6197000262</v>
          </cell>
        </row>
        <row r="1146">
          <cell r="A1146">
            <v>3400003540</v>
          </cell>
          <cell r="B1146">
            <v>0</v>
          </cell>
          <cell r="C1146">
            <v>6221</v>
          </cell>
          <cell r="D1146" t="str">
            <v>07.08.1996</v>
          </cell>
          <cell r="E1146">
            <v>2</v>
          </cell>
          <cell r="F1146">
            <v>6197000263</v>
          </cell>
        </row>
        <row r="1147">
          <cell r="A1147">
            <v>3400003541</v>
          </cell>
          <cell r="B1147">
            <v>0</v>
          </cell>
          <cell r="C1147">
            <v>6221</v>
          </cell>
          <cell r="D1147" t="str">
            <v>07.08.1996</v>
          </cell>
          <cell r="E1147">
            <v>20</v>
          </cell>
          <cell r="F1147">
            <v>6197000264</v>
          </cell>
        </row>
        <row r="1148">
          <cell r="A1148">
            <v>3400003542</v>
          </cell>
          <cell r="B1148">
            <v>0</v>
          </cell>
          <cell r="C1148">
            <v>6602</v>
          </cell>
          <cell r="D1148" t="str">
            <v>04.06.1996</v>
          </cell>
          <cell r="E1148">
            <v>0</v>
          </cell>
          <cell r="F1148">
            <v>6197000265</v>
          </cell>
        </row>
        <row r="1149">
          <cell r="A1149">
            <v>3400003543</v>
          </cell>
          <cell r="B1149">
            <v>0</v>
          </cell>
          <cell r="C1149">
            <v>6602</v>
          </cell>
          <cell r="D1149" t="str">
            <v>04.06.1996</v>
          </cell>
          <cell r="E1149">
            <v>0</v>
          </cell>
          <cell r="F1149">
            <v>6197000266</v>
          </cell>
        </row>
        <row r="1150">
          <cell r="A1150">
            <v>3400003544</v>
          </cell>
          <cell r="B1150">
            <v>0</v>
          </cell>
          <cell r="C1150">
            <v>5301</v>
          </cell>
          <cell r="D1150" t="str">
            <v>01.10.1996</v>
          </cell>
          <cell r="E1150">
            <v>0</v>
          </cell>
          <cell r="F1150">
            <v>6197000267</v>
          </cell>
        </row>
        <row r="1151">
          <cell r="A1151">
            <v>3400003545</v>
          </cell>
          <cell r="B1151">
            <v>0</v>
          </cell>
          <cell r="C1151">
            <v>5301</v>
          </cell>
          <cell r="D1151" t="str">
            <v>01.10.1996</v>
          </cell>
          <cell r="E1151">
            <v>1</v>
          </cell>
          <cell r="F1151">
            <v>6197000268</v>
          </cell>
        </row>
        <row r="1152">
          <cell r="A1152">
            <v>3400003546</v>
          </cell>
          <cell r="B1152">
            <v>0</v>
          </cell>
          <cell r="C1152">
            <v>5301</v>
          </cell>
          <cell r="D1152" t="str">
            <v>01.10.1996</v>
          </cell>
          <cell r="E1152">
            <v>1</v>
          </cell>
          <cell r="F1152">
            <v>6197000269</v>
          </cell>
        </row>
        <row r="1153">
          <cell r="A1153">
            <v>3400003547</v>
          </cell>
          <cell r="B1153">
            <v>0</v>
          </cell>
          <cell r="C1153">
            <v>5300</v>
          </cell>
          <cell r="D1153" t="str">
            <v>01.10.1996</v>
          </cell>
          <cell r="E1153">
            <v>1</v>
          </cell>
          <cell r="F1153">
            <v>6197000270</v>
          </cell>
        </row>
        <row r="1154">
          <cell r="A1154">
            <v>3400003548</v>
          </cell>
          <cell r="B1154">
            <v>0</v>
          </cell>
          <cell r="C1154">
            <v>6210</v>
          </cell>
          <cell r="D1154" t="str">
            <v>14.01.1997</v>
          </cell>
          <cell r="E1154">
            <v>0</v>
          </cell>
          <cell r="F1154">
            <v>6197000271</v>
          </cell>
        </row>
        <row r="1155">
          <cell r="A1155">
            <v>3400003549</v>
          </cell>
          <cell r="B1155">
            <v>0</v>
          </cell>
          <cell r="C1155">
            <v>6210</v>
          </cell>
          <cell r="D1155" t="str">
            <v>14.01.1997</v>
          </cell>
          <cell r="E1155">
            <v>0</v>
          </cell>
          <cell r="F1155">
            <v>6197000272</v>
          </cell>
        </row>
        <row r="1156">
          <cell r="A1156">
            <v>3400003550</v>
          </cell>
          <cell r="B1156">
            <v>0</v>
          </cell>
          <cell r="C1156">
            <v>6210</v>
          </cell>
          <cell r="D1156" t="str">
            <v>14.01.1997</v>
          </cell>
          <cell r="E1156">
            <v>0</v>
          </cell>
          <cell r="F1156">
            <v>6197000273</v>
          </cell>
        </row>
        <row r="1157">
          <cell r="A1157">
            <v>3400003551</v>
          </cell>
          <cell r="B1157">
            <v>0</v>
          </cell>
          <cell r="C1157">
            <v>6600</v>
          </cell>
          <cell r="D1157" t="str">
            <v>14.01.1997</v>
          </cell>
          <cell r="E1157">
            <v>1</v>
          </cell>
          <cell r="F1157">
            <v>6197000274</v>
          </cell>
        </row>
        <row r="1158">
          <cell r="A1158">
            <v>3400003552</v>
          </cell>
          <cell r="B1158">
            <v>0</v>
          </cell>
          <cell r="C1158">
            <v>6901</v>
          </cell>
          <cell r="D1158" t="str">
            <v>01.10.1996</v>
          </cell>
          <cell r="E1158">
            <v>0</v>
          </cell>
          <cell r="F1158">
            <v>6197000275</v>
          </cell>
        </row>
        <row r="1159">
          <cell r="A1159">
            <v>3400003553</v>
          </cell>
          <cell r="B1159">
            <v>0</v>
          </cell>
          <cell r="C1159">
            <v>6901</v>
          </cell>
          <cell r="D1159" t="str">
            <v>01.10.1996</v>
          </cell>
          <cell r="E1159">
            <v>0</v>
          </cell>
          <cell r="F1159">
            <v>6197000276</v>
          </cell>
        </row>
        <row r="1160">
          <cell r="A1160">
            <v>3400003554</v>
          </cell>
          <cell r="B1160">
            <v>0</v>
          </cell>
          <cell r="C1160">
            <v>5100</v>
          </cell>
          <cell r="D1160" t="str">
            <v>14.01.1997</v>
          </cell>
          <cell r="E1160">
            <v>0</v>
          </cell>
          <cell r="F1160">
            <v>6197000277</v>
          </cell>
        </row>
        <row r="1161">
          <cell r="A1161">
            <v>3400003555</v>
          </cell>
          <cell r="B1161">
            <v>0</v>
          </cell>
          <cell r="C1161">
            <v>6901</v>
          </cell>
          <cell r="D1161" t="str">
            <v>01.10.1996</v>
          </cell>
          <cell r="E1161">
            <v>17</v>
          </cell>
          <cell r="F1161">
            <v>6197000278</v>
          </cell>
        </row>
        <row r="1162">
          <cell r="A1162">
            <v>3400003556</v>
          </cell>
          <cell r="B1162">
            <v>0</v>
          </cell>
          <cell r="C1162">
            <v>6901</v>
          </cell>
          <cell r="D1162" t="str">
            <v>01.10.1996</v>
          </cell>
          <cell r="E1162">
            <v>2</v>
          </cell>
          <cell r="F1162">
            <v>6197000279</v>
          </cell>
        </row>
        <row r="1163">
          <cell r="A1163">
            <v>3400003557</v>
          </cell>
          <cell r="B1163">
            <v>0</v>
          </cell>
          <cell r="C1163">
            <v>6901</v>
          </cell>
          <cell r="D1163" t="str">
            <v>01.10.1996</v>
          </cell>
          <cell r="E1163">
            <v>12</v>
          </cell>
          <cell r="F1163">
            <v>6197000280</v>
          </cell>
        </row>
        <row r="1164">
          <cell r="A1164">
            <v>3400003558</v>
          </cell>
          <cell r="B1164">
            <v>0</v>
          </cell>
          <cell r="C1164">
            <v>6901</v>
          </cell>
          <cell r="D1164" t="str">
            <v>01.10.1996</v>
          </cell>
          <cell r="E1164">
            <v>2</v>
          </cell>
          <cell r="F1164">
            <v>6197000281</v>
          </cell>
        </row>
        <row r="1165">
          <cell r="A1165">
            <v>3400003559</v>
          </cell>
          <cell r="B1165">
            <v>0</v>
          </cell>
          <cell r="C1165">
            <v>6901</v>
          </cell>
          <cell r="D1165" t="str">
            <v>01.10.1996</v>
          </cell>
          <cell r="E1165">
            <v>1</v>
          </cell>
          <cell r="F1165">
            <v>6197000282</v>
          </cell>
        </row>
        <row r="1166">
          <cell r="A1166">
            <v>3400003560</v>
          </cell>
          <cell r="B1166">
            <v>0</v>
          </cell>
          <cell r="C1166">
            <v>6901</v>
          </cell>
          <cell r="D1166" t="str">
            <v>01.10.1996</v>
          </cell>
          <cell r="E1166">
            <v>3</v>
          </cell>
          <cell r="F1166">
            <v>6197000283</v>
          </cell>
        </row>
        <row r="1167">
          <cell r="A1167">
            <v>3400003561</v>
          </cell>
          <cell r="B1167">
            <v>0</v>
          </cell>
          <cell r="C1167">
            <v>6230</v>
          </cell>
          <cell r="D1167" t="str">
            <v>14.01.1997</v>
          </cell>
          <cell r="E1167">
            <v>0</v>
          </cell>
          <cell r="F1167">
            <v>6197000284</v>
          </cell>
        </row>
        <row r="1168">
          <cell r="A1168">
            <v>3400003562</v>
          </cell>
          <cell r="B1168">
            <v>0</v>
          </cell>
          <cell r="C1168">
            <v>5300</v>
          </cell>
          <cell r="D1168" t="str">
            <v>01.10.1996</v>
          </cell>
          <cell r="E1168">
            <v>1</v>
          </cell>
          <cell r="F1168">
            <v>6197000285</v>
          </cell>
        </row>
        <row r="1169">
          <cell r="A1169">
            <v>3400003563</v>
          </cell>
          <cell r="B1169">
            <v>0</v>
          </cell>
          <cell r="C1169">
            <v>6600</v>
          </cell>
          <cell r="D1169" t="str">
            <v>14.01.1997</v>
          </cell>
          <cell r="E1169">
            <v>0</v>
          </cell>
          <cell r="F1169">
            <v>6197000286</v>
          </cell>
        </row>
        <row r="1170">
          <cell r="A1170">
            <v>3400003564</v>
          </cell>
          <cell r="B1170">
            <v>0</v>
          </cell>
          <cell r="C1170">
            <v>6600</v>
          </cell>
          <cell r="D1170" t="str">
            <v>14.01.1997</v>
          </cell>
          <cell r="E1170">
            <v>1</v>
          </cell>
          <cell r="F1170">
            <v>6197000287</v>
          </cell>
        </row>
        <row r="1171">
          <cell r="A1171">
            <v>3400003565</v>
          </cell>
          <cell r="B1171">
            <v>0</v>
          </cell>
          <cell r="C1171">
            <v>6801</v>
          </cell>
          <cell r="D1171" t="str">
            <v>14.01.1997</v>
          </cell>
          <cell r="E1171">
            <v>1</v>
          </cell>
          <cell r="F1171">
            <v>6197000288</v>
          </cell>
        </row>
        <row r="1172">
          <cell r="A1172">
            <v>3400003566</v>
          </cell>
          <cell r="B1172">
            <v>0</v>
          </cell>
          <cell r="C1172">
            <v>6602</v>
          </cell>
          <cell r="D1172" t="str">
            <v>01.10.1996</v>
          </cell>
          <cell r="E1172">
            <v>1</v>
          </cell>
          <cell r="F1172">
            <v>6197000289</v>
          </cell>
        </row>
        <row r="1173">
          <cell r="A1173">
            <v>3400003567</v>
          </cell>
          <cell r="B1173">
            <v>0</v>
          </cell>
          <cell r="C1173">
            <v>6602</v>
          </cell>
          <cell r="D1173" t="str">
            <v>01.10.1996</v>
          </cell>
          <cell r="E1173">
            <v>1</v>
          </cell>
          <cell r="F1173">
            <v>6197000290</v>
          </cell>
        </row>
        <row r="1174">
          <cell r="A1174">
            <v>3400003568</v>
          </cell>
          <cell r="B1174">
            <v>0</v>
          </cell>
          <cell r="C1174">
            <v>6500</v>
          </cell>
          <cell r="D1174" t="str">
            <v>16.01.1997</v>
          </cell>
          <cell r="E1174">
            <v>0</v>
          </cell>
          <cell r="F1174">
            <v>6197000291</v>
          </cell>
        </row>
        <row r="1175">
          <cell r="A1175">
            <v>3400003569</v>
          </cell>
          <cell r="B1175">
            <v>0</v>
          </cell>
          <cell r="C1175">
            <v>5400</v>
          </cell>
          <cell r="D1175" t="str">
            <v>16.01.1997</v>
          </cell>
          <cell r="E1175">
            <v>0</v>
          </cell>
          <cell r="F1175">
            <v>6197000292</v>
          </cell>
        </row>
        <row r="1176">
          <cell r="A1176">
            <v>3400003570</v>
          </cell>
          <cell r="B1176">
            <v>0</v>
          </cell>
          <cell r="C1176">
            <v>5400</v>
          </cell>
          <cell r="D1176" t="str">
            <v>16.01.1997</v>
          </cell>
          <cell r="E1176">
            <v>0</v>
          </cell>
          <cell r="F1176">
            <v>6197000293</v>
          </cell>
        </row>
        <row r="1177">
          <cell r="A1177">
            <v>3400003571</v>
          </cell>
          <cell r="B1177">
            <v>0</v>
          </cell>
          <cell r="C1177">
            <v>5400</v>
          </cell>
          <cell r="D1177" t="str">
            <v>16.01.1997</v>
          </cell>
          <cell r="E1177">
            <v>0</v>
          </cell>
          <cell r="F1177">
            <v>6197000294</v>
          </cell>
        </row>
        <row r="1178">
          <cell r="A1178">
            <v>3400003572</v>
          </cell>
          <cell r="B1178">
            <v>0</v>
          </cell>
          <cell r="C1178">
            <v>5400</v>
          </cell>
          <cell r="D1178" t="str">
            <v>16.01.1997</v>
          </cell>
          <cell r="E1178">
            <v>0</v>
          </cell>
          <cell r="F1178">
            <v>6197000295</v>
          </cell>
        </row>
        <row r="1179">
          <cell r="A1179">
            <v>3400003573</v>
          </cell>
          <cell r="B1179">
            <v>0</v>
          </cell>
          <cell r="C1179">
            <v>6600</v>
          </cell>
          <cell r="D1179" t="str">
            <v>16.01.1997</v>
          </cell>
          <cell r="E1179">
            <v>0</v>
          </cell>
          <cell r="F1179">
            <v>6197000296</v>
          </cell>
        </row>
        <row r="1180">
          <cell r="A1180">
            <v>3400003574</v>
          </cell>
          <cell r="B1180">
            <v>0</v>
          </cell>
          <cell r="C1180">
            <v>6600</v>
          </cell>
          <cell r="D1180" t="str">
            <v>16.01.1997</v>
          </cell>
          <cell r="E1180">
            <v>1</v>
          </cell>
          <cell r="F1180">
            <v>6197000297</v>
          </cell>
        </row>
        <row r="1181">
          <cell r="A1181">
            <v>3400003575</v>
          </cell>
          <cell r="B1181">
            <v>0</v>
          </cell>
          <cell r="C1181">
            <v>6600</v>
          </cell>
          <cell r="D1181" t="str">
            <v>16.01.1997</v>
          </cell>
          <cell r="E1181">
            <v>1</v>
          </cell>
          <cell r="F1181">
            <v>6197000298</v>
          </cell>
        </row>
        <row r="1182">
          <cell r="A1182">
            <v>3400003576</v>
          </cell>
          <cell r="B1182">
            <v>0</v>
          </cell>
          <cell r="C1182">
            <v>6600</v>
          </cell>
          <cell r="D1182" t="str">
            <v>16.01.1997</v>
          </cell>
          <cell r="E1182">
            <v>1</v>
          </cell>
          <cell r="F1182">
            <v>6197000299</v>
          </cell>
        </row>
        <row r="1183">
          <cell r="A1183">
            <v>3400003577</v>
          </cell>
          <cell r="B1183">
            <v>0</v>
          </cell>
          <cell r="C1183">
            <v>6600</v>
          </cell>
          <cell r="D1183" t="str">
            <v>16.01.1997</v>
          </cell>
          <cell r="E1183">
            <v>1</v>
          </cell>
          <cell r="F1183">
            <v>6197000300</v>
          </cell>
        </row>
        <row r="1184">
          <cell r="A1184">
            <v>3400003578</v>
          </cell>
          <cell r="B1184">
            <v>0</v>
          </cell>
          <cell r="C1184">
            <v>6801</v>
          </cell>
          <cell r="D1184" t="str">
            <v>16.01.1997</v>
          </cell>
          <cell r="E1184">
            <v>1</v>
          </cell>
          <cell r="F1184">
            <v>6197000301</v>
          </cell>
        </row>
        <row r="1185">
          <cell r="A1185">
            <v>3400003579</v>
          </cell>
          <cell r="B1185">
            <v>0</v>
          </cell>
          <cell r="C1185">
            <v>6600</v>
          </cell>
          <cell r="D1185" t="str">
            <v>16.01.1997</v>
          </cell>
          <cell r="E1185">
            <v>0</v>
          </cell>
          <cell r="F1185">
            <v>6197000302</v>
          </cell>
        </row>
        <row r="1186">
          <cell r="A1186">
            <v>3400003580</v>
          </cell>
          <cell r="B1186">
            <v>0</v>
          </cell>
          <cell r="C1186">
            <v>6801</v>
          </cell>
          <cell r="D1186" t="str">
            <v>16.01.1997</v>
          </cell>
          <cell r="E1186">
            <v>0</v>
          </cell>
          <cell r="F1186">
            <v>6197000303</v>
          </cell>
        </row>
        <row r="1187">
          <cell r="A1187">
            <v>3400003581</v>
          </cell>
          <cell r="B1187">
            <v>0</v>
          </cell>
          <cell r="C1187">
            <v>6600</v>
          </cell>
          <cell r="D1187" t="str">
            <v>16.01.1997</v>
          </cell>
          <cell r="E1187">
            <v>1</v>
          </cell>
          <cell r="F1187">
            <v>6197000304</v>
          </cell>
        </row>
        <row r="1188">
          <cell r="A1188">
            <v>3400003582</v>
          </cell>
          <cell r="B1188">
            <v>0</v>
          </cell>
          <cell r="C1188">
            <v>6801</v>
          </cell>
          <cell r="D1188" t="str">
            <v>16.01.1997</v>
          </cell>
          <cell r="E1188">
            <v>1</v>
          </cell>
          <cell r="F1188">
            <v>6197000305</v>
          </cell>
        </row>
        <row r="1189">
          <cell r="A1189">
            <v>3400003583</v>
          </cell>
          <cell r="B1189">
            <v>0</v>
          </cell>
          <cell r="C1189">
            <v>6901</v>
          </cell>
          <cell r="D1189" t="str">
            <v>01.10.1996</v>
          </cell>
          <cell r="E1189">
            <v>4</v>
          </cell>
          <cell r="F1189">
            <v>6197000306</v>
          </cell>
        </row>
        <row r="1190">
          <cell r="A1190">
            <v>3400003584</v>
          </cell>
          <cell r="B1190">
            <v>0</v>
          </cell>
          <cell r="C1190">
            <v>6901</v>
          </cell>
          <cell r="D1190" t="str">
            <v>01.10.1996</v>
          </cell>
          <cell r="E1190">
            <v>0</v>
          </cell>
          <cell r="F1190">
            <v>6197000307</v>
          </cell>
        </row>
        <row r="1191">
          <cell r="A1191">
            <v>3400003585</v>
          </cell>
          <cell r="B1191">
            <v>0</v>
          </cell>
          <cell r="C1191">
            <v>6901</v>
          </cell>
          <cell r="D1191" t="str">
            <v>01.10.1996</v>
          </cell>
          <cell r="E1191">
            <v>8</v>
          </cell>
          <cell r="F1191">
            <v>6197000308</v>
          </cell>
        </row>
        <row r="1192">
          <cell r="A1192">
            <v>3400003586</v>
          </cell>
          <cell r="B1192">
            <v>0</v>
          </cell>
          <cell r="C1192">
            <v>6901</v>
          </cell>
          <cell r="D1192" t="str">
            <v>01.10.1996</v>
          </cell>
          <cell r="E1192">
            <v>1</v>
          </cell>
          <cell r="F1192">
            <v>6197000309</v>
          </cell>
        </row>
        <row r="1193">
          <cell r="A1193">
            <v>3400003587</v>
          </cell>
          <cell r="B1193">
            <v>0</v>
          </cell>
          <cell r="C1193">
            <v>6901</v>
          </cell>
          <cell r="D1193" t="str">
            <v>01.10.1996</v>
          </cell>
          <cell r="E1193">
            <v>1</v>
          </cell>
          <cell r="F1193">
            <v>6197000310</v>
          </cell>
        </row>
        <row r="1194">
          <cell r="A1194">
            <v>3400003588</v>
          </cell>
          <cell r="B1194">
            <v>0</v>
          </cell>
          <cell r="C1194">
            <v>6901</v>
          </cell>
          <cell r="D1194" t="str">
            <v>01.10.1996</v>
          </cell>
          <cell r="E1194">
            <v>5</v>
          </cell>
          <cell r="F1194">
            <v>6197000311</v>
          </cell>
        </row>
        <row r="1195">
          <cell r="A1195">
            <v>3400003589</v>
          </cell>
          <cell r="B1195">
            <v>0</v>
          </cell>
          <cell r="C1195">
            <v>6901</v>
          </cell>
          <cell r="D1195" t="str">
            <v>01.10.1996</v>
          </cell>
          <cell r="E1195">
            <v>2</v>
          </cell>
          <cell r="F1195">
            <v>6197000312</v>
          </cell>
        </row>
        <row r="1196">
          <cell r="A1196">
            <v>3400003590</v>
          </cell>
          <cell r="B1196">
            <v>0</v>
          </cell>
          <cell r="C1196">
            <v>6801</v>
          </cell>
          <cell r="D1196" t="str">
            <v>16.01.1997</v>
          </cell>
          <cell r="E1196">
            <v>1</v>
          </cell>
          <cell r="F1196">
            <v>6197000313</v>
          </cell>
        </row>
        <row r="1197">
          <cell r="A1197">
            <v>3400003591</v>
          </cell>
          <cell r="B1197">
            <v>0</v>
          </cell>
          <cell r="C1197">
            <v>6801</v>
          </cell>
          <cell r="D1197" t="str">
            <v>16.01.1997</v>
          </cell>
          <cell r="E1197">
            <v>1</v>
          </cell>
          <cell r="F1197">
            <v>6197000314</v>
          </cell>
        </row>
        <row r="1198">
          <cell r="A1198">
            <v>3400003592</v>
          </cell>
          <cell r="B1198">
            <v>0</v>
          </cell>
          <cell r="C1198">
            <v>6901</v>
          </cell>
          <cell r="D1198" t="str">
            <v>01.10.1996</v>
          </cell>
          <cell r="E1198">
            <v>2</v>
          </cell>
          <cell r="F1198">
            <v>6197000315</v>
          </cell>
        </row>
        <row r="1199">
          <cell r="A1199">
            <v>3400003593</v>
          </cell>
          <cell r="B1199">
            <v>0</v>
          </cell>
          <cell r="C1199">
            <v>6901</v>
          </cell>
          <cell r="D1199" t="str">
            <v>01.10.1996</v>
          </cell>
          <cell r="E1199">
            <v>2</v>
          </cell>
          <cell r="F1199">
            <v>6197000316</v>
          </cell>
        </row>
        <row r="1200">
          <cell r="A1200">
            <v>3400003594</v>
          </cell>
          <cell r="B1200">
            <v>0</v>
          </cell>
          <cell r="C1200">
            <v>6901</v>
          </cell>
          <cell r="D1200" t="str">
            <v>01.10.1996</v>
          </cell>
          <cell r="E1200">
            <v>2</v>
          </cell>
          <cell r="F1200">
            <v>6197000317</v>
          </cell>
        </row>
        <row r="1201">
          <cell r="A1201">
            <v>3400003595</v>
          </cell>
          <cell r="B1201">
            <v>0</v>
          </cell>
          <cell r="C1201">
            <v>6901</v>
          </cell>
          <cell r="D1201" t="str">
            <v>01.10.1996</v>
          </cell>
          <cell r="E1201">
            <v>6</v>
          </cell>
          <cell r="F1201">
            <v>6197000318</v>
          </cell>
        </row>
        <row r="1202">
          <cell r="A1202">
            <v>3400003596</v>
          </cell>
          <cell r="B1202">
            <v>0</v>
          </cell>
          <cell r="C1202">
            <v>6901</v>
          </cell>
          <cell r="D1202" t="str">
            <v>01.10.1996</v>
          </cell>
          <cell r="E1202">
            <v>24</v>
          </cell>
          <cell r="F1202">
            <v>6197000319</v>
          </cell>
        </row>
        <row r="1203">
          <cell r="A1203">
            <v>3400003597</v>
          </cell>
          <cell r="B1203">
            <v>0</v>
          </cell>
          <cell r="C1203">
            <v>6602</v>
          </cell>
          <cell r="D1203" t="str">
            <v>01.10.1996</v>
          </cell>
          <cell r="E1203">
            <v>0</v>
          </cell>
          <cell r="F1203">
            <v>6197000320</v>
          </cell>
        </row>
        <row r="1204">
          <cell r="A1204">
            <v>3400003598</v>
          </cell>
          <cell r="B1204">
            <v>0</v>
          </cell>
          <cell r="C1204">
            <v>6901</v>
          </cell>
          <cell r="D1204" t="str">
            <v>01.10.1996</v>
          </cell>
          <cell r="E1204">
            <v>2</v>
          </cell>
          <cell r="F1204">
            <v>6197000321</v>
          </cell>
        </row>
        <row r="1205">
          <cell r="A1205">
            <v>3400003599</v>
          </cell>
          <cell r="B1205">
            <v>0</v>
          </cell>
          <cell r="C1205">
            <v>6901</v>
          </cell>
          <cell r="D1205" t="str">
            <v>01.10.1996</v>
          </cell>
          <cell r="E1205">
            <v>2</v>
          </cell>
          <cell r="F1205">
            <v>6197000322</v>
          </cell>
        </row>
        <row r="1206">
          <cell r="A1206">
            <v>3400003600</v>
          </cell>
          <cell r="B1206">
            <v>0</v>
          </cell>
          <cell r="C1206">
            <v>6901</v>
          </cell>
          <cell r="D1206" t="str">
            <v>01.10.1996</v>
          </cell>
          <cell r="E1206">
            <v>1</v>
          </cell>
          <cell r="F1206">
            <v>6197000323</v>
          </cell>
        </row>
        <row r="1207">
          <cell r="A1207">
            <v>3400003601</v>
          </cell>
          <cell r="B1207">
            <v>0</v>
          </cell>
          <cell r="C1207">
            <v>6602</v>
          </cell>
          <cell r="D1207" t="str">
            <v>01.10.1996</v>
          </cell>
          <cell r="E1207">
            <v>1</v>
          </cell>
          <cell r="F1207">
            <v>6197000324</v>
          </cell>
        </row>
        <row r="1208">
          <cell r="A1208">
            <v>3400003602</v>
          </cell>
          <cell r="B1208">
            <v>0</v>
          </cell>
          <cell r="C1208">
            <v>6602</v>
          </cell>
          <cell r="D1208" t="str">
            <v>01.10.1996</v>
          </cell>
          <cell r="E1208">
            <v>1</v>
          </cell>
          <cell r="F1208">
            <v>6197000325</v>
          </cell>
        </row>
        <row r="1209">
          <cell r="A1209">
            <v>3400003603</v>
          </cell>
          <cell r="B1209">
            <v>0</v>
          </cell>
          <cell r="C1209">
            <v>6602</v>
          </cell>
          <cell r="D1209" t="str">
            <v>01.10.1996</v>
          </cell>
          <cell r="E1209">
            <v>1</v>
          </cell>
          <cell r="F1209">
            <v>6197000326</v>
          </cell>
        </row>
        <row r="1210">
          <cell r="A1210">
            <v>3400003604</v>
          </cell>
          <cell r="B1210">
            <v>0</v>
          </cell>
          <cell r="C1210">
            <v>6220</v>
          </cell>
          <cell r="D1210" t="str">
            <v>17.01.1997</v>
          </cell>
          <cell r="E1210">
            <v>1</v>
          </cell>
          <cell r="F1210">
            <v>6197000327</v>
          </cell>
        </row>
        <row r="1211">
          <cell r="A1211">
            <v>3400003605</v>
          </cell>
          <cell r="B1211">
            <v>0</v>
          </cell>
          <cell r="C1211">
            <v>6220</v>
          </cell>
          <cell r="D1211" t="str">
            <v>17.01.1997</v>
          </cell>
          <cell r="E1211">
            <v>1</v>
          </cell>
          <cell r="F1211">
            <v>6197000328</v>
          </cell>
        </row>
        <row r="1212">
          <cell r="A1212">
            <v>3400003606</v>
          </cell>
          <cell r="B1212">
            <v>0</v>
          </cell>
          <cell r="C1212">
            <v>6220</v>
          </cell>
          <cell r="D1212" t="str">
            <v>17.01.1997</v>
          </cell>
          <cell r="E1212">
            <v>1</v>
          </cell>
          <cell r="F1212">
            <v>6197000329</v>
          </cell>
        </row>
        <row r="1213">
          <cell r="A1213">
            <v>3400003607</v>
          </cell>
          <cell r="B1213">
            <v>0</v>
          </cell>
          <cell r="C1213">
            <v>6220</v>
          </cell>
          <cell r="D1213" t="str">
            <v>17.01.1997</v>
          </cell>
          <cell r="E1213">
            <v>1</v>
          </cell>
          <cell r="F1213">
            <v>6197000330</v>
          </cell>
        </row>
        <row r="1214">
          <cell r="A1214">
            <v>3400003608</v>
          </cell>
          <cell r="B1214">
            <v>0</v>
          </cell>
          <cell r="C1214">
            <v>6220</v>
          </cell>
          <cell r="D1214" t="str">
            <v>17.01.1997</v>
          </cell>
          <cell r="E1214">
            <v>1</v>
          </cell>
          <cell r="F1214">
            <v>6197000331</v>
          </cell>
        </row>
        <row r="1215">
          <cell r="A1215">
            <v>3400003609</v>
          </cell>
          <cell r="B1215">
            <v>0</v>
          </cell>
          <cell r="C1215">
            <v>6220</v>
          </cell>
          <cell r="D1215" t="str">
            <v>17.01.1997</v>
          </cell>
          <cell r="E1215">
            <v>1</v>
          </cell>
          <cell r="F1215">
            <v>6197000332</v>
          </cell>
        </row>
        <row r="1216">
          <cell r="A1216">
            <v>3400003610</v>
          </cell>
          <cell r="B1216">
            <v>0</v>
          </cell>
          <cell r="C1216">
            <v>6600</v>
          </cell>
          <cell r="D1216" t="str">
            <v>17.01.1997</v>
          </cell>
          <cell r="E1216">
            <v>1</v>
          </cell>
          <cell r="F1216">
            <v>6197000333</v>
          </cell>
        </row>
        <row r="1217">
          <cell r="A1217">
            <v>3400003611</v>
          </cell>
          <cell r="B1217">
            <v>0</v>
          </cell>
          <cell r="C1217">
            <v>6602</v>
          </cell>
          <cell r="D1217" t="str">
            <v>01.10.1996</v>
          </cell>
          <cell r="E1217">
            <v>0</v>
          </cell>
          <cell r="F1217">
            <v>6197000334</v>
          </cell>
        </row>
        <row r="1218">
          <cell r="A1218">
            <v>3400003612</v>
          </cell>
          <cell r="B1218">
            <v>0</v>
          </cell>
          <cell r="C1218">
            <v>6602</v>
          </cell>
          <cell r="D1218" t="str">
            <v>01.10.1996</v>
          </cell>
          <cell r="E1218">
            <v>4</v>
          </cell>
          <cell r="F1218">
            <v>6197000335</v>
          </cell>
        </row>
        <row r="1219">
          <cell r="A1219">
            <v>3400003613</v>
          </cell>
          <cell r="B1219">
            <v>0</v>
          </cell>
          <cell r="C1219">
            <v>6901</v>
          </cell>
          <cell r="D1219" t="str">
            <v>01.10.1996</v>
          </cell>
          <cell r="E1219">
            <v>0</v>
          </cell>
          <cell r="F1219">
            <v>6197000336</v>
          </cell>
        </row>
        <row r="1220">
          <cell r="A1220">
            <v>3400003614</v>
          </cell>
          <cell r="B1220">
            <v>0</v>
          </cell>
          <cell r="C1220">
            <v>6901</v>
          </cell>
          <cell r="D1220" t="str">
            <v>01.10.1996</v>
          </cell>
          <cell r="E1220">
            <v>0</v>
          </cell>
          <cell r="F1220">
            <v>6197000337</v>
          </cell>
        </row>
        <row r="1221">
          <cell r="A1221">
            <v>3400003615</v>
          </cell>
          <cell r="B1221">
            <v>0</v>
          </cell>
          <cell r="C1221">
            <v>6801</v>
          </cell>
          <cell r="D1221" t="str">
            <v>20.01.1997</v>
          </cell>
          <cell r="E1221">
            <v>1</v>
          </cell>
          <cell r="F1221">
            <v>6197000338</v>
          </cell>
        </row>
        <row r="1222">
          <cell r="A1222">
            <v>3400003616</v>
          </cell>
          <cell r="B1222">
            <v>0</v>
          </cell>
          <cell r="C1222">
            <v>5400</v>
          </cell>
          <cell r="D1222" t="str">
            <v>16.01.1997</v>
          </cell>
          <cell r="E1222">
            <v>1</v>
          </cell>
          <cell r="F1222">
            <v>6197000339</v>
          </cell>
        </row>
        <row r="1223">
          <cell r="A1223">
            <v>3400003617</v>
          </cell>
          <cell r="B1223">
            <v>0</v>
          </cell>
          <cell r="C1223">
            <v>5600</v>
          </cell>
          <cell r="D1223" t="str">
            <v>20.01.1997</v>
          </cell>
          <cell r="E1223">
            <v>0</v>
          </cell>
          <cell r="F1223">
            <v>6197000340</v>
          </cell>
        </row>
        <row r="1224">
          <cell r="A1224">
            <v>3400003618</v>
          </cell>
          <cell r="B1224">
            <v>0</v>
          </cell>
          <cell r="C1224">
            <v>5600</v>
          </cell>
          <cell r="D1224" t="str">
            <v>20.01.1997</v>
          </cell>
          <cell r="E1224">
            <v>0</v>
          </cell>
          <cell r="F1224">
            <v>6197000341</v>
          </cell>
        </row>
        <row r="1225">
          <cell r="A1225">
            <v>3400003619</v>
          </cell>
          <cell r="B1225">
            <v>0</v>
          </cell>
          <cell r="C1225">
            <v>5600</v>
          </cell>
          <cell r="D1225" t="str">
            <v>20.01.1997</v>
          </cell>
          <cell r="E1225">
            <v>0</v>
          </cell>
          <cell r="F1225">
            <v>6197000342</v>
          </cell>
        </row>
        <row r="1226">
          <cell r="A1226">
            <v>3400003620</v>
          </cell>
          <cell r="B1226">
            <v>0</v>
          </cell>
          <cell r="C1226">
            <v>5600</v>
          </cell>
          <cell r="D1226" t="str">
            <v>20.01.1997</v>
          </cell>
          <cell r="E1226">
            <v>0</v>
          </cell>
          <cell r="F1226">
            <v>6197000343</v>
          </cell>
        </row>
        <row r="1227">
          <cell r="A1227">
            <v>3400003621</v>
          </cell>
          <cell r="B1227">
            <v>0</v>
          </cell>
          <cell r="C1227">
            <v>5600</v>
          </cell>
          <cell r="D1227" t="str">
            <v>20.01.1997</v>
          </cell>
          <cell r="E1227">
            <v>0</v>
          </cell>
          <cell r="F1227">
            <v>6197000344</v>
          </cell>
        </row>
        <row r="1228">
          <cell r="A1228">
            <v>3400003622</v>
          </cell>
          <cell r="B1228">
            <v>0</v>
          </cell>
          <cell r="C1228">
            <v>5600</v>
          </cell>
          <cell r="D1228" t="str">
            <v>20.01.1997</v>
          </cell>
          <cell r="E1228">
            <v>0</v>
          </cell>
          <cell r="F1228">
            <v>6197000345</v>
          </cell>
        </row>
        <row r="1229">
          <cell r="A1229">
            <v>3400003623</v>
          </cell>
          <cell r="B1229">
            <v>0</v>
          </cell>
          <cell r="C1229">
            <v>5801</v>
          </cell>
          <cell r="D1229" t="str">
            <v>20.01.1997</v>
          </cell>
          <cell r="E1229">
            <v>1</v>
          </cell>
          <cell r="F1229">
            <v>6197000346</v>
          </cell>
        </row>
        <row r="1230">
          <cell r="A1230">
            <v>3400003624</v>
          </cell>
          <cell r="B1230">
            <v>0</v>
          </cell>
          <cell r="C1230">
            <v>5801</v>
          </cell>
          <cell r="D1230" t="str">
            <v>20.01.1997</v>
          </cell>
          <cell r="E1230">
            <v>30</v>
          </cell>
          <cell r="F1230">
            <v>6197000347</v>
          </cell>
        </row>
        <row r="1231">
          <cell r="A1231">
            <v>3400003625</v>
          </cell>
          <cell r="B1231">
            <v>0</v>
          </cell>
          <cell r="C1231">
            <v>5801</v>
          </cell>
          <cell r="D1231" t="str">
            <v>20.01.1997</v>
          </cell>
          <cell r="E1231">
            <v>0</v>
          </cell>
          <cell r="F1231">
            <v>6197000348</v>
          </cell>
        </row>
        <row r="1232">
          <cell r="A1232">
            <v>3400003626</v>
          </cell>
          <cell r="B1232">
            <v>0</v>
          </cell>
          <cell r="C1232">
            <v>6602</v>
          </cell>
          <cell r="D1232" t="str">
            <v>01.10.1996</v>
          </cell>
          <cell r="E1232">
            <v>0</v>
          </cell>
          <cell r="F1232">
            <v>6197000349</v>
          </cell>
        </row>
        <row r="1233">
          <cell r="A1233">
            <v>3400003627</v>
          </cell>
          <cell r="B1233">
            <v>1</v>
          </cell>
          <cell r="C1233">
            <v>6602</v>
          </cell>
          <cell r="D1233" t="str">
            <v>01.10.1996</v>
          </cell>
          <cell r="E1233">
            <v>0</v>
          </cell>
          <cell r="F1233">
            <v>6197000350</v>
          </cell>
        </row>
        <row r="1234">
          <cell r="A1234">
            <v>3400003627</v>
          </cell>
          <cell r="B1234">
            <v>0</v>
          </cell>
          <cell r="C1234">
            <v>6602</v>
          </cell>
          <cell r="D1234" t="str">
            <v>01.10.1996</v>
          </cell>
          <cell r="E1234">
            <v>500</v>
          </cell>
          <cell r="F1234">
            <v>6197000350</v>
          </cell>
        </row>
        <row r="1235">
          <cell r="A1235">
            <v>3400003628</v>
          </cell>
          <cell r="B1235">
            <v>0</v>
          </cell>
          <cell r="C1235">
            <v>6602</v>
          </cell>
          <cell r="D1235" t="str">
            <v>01.10.1996</v>
          </cell>
          <cell r="E1235">
            <v>0</v>
          </cell>
          <cell r="F1235">
            <v>6197000351</v>
          </cell>
        </row>
        <row r="1236">
          <cell r="A1236">
            <v>3400003629</v>
          </cell>
          <cell r="B1236">
            <v>0</v>
          </cell>
          <cell r="C1236">
            <v>6602</v>
          </cell>
          <cell r="D1236" t="str">
            <v>01.10.1996</v>
          </cell>
          <cell r="E1236">
            <v>0</v>
          </cell>
          <cell r="F1236">
            <v>6197000352</v>
          </cell>
        </row>
        <row r="1237">
          <cell r="A1237">
            <v>3400003630</v>
          </cell>
          <cell r="B1237">
            <v>0</v>
          </cell>
          <cell r="C1237">
            <v>6602</v>
          </cell>
          <cell r="D1237" t="str">
            <v>01.10.1996</v>
          </cell>
          <cell r="E1237">
            <v>0</v>
          </cell>
          <cell r="F1237">
            <v>6197000353</v>
          </cell>
        </row>
        <row r="1238">
          <cell r="A1238">
            <v>3400003631</v>
          </cell>
          <cell r="B1238">
            <v>0</v>
          </cell>
          <cell r="C1238">
            <v>6600</v>
          </cell>
          <cell r="D1238" t="str">
            <v>22.01.1997</v>
          </cell>
          <cell r="E1238">
            <v>1</v>
          </cell>
          <cell r="F1238">
            <v>6197000354</v>
          </cell>
        </row>
        <row r="1239">
          <cell r="A1239">
            <v>3400003632</v>
          </cell>
          <cell r="B1239">
            <v>0</v>
          </cell>
          <cell r="C1239">
            <v>5800</v>
          </cell>
          <cell r="D1239" t="str">
            <v>22.01.1997</v>
          </cell>
          <cell r="E1239">
            <v>1</v>
          </cell>
          <cell r="F1239">
            <v>6197000355</v>
          </cell>
        </row>
        <row r="1240">
          <cell r="A1240">
            <v>3400003633</v>
          </cell>
          <cell r="B1240">
            <v>0</v>
          </cell>
          <cell r="C1240">
            <v>5800</v>
          </cell>
          <cell r="D1240" t="str">
            <v>22.01.1997</v>
          </cell>
          <cell r="E1240">
            <v>1</v>
          </cell>
          <cell r="F1240">
            <v>6197000356</v>
          </cell>
        </row>
        <row r="1241">
          <cell r="A1241">
            <v>3400003634</v>
          </cell>
          <cell r="B1241">
            <v>0</v>
          </cell>
          <cell r="C1241">
            <v>5801</v>
          </cell>
          <cell r="D1241" t="str">
            <v>23.01.1997</v>
          </cell>
          <cell r="E1241">
            <v>1</v>
          </cell>
          <cell r="F1241">
            <v>6197000357</v>
          </cell>
        </row>
        <row r="1242">
          <cell r="A1242">
            <v>3400003635</v>
          </cell>
          <cell r="B1242">
            <v>0</v>
          </cell>
          <cell r="C1242">
            <v>5801</v>
          </cell>
          <cell r="D1242" t="str">
            <v>23.01.1997</v>
          </cell>
          <cell r="E1242">
            <v>1</v>
          </cell>
          <cell r="F1242">
            <v>6197000358</v>
          </cell>
        </row>
        <row r="1243">
          <cell r="A1243">
            <v>3400003636</v>
          </cell>
          <cell r="B1243">
            <v>0</v>
          </cell>
          <cell r="C1243">
            <v>5801</v>
          </cell>
          <cell r="D1243" t="str">
            <v>23.01.1997</v>
          </cell>
          <cell r="E1243">
            <v>1</v>
          </cell>
          <cell r="F1243">
            <v>6197000359</v>
          </cell>
        </row>
        <row r="1244">
          <cell r="A1244">
            <v>3400003637</v>
          </cell>
          <cell r="B1244">
            <v>0</v>
          </cell>
          <cell r="C1244">
            <v>5801</v>
          </cell>
          <cell r="D1244" t="str">
            <v>23.01.1997</v>
          </cell>
          <cell r="E1244">
            <v>1</v>
          </cell>
          <cell r="F1244">
            <v>6197000360</v>
          </cell>
        </row>
        <row r="1245">
          <cell r="A1245">
            <v>3400003638</v>
          </cell>
          <cell r="B1245">
            <v>0</v>
          </cell>
          <cell r="C1245">
            <v>5801</v>
          </cell>
          <cell r="D1245" t="str">
            <v>23.01.1997</v>
          </cell>
          <cell r="E1245">
            <v>1</v>
          </cell>
          <cell r="F1245">
            <v>6197000361</v>
          </cell>
        </row>
        <row r="1246">
          <cell r="A1246">
            <v>3400003639</v>
          </cell>
          <cell r="B1246">
            <v>0</v>
          </cell>
          <cell r="C1246">
            <v>5801</v>
          </cell>
          <cell r="D1246" t="str">
            <v>23.01.1997</v>
          </cell>
          <cell r="E1246">
            <v>1</v>
          </cell>
          <cell r="F1246">
            <v>6197000362</v>
          </cell>
        </row>
        <row r="1247">
          <cell r="A1247">
            <v>3400003640</v>
          </cell>
          <cell r="B1247">
            <v>0</v>
          </cell>
          <cell r="C1247">
            <v>5801</v>
          </cell>
          <cell r="D1247" t="str">
            <v>23.01.1997</v>
          </cell>
          <cell r="E1247">
            <v>1</v>
          </cell>
          <cell r="F1247">
            <v>6197000363</v>
          </cell>
        </row>
        <row r="1248">
          <cell r="A1248">
            <v>3400003641</v>
          </cell>
          <cell r="B1248">
            <v>0</v>
          </cell>
          <cell r="C1248">
            <v>5801</v>
          </cell>
          <cell r="D1248" t="str">
            <v>23.01.1997</v>
          </cell>
          <cell r="E1248">
            <v>1</v>
          </cell>
          <cell r="F1248">
            <v>6197000364</v>
          </cell>
        </row>
        <row r="1249">
          <cell r="A1249">
            <v>3400003642</v>
          </cell>
          <cell r="B1249">
            <v>0</v>
          </cell>
          <cell r="C1249">
            <v>5801</v>
          </cell>
          <cell r="D1249" t="str">
            <v>23.01.1997</v>
          </cell>
          <cell r="E1249">
            <v>1</v>
          </cell>
          <cell r="F1249">
            <v>6197000365</v>
          </cell>
        </row>
        <row r="1250">
          <cell r="A1250">
            <v>3400003643</v>
          </cell>
          <cell r="B1250">
            <v>0</v>
          </cell>
          <cell r="C1250">
            <v>5801</v>
          </cell>
          <cell r="D1250" t="str">
            <v>23.01.1997</v>
          </cell>
          <cell r="E1250">
            <v>1</v>
          </cell>
          <cell r="F1250">
            <v>6197000366</v>
          </cell>
        </row>
        <row r="1251">
          <cell r="A1251">
            <v>3400003644</v>
          </cell>
          <cell r="B1251">
            <v>0</v>
          </cell>
          <cell r="C1251">
            <v>5801</v>
          </cell>
          <cell r="D1251" t="str">
            <v>23.01.1997</v>
          </cell>
          <cell r="E1251">
            <v>1</v>
          </cell>
          <cell r="F1251">
            <v>6197000367</v>
          </cell>
        </row>
        <row r="1252">
          <cell r="A1252">
            <v>3400003645</v>
          </cell>
          <cell r="B1252">
            <v>0</v>
          </cell>
          <cell r="C1252">
            <v>5801</v>
          </cell>
          <cell r="D1252" t="str">
            <v>23.01.1997</v>
          </cell>
          <cell r="E1252">
            <v>1</v>
          </cell>
          <cell r="F1252">
            <v>6197000368</v>
          </cell>
        </row>
        <row r="1253">
          <cell r="A1253">
            <v>3400003646</v>
          </cell>
          <cell r="B1253">
            <v>0</v>
          </cell>
          <cell r="C1253">
            <v>5801</v>
          </cell>
          <cell r="D1253" t="str">
            <v>23.01.1997</v>
          </cell>
          <cell r="E1253">
            <v>1</v>
          </cell>
          <cell r="F1253">
            <v>6197000369</v>
          </cell>
        </row>
        <row r="1254">
          <cell r="A1254">
            <v>3400003647</v>
          </cell>
          <cell r="B1254">
            <v>0</v>
          </cell>
          <cell r="C1254">
            <v>6500</v>
          </cell>
          <cell r="D1254" t="str">
            <v>23.01.1997</v>
          </cell>
          <cell r="E1254">
            <v>0</v>
          </cell>
          <cell r="F1254">
            <v>6197000370</v>
          </cell>
        </row>
        <row r="1255">
          <cell r="A1255">
            <v>3400003648</v>
          </cell>
          <cell r="B1255">
            <v>0</v>
          </cell>
          <cell r="C1255">
            <v>6500</v>
          </cell>
          <cell r="D1255" t="str">
            <v>23.01.1997</v>
          </cell>
          <cell r="E1255">
            <v>0</v>
          </cell>
          <cell r="F1255">
            <v>6197000371</v>
          </cell>
        </row>
        <row r="1256">
          <cell r="A1256">
            <v>3400003649</v>
          </cell>
          <cell r="B1256">
            <v>0</v>
          </cell>
          <cell r="C1256">
            <v>6500</v>
          </cell>
          <cell r="D1256" t="str">
            <v>23.01.1997</v>
          </cell>
          <cell r="E1256">
            <v>0</v>
          </cell>
          <cell r="F1256">
            <v>6197000372</v>
          </cell>
        </row>
        <row r="1257">
          <cell r="A1257">
            <v>3400003650</v>
          </cell>
          <cell r="B1257">
            <v>0</v>
          </cell>
          <cell r="C1257">
            <v>6500</v>
          </cell>
          <cell r="D1257" t="str">
            <v>23.01.1997</v>
          </cell>
          <cell r="E1257">
            <v>0</v>
          </cell>
          <cell r="F1257">
            <v>6197000373</v>
          </cell>
        </row>
        <row r="1258">
          <cell r="A1258">
            <v>3400003651</v>
          </cell>
          <cell r="B1258">
            <v>0</v>
          </cell>
          <cell r="C1258">
            <v>6500</v>
          </cell>
          <cell r="D1258" t="str">
            <v>23.01.1997</v>
          </cell>
          <cell r="E1258">
            <v>0</v>
          </cell>
          <cell r="F1258">
            <v>6197000374</v>
          </cell>
        </row>
        <row r="1259">
          <cell r="A1259">
            <v>3400003652</v>
          </cell>
          <cell r="B1259">
            <v>0</v>
          </cell>
          <cell r="C1259">
            <v>6500</v>
          </cell>
          <cell r="D1259" t="str">
            <v>23.01.1997</v>
          </cell>
          <cell r="E1259">
            <v>0</v>
          </cell>
          <cell r="F1259">
            <v>6197000375</v>
          </cell>
        </row>
        <row r="1260">
          <cell r="A1260">
            <v>3400003653</v>
          </cell>
          <cell r="B1260">
            <v>0</v>
          </cell>
          <cell r="C1260">
            <v>6500</v>
          </cell>
          <cell r="D1260" t="str">
            <v>23.01.1997</v>
          </cell>
          <cell r="E1260">
            <v>0</v>
          </cell>
          <cell r="F1260">
            <v>6197000376</v>
          </cell>
        </row>
        <row r="1261">
          <cell r="A1261">
            <v>3400003654</v>
          </cell>
          <cell r="B1261">
            <v>0</v>
          </cell>
          <cell r="C1261">
            <v>6500</v>
          </cell>
          <cell r="D1261" t="str">
            <v>23.01.1997</v>
          </cell>
          <cell r="E1261">
            <v>0</v>
          </cell>
          <cell r="F1261">
            <v>6197000377</v>
          </cell>
        </row>
        <row r="1262">
          <cell r="A1262">
            <v>3400003655</v>
          </cell>
          <cell r="B1262">
            <v>0</v>
          </cell>
          <cell r="C1262">
            <v>6500</v>
          </cell>
          <cell r="D1262" t="str">
            <v>23.01.1997</v>
          </cell>
          <cell r="E1262">
            <v>1</v>
          </cell>
          <cell r="F1262">
            <v>6197000378</v>
          </cell>
        </row>
        <row r="1263">
          <cell r="A1263">
            <v>3400003656</v>
          </cell>
          <cell r="B1263">
            <v>0</v>
          </cell>
          <cell r="C1263">
            <v>6500</v>
          </cell>
          <cell r="D1263" t="str">
            <v>23.01.1997</v>
          </cell>
          <cell r="E1263">
            <v>1</v>
          </cell>
          <cell r="F1263">
            <v>6197000379</v>
          </cell>
        </row>
        <row r="1264">
          <cell r="A1264">
            <v>3400003657</v>
          </cell>
          <cell r="B1264">
            <v>0</v>
          </cell>
          <cell r="C1264">
            <v>6500</v>
          </cell>
          <cell r="D1264" t="str">
            <v>23.01.1997</v>
          </cell>
          <cell r="E1264">
            <v>1</v>
          </cell>
          <cell r="F1264">
            <v>6197000380</v>
          </cell>
        </row>
        <row r="1265">
          <cell r="A1265">
            <v>3400003658</v>
          </cell>
          <cell r="B1265">
            <v>0</v>
          </cell>
          <cell r="C1265">
            <v>6500</v>
          </cell>
          <cell r="D1265" t="str">
            <v>23.01.1997</v>
          </cell>
          <cell r="E1265">
            <v>1</v>
          </cell>
          <cell r="F1265">
            <v>6197000381</v>
          </cell>
        </row>
        <row r="1266">
          <cell r="A1266">
            <v>3400003659</v>
          </cell>
          <cell r="B1266">
            <v>0</v>
          </cell>
          <cell r="C1266">
            <v>6500</v>
          </cell>
          <cell r="D1266" t="str">
            <v>23.01.1997</v>
          </cell>
          <cell r="E1266">
            <v>1</v>
          </cell>
          <cell r="F1266">
            <v>6197000382</v>
          </cell>
        </row>
        <row r="1267">
          <cell r="A1267">
            <v>3400003660</v>
          </cell>
          <cell r="B1267">
            <v>0</v>
          </cell>
          <cell r="C1267">
            <v>6500</v>
          </cell>
          <cell r="D1267" t="str">
            <v>23.01.1997</v>
          </cell>
          <cell r="E1267">
            <v>1</v>
          </cell>
          <cell r="F1267">
            <v>6197000383</v>
          </cell>
        </row>
        <row r="1268">
          <cell r="A1268">
            <v>3400003661</v>
          </cell>
          <cell r="B1268">
            <v>0</v>
          </cell>
          <cell r="C1268">
            <v>6500</v>
          </cell>
          <cell r="D1268" t="str">
            <v>23.01.1997</v>
          </cell>
          <cell r="E1268">
            <v>1</v>
          </cell>
          <cell r="F1268">
            <v>6197000384</v>
          </cell>
        </row>
        <row r="1269">
          <cell r="A1269">
            <v>3400003662</v>
          </cell>
          <cell r="B1269">
            <v>0</v>
          </cell>
          <cell r="C1269">
            <v>6500</v>
          </cell>
          <cell r="D1269" t="str">
            <v>23.01.1997</v>
          </cell>
          <cell r="E1269">
            <v>1</v>
          </cell>
          <cell r="F1269">
            <v>6197000385</v>
          </cell>
        </row>
        <row r="1270">
          <cell r="A1270">
            <v>3400003663</v>
          </cell>
          <cell r="B1270">
            <v>0</v>
          </cell>
          <cell r="C1270">
            <v>6500</v>
          </cell>
          <cell r="D1270" t="str">
            <v>23.01.1997</v>
          </cell>
          <cell r="E1270">
            <v>1</v>
          </cell>
          <cell r="F1270">
            <v>6197000386</v>
          </cell>
        </row>
        <row r="1271">
          <cell r="A1271">
            <v>3400003664</v>
          </cell>
          <cell r="B1271">
            <v>0</v>
          </cell>
          <cell r="C1271">
            <v>6500</v>
          </cell>
          <cell r="D1271" t="str">
            <v>23.01.1997</v>
          </cell>
          <cell r="E1271">
            <v>1</v>
          </cell>
          <cell r="F1271">
            <v>6197000387</v>
          </cell>
        </row>
        <row r="1272">
          <cell r="A1272">
            <v>3400003665</v>
          </cell>
          <cell r="B1272">
            <v>0</v>
          </cell>
          <cell r="C1272">
            <v>6500</v>
          </cell>
          <cell r="D1272" t="str">
            <v>23.01.1997</v>
          </cell>
          <cell r="E1272">
            <v>1</v>
          </cell>
          <cell r="F1272">
            <v>6197000388</v>
          </cell>
        </row>
        <row r="1273">
          <cell r="A1273">
            <v>3400003666</v>
          </cell>
          <cell r="B1273">
            <v>0</v>
          </cell>
          <cell r="C1273">
            <v>6500</v>
          </cell>
          <cell r="D1273" t="str">
            <v>23.01.1997</v>
          </cell>
          <cell r="E1273">
            <v>1</v>
          </cell>
          <cell r="F1273">
            <v>6197000389</v>
          </cell>
        </row>
        <row r="1274">
          <cell r="A1274">
            <v>3400003667</v>
          </cell>
          <cell r="B1274">
            <v>0</v>
          </cell>
          <cell r="C1274">
            <v>6500</v>
          </cell>
          <cell r="D1274" t="str">
            <v>23.01.1997</v>
          </cell>
          <cell r="E1274">
            <v>1</v>
          </cell>
          <cell r="F1274">
            <v>6197000390</v>
          </cell>
        </row>
        <row r="1275">
          <cell r="A1275">
            <v>3400003668</v>
          </cell>
          <cell r="B1275">
            <v>0</v>
          </cell>
          <cell r="C1275">
            <v>6500</v>
          </cell>
          <cell r="D1275" t="str">
            <v>23.01.1997</v>
          </cell>
          <cell r="E1275">
            <v>1</v>
          </cell>
          <cell r="F1275">
            <v>6197000391</v>
          </cell>
        </row>
        <row r="1276">
          <cell r="A1276">
            <v>3400003669</v>
          </cell>
          <cell r="B1276">
            <v>0</v>
          </cell>
          <cell r="C1276">
            <v>6500</v>
          </cell>
          <cell r="D1276" t="str">
            <v>23.01.1997</v>
          </cell>
          <cell r="E1276">
            <v>1</v>
          </cell>
          <cell r="F1276">
            <v>6197000392</v>
          </cell>
        </row>
        <row r="1277">
          <cell r="A1277">
            <v>3400003670</v>
          </cell>
          <cell r="B1277">
            <v>0</v>
          </cell>
          <cell r="C1277">
            <v>6500</v>
          </cell>
          <cell r="D1277" t="str">
            <v>23.01.1997</v>
          </cell>
          <cell r="E1277">
            <v>1</v>
          </cell>
          <cell r="F1277">
            <v>6197000393</v>
          </cell>
        </row>
        <row r="1278">
          <cell r="A1278">
            <v>3400003671</v>
          </cell>
          <cell r="B1278">
            <v>0</v>
          </cell>
          <cell r="C1278">
            <v>6500</v>
          </cell>
          <cell r="D1278" t="str">
            <v>23.01.1997</v>
          </cell>
          <cell r="E1278">
            <v>1</v>
          </cell>
          <cell r="F1278">
            <v>6197000394</v>
          </cell>
        </row>
        <row r="1279">
          <cell r="A1279">
            <v>3400003672</v>
          </cell>
          <cell r="B1279">
            <v>0</v>
          </cell>
          <cell r="C1279">
            <v>6500</v>
          </cell>
          <cell r="D1279" t="str">
            <v>23.01.1997</v>
          </cell>
          <cell r="E1279">
            <v>1</v>
          </cell>
          <cell r="F1279">
            <v>6197000395</v>
          </cell>
        </row>
        <row r="1280">
          <cell r="A1280">
            <v>3400003673</v>
          </cell>
          <cell r="B1280">
            <v>0</v>
          </cell>
          <cell r="C1280">
            <v>6500</v>
          </cell>
          <cell r="D1280" t="str">
            <v>23.01.1997</v>
          </cell>
          <cell r="E1280">
            <v>1</v>
          </cell>
          <cell r="F1280">
            <v>6197000396</v>
          </cell>
        </row>
        <row r="1281">
          <cell r="A1281">
            <v>3400003674</v>
          </cell>
          <cell r="B1281">
            <v>0</v>
          </cell>
          <cell r="C1281">
            <v>6500</v>
          </cell>
          <cell r="D1281" t="str">
            <v>23.01.1997</v>
          </cell>
          <cell r="E1281">
            <v>1</v>
          </cell>
          <cell r="F1281">
            <v>6197000397</v>
          </cell>
        </row>
        <row r="1282">
          <cell r="A1282">
            <v>3400003675</v>
          </cell>
          <cell r="B1282">
            <v>0</v>
          </cell>
          <cell r="C1282">
            <v>6500</v>
          </cell>
          <cell r="D1282" t="str">
            <v>23.01.1997</v>
          </cell>
          <cell r="E1282">
            <v>1</v>
          </cell>
          <cell r="F1282">
            <v>6197000398</v>
          </cell>
        </row>
        <row r="1283">
          <cell r="A1283">
            <v>3400003676</v>
          </cell>
          <cell r="B1283">
            <v>0</v>
          </cell>
          <cell r="C1283">
            <v>6500</v>
          </cell>
          <cell r="D1283" t="str">
            <v>23.01.1997</v>
          </cell>
          <cell r="E1283">
            <v>1</v>
          </cell>
          <cell r="F1283">
            <v>6197000399</v>
          </cell>
        </row>
        <row r="1284">
          <cell r="A1284">
            <v>3400003677</v>
          </cell>
          <cell r="B1284">
            <v>0</v>
          </cell>
          <cell r="C1284">
            <v>6500</v>
          </cell>
          <cell r="D1284" t="str">
            <v>23.01.1997</v>
          </cell>
          <cell r="E1284">
            <v>0</v>
          </cell>
          <cell r="F1284">
            <v>6197000400</v>
          </cell>
        </row>
        <row r="1285">
          <cell r="A1285">
            <v>3400003678</v>
          </cell>
          <cell r="B1285">
            <v>0</v>
          </cell>
          <cell r="C1285">
            <v>6500</v>
          </cell>
          <cell r="D1285" t="str">
            <v>23.01.1997</v>
          </cell>
          <cell r="E1285">
            <v>0</v>
          </cell>
          <cell r="F1285">
            <v>6197000401</v>
          </cell>
        </row>
        <row r="1286">
          <cell r="A1286">
            <v>3400003679</v>
          </cell>
          <cell r="B1286">
            <v>0</v>
          </cell>
          <cell r="C1286">
            <v>6500</v>
          </cell>
          <cell r="D1286" t="str">
            <v>23.01.1997</v>
          </cell>
          <cell r="E1286">
            <v>0</v>
          </cell>
          <cell r="F1286">
            <v>6197000402</v>
          </cell>
        </row>
        <row r="1287">
          <cell r="A1287">
            <v>3400003680</v>
          </cell>
          <cell r="B1287">
            <v>0</v>
          </cell>
          <cell r="C1287">
            <v>6500</v>
          </cell>
          <cell r="D1287" t="str">
            <v>23.01.1997</v>
          </cell>
          <cell r="E1287">
            <v>0</v>
          </cell>
          <cell r="F1287">
            <v>6197000403</v>
          </cell>
        </row>
        <row r="1288">
          <cell r="A1288">
            <v>3400003681</v>
          </cell>
          <cell r="B1288">
            <v>0</v>
          </cell>
          <cell r="C1288">
            <v>6500</v>
          </cell>
          <cell r="D1288" t="str">
            <v>23.01.1997</v>
          </cell>
          <cell r="E1288">
            <v>0</v>
          </cell>
          <cell r="F1288">
            <v>6197000404</v>
          </cell>
        </row>
        <row r="1289">
          <cell r="A1289">
            <v>3400003682</v>
          </cell>
          <cell r="B1289">
            <v>0</v>
          </cell>
          <cell r="C1289">
            <v>6500</v>
          </cell>
          <cell r="D1289" t="str">
            <v>23.01.1997</v>
          </cell>
          <cell r="E1289">
            <v>0</v>
          </cell>
          <cell r="F1289">
            <v>6197000405</v>
          </cell>
        </row>
        <row r="1290">
          <cell r="A1290">
            <v>3400003683</v>
          </cell>
          <cell r="B1290">
            <v>0</v>
          </cell>
          <cell r="C1290">
            <v>6500</v>
          </cell>
          <cell r="D1290" t="str">
            <v>23.01.1997</v>
          </cell>
          <cell r="E1290">
            <v>0</v>
          </cell>
          <cell r="F1290">
            <v>6197000406</v>
          </cell>
        </row>
        <row r="1291">
          <cell r="A1291">
            <v>3400003684</v>
          </cell>
          <cell r="B1291">
            <v>0</v>
          </cell>
          <cell r="C1291">
            <v>6500</v>
          </cell>
          <cell r="D1291" t="str">
            <v>23.01.1997</v>
          </cell>
          <cell r="E1291">
            <v>0</v>
          </cell>
          <cell r="F1291">
            <v>6197000407</v>
          </cell>
        </row>
        <row r="1292">
          <cell r="A1292">
            <v>3400003685</v>
          </cell>
          <cell r="B1292">
            <v>0</v>
          </cell>
          <cell r="C1292">
            <v>6500</v>
          </cell>
          <cell r="D1292" t="str">
            <v>23.01.1997</v>
          </cell>
          <cell r="E1292">
            <v>1</v>
          </cell>
          <cell r="F1292">
            <v>6197000408</v>
          </cell>
        </row>
        <row r="1293">
          <cell r="A1293">
            <v>3400003686</v>
          </cell>
          <cell r="B1293">
            <v>0</v>
          </cell>
          <cell r="C1293">
            <v>6500</v>
          </cell>
          <cell r="D1293" t="str">
            <v>23.01.1997</v>
          </cell>
          <cell r="E1293">
            <v>1</v>
          </cell>
          <cell r="F1293">
            <v>6197000409</v>
          </cell>
        </row>
        <row r="1294">
          <cell r="A1294">
            <v>3400003687</v>
          </cell>
          <cell r="B1294">
            <v>0</v>
          </cell>
          <cell r="C1294">
            <v>6500</v>
          </cell>
          <cell r="D1294" t="str">
            <v>23.01.1997</v>
          </cell>
          <cell r="E1294">
            <v>1</v>
          </cell>
          <cell r="F1294">
            <v>6197000410</v>
          </cell>
        </row>
        <row r="1295">
          <cell r="A1295">
            <v>3400003688</v>
          </cell>
          <cell r="B1295">
            <v>0</v>
          </cell>
          <cell r="C1295">
            <v>6500</v>
          </cell>
          <cell r="D1295" t="str">
            <v>23.01.1997</v>
          </cell>
          <cell r="E1295">
            <v>1</v>
          </cell>
          <cell r="F1295">
            <v>6197000411</v>
          </cell>
        </row>
        <row r="1296">
          <cell r="A1296">
            <v>3400003689</v>
          </cell>
          <cell r="B1296">
            <v>0</v>
          </cell>
          <cell r="C1296">
            <v>6500</v>
          </cell>
          <cell r="D1296" t="str">
            <v>23.01.1997</v>
          </cell>
          <cell r="E1296">
            <v>1</v>
          </cell>
          <cell r="F1296">
            <v>6197000412</v>
          </cell>
        </row>
        <row r="1297">
          <cell r="A1297">
            <v>3400003690</v>
          </cell>
          <cell r="B1297">
            <v>0</v>
          </cell>
          <cell r="C1297">
            <v>6500</v>
          </cell>
          <cell r="D1297" t="str">
            <v>23.01.1997</v>
          </cell>
          <cell r="E1297">
            <v>1</v>
          </cell>
          <cell r="F1297">
            <v>6197000413</v>
          </cell>
        </row>
        <row r="1298">
          <cell r="A1298">
            <v>3400003691</v>
          </cell>
          <cell r="B1298">
            <v>0</v>
          </cell>
          <cell r="C1298">
            <v>6500</v>
          </cell>
          <cell r="D1298" t="str">
            <v>23.01.1997</v>
          </cell>
          <cell r="E1298">
            <v>1</v>
          </cell>
          <cell r="F1298">
            <v>6197000414</v>
          </cell>
        </row>
        <row r="1299">
          <cell r="A1299">
            <v>3400003692</v>
          </cell>
          <cell r="B1299">
            <v>0</v>
          </cell>
          <cell r="C1299">
            <v>6500</v>
          </cell>
          <cell r="D1299" t="str">
            <v>23.01.1997</v>
          </cell>
          <cell r="E1299">
            <v>1</v>
          </cell>
          <cell r="F1299">
            <v>6197000415</v>
          </cell>
        </row>
        <row r="1300">
          <cell r="A1300">
            <v>3400003693</v>
          </cell>
          <cell r="B1300">
            <v>0</v>
          </cell>
          <cell r="C1300">
            <v>6500</v>
          </cell>
          <cell r="D1300" t="str">
            <v>23.01.1997</v>
          </cell>
          <cell r="E1300">
            <v>1</v>
          </cell>
          <cell r="F1300">
            <v>6197000416</v>
          </cell>
        </row>
        <row r="1301">
          <cell r="A1301">
            <v>3400003694</v>
          </cell>
          <cell r="B1301">
            <v>0</v>
          </cell>
          <cell r="C1301">
            <v>6500</v>
          </cell>
          <cell r="D1301" t="str">
            <v>23.01.1997</v>
          </cell>
          <cell r="E1301">
            <v>1</v>
          </cell>
          <cell r="F1301">
            <v>6197000417</v>
          </cell>
        </row>
        <row r="1302">
          <cell r="A1302">
            <v>3400003695</v>
          </cell>
          <cell r="B1302">
            <v>0</v>
          </cell>
          <cell r="C1302">
            <v>6500</v>
          </cell>
          <cell r="D1302" t="str">
            <v>23.01.1997</v>
          </cell>
          <cell r="E1302">
            <v>1</v>
          </cell>
          <cell r="F1302">
            <v>6197000418</v>
          </cell>
        </row>
        <row r="1303">
          <cell r="A1303">
            <v>3400003696</v>
          </cell>
          <cell r="B1303">
            <v>0</v>
          </cell>
          <cell r="C1303">
            <v>6500</v>
          </cell>
          <cell r="D1303" t="str">
            <v>23.01.1997</v>
          </cell>
          <cell r="E1303">
            <v>1</v>
          </cell>
          <cell r="F1303">
            <v>6197000419</v>
          </cell>
        </row>
        <row r="1304">
          <cell r="A1304">
            <v>3400003697</v>
          </cell>
          <cell r="B1304">
            <v>0</v>
          </cell>
          <cell r="C1304">
            <v>6500</v>
          </cell>
          <cell r="D1304" t="str">
            <v>23.01.1997</v>
          </cell>
          <cell r="E1304">
            <v>1</v>
          </cell>
          <cell r="F1304">
            <v>6197000420</v>
          </cell>
        </row>
        <row r="1305">
          <cell r="A1305">
            <v>3400003698</v>
          </cell>
          <cell r="B1305">
            <v>0</v>
          </cell>
          <cell r="C1305">
            <v>6500</v>
          </cell>
          <cell r="D1305" t="str">
            <v>23.01.1997</v>
          </cell>
          <cell r="E1305">
            <v>1</v>
          </cell>
          <cell r="F1305">
            <v>6197000421</v>
          </cell>
        </row>
        <row r="1306">
          <cell r="A1306">
            <v>3400003699</v>
          </cell>
          <cell r="B1306">
            <v>0</v>
          </cell>
          <cell r="C1306">
            <v>6500</v>
          </cell>
          <cell r="D1306" t="str">
            <v>23.01.1997</v>
          </cell>
          <cell r="E1306">
            <v>1</v>
          </cell>
          <cell r="F1306">
            <v>6197000422</v>
          </cell>
        </row>
        <row r="1307">
          <cell r="A1307">
            <v>3400003700</v>
          </cell>
          <cell r="B1307">
            <v>0</v>
          </cell>
          <cell r="C1307">
            <v>6500</v>
          </cell>
          <cell r="D1307" t="str">
            <v>23.01.1997</v>
          </cell>
          <cell r="E1307">
            <v>1</v>
          </cell>
          <cell r="F1307">
            <v>6197000423</v>
          </cell>
        </row>
        <row r="1308">
          <cell r="A1308">
            <v>3400003701</v>
          </cell>
          <cell r="B1308">
            <v>0</v>
          </cell>
          <cell r="C1308">
            <v>6500</v>
          </cell>
          <cell r="D1308" t="str">
            <v>23.01.1997</v>
          </cell>
          <cell r="E1308">
            <v>1</v>
          </cell>
          <cell r="F1308">
            <v>6197000424</v>
          </cell>
        </row>
        <row r="1309">
          <cell r="A1309">
            <v>3400003702</v>
          </cell>
          <cell r="B1309">
            <v>0</v>
          </cell>
          <cell r="C1309">
            <v>6500</v>
          </cell>
          <cell r="D1309" t="str">
            <v>23.01.1997</v>
          </cell>
          <cell r="E1309">
            <v>1</v>
          </cell>
          <cell r="F1309">
            <v>6197000425</v>
          </cell>
        </row>
        <row r="1310">
          <cell r="A1310">
            <v>3400003703</v>
          </cell>
          <cell r="B1310">
            <v>0</v>
          </cell>
          <cell r="C1310">
            <v>6500</v>
          </cell>
          <cell r="D1310" t="str">
            <v>01.10.1996</v>
          </cell>
          <cell r="E1310">
            <v>1</v>
          </cell>
          <cell r="F1310">
            <v>6197000426</v>
          </cell>
        </row>
        <row r="1311">
          <cell r="A1311">
            <v>3400003704</v>
          </cell>
          <cell r="B1311">
            <v>0</v>
          </cell>
          <cell r="C1311">
            <v>6500</v>
          </cell>
          <cell r="D1311" t="str">
            <v>23.01.1997</v>
          </cell>
          <cell r="E1311">
            <v>1</v>
          </cell>
          <cell r="F1311">
            <v>6197000427</v>
          </cell>
        </row>
        <row r="1312">
          <cell r="A1312">
            <v>3400003705</v>
          </cell>
          <cell r="B1312">
            <v>0</v>
          </cell>
          <cell r="C1312">
            <v>6500</v>
          </cell>
          <cell r="D1312" t="str">
            <v>23.01.1997</v>
          </cell>
          <cell r="E1312">
            <v>1</v>
          </cell>
          <cell r="F1312">
            <v>6197000428</v>
          </cell>
        </row>
        <row r="1313">
          <cell r="A1313">
            <v>3400003706</v>
          </cell>
          <cell r="B1313">
            <v>0</v>
          </cell>
          <cell r="C1313">
            <v>6500</v>
          </cell>
          <cell r="D1313" t="str">
            <v>23.01.1997</v>
          </cell>
          <cell r="E1313">
            <v>1</v>
          </cell>
          <cell r="F1313">
            <v>6197000429</v>
          </cell>
        </row>
        <row r="1314">
          <cell r="A1314">
            <v>3400003707</v>
          </cell>
          <cell r="B1314">
            <v>0</v>
          </cell>
          <cell r="C1314">
            <v>6500</v>
          </cell>
          <cell r="D1314" t="str">
            <v>23.01.1997</v>
          </cell>
          <cell r="E1314">
            <v>0</v>
          </cell>
          <cell r="F1314">
            <v>6197000430</v>
          </cell>
        </row>
        <row r="1315">
          <cell r="A1315">
            <v>3400003708</v>
          </cell>
          <cell r="B1315">
            <v>0</v>
          </cell>
          <cell r="C1315">
            <v>6500</v>
          </cell>
          <cell r="D1315" t="str">
            <v>23.01.1997</v>
          </cell>
          <cell r="E1315">
            <v>0</v>
          </cell>
          <cell r="F1315">
            <v>6197000431</v>
          </cell>
        </row>
        <row r="1316">
          <cell r="A1316">
            <v>3400003709</v>
          </cell>
          <cell r="B1316">
            <v>0</v>
          </cell>
          <cell r="C1316">
            <v>6500</v>
          </cell>
          <cell r="D1316" t="str">
            <v>23.01.1997</v>
          </cell>
          <cell r="E1316">
            <v>0</v>
          </cell>
          <cell r="F1316">
            <v>6197000432</v>
          </cell>
        </row>
        <row r="1317">
          <cell r="A1317">
            <v>3400003710</v>
          </cell>
          <cell r="B1317">
            <v>0</v>
          </cell>
          <cell r="C1317">
            <v>6500</v>
          </cell>
          <cell r="D1317" t="str">
            <v>23.01.1997</v>
          </cell>
          <cell r="E1317">
            <v>0</v>
          </cell>
          <cell r="F1317">
            <v>6197000433</v>
          </cell>
        </row>
        <row r="1318">
          <cell r="A1318">
            <v>3400003711</v>
          </cell>
          <cell r="B1318">
            <v>0</v>
          </cell>
          <cell r="C1318">
            <v>6500</v>
          </cell>
          <cell r="D1318" t="str">
            <v>23.01.1997</v>
          </cell>
          <cell r="E1318">
            <v>0</v>
          </cell>
          <cell r="F1318">
            <v>6197000434</v>
          </cell>
        </row>
        <row r="1319">
          <cell r="A1319">
            <v>3400003712</v>
          </cell>
          <cell r="B1319">
            <v>0</v>
          </cell>
          <cell r="C1319">
            <v>6500</v>
          </cell>
          <cell r="D1319" t="str">
            <v>23.01.1997</v>
          </cell>
          <cell r="E1319">
            <v>0</v>
          </cell>
          <cell r="F1319">
            <v>6197000435</v>
          </cell>
        </row>
        <row r="1320">
          <cell r="A1320">
            <v>3400003713</v>
          </cell>
          <cell r="B1320">
            <v>0</v>
          </cell>
          <cell r="C1320">
            <v>6500</v>
          </cell>
          <cell r="D1320" t="str">
            <v>23.01.1997</v>
          </cell>
          <cell r="E1320">
            <v>0</v>
          </cell>
          <cell r="F1320">
            <v>6197000436</v>
          </cell>
        </row>
        <row r="1321">
          <cell r="A1321">
            <v>3400003714</v>
          </cell>
          <cell r="B1321">
            <v>0</v>
          </cell>
          <cell r="C1321">
            <v>6500</v>
          </cell>
          <cell r="D1321" t="str">
            <v>23.01.1997</v>
          </cell>
          <cell r="E1321">
            <v>0</v>
          </cell>
          <cell r="F1321">
            <v>6197000437</v>
          </cell>
        </row>
        <row r="1322">
          <cell r="A1322">
            <v>3400003715</v>
          </cell>
          <cell r="B1322">
            <v>0</v>
          </cell>
          <cell r="C1322">
            <v>6500</v>
          </cell>
          <cell r="D1322" t="str">
            <v>23.01.1997</v>
          </cell>
          <cell r="E1322">
            <v>0</v>
          </cell>
          <cell r="F1322">
            <v>6197000438</v>
          </cell>
        </row>
        <row r="1323">
          <cell r="A1323">
            <v>3400003716</v>
          </cell>
          <cell r="B1323">
            <v>0</v>
          </cell>
          <cell r="C1323">
            <v>6500</v>
          </cell>
          <cell r="D1323" t="str">
            <v>23.01.1997</v>
          </cell>
          <cell r="E1323">
            <v>1</v>
          </cell>
          <cell r="F1323">
            <v>6197000439</v>
          </cell>
        </row>
        <row r="1324">
          <cell r="A1324">
            <v>3400003717</v>
          </cell>
          <cell r="B1324">
            <v>0</v>
          </cell>
          <cell r="C1324">
            <v>6500</v>
          </cell>
          <cell r="D1324" t="str">
            <v>23.01.1997</v>
          </cell>
          <cell r="E1324">
            <v>1</v>
          </cell>
          <cell r="F1324">
            <v>6197000440</v>
          </cell>
        </row>
        <row r="1325">
          <cell r="A1325">
            <v>3400003718</v>
          </cell>
          <cell r="B1325">
            <v>0</v>
          </cell>
          <cell r="C1325">
            <v>6500</v>
          </cell>
          <cell r="D1325" t="str">
            <v>23.01.1997</v>
          </cell>
          <cell r="E1325">
            <v>1</v>
          </cell>
          <cell r="F1325">
            <v>6197000441</v>
          </cell>
        </row>
        <row r="1326">
          <cell r="A1326">
            <v>3400003719</v>
          </cell>
          <cell r="B1326">
            <v>0</v>
          </cell>
          <cell r="C1326">
            <v>6500</v>
          </cell>
          <cell r="D1326" t="str">
            <v>23.01.1997</v>
          </cell>
          <cell r="E1326">
            <v>1</v>
          </cell>
          <cell r="F1326">
            <v>6197000442</v>
          </cell>
        </row>
        <row r="1327">
          <cell r="A1327">
            <v>3400003720</v>
          </cell>
          <cell r="B1327">
            <v>0</v>
          </cell>
          <cell r="C1327">
            <v>6500</v>
          </cell>
          <cell r="D1327" t="str">
            <v>23.01.1997</v>
          </cell>
          <cell r="E1327">
            <v>1</v>
          </cell>
          <cell r="F1327">
            <v>6197000443</v>
          </cell>
        </row>
        <row r="1328">
          <cell r="A1328">
            <v>3400003721</v>
          </cell>
          <cell r="B1328">
            <v>0</v>
          </cell>
          <cell r="C1328">
            <v>6500</v>
          </cell>
          <cell r="D1328" t="str">
            <v>23.01.1997</v>
          </cell>
          <cell r="E1328">
            <v>1</v>
          </cell>
          <cell r="F1328">
            <v>6197000444</v>
          </cell>
        </row>
        <row r="1329">
          <cell r="A1329">
            <v>3400003722</v>
          </cell>
          <cell r="B1329">
            <v>0</v>
          </cell>
          <cell r="C1329">
            <v>6500</v>
          </cell>
          <cell r="D1329" t="str">
            <v>23.01.1997</v>
          </cell>
          <cell r="E1329">
            <v>1</v>
          </cell>
          <cell r="F1329">
            <v>6197000445</v>
          </cell>
        </row>
        <row r="1330">
          <cell r="A1330">
            <v>3400003723</v>
          </cell>
          <cell r="B1330">
            <v>0</v>
          </cell>
          <cell r="C1330">
            <v>6500</v>
          </cell>
          <cell r="D1330" t="str">
            <v>23.01.1997</v>
          </cell>
          <cell r="E1330">
            <v>1</v>
          </cell>
          <cell r="F1330">
            <v>6197000446</v>
          </cell>
        </row>
        <row r="1331">
          <cell r="A1331">
            <v>3400003724</v>
          </cell>
          <cell r="B1331">
            <v>0</v>
          </cell>
          <cell r="C1331">
            <v>6500</v>
          </cell>
          <cell r="D1331" t="str">
            <v>23.01.1997</v>
          </cell>
          <cell r="E1331">
            <v>1</v>
          </cell>
          <cell r="F1331">
            <v>6197000447</v>
          </cell>
        </row>
        <row r="1332">
          <cell r="A1332">
            <v>3400003725</v>
          </cell>
          <cell r="B1332">
            <v>0</v>
          </cell>
          <cell r="C1332">
            <v>6500</v>
          </cell>
          <cell r="D1332" t="str">
            <v>23.01.1997</v>
          </cell>
          <cell r="E1332">
            <v>1</v>
          </cell>
          <cell r="F1332">
            <v>6197000448</v>
          </cell>
        </row>
        <row r="1333">
          <cell r="A1333">
            <v>3400003726</v>
          </cell>
          <cell r="B1333">
            <v>0</v>
          </cell>
          <cell r="C1333">
            <v>6500</v>
          </cell>
          <cell r="D1333" t="str">
            <v>23.01.1997</v>
          </cell>
          <cell r="E1333">
            <v>1</v>
          </cell>
          <cell r="F1333">
            <v>6197000449</v>
          </cell>
        </row>
        <row r="1334">
          <cell r="A1334">
            <v>3400003727</v>
          </cell>
          <cell r="B1334">
            <v>0</v>
          </cell>
          <cell r="C1334">
            <v>6500</v>
          </cell>
          <cell r="D1334" t="str">
            <v>23.01.1997</v>
          </cell>
          <cell r="E1334">
            <v>1</v>
          </cell>
          <cell r="F1334">
            <v>6197000450</v>
          </cell>
        </row>
        <row r="1335">
          <cell r="A1335">
            <v>3400003728</v>
          </cell>
          <cell r="B1335">
            <v>0</v>
          </cell>
          <cell r="C1335">
            <v>6500</v>
          </cell>
          <cell r="D1335" t="str">
            <v>23.01.1997</v>
          </cell>
          <cell r="E1335">
            <v>1</v>
          </cell>
          <cell r="F1335">
            <v>6197000451</v>
          </cell>
        </row>
        <row r="1336">
          <cell r="A1336">
            <v>3400003729</v>
          </cell>
          <cell r="B1336">
            <v>0</v>
          </cell>
          <cell r="C1336">
            <v>6500</v>
          </cell>
          <cell r="D1336" t="str">
            <v>23.01.1997</v>
          </cell>
          <cell r="E1336">
            <v>1</v>
          </cell>
          <cell r="F1336">
            <v>6197000452</v>
          </cell>
        </row>
        <row r="1337">
          <cell r="A1337">
            <v>3400003730</v>
          </cell>
          <cell r="B1337">
            <v>0</v>
          </cell>
          <cell r="C1337">
            <v>6500</v>
          </cell>
          <cell r="D1337" t="str">
            <v>23.01.1997</v>
          </cell>
          <cell r="E1337">
            <v>1</v>
          </cell>
          <cell r="F1337">
            <v>6197000453</v>
          </cell>
        </row>
        <row r="1338">
          <cell r="A1338">
            <v>3400003731</v>
          </cell>
          <cell r="B1338">
            <v>0</v>
          </cell>
          <cell r="C1338">
            <v>6500</v>
          </cell>
          <cell r="D1338" t="str">
            <v>23.01.1997</v>
          </cell>
          <cell r="E1338">
            <v>1</v>
          </cell>
          <cell r="F1338">
            <v>6197000454</v>
          </cell>
        </row>
        <row r="1339">
          <cell r="A1339">
            <v>3400003732</v>
          </cell>
          <cell r="B1339">
            <v>0</v>
          </cell>
          <cell r="C1339">
            <v>6500</v>
          </cell>
          <cell r="D1339" t="str">
            <v>23.01.1997</v>
          </cell>
          <cell r="E1339">
            <v>1</v>
          </cell>
          <cell r="F1339">
            <v>6197000455</v>
          </cell>
        </row>
        <row r="1340">
          <cell r="A1340">
            <v>3400003733</v>
          </cell>
          <cell r="B1340">
            <v>0</v>
          </cell>
          <cell r="C1340">
            <v>6500</v>
          </cell>
          <cell r="D1340" t="str">
            <v>23.01.1997</v>
          </cell>
          <cell r="E1340">
            <v>1</v>
          </cell>
          <cell r="F1340">
            <v>6197000456</v>
          </cell>
        </row>
        <row r="1341">
          <cell r="A1341">
            <v>3400003734</v>
          </cell>
          <cell r="B1341">
            <v>0</v>
          </cell>
          <cell r="C1341">
            <v>6500</v>
          </cell>
          <cell r="D1341" t="str">
            <v>23.01.1997</v>
          </cell>
          <cell r="E1341">
            <v>1</v>
          </cell>
          <cell r="F1341">
            <v>6197000457</v>
          </cell>
        </row>
        <row r="1342">
          <cell r="A1342">
            <v>3400003735</v>
          </cell>
          <cell r="B1342">
            <v>0</v>
          </cell>
          <cell r="C1342">
            <v>6500</v>
          </cell>
          <cell r="D1342" t="str">
            <v>23.01.1997</v>
          </cell>
          <cell r="E1342">
            <v>1</v>
          </cell>
          <cell r="F1342">
            <v>6197000458</v>
          </cell>
        </row>
        <row r="1343">
          <cell r="A1343">
            <v>3400003736</v>
          </cell>
          <cell r="B1343">
            <v>0</v>
          </cell>
          <cell r="C1343">
            <v>6500</v>
          </cell>
          <cell r="D1343" t="str">
            <v>23.01.1997</v>
          </cell>
          <cell r="E1343">
            <v>1</v>
          </cell>
          <cell r="F1343">
            <v>6197000459</v>
          </cell>
        </row>
        <row r="1344">
          <cell r="A1344">
            <v>3400003737</v>
          </cell>
          <cell r="B1344">
            <v>0</v>
          </cell>
          <cell r="C1344">
            <v>6600</v>
          </cell>
          <cell r="D1344" t="str">
            <v>23.01.1997</v>
          </cell>
          <cell r="E1344">
            <v>1</v>
          </cell>
          <cell r="F1344">
            <v>6197000460</v>
          </cell>
        </row>
        <row r="1345">
          <cell r="A1345">
            <v>3400003738</v>
          </cell>
          <cell r="B1345">
            <v>0</v>
          </cell>
          <cell r="C1345">
            <v>5800</v>
          </cell>
          <cell r="D1345" t="str">
            <v>23.01.1997</v>
          </cell>
          <cell r="E1345">
            <v>0</v>
          </cell>
          <cell r="F1345">
            <v>6197000461</v>
          </cell>
        </row>
        <row r="1346">
          <cell r="A1346">
            <v>3400003739</v>
          </cell>
          <cell r="B1346">
            <v>0</v>
          </cell>
          <cell r="C1346">
            <v>5300</v>
          </cell>
          <cell r="D1346" t="str">
            <v>18.02.1997</v>
          </cell>
          <cell r="E1346">
            <v>1</v>
          </cell>
          <cell r="F1346">
            <v>6197000462</v>
          </cell>
        </row>
        <row r="1347">
          <cell r="A1347">
            <v>3400003740</v>
          </cell>
          <cell r="B1347">
            <v>0</v>
          </cell>
          <cell r="C1347">
            <v>6801</v>
          </cell>
          <cell r="D1347" t="str">
            <v>18.02.1997</v>
          </cell>
          <cell r="E1347">
            <v>1</v>
          </cell>
          <cell r="F1347">
            <v>6197000463</v>
          </cell>
        </row>
        <row r="1348">
          <cell r="A1348">
            <v>3400003741</v>
          </cell>
          <cell r="B1348">
            <v>0</v>
          </cell>
          <cell r="C1348">
            <v>6602</v>
          </cell>
          <cell r="D1348" t="str">
            <v>01.10.1996</v>
          </cell>
          <cell r="E1348">
            <v>0</v>
          </cell>
          <cell r="F1348">
            <v>6197000464</v>
          </cell>
        </row>
        <row r="1349">
          <cell r="A1349">
            <v>3400003742</v>
          </cell>
          <cell r="B1349">
            <v>0</v>
          </cell>
          <cell r="C1349">
            <v>5400</v>
          </cell>
          <cell r="D1349" t="str">
            <v>18.02.1997</v>
          </cell>
          <cell r="E1349">
            <v>1</v>
          </cell>
          <cell r="F1349">
            <v>6197000465</v>
          </cell>
        </row>
        <row r="1350">
          <cell r="A1350">
            <v>3400003743</v>
          </cell>
          <cell r="B1350">
            <v>0</v>
          </cell>
          <cell r="C1350">
            <v>5302</v>
          </cell>
          <cell r="D1350" t="str">
            <v>18.02.1997</v>
          </cell>
          <cell r="E1350">
            <v>1</v>
          </cell>
          <cell r="F1350">
            <v>6197000466</v>
          </cell>
        </row>
        <row r="1351">
          <cell r="A1351">
            <v>3400003744</v>
          </cell>
          <cell r="B1351">
            <v>0</v>
          </cell>
          <cell r="C1351">
            <v>5302</v>
          </cell>
          <cell r="D1351" t="str">
            <v>18.02.1997</v>
          </cell>
          <cell r="E1351">
            <v>1</v>
          </cell>
          <cell r="F1351">
            <v>6197000467</v>
          </cell>
        </row>
        <row r="1352">
          <cell r="A1352">
            <v>3400003745</v>
          </cell>
          <cell r="B1352">
            <v>0</v>
          </cell>
          <cell r="C1352">
            <v>5302</v>
          </cell>
          <cell r="D1352" t="str">
            <v>18.02.1997</v>
          </cell>
          <cell r="E1352">
            <v>1</v>
          </cell>
          <cell r="F1352">
            <v>6197000468</v>
          </cell>
        </row>
        <row r="1353">
          <cell r="A1353">
            <v>3400003746</v>
          </cell>
          <cell r="B1353">
            <v>0</v>
          </cell>
          <cell r="C1353">
            <v>5302</v>
          </cell>
          <cell r="D1353" t="str">
            <v>18.02.1997</v>
          </cell>
          <cell r="E1353">
            <v>1</v>
          </cell>
          <cell r="F1353">
            <v>6197000469</v>
          </cell>
        </row>
        <row r="1354">
          <cell r="A1354">
            <v>3400003747</v>
          </cell>
          <cell r="B1354">
            <v>0</v>
          </cell>
          <cell r="C1354">
            <v>5302</v>
          </cell>
          <cell r="D1354" t="str">
            <v>18.02.1997</v>
          </cell>
          <cell r="E1354">
            <v>1</v>
          </cell>
          <cell r="F1354">
            <v>6197000470</v>
          </cell>
        </row>
        <row r="1355">
          <cell r="A1355">
            <v>3400003748</v>
          </cell>
          <cell r="B1355">
            <v>0</v>
          </cell>
          <cell r="C1355">
            <v>5302</v>
          </cell>
          <cell r="D1355" t="str">
            <v>18.02.1997</v>
          </cell>
          <cell r="E1355">
            <v>1</v>
          </cell>
          <cell r="F1355">
            <v>6197000471</v>
          </cell>
        </row>
        <row r="1356">
          <cell r="A1356">
            <v>3400003749</v>
          </cell>
          <cell r="B1356">
            <v>0</v>
          </cell>
          <cell r="C1356">
            <v>5302</v>
          </cell>
          <cell r="D1356" t="str">
            <v>18.02.1997</v>
          </cell>
          <cell r="E1356">
            <v>1</v>
          </cell>
          <cell r="F1356">
            <v>6197000472</v>
          </cell>
        </row>
        <row r="1357">
          <cell r="A1357">
            <v>3400003750</v>
          </cell>
          <cell r="B1357">
            <v>0</v>
          </cell>
          <cell r="C1357">
            <v>6600</v>
          </cell>
          <cell r="D1357" t="str">
            <v>18.02.1997</v>
          </cell>
          <cell r="E1357">
            <v>1</v>
          </cell>
          <cell r="F1357">
            <v>6197000473</v>
          </cell>
        </row>
        <row r="1358">
          <cell r="A1358">
            <v>3400003751</v>
          </cell>
          <cell r="B1358">
            <v>0</v>
          </cell>
          <cell r="C1358">
            <v>6800</v>
          </cell>
          <cell r="D1358" t="str">
            <v>18.02.1997</v>
          </cell>
          <cell r="E1358">
            <v>1</v>
          </cell>
          <cell r="F1358">
            <v>6197000474</v>
          </cell>
        </row>
        <row r="1359">
          <cell r="A1359">
            <v>3400003752</v>
          </cell>
          <cell r="B1359">
            <v>0</v>
          </cell>
          <cell r="C1359">
            <v>6600</v>
          </cell>
          <cell r="D1359" t="str">
            <v>18.02.1997</v>
          </cell>
          <cell r="E1359">
            <v>0</v>
          </cell>
          <cell r="F1359">
            <v>6197000475</v>
          </cell>
        </row>
        <row r="1360">
          <cell r="A1360">
            <v>3400003753</v>
          </cell>
          <cell r="B1360">
            <v>0</v>
          </cell>
          <cell r="C1360">
            <v>6600</v>
          </cell>
          <cell r="D1360" t="str">
            <v>20.03.1997</v>
          </cell>
          <cell r="E1360">
            <v>0</v>
          </cell>
          <cell r="F1360">
            <v>6197000476</v>
          </cell>
        </row>
        <row r="1361">
          <cell r="A1361">
            <v>3400003754</v>
          </cell>
          <cell r="B1361">
            <v>0</v>
          </cell>
          <cell r="C1361">
            <v>6600</v>
          </cell>
          <cell r="D1361" t="str">
            <v>20.03.1997</v>
          </cell>
          <cell r="E1361">
            <v>0</v>
          </cell>
          <cell r="F1361">
            <v>6197000477</v>
          </cell>
        </row>
        <row r="1362">
          <cell r="A1362">
            <v>3400003755</v>
          </cell>
          <cell r="B1362">
            <v>0</v>
          </cell>
          <cell r="C1362">
            <v>6600</v>
          </cell>
          <cell r="D1362" t="str">
            <v>20.03.1997</v>
          </cell>
          <cell r="E1362">
            <v>0</v>
          </cell>
          <cell r="F1362">
            <v>6197000478</v>
          </cell>
        </row>
        <row r="1363">
          <cell r="A1363">
            <v>3400003756</v>
          </cell>
          <cell r="B1363">
            <v>0</v>
          </cell>
          <cell r="C1363">
            <v>6600</v>
          </cell>
          <cell r="D1363" t="str">
            <v>20.03.1997</v>
          </cell>
          <cell r="E1363">
            <v>0</v>
          </cell>
          <cell r="F1363">
            <v>6197000479</v>
          </cell>
        </row>
        <row r="1364">
          <cell r="A1364">
            <v>3400003757</v>
          </cell>
          <cell r="B1364">
            <v>0</v>
          </cell>
          <cell r="C1364">
            <v>6600</v>
          </cell>
          <cell r="D1364" t="str">
            <v>20.03.1997</v>
          </cell>
          <cell r="E1364">
            <v>0</v>
          </cell>
          <cell r="F1364">
            <v>6197000480</v>
          </cell>
        </row>
        <row r="1365">
          <cell r="A1365">
            <v>3400003758</v>
          </cell>
          <cell r="B1365">
            <v>0</v>
          </cell>
          <cell r="C1365">
            <v>6600</v>
          </cell>
          <cell r="D1365" t="str">
            <v>20.03.1997</v>
          </cell>
          <cell r="E1365">
            <v>0</v>
          </cell>
          <cell r="F1365">
            <v>6197000481</v>
          </cell>
        </row>
        <row r="1366">
          <cell r="A1366">
            <v>3400003759</v>
          </cell>
          <cell r="B1366">
            <v>0</v>
          </cell>
          <cell r="C1366">
            <v>6600</v>
          </cell>
          <cell r="D1366" t="str">
            <v>20.03.1997</v>
          </cell>
          <cell r="E1366">
            <v>0</v>
          </cell>
          <cell r="F1366">
            <v>6197000482</v>
          </cell>
        </row>
        <row r="1367">
          <cell r="A1367">
            <v>3400003760</v>
          </cell>
          <cell r="B1367">
            <v>0</v>
          </cell>
          <cell r="C1367">
            <v>6602</v>
          </cell>
          <cell r="D1367" t="str">
            <v>01.10.1996</v>
          </cell>
          <cell r="E1367">
            <v>0</v>
          </cell>
          <cell r="F1367">
            <v>6197000483</v>
          </cell>
        </row>
        <row r="1368">
          <cell r="A1368">
            <v>3400003761</v>
          </cell>
          <cell r="B1368">
            <v>0</v>
          </cell>
          <cell r="C1368">
            <v>6602</v>
          </cell>
          <cell r="D1368" t="str">
            <v>01.10.1996</v>
          </cell>
          <cell r="E1368">
            <v>0</v>
          </cell>
          <cell r="F1368">
            <v>6197000484</v>
          </cell>
        </row>
        <row r="1369">
          <cell r="A1369">
            <v>3400003762</v>
          </cell>
          <cell r="B1369">
            <v>0</v>
          </cell>
          <cell r="C1369">
            <v>6600</v>
          </cell>
          <cell r="D1369" t="str">
            <v>20.03.1997</v>
          </cell>
          <cell r="E1369">
            <v>1</v>
          </cell>
          <cell r="F1369">
            <v>6197000485</v>
          </cell>
        </row>
        <row r="1370">
          <cell r="A1370">
            <v>3400003763</v>
          </cell>
          <cell r="B1370">
            <v>0</v>
          </cell>
          <cell r="C1370">
            <v>6600</v>
          </cell>
          <cell r="D1370" t="str">
            <v>20.03.1997</v>
          </cell>
          <cell r="E1370">
            <v>1</v>
          </cell>
          <cell r="F1370">
            <v>6197000486</v>
          </cell>
        </row>
        <row r="1371">
          <cell r="A1371">
            <v>3400003764</v>
          </cell>
          <cell r="B1371">
            <v>0</v>
          </cell>
          <cell r="C1371">
            <v>6600</v>
          </cell>
          <cell r="D1371" t="str">
            <v>20.03.1997</v>
          </cell>
          <cell r="E1371">
            <v>1</v>
          </cell>
          <cell r="F1371">
            <v>6197000487</v>
          </cell>
        </row>
        <row r="1372">
          <cell r="A1372">
            <v>3400003765</v>
          </cell>
          <cell r="B1372">
            <v>0</v>
          </cell>
          <cell r="C1372">
            <v>6600</v>
          </cell>
          <cell r="D1372" t="str">
            <v>20.03.1997</v>
          </cell>
          <cell r="E1372">
            <v>1</v>
          </cell>
          <cell r="F1372">
            <v>6197000488</v>
          </cell>
        </row>
        <row r="1373">
          <cell r="A1373">
            <v>3400003766</v>
          </cell>
          <cell r="B1373">
            <v>0</v>
          </cell>
          <cell r="C1373">
            <v>6600</v>
          </cell>
          <cell r="D1373" t="str">
            <v>20.03.1997</v>
          </cell>
          <cell r="E1373">
            <v>1</v>
          </cell>
          <cell r="F1373">
            <v>6197000489</v>
          </cell>
        </row>
        <row r="1374">
          <cell r="A1374">
            <v>3400003767</v>
          </cell>
          <cell r="B1374">
            <v>0</v>
          </cell>
          <cell r="C1374">
            <v>6800</v>
          </cell>
          <cell r="D1374" t="str">
            <v>20.03.1997</v>
          </cell>
          <cell r="E1374">
            <v>1</v>
          </cell>
          <cell r="F1374">
            <v>6197000490</v>
          </cell>
        </row>
        <row r="1375">
          <cell r="A1375">
            <v>3400003768</v>
          </cell>
          <cell r="B1375">
            <v>0</v>
          </cell>
          <cell r="C1375">
            <v>6800</v>
          </cell>
          <cell r="D1375" t="str">
            <v>20.03.1997</v>
          </cell>
          <cell r="E1375">
            <v>1</v>
          </cell>
          <cell r="F1375">
            <v>6197000491</v>
          </cell>
        </row>
        <row r="1376">
          <cell r="A1376">
            <v>3400003769</v>
          </cell>
          <cell r="B1376">
            <v>0</v>
          </cell>
          <cell r="C1376">
            <v>5101</v>
          </cell>
          <cell r="D1376" t="str">
            <v>01.10.1996</v>
          </cell>
          <cell r="E1376">
            <v>0</v>
          </cell>
          <cell r="F1376">
            <v>6197000492</v>
          </cell>
        </row>
        <row r="1377">
          <cell r="A1377">
            <v>3400003770</v>
          </cell>
          <cell r="B1377">
            <v>0</v>
          </cell>
          <cell r="C1377">
            <v>5301</v>
          </cell>
          <cell r="D1377" t="str">
            <v>20.03.1997</v>
          </cell>
          <cell r="E1377">
            <v>1</v>
          </cell>
          <cell r="F1377">
            <v>6197000493</v>
          </cell>
        </row>
        <row r="1378">
          <cell r="A1378">
            <v>3400003771</v>
          </cell>
          <cell r="B1378">
            <v>0</v>
          </cell>
          <cell r="C1378">
            <v>6801</v>
          </cell>
          <cell r="D1378" t="str">
            <v>20.03.1997</v>
          </cell>
          <cell r="E1378">
            <v>0</v>
          </cell>
          <cell r="F1378">
            <v>6197000494</v>
          </cell>
        </row>
        <row r="1379">
          <cell r="A1379">
            <v>3400003772</v>
          </cell>
          <cell r="B1379">
            <v>0</v>
          </cell>
          <cell r="C1379">
            <v>5301</v>
          </cell>
          <cell r="D1379" t="str">
            <v>20.03.1997</v>
          </cell>
          <cell r="E1379">
            <v>1</v>
          </cell>
          <cell r="F1379">
            <v>6197000495</v>
          </cell>
        </row>
        <row r="1380">
          <cell r="A1380">
            <v>3400003773</v>
          </cell>
          <cell r="B1380">
            <v>0</v>
          </cell>
          <cell r="C1380">
            <v>5301</v>
          </cell>
          <cell r="D1380" t="str">
            <v>21.03.1997</v>
          </cell>
          <cell r="E1380">
            <v>1</v>
          </cell>
          <cell r="F1380">
            <v>6197000496</v>
          </cell>
        </row>
        <row r="1381">
          <cell r="A1381">
            <v>3400003774</v>
          </cell>
          <cell r="B1381">
            <v>0</v>
          </cell>
          <cell r="C1381">
            <v>6210</v>
          </cell>
          <cell r="D1381" t="str">
            <v>21.03.1997</v>
          </cell>
          <cell r="E1381">
            <v>0</v>
          </cell>
          <cell r="F1381">
            <v>6197000497</v>
          </cell>
        </row>
        <row r="1382">
          <cell r="A1382">
            <v>3400003775</v>
          </cell>
          <cell r="B1382">
            <v>0</v>
          </cell>
          <cell r="C1382">
            <v>6230</v>
          </cell>
          <cell r="D1382" t="str">
            <v>21.03.1997</v>
          </cell>
          <cell r="E1382">
            <v>0</v>
          </cell>
          <cell r="F1382">
            <v>6197000498</v>
          </cell>
        </row>
        <row r="1383">
          <cell r="A1383">
            <v>3400003776</v>
          </cell>
          <cell r="B1383">
            <v>0</v>
          </cell>
          <cell r="C1383">
            <v>6230</v>
          </cell>
          <cell r="D1383" t="str">
            <v>21.03.1997</v>
          </cell>
          <cell r="E1383">
            <v>0</v>
          </cell>
          <cell r="F1383">
            <v>6197000499</v>
          </cell>
        </row>
        <row r="1384">
          <cell r="A1384">
            <v>3400005203</v>
          </cell>
          <cell r="B1384">
            <v>0</v>
          </cell>
          <cell r="C1384">
            <v>6230</v>
          </cell>
          <cell r="D1384" t="str">
            <v>21.03.1997</v>
          </cell>
          <cell r="E1384">
            <v>2</v>
          </cell>
          <cell r="F1384">
            <v>6197000500</v>
          </cell>
        </row>
        <row r="1385">
          <cell r="A1385">
            <v>3400003777</v>
          </cell>
          <cell r="B1385">
            <v>0</v>
          </cell>
          <cell r="C1385">
            <v>6230</v>
          </cell>
          <cell r="D1385" t="str">
            <v>21.03.1997</v>
          </cell>
          <cell r="E1385">
            <v>0</v>
          </cell>
          <cell r="F1385">
            <v>6197000500</v>
          </cell>
        </row>
        <row r="1386">
          <cell r="A1386">
            <v>3400003778</v>
          </cell>
          <cell r="B1386">
            <v>0</v>
          </cell>
          <cell r="C1386">
            <v>6230</v>
          </cell>
          <cell r="D1386" t="str">
            <v>21.03.1997</v>
          </cell>
          <cell r="E1386">
            <v>0</v>
          </cell>
          <cell r="F1386">
            <v>6197000501</v>
          </cell>
        </row>
        <row r="1387">
          <cell r="A1387">
            <v>3400003779</v>
          </cell>
          <cell r="B1387">
            <v>0</v>
          </cell>
          <cell r="C1387">
            <v>6230</v>
          </cell>
          <cell r="D1387" t="str">
            <v>21.03.1997</v>
          </cell>
          <cell r="E1387">
            <v>0</v>
          </cell>
          <cell r="F1387">
            <v>6197000502</v>
          </cell>
        </row>
        <row r="1388">
          <cell r="A1388">
            <v>3400003780</v>
          </cell>
          <cell r="B1388">
            <v>0</v>
          </cell>
          <cell r="C1388">
            <v>5400</v>
          </cell>
          <cell r="D1388" t="str">
            <v>21.03.1997</v>
          </cell>
          <cell r="E1388">
            <v>0</v>
          </cell>
          <cell r="F1388">
            <v>6197000503</v>
          </cell>
        </row>
        <row r="1389">
          <cell r="A1389">
            <v>3400003781</v>
          </cell>
          <cell r="B1389">
            <v>0</v>
          </cell>
          <cell r="C1389">
            <v>5801</v>
          </cell>
          <cell r="D1389" t="str">
            <v>21.03.1997</v>
          </cell>
          <cell r="E1389">
            <v>1</v>
          </cell>
          <cell r="F1389">
            <v>6197000504</v>
          </cell>
        </row>
        <row r="1390">
          <cell r="A1390">
            <v>3400003782</v>
          </cell>
          <cell r="B1390">
            <v>0</v>
          </cell>
          <cell r="C1390">
            <v>5301</v>
          </cell>
          <cell r="D1390" t="str">
            <v>21.03.1997</v>
          </cell>
          <cell r="E1390">
            <v>0</v>
          </cell>
          <cell r="F1390">
            <v>6197000505</v>
          </cell>
        </row>
        <row r="1391">
          <cell r="A1391">
            <v>3400003783</v>
          </cell>
          <cell r="B1391">
            <v>0</v>
          </cell>
          <cell r="C1391">
            <v>6600</v>
          </cell>
          <cell r="D1391" t="str">
            <v>21.03.1997</v>
          </cell>
          <cell r="E1391">
            <v>1</v>
          </cell>
          <cell r="F1391">
            <v>6197000506</v>
          </cell>
        </row>
        <row r="1392">
          <cell r="A1392">
            <v>3400003784</v>
          </cell>
          <cell r="B1392">
            <v>0</v>
          </cell>
          <cell r="C1392">
            <v>4420</v>
          </cell>
          <cell r="D1392" t="str">
            <v>31.03.1997</v>
          </cell>
          <cell r="E1392">
            <v>1</v>
          </cell>
          <cell r="F1392">
            <v>6197000507</v>
          </cell>
        </row>
        <row r="1393">
          <cell r="A1393">
            <v>3400003785</v>
          </cell>
          <cell r="B1393">
            <v>0</v>
          </cell>
          <cell r="C1393">
            <v>5801</v>
          </cell>
          <cell r="D1393" t="str">
            <v>31.03.1997</v>
          </cell>
          <cell r="E1393">
            <v>0</v>
          </cell>
          <cell r="F1393">
            <v>6197000508</v>
          </cell>
        </row>
        <row r="1394">
          <cell r="A1394">
            <v>3400003786</v>
          </cell>
          <cell r="B1394">
            <v>0</v>
          </cell>
          <cell r="C1394">
            <v>5801</v>
          </cell>
          <cell r="D1394" t="str">
            <v>31.03.1997</v>
          </cell>
          <cell r="E1394">
            <v>0</v>
          </cell>
          <cell r="F1394">
            <v>6197000509</v>
          </cell>
        </row>
        <row r="1395">
          <cell r="A1395">
            <v>3400003787</v>
          </cell>
          <cell r="B1395">
            <v>0</v>
          </cell>
          <cell r="C1395">
            <v>5801</v>
          </cell>
          <cell r="D1395" t="str">
            <v>31.03.1997</v>
          </cell>
          <cell r="E1395">
            <v>0</v>
          </cell>
          <cell r="F1395">
            <v>6197000510</v>
          </cell>
        </row>
        <row r="1396">
          <cell r="A1396">
            <v>3400003788</v>
          </cell>
          <cell r="B1396">
            <v>0</v>
          </cell>
          <cell r="C1396">
            <v>4420</v>
          </cell>
          <cell r="D1396" t="str">
            <v>31.03.1997</v>
          </cell>
          <cell r="E1396">
            <v>1</v>
          </cell>
          <cell r="F1396">
            <v>6197000511</v>
          </cell>
        </row>
        <row r="1397">
          <cell r="A1397">
            <v>3400003789</v>
          </cell>
          <cell r="B1397">
            <v>0</v>
          </cell>
          <cell r="C1397">
            <v>4420</v>
          </cell>
          <cell r="D1397" t="str">
            <v>31.03.1997</v>
          </cell>
          <cell r="E1397">
            <v>1</v>
          </cell>
          <cell r="F1397">
            <v>6197000512</v>
          </cell>
        </row>
        <row r="1398">
          <cell r="A1398">
            <v>3400003790</v>
          </cell>
          <cell r="B1398">
            <v>0</v>
          </cell>
          <cell r="C1398">
            <v>5301</v>
          </cell>
          <cell r="D1398" t="str">
            <v>31.03.1997</v>
          </cell>
          <cell r="E1398">
            <v>1</v>
          </cell>
          <cell r="F1398">
            <v>6197000513</v>
          </cell>
        </row>
        <row r="1399">
          <cell r="A1399">
            <v>3400003791</v>
          </cell>
          <cell r="B1399">
            <v>0</v>
          </cell>
          <cell r="C1399">
            <v>5800</v>
          </cell>
          <cell r="D1399" t="str">
            <v>01.04.1997</v>
          </cell>
          <cell r="E1399">
            <v>0</v>
          </cell>
          <cell r="F1399">
            <v>6197000514</v>
          </cell>
        </row>
        <row r="1400">
          <cell r="A1400">
            <v>3400003792</v>
          </cell>
          <cell r="B1400">
            <v>0</v>
          </cell>
          <cell r="C1400">
            <v>5800</v>
          </cell>
          <cell r="D1400" t="str">
            <v>01.04.1997</v>
          </cell>
          <cell r="E1400">
            <v>0</v>
          </cell>
          <cell r="F1400">
            <v>6197000515</v>
          </cell>
        </row>
        <row r="1401">
          <cell r="A1401">
            <v>3400003793</v>
          </cell>
          <cell r="B1401">
            <v>0</v>
          </cell>
          <cell r="C1401">
            <v>5800</v>
          </cell>
          <cell r="D1401" t="str">
            <v>01.04.1997</v>
          </cell>
          <cell r="E1401">
            <v>0</v>
          </cell>
          <cell r="F1401">
            <v>6197000516</v>
          </cell>
        </row>
        <row r="1402">
          <cell r="A1402">
            <v>3400003794</v>
          </cell>
          <cell r="B1402">
            <v>0</v>
          </cell>
          <cell r="C1402">
            <v>6500</v>
          </cell>
          <cell r="D1402" t="str">
            <v>01.04.1997</v>
          </cell>
          <cell r="E1402">
            <v>12</v>
          </cell>
          <cell r="F1402">
            <v>6197000517</v>
          </cell>
        </row>
        <row r="1403">
          <cell r="A1403">
            <v>3400003795</v>
          </cell>
          <cell r="B1403">
            <v>0</v>
          </cell>
          <cell r="C1403">
            <v>5800</v>
          </cell>
          <cell r="D1403" t="str">
            <v>01.04.1997</v>
          </cell>
          <cell r="E1403">
            <v>0</v>
          </cell>
          <cell r="F1403">
            <v>6197000518</v>
          </cell>
        </row>
        <row r="1404">
          <cell r="A1404">
            <v>3400003796</v>
          </cell>
          <cell r="B1404">
            <v>0</v>
          </cell>
          <cell r="C1404">
            <v>5800</v>
          </cell>
          <cell r="D1404" t="str">
            <v>01.04.1997</v>
          </cell>
          <cell r="E1404">
            <v>0</v>
          </cell>
          <cell r="F1404">
            <v>6197000519</v>
          </cell>
        </row>
        <row r="1405">
          <cell r="A1405">
            <v>3400003797</v>
          </cell>
          <cell r="B1405">
            <v>0</v>
          </cell>
          <cell r="C1405">
            <v>5800</v>
          </cell>
          <cell r="D1405" t="str">
            <v>01.04.1997</v>
          </cell>
          <cell r="E1405">
            <v>0</v>
          </cell>
          <cell r="F1405">
            <v>6197000520</v>
          </cell>
        </row>
        <row r="1406">
          <cell r="A1406">
            <v>3400003798</v>
          </cell>
          <cell r="B1406">
            <v>0</v>
          </cell>
          <cell r="C1406">
            <v>5800</v>
          </cell>
          <cell r="D1406" t="str">
            <v>04.09.1997</v>
          </cell>
          <cell r="E1406">
            <v>0</v>
          </cell>
          <cell r="F1406">
            <v>6197000521</v>
          </cell>
        </row>
        <row r="1407">
          <cell r="A1407">
            <v>3400003799</v>
          </cell>
          <cell r="B1407">
            <v>0</v>
          </cell>
          <cell r="C1407">
            <v>6230</v>
          </cell>
          <cell r="D1407" t="str">
            <v>01.04.1997</v>
          </cell>
          <cell r="E1407">
            <v>0</v>
          </cell>
          <cell r="F1407">
            <v>6197000522</v>
          </cell>
        </row>
        <row r="1408">
          <cell r="A1408">
            <v>3400003800</v>
          </cell>
          <cell r="B1408">
            <v>0</v>
          </cell>
          <cell r="C1408">
            <v>6230</v>
          </cell>
          <cell r="D1408" t="str">
            <v>01.04.1997</v>
          </cell>
          <cell r="E1408">
            <v>0</v>
          </cell>
          <cell r="F1408">
            <v>6197000523</v>
          </cell>
        </row>
        <row r="1409">
          <cell r="A1409">
            <v>3400003801</v>
          </cell>
          <cell r="B1409">
            <v>0</v>
          </cell>
          <cell r="C1409">
            <v>6230</v>
          </cell>
          <cell r="D1409" t="str">
            <v>01.04.1997</v>
          </cell>
          <cell r="E1409">
            <v>0</v>
          </cell>
          <cell r="F1409">
            <v>6197000524</v>
          </cell>
        </row>
        <row r="1410">
          <cell r="A1410">
            <v>3400003802</v>
          </cell>
          <cell r="B1410">
            <v>0</v>
          </cell>
          <cell r="C1410">
            <v>6230</v>
          </cell>
          <cell r="D1410" t="str">
            <v>01.04.1997</v>
          </cell>
          <cell r="E1410">
            <v>0</v>
          </cell>
          <cell r="F1410">
            <v>6197000525</v>
          </cell>
        </row>
        <row r="1411">
          <cell r="A1411">
            <v>3400003803</v>
          </cell>
          <cell r="B1411">
            <v>0</v>
          </cell>
          <cell r="C1411">
            <v>6230</v>
          </cell>
          <cell r="D1411" t="str">
            <v>01.04.1997</v>
          </cell>
          <cell r="E1411">
            <v>0</v>
          </cell>
          <cell r="F1411">
            <v>6197000526</v>
          </cell>
        </row>
        <row r="1412">
          <cell r="A1412">
            <v>3400003804</v>
          </cell>
          <cell r="B1412">
            <v>0</v>
          </cell>
          <cell r="C1412">
            <v>6230</v>
          </cell>
          <cell r="D1412" t="str">
            <v>01.04.1997</v>
          </cell>
          <cell r="E1412">
            <v>0</v>
          </cell>
          <cell r="F1412">
            <v>6197000527</v>
          </cell>
        </row>
        <row r="1413">
          <cell r="A1413">
            <v>3400003805</v>
          </cell>
          <cell r="B1413">
            <v>0</v>
          </cell>
          <cell r="C1413">
            <v>6230</v>
          </cell>
          <cell r="D1413" t="str">
            <v>01.04.1997</v>
          </cell>
          <cell r="E1413">
            <v>0</v>
          </cell>
          <cell r="F1413">
            <v>6197000528</v>
          </cell>
        </row>
        <row r="1414">
          <cell r="A1414">
            <v>3400003806</v>
          </cell>
          <cell r="B1414">
            <v>0</v>
          </cell>
          <cell r="C1414">
            <v>6230</v>
          </cell>
          <cell r="D1414" t="str">
            <v>01.04.1997</v>
          </cell>
          <cell r="E1414">
            <v>0</v>
          </cell>
          <cell r="F1414">
            <v>6197000529</v>
          </cell>
        </row>
        <row r="1415">
          <cell r="A1415">
            <v>3400003807</v>
          </cell>
          <cell r="B1415">
            <v>0</v>
          </cell>
          <cell r="C1415">
            <v>6230</v>
          </cell>
          <cell r="D1415" t="str">
            <v>01.04.1997</v>
          </cell>
          <cell r="E1415">
            <v>0</v>
          </cell>
          <cell r="F1415">
            <v>6197000530</v>
          </cell>
        </row>
        <row r="1416">
          <cell r="A1416">
            <v>3400003808</v>
          </cell>
          <cell r="B1416">
            <v>0</v>
          </cell>
          <cell r="C1416">
            <v>6230</v>
          </cell>
          <cell r="D1416" t="str">
            <v>01.04.1997</v>
          </cell>
          <cell r="E1416">
            <v>0</v>
          </cell>
          <cell r="F1416">
            <v>6197000531</v>
          </cell>
        </row>
        <row r="1417">
          <cell r="A1417">
            <v>3400003809</v>
          </cell>
          <cell r="B1417">
            <v>0</v>
          </cell>
          <cell r="C1417">
            <v>6230</v>
          </cell>
          <cell r="D1417" t="str">
            <v>01.04.1997</v>
          </cell>
          <cell r="E1417">
            <v>0</v>
          </cell>
          <cell r="F1417">
            <v>6197000532</v>
          </cell>
        </row>
        <row r="1418">
          <cell r="A1418">
            <v>3400003810</v>
          </cell>
          <cell r="B1418">
            <v>0</v>
          </cell>
          <cell r="C1418">
            <v>6230</v>
          </cell>
          <cell r="D1418" t="str">
            <v>01.04.1997</v>
          </cell>
          <cell r="E1418">
            <v>0</v>
          </cell>
          <cell r="F1418">
            <v>6197000533</v>
          </cell>
        </row>
        <row r="1419">
          <cell r="A1419">
            <v>3400003811</v>
          </cell>
          <cell r="B1419">
            <v>0</v>
          </cell>
          <cell r="C1419">
            <v>6230</v>
          </cell>
          <cell r="D1419" t="str">
            <v>01.04.1997</v>
          </cell>
          <cell r="E1419">
            <v>0</v>
          </cell>
          <cell r="F1419">
            <v>6197000534</v>
          </cell>
        </row>
        <row r="1420">
          <cell r="A1420">
            <v>3400003812</v>
          </cell>
          <cell r="B1420">
            <v>0</v>
          </cell>
          <cell r="C1420">
            <v>6230</v>
          </cell>
          <cell r="D1420" t="str">
            <v>01.04.1997</v>
          </cell>
          <cell r="E1420">
            <v>0</v>
          </cell>
          <cell r="F1420">
            <v>6197000535</v>
          </cell>
        </row>
        <row r="1421">
          <cell r="A1421">
            <v>3400003813</v>
          </cell>
          <cell r="B1421">
            <v>0</v>
          </cell>
          <cell r="C1421">
            <v>6230</v>
          </cell>
          <cell r="D1421" t="str">
            <v>01.04.1997</v>
          </cell>
          <cell r="E1421">
            <v>0</v>
          </cell>
          <cell r="F1421">
            <v>6197000536</v>
          </cell>
        </row>
        <row r="1422">
          <cell r="A1422">
            <v>3400005582</v>
          </cell>
          <cell r="B1422">
            <v>0</v>
          </cell>
          <cell r="C1422">
            <v>6230</v>
          </cell>
          <cell r="D1422" t="str">
            <v>14.07.1997</v>
          </cell>
          <cell r="E1422">
            <v>2</v>
          </cell>
          <cell r="F1422">
            <v>6197000537</v>
          </cell>
        </row>
        <row r="1423">
          <cell r="A1423">
            <v>3400003814</v>
          </cell>
          <cell r="B1423">
            <v>0</v>
          </cell>
          <cell r="C1423">
            <v>6800</v>
          </cell>
          <cell r="D1423" t="str">
            <v>14.07.1997</v>
          </cell>
          <cell r="E1423">
            <v>0</v>
          </cell>
          <cell r="F1423">
            <v>6197000537</v>
          </cell>
        </row>
        <row r="1424">
          <cell r="A1424">
            <v>3400003815</v>
          </cell>
          <cell r="B1424">
            <v>0</v>
          </cell>
          <cell r="C1424">
            <v>6500</v>
          </cell>
          <cell r="D1424" t="str">
            <v>17.04.1997</v>
          </cell>
          <cell r="E1424">
            <v>0</v>
          </cell>
          <cell r="F1424">
            <v>6197000538</v>
          </cell>
        </row>
        <row r="1425">
          <cell r="A1425">
            <v>3400003816</v>
          </cell>
          <cell r="B1425">
            <v>0</v>
          </cell>
          <cell r="C1425">
            <v>6800</v>
          </cell>
          <cell r="D1425" t="str">
            <v>07.05.1997</v>
          </cell>
          <cell r="E1425">
            <v>0</v>
          </cell>
          <cell r="F1425">
            <v>6197000539</v>
          </cell>
        </row>
        <row r="1426">
          <cell r="A1426">
            <v>3400005584</v>
          </cell>
          <cell r="B1426">
            <v>0</v>
          </cell>
          <cell r="C1426">
            <v>6230</v>
          </cell>
          <cell r="D1426" t="str">
            <v>07.05.1997</v>
          </cell>
          <cell r="E1426">
            <v>2</v>
          </cell>
          <cell r="F1426">
            <v>6197000539</v>
          </cell>
        </row>
        <row r="1427">
          <cell r="A1427">
            <v>3400003817</v>
          </cell>
          <cell r="B1427">
            <v>0</v>
          </cell>
          <cell r="C1427">
            <v>5800</v>
          </cell>
          <cell r="D1427" t="str">
            <v>04.07.1997</v>
          </cell>
          <cell r="E1427">
            <v>1</v>
          </cell>
          <cell r="F1427">
            <v>6197000540</v>
          </cell>
        </row>
        <row r="1428">
          <cell r="A1428">
            <v>3400003818</v>
          </cell>
          <cell r="B1428">
            <v>0</v>
          </cell>
          <cell r="C1428">
            <v>5800</v>
          </cell>
          <cell r="D1428" t="str">
            <v>04.07.1997</v>
          </cell>
          <cell r="E1428">
            <v>1</v>
          </cell>
          <cell r="F1428">
            <v>6197000541</v>
          </cell>
        </row>
        <row r="1429">
          <cell r="A1429">
            <v>3400005586</v>
          </cell>
          <cell r="B1429">
            <v>0</v>
          </cell>
          <cell r="C1429">
            <v>6230</v>
          </cell>
          <cell r="D1429" t="str">
            <v>01.04.1997</v>
          </cell>
          <cell r="E1429">
            <v>2</v>
          </cell>
          <cell r="F1429">
            <v>6197000542</v>
          </cell>
        </row>
        <row r="1430">
          <cell r="A1430">
            <v>3400003819</v>
          </cell>
          <cell r="B1430">
            <v>0</v>
          </cell>
          <cell r="C1430">
            <v>6800</v>
          </cell>
          <cell r="D1430" t="str">
            <v>01.04.1997</v>
          </cell>
          <cell r="E1430">
            <v>0</v>
          </cell>
          <cell r="F1430">
            <v>6197000542</v>
          </cell>
        </row>
        <row r="1431">
          <cell r="A1431">
            <v>3400003820</v>
          </cell>
          <cell r="B1431">
            <v>0</v>
          </cell>
          <cell r="C1431">
            <v>5800</v>
          </cell>
          <cell r="D1431" t="str">
            <v>01.04.1997</v>
          </cell>
          <cell r="E1431">
            <v>0</v>
          </cell>
          <cell r="F1431">
            <v>6197000543</v>
          </cell>
        </row>
        <row r="1432">
          <cell r="A1432">
            <v>3400003821</v>
          </cell>
          <cell r="B1432">
            <v>0</v>
          </cell>
          <cell r="C1432">
            <v>5800</v>
          </cell>
          <cell r="D1432" t="str">
            <v>01.04.1997</v>
          </cell>
          <cell r="E1432">
            <v>0</v>
          </cell>
          <cell r="F1432">
            <v>6197000544</v>
          </cell>
        </row>
        <row r="1433">
          <cell r="A1433">
            <v>3400003822</v>
          </cell>
          <cell r="B1433">
            <v>0</v>
          </cell>
          <cell r="C1433">
            <v>6600</v>
          </cell>
          <cell r="D1433" t="str">
            <v>01.04.1997</v>
          </cell>
          <cell r="E1433">
            <v>1</v>
          </cell>
          <cell r="F1433">
            <v>6197000545</v>
          </cell>
        </row>
        <row r="1434">
          <cell r="A1434">
            <v>3400005587</v>
          </cell>
          <cell r="B1434">
            <v>0</v>
          </cell>
          <cell r="C1434">
            <v>6230</v>
          </cell>
          <cell r="D1434" t="str">
            <v>01.04.1997</v>
          </cell>
          <cell r="E1434">
            <v>2</v>
          </cell>
          <cell r="F1434">
            <v>6197000546</v>
          </cell>
        </row>
        <row r="1435">
          <cell r="A1435">
            <v>3400003823</v>
          </cell>
          <cell r="B1435">
            <v>0</v>
          </cell>
          <cell r="C1435">
            <v>6800</v>
          </cell>
          <cell r="D1435" t="str">
            <v>01.04.1997</v>
          </cell>
          <cell r="E1435">
            <v>0</v>
          </cell>
          <cell r="F1435">
            <v>6197000546</v>
          </cell>
        </row>
        <row r="1436">
          <cell r="A1436">
            <v>3400003824</v>
          </cell>
          <cell r="B1436">
            <v>0</v>
          </cell>
          <cell r="C1436">
            <v>6230</v>
          </cell>
          <cell r="D1436" t="str">
            <v>01.07.1997</v>
          </cell>
          <cell r="E1436">
            <v>0</v>
          </cell>
          <cell r="F1436">
            <v>6197000547</v>
          </cell>
        </row>
        <row r="1437">
          <cell r="A1437">
            <v>3400003825</v>
          </cell>
          <cell r="B1437">
            <v>0</v>
          </cell>
          <cell r="C1437">
            <v>6230</v>
          </cell>
          <cell r="D1437" t="str">
            <v>01.07.1997</v>
          </cell>
          <cell r="E1437">
            <v>0</v>
          </cell>
          <cell r="F1437">
            <v>6197000548</v>
          </cell>
        </row>
        <row r="1438">
          <cell r="A1438">
            <v>3400003826</v>
          </cell>
          <cell r="B1438">
            <v>0</v>
          </cell>
          <cell r="C1438">
            <v>5800</v>
          </cell>
          <cell r="D1438" t="str">
            <v>16.09.1997</v>
          </cell>
          <cell r="E1438">
            <v>1</v>
          </cell>
          <cell r="F1438">
            <v>6197000549</v>
          </cell>
        </row>
        <row r="1439">
          <cell r="A1439">
            <v>3400003827</v>
          </cell>
          <cell r="B1439">
            <v>0</v>
          </cell>
          <cell r="C1439">
            <v>5800</v>
          </cell>
          <cell r="D1439" t="str">
            <v>16.09.1997</v>
          </cell>
          <cell r="E1439">
            <v>1</v>
          </cell>
          <cell r="F1439">
            <v>6197000550</v>
          </cell>
        </row>
        <row r="1440">
          <cell r="A1440">
            <v>3400003828</v>
          </cell>
          <cell r="B1440">
            <v>0</v>
          </cell>
          <cell r="C1440">
            <v>5800</v>
          </cell>
          <cell r="D1440" t="str">
            <v>16.09.1997</v>
          </cell>
          <cell r="E1440">
            <v>1</v>
          </cell>
          <cell r="F1440">
            <v>6197000551</v>
          </cell>
        </row>
        <row r="1441">
          <cell r="A1441">
            <v>3400003829</v>
          </cell>
          <cell r="B1441">
            <v>0</v>
          </cell>
          <cell r="C1441">
            <v>6500</v>
          </cell>
          <cell r="D1441" t="str">
            <v>01.04.1997</v>
          </cell>
          <cell r="E1441">
            <v>0</v>
          </cell>
          <cell r="F1441">
            <v>6197000552</v>
          </cell>
        </row>
        <row r="1442">
          <cell r="A1442">
            <v>3400003830</v>
          </cell>
          <cell r="B1442">
            <v>0</v>
          </cell>
          <cell r="C1442">
            <v>6500</v>
          </cell>
          <cell r="D1442" t="str">
            <v>01.04.1997</v>
          </cell>
          <cell r="E1442">
            <v>0</v>
          </cell>
          <cell r="F1442">
            <v>6197000553</v>
          </cell>
        </row>
        <row r="1443">
          <cell r="A1443">
            <v>3400003831</v>
          </cell>
          <cell r="B1443">
            <v>0</v>
          </cell>
          <cell r="C1443">
            <v>6500</v>
          </cell>
          <cell r="D1443" t="str">
            <v>01.04.1997</v>
          </cell>
          <cell r="E1443">
            <v>0</v>
          </cell>
          <cell r="F1443">
            <v>6197000554</v>
          </cell>
        </row>
        <row r="1444">
          <cell r="A1444">
            <v>3400003832</v>
          </cell>
          <cell r="B1444">
            <v>0</v>
          </cell>
          <cell r="C1444">
            <v>6500</v>
          </cell>
          <cell r="D1444" t="str">
            <v>01.04.1997</v>
          </cell>
          <cell r="E1444">
            <v>0</v>
          </cell>
          <cell r="F1444">
            <v>6197000555</v>
          </cell>
        </row>
        <row r="1445">
          <cell r="A1445">
            <v>3400003833</v>
          </cell>
          <cell r="B1445">
            <v>0</v>
          </cell>
          <cell r="C1445">
            <v>5801</v>
          </cell>
          <cell r="D1445" t="str">
            <v>01.04.1997</v>
          </cell>
          <cell r="E1445">
            <v>0</v>
          </cell>
          <cell r="F1445">
            <v>6197000556</v>
          </cell>
        </row>
        <row r="1446">
          <cell r="A1446">
            <v>3400003834</v>
          </cell>
          <cell r="B1446">
            <v>0</v>
          </cell>
          <cell r="C1446">
            <v>6600</v>
          </cell>
          <cell r="D1446" t="str">
            <v>01.04.1997</v>
          </cell>
          <cell r="E1446">
            <v>1</v>
          </cell>
          <cell r="F1446">
            <v>6197000557</v>
          </cell>
        </row>
        <row r="1447">
          <cell r="A1447">
            <v>3400003835</v>
          </cell>
          <cell r="B1447">
            <v>0</v>
          </cell>
          <cell r="C1447">
            <v>4420</v>
          </cell>
          <cell r="D1447" t="str">
            <v>28.08.1997</v>
          </cell>
          <cell r="E1447">
            <v>1</v>
          </cell>
          <cell r="F1447">
            <v>6197000558</v>
          </cell>
        </row>
        <row r="1448">
          <cell r="A1448">
            <v>3400004927</v>
          </cell>
          <cell r="B1448">
            <v>0</v>
          </cell>
          <cell r="C1448">
            <v>6230</v>
          </cell>
          <cell r="D1448" t="str">
            <v>02.02.1998</v>
          </cell>
          <cell r="E1448">
            <v>0</v>
          </cell>
          <cell r="F1448">
            <v>619800005</v>
          </cell>
        </row>
        <row r="1449">
          <cell r="A1449">
            <v>3400004924</v>
          </cell>
          <cell r="B1449">
            <v>0</v>
          </cell>
          <cell r="C1449">
            <v>6230</v>
          </cell>
          <cell r="D1449" t="str">
            <v>20.11.1997</v>
          </cell>
          <cell r="E1449">
            <v>0</v>
          </cell>
          <cell r="F1449">
            <v>61980002</v>
          </cell>
        </row>
        <row r="1450">
          <cell r="A1450">
            <v>3400005207</v>
          </cell>
          <cell r="B1450">
            <v>0</v>
          </cell>
          <cell r="C1450">
            <v>6230</v>
          </cell>
          <cell r="D1450" t="str">
            <v>28.10.1997</v>
          </cell>
          <cell r="E1450">
            <v>3</v>
          </cell>
          <cell r="F1450">
            <v>61980003</v>
          </cell>
        </row>
        <row r="1451">
          <cell r="A1451">
            <v>3400004925</v>
          </cell>
          <cell r="B1451">
            <v>0</v>
          </cell>
          <cell r="C1451">
            <v>6230</v>
          </cell>
          <cell r="D1451" t="str">
            <v>28.10.1997</v>
          </cell>
          <cell r="E1451">
            <v>0</v>
          </cell>
          <cell r="F1451">
            <v>61980003</v>
          </cell>
        </row>
        <row r="1452">
          <cell r="A1452">
            <v>3400004926</v>
          </cell>
          <cell r="B1452">
            <v>0</v>
          </cell>
          <cell r="C1452">
            <v>5800</v>
          </cell>
          <cell r="D1452" t="str">
            <v>30.10.1997</v>
          </cell>
          <cell r="E1452">
            <v>2</v>
          </cell>
          <cell r="F1452">
            <v>61980004</v>
          </cell>
        </row>
        <row r="1453">
          <cell r="A1453">
            <v>3400004958</v>
          </cell>
          <cell r="B1453">
            <v>0</v>
          </cell>
          <cell r="C1453">
            <v>5800</v>
          </cell>
          <cell r="D1453" t="str">
            <v>02.03.1998</v>
          </cell>
          <cell r="E1453">
            <v>0</v>
          </cell>
          <cell r="F1453">
            <v>61980007</v>
          </cell>
        </row>
        <row r="1454">
          <cell r="A1454">
            <v>3400004960</v>
          </cell>
          <cell r="B1454">
            <v>0</v>
          </cell>
          <cell r="C1454">
            <v>6230</v>
          </cell>
          <cell r="D1454" t="str">
            <v>02.02.1998</v>
          </cell>
          <cell r="E1454">
            <v>0</v>
          </cell>
          <cell r="F1454">
            <v>61980008</v>
          </cell>
        </row>
        <row r="1455">
          <cell r="A1455">
            <v>3400004923</v>
          </cell>
          <cell r="B1455">
            <v>0</v>
          </cell>
          <cell r="C1455">
            <v>6800</v>
          </cell>
          <cell r="D1455" t="str">
            <v>12.11.1997</v>
          </cell>
          <cell r="E1455">
            <v>2</v>
          </cell>
          <cell r="F1455">
            <v>61980013</v>
          </cell>
        </row>
        <row r="1456">
          <cell r="A1456">
            <v>3400004955</v>
          </cell>
          <cell r="B1456">
            <v>0</v>
          </cell>
          <cell r="C1456">
            <v>5800</v>
          </cell>
          <cell r="D1456" t="str">
            <v>19.03.1998</v>
          </cell>
          <cell r="E1456">
            <v>2</v>
          </cell>
          <cell r="F1456">
            <v>61980037</v>
          </cell>
        </row>
        <row r="1457">
          <cell r="A1457">
            <v>3400003836</v>
          </cell>
          <cell r="B1457">
            <v>0</v>
          </cell>
          <cell r="C1457">
            <v>6500</v>
          </cell>
          <cell r="D1457" t="str">
            <v>01.10.1996</v>
          </cell>
          <cell r="E1457">
            <v>0</v>
          </cell>
          <cell r="F1457">
            <v>6294000019</v>
          </cell>
        </row>
        <row r="1458">
          <cell r="A1458">
            <v>3400003837</v>
          </cell>
          <cell r="B1458">
            <v>0</v>
          </cell>
          <cell r="C1458">
            <v>6500</v>
          </cell>
          <cell r="D1458" t="str">
            <v>01.10.1996</v>
          </cell>
          <cell r="E1458">
            <v>0</v>
          </cell>
          <cell r="F1458">
            <v>6294000027</v>
          </cell>
        </row>
        <row r="1459">
          <cell r="A1459">
            <v>3400003838</v>
          </cell>
          <cell r="B1459">
            <v>0</v>
          </cell>
          <cell r="C1459">
            <v>6500</v>
          </cell>
          <cell r="D1459" t="str">
            <v>01.10.1996</v>
          </cell>
          <cell r="E1459">
            <v>0</v>
          </cell>
          <cell r="F1459">
            <v>6294000035</v>
          </cell>
        </row>
        <row r="1460">
          <cell r="A1460">
            <v>3400003839</v>
          </cell>
          <cell r="B1460">
            <v>0</v>
          </cell>
          <cell r="C1460">
            <v>6500</v>
          </cell>
          <cell r="D1460" t="str">
            <v>01.10.1996</v>
          </cell>
          <cell r="E1460">
            <v>0</v>
          </cell>
          <cell r="F1460">
            <v>6294000043</v>
          </cell>
        </row>
        <row r="1461">
          <cell r="A1461">
            <v>3400003840</v>
          </cell>
          <cell r="B1461">
            <v>0</v>
          </cell>
          <cell r="C1461">
            <v>6500</v>
          </cell>
          <cell r="D1461" t="str">
            <v>01.10.1996</v>
          </cell>
          <cell r="E1461">
            <v>0</v>
          </cell>
          <cell r="F1461">
            <v>6294000051</v>
          </cell>
        </row>
        <row r="1462">
          <cell r="A1462">
            <v>3400003841</v>
          </cell>
          <cell r="B1462">
            <v>0</v>
          </cell>
          <cell r="C1462">
            <v>6500</v>
          </cell>
          <cell r="D1462" t="str">
            <v>01.10.1996</v>
          </cell>
          <cell r="E1462">
            <v>0</v>
          </cell>
          <cell r="F1462">
            <v>6294000060</v>
          </cell>
        </row>
        <row r="1463">
          <cell r="A1463">
            <v>3400003842</v>
          </cell>
          <cell r="B1463">
            <v>0</v>
          </cell>
          <cell r="C1463">
            <v>6500</v>
          </cell>
          <cell r="D1463" t="str">
            <v>01.10.1996</v>
          </cell>
          <cell r="E1463">
            <v>0</v>
          </cell>
          <cell r="F1463">
            <v>6294000072</v>
          </cell>
        </row>
        <row r="1464">
          <cell r="A1464">
            <v>3400003843</v>
          </cell>
          <cell r="B1464">
            <v>0</v>
          </cell>
          <cell r="C1464">
            <v>6500</v>
          </cell>
          <cell r="D1464" t="str">
            <v>01.10.1996</v>
          </cell>
          <cell r="E1464">
            <v>0</v>
          </cell>
          <cell r="F1464">
            <v>6294000084</v>
          </cell>
        </row>
        <row r="1465">
          <cell r="A1465">
            <v>3400003844</v>
          </cell>
          <cell r="B1465">
            <v>0</v>
          </cell>
          <cell r="C1465">
            <v>6500</v>
          </cell>
          <cell r="D1465" t="str">
            <v>01.10.1996</v>
          </cell>
          <cell r="E1465">
            <v>0</v>
          </cell>
          <cell r="F1465">
            <v>6294000096</v>
          </cell>
        </row>
        <row r="1466">
          <cell r="A1466">
            <v>3400003845</v>
          </cell>
          <cell r="B1466">
            <v>0</v>
          </cell>
          <cell r="C1466">
            <v>6500</v>
          </cell>
          <cell r="D1466" t="str">
            <v>01.10.1996</v>
          </cell>
          <cell r="E1466">
            <v>0</v>
          </cell>
          <cell r="F1466">
            <v>6294000108</v>
          </cell>
        </row>
        <row r="1467">
          <cell r="A1467">
            <v>3400003846</v>
          </cell>
          <cell r="B1467">
            <v>0</v>
          </cell>
          <cell r="C1467">
            <v>6500</v>
          </cell>
          <cell r="D1467" t="str">
            <v>01.10.1996</v>
          </cell>
          <cell r="E1467">
            <v>0</v>
          </cell>
          <cell r="F1467">
            <v>6294000116</v>
          </cell>
        </row>
        <row r="1468">
          <cell r="A1468">
            <v>3400003847</v>
          </cell>
          <cell r="B1468">
            <v>0</v>
          </cell>
          <cell r="C1468">
            <v>6500</v>
          </cell>
          <cell r="D1468" t="str">
            <v>01.10.1996</v>
          </cell>
          <cell r="E1468">
            <v>0</v>
          </cell>
          <cell r="F1468">
            <v>6294000124</v>
          </cell>
        </row>
        <row r="1469">
          <cell r="A1469">
            <v>3400003848</v>
          </cell>
          <cell r="B1469">
            <v>0</v>
          </cell>
          <cell r="C1469">
            <v>6500</v>
          </cell>
          <cell r="D1469" t="str">
            <v>01.10.1996</v>
          </cell>
          <cell r="E1469">
            <v>0</v>
          </cell>
          <cell r="F1469">
            <v>6294000132</v>
          </cell>
        </row>
        <row r="1470">
          <cell r="A1470">
            <v>3400003849</v>
          </cell>
          <cell r="B1470">
            <v>0</v>
          </cell>
          <cell r="C1470">
            <v>6500</v>
          </cell>
          <cell r="D1470" t="str">
            <v>01.10.1996</v>
          </cell>
          <cell r="E1470">
            <v>0</v>
          </cell>
          <cell r="F1470">
            <v>6294000149</v>
          </cell>
        </row>
        <row r="1471">
          <cell r="A1471">
            <v>3400003850</v>
          </cell>
          <cell r="B1471">
            <v>0</v>
          </cell>
          <cell r="C1471">
            <v>6500</v>
          </cell>
          <cell r="D1471" t="str">
            <v>01.10.1996</v>
          </cell>
          <cell r="E1471">
            <v>0</v>
          </cell>
          <cell r="F1471">
            <v>6294000151</v>
          </cell>
        </row>
        <row r="1472">
          <cell r="A1472">
            <v>3400003851</v>
          </cell>
          <cell r="B1472">
            <v>0</v>
          </cell>
          <cell r="C1472">
            <v>6500</v>
          </cell>
          <cell r="D1472" t="str">
            <v>01.10.1996</v>
          </cell>
          <cell r="E1472">
            <v>0</v>
          </cell>
          <cell r="F1472">
            <v>6294000163</v>
          </cell>
        </row>
        <row r="1473">
          <cell r="A1473">
            <v>3400003852</v>
          </cell>
          <cell r="B1473">
            <v>0</v>
          </cell>
          <cell r="C1473">
            <v>6500</v>
          </cell>
          <cell r="D1473" t="str">
            <v>01.10.1996</v>
          </cell>
          <cell r="E1473">
            <v>0</v>
          </cell>
          <cell r="F1473">
            <v>6294000175</v>
          </cell>
        </row>
        <row r="1474">
          <cell r="A1474">
            <v>3400003853</v>
          </cell>
          <cell r="B1474">
            <v>0</v>
          </cell>
          <cell r="C1474">
            <v>6500</v>
          </cell>
          <cell r="D1474" t="str">
            <v>01.10.1996</v>
          </cell>
          <cell r="E1474">
            <v>0</v>
          </cell>
          <cell r="F1474">
            <v>6294000187</v>
          </cell>
        </row>
        <row r="1475">
          <cell r="A1475">
            <v>3400003854</v>
          </cell>
          <cell r="B1475">
            <v>0</v>
          </cell>
          <cell r="C1475">
            <v>6500</v>
          </cell>
          <cell r="D1475" t="str">
            <v>01.10.1996</v>
          </cell>
          <cell r="E1475">
            <v>0</v>
          </cell>
          <cell r="F1475">
            <v>6294000199</v>
          </cell>
        </row>
        <row r="1476">
          <cell r="A1476">
            <v>3400003855</v>
          </cell>
          <cell r="B1476">
            <v>0</v>
          </cell>
          <cell r="C1476">
            <v>6500</v>
          </cell>
          <cell r="D1476" t="str">
            <v>01.10.1996</v>
          </cell>
          <cell r="E1476">
            <v>0</v>
          </cell>
          <cell r="F1476">
            <v>6294000205</v>
          </cell>
        </row>
        <row r="1477">
          <cell r="A1477">
            <v>3400003856</v>
          </cell>
          <cell r="B1477">
            <v>0</v>
          </cell>
          <cell r="C1477">
            <v>6500</v>
          </cell>
          <cell r="D1477" t="str">
            <v>01.10.1996</v>
          </cell>
          <cell r="E1477">
            <v>0</v>
          </cell>
          <cell r="F1477">
            <v>6294000213</v>
          </cell>
        </row>
        <row r="1478">
          <cell r="A1478">
            <v>3400003857</v>
          </cell>
          <cell r="B1478">
            <v>0</v>
          </cell>
          <cell r="C1478">
            <v>6500</v>
          </cell>
          <cell r="D1478" t="str">
            <v>01.10.1996</v>
          </cell>
          <cell r="E1478">
            <v>0</v>
          </cell>
          <cell r="F1478">
            <v>6294000221</v>
          </cell>
        </row>
        <row r="1479">
          <cell r="A1479">
            <v>3400003858</v>
          </cell>
          <cell r="B1479">
            <v>0</v>
          </cell>
          <cell r="C1479">
            <v>6500</v>
          </cell>
          <cell r="D1479" t="str">
            <v>01.10.1996</v>
          </cell>
          <cell r="E1479">
            <v>0</v>
          </cell>
          <cell r="F1479">
            <v>6294000230</v>
          </cell>
        </row>
        <row r="1480">
          <cell r="A1480">
            <v>3400003859</v>
          </cell>
          <cell r="B1480">
            <v>0</v>
          </cell>
          <cell r="C1480">
            <v>6500</v>
          </cell>
          <cell r="D1480" t="str">
            <v>01.10.1996</v>
          </cell>
          <cell r="E1480">
            <v>0</v>
          </cell>
          <cell r="F1480">
            <v>6294000242</v>
          </cell>
        </row>
        <row r="1481">
          <cell r="A1481">
            <v>3400003860</v>
          </cell>
          <cell r="B1481">
            <v>0</v>
          </cell>
          <cell r="C1481">
            <v>6500</v>
          </cell>
          <cell r="D1481" t="str">
            <v>01.10.1996</v>
          </cell>
          <cell r="E1481">
            <v>0</v>
          </cell>
          <cell r="F1481">
            <v>6294000254</v>
          </cell>
        </row>
        <row r="1482">
          <cell r="A1482">
            <v>3400003861</v>
          </cell>
          <cell r="B1482">
            <v>0</v>
          </cell>
          <cell r="C1482">
            <v>6500</v>
          </cell>
          <cell r="D1482" t="str">
            <v>01.10.1996</v>
          </cell>
          <cell r="E1482">
            <v>0</v>
          </cell>
          <cell r="F1482">
            <v>6294000266</v>
          </cell>
        </row>
        <row r="1483">
          <cell r="A1483">
            <v>3400003862</v>
          </cell>
          <cell r="B1483">
            <v>0</v>
          </cell>
          <cell r="C1483">
            <v>6500</v>
          </cell>
          <cell r="D1483" t="str">
            <v>01.10.1996</v>
          </cell>
          <cell r="E1483">
            <v>0</v>
          </cell>
          <cell r="F1483">
            <v>6294000278</v>
          </cell>
        </row>
        <row r="1484">
          <cell r="A1484">
            <v>3400003863</v>
          </cell>
          <cell r="B1484">
            <v>0</v>
          </cell>
          <cell r="C1484">
            <v>6500</v>
          </cell>
          <cell r="D1484" t="str">
            <v>01.10.1996</v>
          </cell>
          <cell r="E1484">
            <v>0</v>
          </cell>
          <cell r="F1484">
            <v>6294000289</v>
          </cell>
        </row>
        <row r="1485">
          <cell r="A1485">
            <v>3400003864</v>
          </cell>
          <cell r="B1485">
            <v>0</v>
          </cell>
          <cell r="C1485">
            <v>6500</v>
          </cell>
          <cell r="D1485" t="str">
            <v>01.10.1996</v>
          </cell>
          <cell r="E1485">
            <v>0</v>
          </cell>
          <cell r="F1485">
            <v>6294000291</v>
          </cell>
        </row>
        <row r="1486">
          <cell r="A1486">
            <v>3400003865</v>
          </cell>
          <cell r="B1486">
            <v>0</v>
          </cell>
          <cell r="C1486">
            <v>6500</v>
          </cell>
          <cell r="D1486" t="str">
            <v>01.10.1996</v>
          </cell>
          <cell r="E1486">
            <v>0</v>
          </cell>
          <cell r="F1486">
            <v>6294000302</v>
          </cell>
        </row>
        <row r="1487">
          <cell r="A1487">
            <v>3400003866</v>
          </cell>
          <cell r="B1487">
            <v>0</v>
          </cell>
          <cell r="C1487">
            <v>6500</v>
          </cell>
          <cell r="D1487" t="str">
            <v>01.10.1996</v>
          </cell>
          <cell r="E1487">
            <v>0</v>
          </cell>
          <cell r="F1487">
            <v>6294000319</v>
          </cell>
        </row>
        <row r="1488">
          <cell r="A1488">
            <v>3400003867</v>
          </cell>
          <cell r="B1488">
            <v>0</v>
          </cell>
          <cell r="C1488">
            <v>6500</v>
          </cell>
          <cell r="D1488" t="str">
            <v>01.10.1996</v>
          </cell>
          <cell r="E1488">
            <v>0</v>
          </cell>
          <cell r="F1488">
            <v>6294000321</v>
          </cell>
        </row>
        <row r="1489">
          <cell r="A1489">
            <v>3400003868</v>
          </cell>
          <cell r="B1489">
            <v>0</v>
          </cell>
          <cell r="C1489">
            <v>6500</v>
          </cell>
          <cell r="D1489" t="str">
            <v>01.10.1996</v>
          </cell>
          <cell r="E1489">
            <v>0</v>
          </cell>
          <cell r="F1489">
            <v>6294000333</v>
          </cell>
        </row>
        <row r="1490">
          <cell r="A1490">
            <v>3400003869</v>
          </cell>
          <cell r="B1490">
            <v>0</v>
          </cell>
          <cell r="C1490">
            <v>6500</v>
          </cell>
          <cell r="D1490" t="str">
            <v>01.10.1996</v>
          </cell>
          <cell r="E1490">
            <v>0</v>
          </cell>
          <cell r="F1490">
            <v>6294000345</v>
          </cell>
        </row>
        <row r="1491">
          <cell r="A1491">
            <v>3400003870</v>
          </cell>
          <cell r="B1491">
            <v>0</v>
          </cell>
          <cell r="C1491">
            <v>6500</v>
          </cell>
          <cell r="D1491" t="str">
            <v>01.10.1996</v>
          </cell>
          <cell r="E1491">
            <v>0</v>
          </cell>
          <cell r="F1491">
            <v>6294000357</v>
          </cell>
        </row>
        <row r="1492">
          <cell r="A1492">
            <v>3400003871</v>
          </cell>
          <cell r="B1492">
            <v>0</v>
          </cell>
          <cell r="C1492">
            <v>6500</v>
          </cell>
          <cell r="D1492" t="str">
            <v>01.10.1996</v>
          </cell>
          <cell r="E1492">
            <v>0</v>
          </cell>
          <cell r="F1492">
            <v>6294000369</v>
          </cell>
        </row>
        <row r="1493">
          <cell r="A1493">
            <v>3400003872</v>
          </cell>
          <cell r="B1493">
            <v>0</v>
          </cell>
          <cell r="C1493">
            <v>6500</v>
          </cell>
          <cell r="D1493" t="str">
            <v>01.10.1996</v>
          </cell>
          <cell r="E1493">
            <v>0</v>
          </cell>
          <cell r="F1493">
            <v>6294000370</v>
          </cell>
        </row>
        <row r="1494">
          <cell r="A1494">
            <v>3400003873</v>
          </cell>
          <cell r="B1494">
            <v>0</v>
          </cell>
          <cell r="C1494">
            <v>6500</v>
          </cell>
          <cell r="D1494" t="str">
            <v>01.10.1996</v>
          </cell>
          <cell r="E1494">
            <v>0</v>
          </cell>
          <cell r="F1494">
            <v>6294000382</v>
          </cell>
        </row>
        <row r="1495">
          <cell r="A1495">
            <v>3400003874</v>
          </cell>
          <cell r="B1495">
            <v>0</v>
          </cell>
          <cell r="C1495">
            <v>6500</v>
          </cell>
          <cell r="D1495" t="str">
            <v>01.10.1996</v>
          </cell>
          <cell r="E1495">
            <v>0</v>
          </cell>
          <cell r="F1495">
            <v>6294000394</v>
          </cell>
        </row>
        <row r="1496">
          <cell r="A1496">
            <v>3400003875</v>
          </cell>
          <cell r="B1496">
            <v>0</v>
          </cell>
          <cell r="C1496">
            <v>6500</v>
          </cell>
          <cell r="D1496" t="str">
            <v>01.10.1996</v>
          </cell>
          <cell r="E1496">
            <v>0</v>
          </cell>
          <cell r="F1496">
            <v>6294000400</v>
          </cell>
        </row>
        <row r="1497">
          <cell r="A1497">
            <v>3400003876</v>
          </cell>
          <cell r="B1497">
            <v>0</v>
          </cell>
          <cell r="C1497">
            <v>6500</v>
          </cell>
          <cell r="D1497" t="str">
            <v>01.10.1996</v>
          </cell>
          <cell r="E1497">
            <v>0</v>
          </cell>
          <cell r="F1497">
            <v>6294000412</v>
          </cell>
        </row>
        <row r="1498">
          <cell r="A1498">
            <v>3400003877</v>
          </cell>
          <cell r="B1498">
            <v>0</v>
          </cell>
          <cell r="C1498">
            <v>6500</v>
          </cell>
          <cell r="D1498" t="str">
            <v>01.10.1996</v>
          </cell>
          <cell r="E1498">
            <v>0</v>
          </cell>
          <cell r="F1498">
            <v>6294000424</v>
          </cell>
        </row>
        <row r="1499">
          <cell r="A1499">
            <v>3400003878</v>
          </cell>
          <cell r="B1499">
            <v>0</v>
          </cell>
          <cell r="C1499">
            <v>6500</v>
          </cell>
          <cell r="D1499" t="str">
            <v>01.10.1996</v>
          </cell>
          <cell r="E1499">
            <v>0</v>
          </cell>
          <cell r="F1499">
            <v>6294000436</v>
          </cell>
        </row>
        <row r="1500">
          <cell r="A1500">
            <v>3400003879</v>
          </cell>
          <cell r="B1500">
            <v>0</v>
          </cell>
          <cell r="C1500">
            <v>6500</v>
          </cell>
          <cell r="D1500" t="str">
            <v>01.10.1996</v>
          </cell>
          <cell r="E1500">
            <v>0</v>
          </cell>
          <cell r="F1500">
            <v>6294000448</v>
          </cell>
        </row>
        <row r="1501">
          <cell r="A1501">
            <v>3400003880</v>
          </cell>
          <cell r="B1501">
            <v>0</v>
          </cell>
          <cell r="C1501">
            <v>6500</v>
          </cell>
          <cell r="D1501" t="str">
            <v>01.10.1996</v>
          </cell>
          <cell r="E1501">
            <v>0</v>
          </cell>
          <cell r="F1501">
            <v>6294000459</v>
          </cell>
        </row>
        <row r="1502">
          <cell r="A1502">
            <v>3400003881</v>
          </cell>
          <cell r="B1502">
            <v>0</v>
          </cell>
          <cell r="C1502">
            <v>6500</v>
          </cell>
          <cell r="D1502" t="str">
            <v>01.10.1996</v>
          </cell>
          <cell r="E1502">
            <v>0</v>
          </cell>
          <cell r="F1502">
            <v>6294000461</v>
          </cell>
        </row>
        <row r="1503">
          <cell r="A1503">
            <v>3400003882</v>
          </cell>
          <cell r="B1503">
            <v>0</v>
          </cell>
          <cell r="C1503">
            <v>6500</v>
          </cell>
          <cell r="D1503" t="str">
            <v>01.10.1996</v>
          </cell>
          <cell r="E1503">
            <v>0</v>
          </cell>
          <cell r="F1503">
            <v>6294000473</v>
          </cell>
        </row>
        <row r="1504">
          <cell r="A1504">
            <v>3400003883</v>
          </cell>
          <cell r="B1504">
            <v>0</v>
          </cell>
          <cell r="C1504">
            <v>6500</v>
          </cell>
          <cell r="D1504" t="str">
            <v>01.10.1996</v>
          </cell>
          <cell r="E1504">
            <v>0</v>
          </cell>
          <cell r="F1504">
            <v>6294000485</v>
          </cell>
        </row>
        <row r="1505">
          <cell r="A1505">
            <v>3400003884</v>
          </cell>
          <cell r="B1505">
            <v>0</v>
          </cell>
          <cell r="C1505">
            <v>6500</v>
          </cell>
          <cell r="D1505" t="str">
            <v>01.10.1996</v>
          </cell>
          <cell r="E1505">
            <v>0</v>
          </cell>
          <cell r="F1505">
            <v>6294000497</v>
          </cell>
        </row>
        <row r="1506">
          <cell r="A1506">
            <v>3400003885</v>
          </cell>
          <cell r="B1506">
            <v>0</v>
          </cell>
          <cell r="C1506">
            <v>6500</v>
          </cell>
          <cell r="D1506" t="str">
            <v>01.10.1996</v>
          </cell>
          <cell r="E1506">
            <v>0</v>
          </cell>
          <cell r="F1506">
            <v>6294000503</v>
          </cell>
        </row>
        <row r="1507">
          <cell r="A1507">
            <v>3400003886</v>
          </cell>
          <cell r="B1507">
            <v>0</v>
          </cell>
          <cell r="C1507">
            <v>6500</v>
          </cell>
          <cell r="D1507" t="str">
            <v>01.10.1996</v>
          </cell>
          <cell r="E1507">
            <v>0</v>
          </cell>
          <cell r="F1507">
            <v>6294000515</v>
          </cell>
        </row>
        <row r="1508">
          <cell r="A1508">
            <v>3400003887</v>
          </cell>
          <cell r="B1508">
            <v>0</v>
          </cell>
          <cell r="C1508">
            <v>6500</v>
          </cell>
          <cell r="D1508" t="str">
            <v>01.10.1996</v>
          </cell>
          <cell r="E1508">
            <v>0</v>
          </cell>
          <cell r="F1508">
            <v>6294000527</v>
          </cell>
        </row>
        <row r="1509">
          <cell r="A1509">
            <v>3400003888</v>
          </cell>
          <cell r="B1509">
            <v>0</v>
          </cell>
          <cell r="C1509">
            <v>6500</v>
          </cell>
          <cell r="D1509" t="str">
            <v>01.10.1996</v>
          </cell>
          <cell r="E1509">
            <v>0</v>
          </cell>
          <cell r="F1509">
            <v>6294000539</v>
          </cell>
        </row>
        <row r="1510">
          <cell r="A1510">
            <v>3400003889</v>
          </cell>
          <cell r="B1510">
            <v>0</v>
          </cell>
          <cell r="C1510">
            <v>6500</v>
          </cell>
          <cell r="D1510" t="str">
            <v>01.10.1996</v>
          </cell>
          <cell r="E1510">
            <v>0</v>
          </cell>
          <cell r="F1510">
            <v>6294000540</v>
          </cell>
        </row>
        <row r="1511">
          <cell r="A1511">
            <v>3400003890</v>
          </cell>
          <cell r="B1511">
            <v>0</v>
          </cell>
          <cell r="C1511">
            <v>6500</v>
          </cell>
          <cell r="D1511" t="str">
            <v>01.10.1996</v>
          </cell>
          <cell r="E1511">
            <v>0</v>
          </cell>
          <cell r="F1511">
            <v>6294000552</v>
          </cell>
        </row>
        <row r="1512">
          <cell r="A1512">
            <v>3400003891</v>
          </cell>
          <cell r="B1512">
            <v>0</v>
          </cell>
          <cell r="C1512">
            <v>6500</v>
          </cell>
          <cell r="D1512" t="str">
            <v>01.10.1996</v>
          </cell>
          <cell r="E1512">
            <v>0</v>
          </cell>
          <cell r="F1512">
            <v>6294000564</v>
          </cell>
        </row>
        <row r="1513">
          <cell r="A1513">
            <v>3400003892</v>
          </cell>
          <cell r="B1513">
            <v>0</v>
          </cell>
          <cell r="C1513">
            <v>6500</v>
          </cell>
          <cell r="D1513" t="str">
            <v>01.10.1996</v>
          </cell>
          <cell r="E1513">
            <v>0</v>
          </cell>
          <cell r="F1513">
            <v>6294000576</v>
          </cell>
        </row>
        <row r="1514">
          <cell r="A1514">
            <v>3400003893</v>
          </cell>
          <cell r="B1514">
            <v>0</v>
          </cell>
          <cell r="C1514">
            <v>6500</v>
          </cell>
          <cell r="D1514" t="str">
            <v>01.10.1996</v>
          </cell>
          <cell r="E1514">
            <v>0</v>
          </cell>
          <cell r="F1514">
            <v>6294000588</v>
          </cell>
        </row>
        <row r="1515">
          <cell r="A1515">
            <v>3400003894</v>
          </cell>
          <cell r="B1515">
            <v>0</v>
          </cell>
          <cell r="C1515">
            <v>6500</v>
          </cell>
          <cell r="D1515" t="str">
            <v>01.10.1996</v>
          </cell>
          <cell r="E1515">
            <v>0</v>
          </cell>
          <cell r="F1515">
            <v>6294000599</v>
          </cell>
        </row>
        <row r="1516">
          <cell r="A1516">
            <v>3400003895</v>
          </cell>
          <cell r="B1516">
            <v>0</v>
          </cell>
          <cell r="C1516">
            <v>6500</v>
          </cell>
          <cell r="D1516" t="str">
            <v>01.10.1996</v>
          </cell>
          <cell r="E1516">
            <v>0</v>
          </cell>
          <cell r="F1516">
            <v>6294000606</v>
          </cell>
        </row>
        <row r="1517">
          <cell r="A1517">
            <v>3400003896</v>
          </cell>
          <cell r="B1517">
            <v>0</v>
          </cell>
          <cell r="C1517">
            <v>6500</v>
          </cell>
          <cell r="D1517" t="str">
            <v>01.10.1996</v>
          </cell>
          <cell r="E1517">
            <v>0</v>
          </cell>
          <cell r="F1517">
            <v>6294000618</v>
          </cell>
        </row>
        <row r="1518">
          <cell r="A1518">
            <v>3400003897</v>
          </cell>
          <cell r="B1518">
            <v>0</v>
          </cell>
          <cell r="C1518">
            <v>6500</v>
          </cell>
          <cell r="D1518" t="str">
            <v>01.10.1996</v>
          </cell>
          <cell r="E1518">
            <v>0</v>
          </cell>
          <cell r="F1518">
            <v>6294000629</v>
          </cell>
        </row>
        <row r="1519">
          <cell r="A1519">
            <v>3400003898</v>
          </cell>
          <cell r="B1519">
            <v>0</v>
          </cell>
          <cell r="C1519">
            <v>6500</v>
          </cell>
          <cell r="D1519" t="str">
            <v>01.10.1996</v>
          </cell>
          <cell r="E1519">
            <v>0</v>
          </cell>
          <cell r="F1519">
            <v>6294000631</v>
          </cell>
        </row>
        <row r="1520">
          <cell r="A1520">
            <v>3400003899</v>
          </cell>
          <cell r="B1520">
            <v>0</v>
          </cell>
          <cell r="C1520">
            <v>6500</v>
          </cell>
          <cell r="D1520" t="str">
            <v>01.10.1996</v>
          </cell>
          <cell r="E1520">
            <v>0</v>
          </cell>
          <cell r="F1520">
            <v>6294000643</v>
          </cell>
        </row>
        <row r="1521">
          <cell r="A1521">
            <v>3400003900</v>
          </cell>
          <cell r="B1521">
            <v>0</v>
          </cell>
          <cell r="C1521">
            <v>6500</v>
          </cell>
          <cell r="D1521" t="str">
            <v>01.10.1996</v>
          </cell>
          <cell r="E1521">
            <v>0</v>
          </cell>
          <cell r="F1521">
            <v>6294000655</v>
          </cell>
        </row>
        <row r="1522">
          <cell r="A1522">
            <v>3400003901</v>
          </cell>
          <cell r="B1522">
            <v>0</v>
          </cell>
          <cell r="C1522">
            <v>6500</v>
          </cell>
          <cell r="D1522" t="str">
            <v>01.10.1996</v>
          </cell>
          <cell r="E1522">
            <v>0</v>
          </cell>
          <cell r="F1522">
            <v>6294000667</v>
          </cell>
        </row>
        <row r="1523">
          <cell r="A1523">
            <v>3400003902</v>
          </cell>
          <cell r="B1523">
            <v>0</v>
          </cell>
          <cell r="C1523">
            <v>6500</v>
          </cell>
          <cell r="D1523" t="str">
            <v>01.10.1996</v>
          </cell>
          <cell r="E1523">
            <v>0</v>
          </cell>
          <cell r="F1523">
            <v>6294000679</v>
          </cell>
        </row>
        <row r="1524">
          <cell r="A1524">
            <v>3400003903</v>
          </cell>
          <cell r="B1524">
            <v>0</v>
          </cell>
          <cell r="C1524">
            <v>6500</v>
          </cell>
          <cell r="D1524" t="str">
            <v>01.10.1996</v>
          </cell>
          <cell r="E1524">
            <v>0</v>
          </cell>
          <cell r="F1524">
            <v>6294000680</v>
          </cell>
        </row>
        <row r="1525">
          <cell r="A1525">
            <v>3400003904</v>
          </cell>
          <cell r="B1525">
            <v>0</v>
          </cell>
          <cell r="C1525">
            <v>5800</v>
          </cell>
          <cell r="D1525" t="str">
            <v>01.10.1996</v>
          </cell>
          <cell r="E1525">
            <v>0</v>
          </cell>
          <cell r="F1525">
            <v>6295000019</v>
          </cell>
        </row>
        <row r="1526">
          <cell r="A1526">
            <v>3400003905</v>
          </cell>
          <cell r="B1526">
            <v>0</v>
          </cell>
          <cell r="C1526">
            <v>5400</v>
          </cell>
          <cell r="D1526" t="str">
            <v>01.10.1996</v>
          </cell>
          <cell r="E1526">
            <v>0</v>
          </cell>
          <cell r="F1526">
            <v>6295000027</v>
          </cell>
        </row>
        <row r="1527">
          <cell r="A1527">
            <v>3400003906</v>
          </cell>
          <cell r="B1527">
            <v>0</v>
          </cell>
          <cell r="C1527">
            <v>6901</v>
          </cell>
          <cell r="D1527" t="str">
            <v>01.11.1994</v>
          </cell>
          <cell r="E1527">
            <v>0</v>
          </cell>
          <cell r="F1527">
            <v>6295000035</v>
          </cell>
        </row>
        <row r="1528">
          <cell r="A1528">
            <v>3400003907</v>
          </cell>
          <cell r="B1528">
            <v>0</v>
          </cell>
          <cell r="C1528">
            <v>6602</v>
          </cell>
          <cell r="D1528" t="str">
            <v>01.01.1995</v>
          </cell>
          <cell r="E1528">
            <v>4</v>
          </cell>
          <cell r="F1528">
            <v>6295000043</v>
          </cell>
        </row>
        <row r="1529">
          <cell r="A1529">
            <v>3400003908</v>
          </cell>
          <cell r="B1529">
            <v>0</v>
          </cell>
          <cell r="C1529">
            <v>5400</v>
          </cell>
          <cell r="D1529" t="str">
            <v>01.10.1996</v>
          </cell>
          <cell r="E1529">
            <v>0</v>
          </cell>
          <cell r="F1529">
            <v>6295000051</v>
          </cell>
        </row>
        <row r="1530">
          <cell r="A1530">
            <v>3400003909</v>
          </cell>
          <cell r="B1530">
            <v>0</v>
          </cell>
          <cell r="C1530">
            <v>6601</v>
          </cell>
          <cell r="D1530" t="str">
            <v>01.10.1996</v>
          </cell>
          <cell r="E1530">
            <v>0</v>
          </cell>
          <cell r="F1530">
            <v>6295000060</v>
          </cell>
        </row>
        <row r="1531">
          <cell r="A1531">
            <v>3400003910</v>
          </cell>
          <cell r="B1531">
            <v>0</v>
          </cell>
          <cell r="C1531">
            <v>6601</v>
          </cell>
          <cell r="D1531" t="str">
            <v>01.10.1996</v>
          </cell>
          <cell r="E1531">
            <v>0</v>
          </cell>
          <cell r="F1531">
            <v>6295000072</v>
          </cell>
        </row>
        <row r="1532">
          <cell r="A1532">
            <v>3400003911</v>
          </cell>
          <cell r="B1532">
            <v>0</v>
          </cell>
          <cell r="C1532">
            <v>6601</v>
          </cell>
          <cell r="D1532" t="str">
            <v>01.10.1996</v>
          </cell>
          <cell r="E1532">
            <v>0</v>
          </cell>
          <cell r="F1532">
            <v>6295000084</v>
          </cell>
        </row>
        <row r="1533">
          <cell r="A1533">
            <v>3400003912</v>
          </cell>
          <cell r="B1533">
            <v>0</v>
          </cell>
          <cell r="C1533">
            <v>6601</v>
          </cell>
          <cell r="D1533" t="str">
            <v>01.10.1996</v>
          </cell>
          <cell r="E1533">
            <v>0</v>
          </cell>
          <cell r="F1533">
            <v>6295000096</v>
          </cell>
        </row>
        <row r="1534">
          <cell r="A1534">
            <v>3400003913</v>
          </cell>
          <cell r="B1534">
            <v>0</v>
          </cell>
          <cell r="C1534">
            <v>6601</v>
          </cell>
          <cell r="D1534" t="str">
            <v>01.10.1996</v>
          </cell>
          <cell r="E1534">
            <v>0</v>
          </cell>
          <cell r="F1534">
            <v>6295000108</v>
          </cell>
        </row>
        <row r="1535">
          <cell r="A1535">
            <v>3400003914</v>
          </cell>
          <cell r="B1535">
            <v>0</v>
          </cell>
          <cell r="C1535">
            <v>6601</v>
          </cell>
          <cell r="D1535" t="str">
            <v>01.10.1996</v>
          </cell>
          <cell r="E1535">
            <v>1</v>
          </cell>
          <cell r="F1535">
            <v>6295000116</v>
          </cell>
        </row>
        <row r="1536">
          <cell r="A1536">
            <v>3400003915</v>
          </cell>
          <cell r="B1536">
            <v>0</v>
          </cell>
          <cell r="C1536">
            <v>6601</v>
          </cell>
          <cell r="D1536" t="str">
            <v>01.10.1996</v>
          </cell>
          <cell r="E1536">
            <v>0</v>
          </cell>
          <cell r="F1536">
            <v>6295000124</v>
          </cell>
        </row>
        <row r="1537">
          <cell r="A1537">
            <v>3400003916</v>
          </cell>
          <cell r="B1537">
            <v>0</v>
          </cell>
          <cell r="C1537">
            <v>6601</v>
          </cell>
          <cell r="D1537" t="str">
            <v>01.10.1996</v>
          </cell>
          <cell r="E1537">
            <v>0</v>
          </cell>
          <cell r="F1537">
            <v>6295000132</v>
          </cell>
        </row>
        <row r="1538">
          <cell r="A1538">
            <v>3400003917</v>
          </cell>
          <cell r="B1538">
            <v>0</v>
          </cell>
          <cell r="C1538">
            <v>6601</v>
          </cell>
          <cell r="D1538" t="str">
            <v>01.10.1996</v>
          </cell>
          <cell r="E1538">
            <v>0</v>
          </cell>
          <cell r="F1538">
            <v>6295000149</v>
          </cell>
        </row>
        <row r="1539">
          <cell r="A1539">
            <v>3400003918</v>
          </cell>
          <cell r="B1539">
            <v>0</v>
          </cell>
          <cell r="C1539">
            <v>6601</v>
          </cell>
          <cell r="D1539" t="str">
            <v>01.10.1996</v>
          </cell>
          <cell r="E1539">
            <v>0</v>
          </cell>
          <cell r="F1539">
            <v>6295000151</v>
          </cell>
        </row>
        <row r="1540">
          <cell r="A1540">
            <v>3400003919</v>
          </cell>
          <cell r="B1540">
            <v>0</v>
          </cell>
          <cell r="C1540">
            <v>5301</v>
          </cell>
          <cell r="D1540" t="str">
            <v>01.10.1996</v>
          </cell>
          <cell r="E1540">
            <v>0</v>
          </cell>
          <cell r="F1540">
            <v>6295000163</v>
          </cell>
        </row>
        <row r="1541">
          <cell r="A1541">
            <v>3400003920</v>
          </cell>
          <cell r="B1541">
            <v>0</v>
          </cell>
          <cell r="C1541">
            <v>6602</v>
          </cell>
          <cell r="D1541" t="str">
            <v>01.02.1995</v>
          </cell>
          <cell r="E1541">
            <v>0</v>
          </cell>
          <cell r="F1541">
            <v>6295000175</v>
          </cell>
        </row>
        <row r="1542">
          <cell r="A1542">
            <v>3400003921</v>
          </cell>
          <cell r="B1542">
            <v>0</v>
          </cell>
          <cell r="C1542">
            <v>6602</v>
          </cell>
          <cell r="D1542" t="str">
            <v>01.02.1995</v>
          </cell>
          <cell r="E1542">
            <v>0</v>
          </cell>
          <cell r="F1542">
            <v>6295000187</v>
          </cell>
        </row>
        <row r="1543">
          <cell r="A1543">
            <v>3400003922</v>
          </cell>
          <cell r="B1543">
            <v>0</v>
          </cell>
          <cell r="C1543">
            <v>5800</v>
          </cell>
          <cell r="D1543" t="str">
            <v>01.10.1996</v>
          </cell>
          <cell r="E1543">
            <v>0</v>
          </cell>
          <cell r="F1543">
            <v>6295000199</v>
          </cell>
        </row>
        <row r="1544">
          <cell r="A1544">
            <v>3400003923</v>
          </cell>
          <cell r="B1544">
            <v>0</v>
          </cell>
          <cell r="C1544">
            <v>5301</v>
          </cell>
          <cell r="D1544" t="str">
            <v>01.10.1996</v>
          </cell>
          <cell r="E1544">
            <v>1</v>
          </cell>
          <cell r="F1544">
            <v>6295000205</v>
          </cell>
        </row>
        <row r="1545">
          <cell r="A1545">
            <v>3400003924</v>
          </cell>
          <cell r="B1545">
            <v>0</v>
          </cell>
          <cell r="C1545">
            <v>6901</v>
          </cell>
          <cell r="D1545" t="str">
            <v>01.01.1995</v>
          </cell>
          <cell r="E1545">
            <v>0</v>
          </cell>
          <cell r="F1545">
            <v>6295000213</v>
          </cell>
        </row>
        <row r="1546">
          <cell r="A1546">
            <v>3400003925</v>
          </cell>
          <cell r="B1546">
            <v>0</v>
          </cell>
          <cell r="C1546">
            <v>6602</v>
          </cell>
          <cell r="D1546" t="str">
            <v>01.12.1994</v>
          </cell>
          <cell r="E1546">
            <v>0</v>
          </cell>
          <cell r="F1546">
            <v>6295000221</v>
          </cell>
        </row>
        <row r="1547">
          <cell r="A1547">
            <v>3400003926</v>
          </cell>
          <cell r="B1547">
            <v>0</v>
          </cell>
          <cell r="C1547">
            <v>6500</v>
          </cell>
          <cell r="D1547" t="str">
            <v>01.10.1996</v>
          </cell>
          <cell r="E1547">
            <v>0</v>
          </cell>
          <cell r="F1547">
            <v>6295000230</v>
          </cell>
        </row>
        <row r="1548">
          <cell r="A1548">
            <v>3400003927</v>
          </cell>
          <cell r="B1548">
            <v>0</v>
          </cell>
          <cell r="C1548">
            <v>6500</v>
          </cell>
          <cell r="D1548" t="str">
            <v>01.10.1996</v>
          </cell>
          <cell r="E1548">
            <v>0</v>
          </cell>
          <cell r="F1548">
            <v>6295000242</v>
          </cell>
        </row>
        <row r="1549">
          <cell r="A1549">
            <v>3400003928</v>
          </cell>
          <cell r="B1549">
            <v>0</v>
          </cell>
          <cell r="C1549">
            <v>6901</v>
          </cell>
          <cell r="D1549" t="str">
            <v>01.10.1994</v>
          </cell>
          <cell r="E1549">
            <v>0</v>
          </cell>
          <cell r="F1549">
            <v>6295000254</v>
          </cell>
        </row>
        <row r="1550">
          <cell r="A1550">
            <v>3400003929</v>
          </cell>
          <cell r="B1550">
            <v>0</v>
          </cell>
          <cell r="C1550">
            <v>6221</v>
          </cell>
          <cell r="D1550" t="str">
            <v>01.10.1994</v>
          </cell>
          <cell r="E1550">
            <v>0</v>
          </cell>
          <cell r="F1550">
            <v>6295000266</v>
          </cell>
        </row>
        <row r="1551">
          <cell r="A1551">
            <v>3400003930</v>
          </cell>
          <cell r="B1551">
            <v>0</v>
          </cell>
          <cell r="C1551">
            <v>6501</v>
          </cell>
          <cell r="D1551" t="str">
            <v>01.10.1994</v>
          </cell>
          <cell r="E1551">
            <v>0</v>
          </cell>
          <cell r="F1551">
            <v>6295000278</v>
          </cell>
        </row>
        <row r="1552">
          <cell r="A1552">
            <v>3400003931</v>
          </cell>
          <cell r="B1552">
            <v>0</v>
          </cell>
          <cell r="C1552">
            <v>6230</v>
          </cell>
          <cell r="D1552" t="str">
            <v>01.10.1996</v>
          </cell>
          <cell r="E1552">
            <v>0</v>
          </cell>
          <cell r="F1552">
            <v>6295000289</v>
          </cell>
        </row>
        <row r="1553">
          <cell r="A1553">
            <v>3400003932</v>
          </cell>
          <cell r="B1553">
            <v>0</v>
          </cell>
          <cell r="C1553">
            <v>6230</v>
          </cell>
          <cell r="D1553" t="str">
            <v>01.10.1996</v>
          </cell>
          <cell r="E1553">
            <v>0</v>
          </cell>
          <cell r="F1553">
            <v>6295000291</v>
          </cell>
        </row>
        <row r="1554">
          <cell r="A1554">
            <v>3400003933</v>
          </cell>
          <cell r="B1554">
            <v>0</v>
          </cell>
          <cell r="C1554">
            <v>6220</v>
          </cell>
          <cell r="D1554" t="str">
            <v>01.10.1996</v>
          </cell>
          <cell r="E1554">
            <v>0</v>
          </cell>
          <cell r="F1554">
            <v>6295000302</v>
          </cell>
        </row>
        <row r="1555">
          <cell r="A1555">
            <v>3400003934</v>
          </cell>
          <cell r="B1555">
            <v>0</v>
          </cell>
          <cell r="C1555">
            <v>5801</v>
          </cell>
          <cell r="D1555" t="str">
            <v>01.10.1996</v>
          </cell>
          <cell r="E1555">
            <v>0</v>
          </cell>
          <cell r="F1555">
            <v>6295000319</v>
          </cell>
        </row>
        <row r="1556">
          <cell r="A1556">
            <v>3400003935</v>
          </cell>
          <cell r="B1556">
            <v>0</v>
          </cell>
          <cell r="C1556">
            <v>5801</v>
          </cell>
          <cell r="D1556" t="str">
            <v>01.10.1996</v>
          </cell>
          <cell r="E1556">
            <v>0</v>
          </cell>
          <cell r="F1556">
            <v>6295000321</v>
          </cell>
        </row>
        <row r="1557">
          <cell r="A1557">
            <v>3400003936</v>
          </cell>
          <cell r="B1557">
            <v>0</v>
          </cell>
          <cell r="C1557">
            <v>6901</v>
          </cell>
          <cell r="D1557" t="str">
            <v>04.01.1995</v>
          </cell>
          <cell r="E1557">
            <v>0</v>
          </cell>
          <cell r="F1557">
            <v>6295000333</v>
          </cell>
        </row>
        <row r="1558">
          <cell r="A1558">
            <v>3400003937</v>
          </cell>
          <cell r="B1558">
            <v>0</v>
          </cell>
          <cell r="C1558">
            <v>6901</v>
          </cell>
          <cell r="D1558" t="str">
            <v>01.10.1994</v>
          </cell>
          <cell r="E1558">
            <v>0</v>
          </cell>
          <cell r="F1558">
            <v>6295000345</v>
          </cell>
        </row>
        <row r="1559">
          <cell r="A1559">
            <v>3400003938</v>
          </cell>
          <cell r="B1559">
            <v>0</v>
          </cell>
          <cell r="C1559">
            <v>6901</v>
          </cell>
          <cell r="D1559" t="str">
            <v>01.10.1994</v>
          </cell>
          <cell r="E1559">
            <v>0</v>
          </cell>
          <cell r="F1559">
            <v>6295000357</v>
          </cell>
        </row>
        <row r="1560">
          <cell r="A1560">
            <v>3400003939</v>
          </cell>
          <cell r="B1560">
            <v>0</v>
          </cell>
          <cell r="C1560">
            <v>6801</v>
          </cell>
          <cell r="D1560" t="str">
            <v>01.10.1996</v>
          </cell>
          <cell r="E1560">
            <v>0</v>
          </cell>
          <cell r="F1560">
            <v>6295000369</v>
          </cell>
        </row>
        <row r="1561">
          <cell r="A1561">
            <v>3400003940</v>
          </cell>
          <cell r="B1561">
            <v>0</v>
          </cell>
          <cell r="C1561">
            <v>6230</v>
          </cell>
          <cell r="D1561" t="str">
            <v>01.10.1996</v>
          </cell>
          <cell r="E1561">
            <v>0</v>
          </cell>
          <cell r="F1561">
            <v>6295000370</v>
          </cell>
        </row>
        <row r="1562">
          <cell r="A1562">
            <v>3400003941</v>
          </cell>
          <cell r="B1562">
            <v>0</v>
          </cell>
          <cell r="C1562">
            <v>5400</v>
          </cell>
          <cell r="D1562" t="str">
            <v>01.10.1996</v>
          </cell>
          <cell r="E1562">
            <v>0</v>
          </cell>
          <cell r="F1562">
            <v>6295000382</v>
          </cell>
        </row>
        <row r="1563">
          <cell r="A1563">
            <v>3400003942</v>
          </cell>
          <cell r="B1563">
            <v>0</v>
          </cell>
          <cell r="C1563">
            <v>5400</v>
          </cell>
          <cell r="D1563" t="str">
            <v>01.10.1996</v>
          </cell>
          <cell r="E1563">
            <v>0</v>
          </cell>
          <cell r="F1563">
            <v>6295000394</v>
          </cell>
        </row>
        <row r="1564">
          <cell r="A1564">
            <v>3400003943</v>
          </cell>
          <cell r="B1564">
            <v>0</v>
          </cell>
          <cell r="C1564">
            <v>5400</v>
          </cell>
          <cell r="D1564" t="str">
            <v>01.10.1996</v>
          </cell>
          <cell r="E1564">
            <v>0</v>
          </cell>
          <cell r="F1564">
            <v>6295000400</v>
          </cell>
        </row>
        <row r="1565">
          <cell r="A1565">
            <v>3400003944</v>
          </cell>
          <cell r="B1565">
            <v>0</v>
          </cell>
          <cell r="C1565">
            <v>5400</v>
          </cell>
          <cell r="D1565" t="str">
            <v>01.10.1996</v>
          </cell>
          <cell r="E1565">
            <v>0</v>
          </cell>
          <cell r="F1565">
            <v>6295000412</v>
          </cell>
        </row>
        <row r="1566">
          <cell r="A1566">
            <v>3400003945</v>
          </cell>
          <cell r="B1566">
            <v>0</v>
          </cell>
          <cell r="C1566">
            <v>6500</v>
          </cell>
          <cell r="D1566" t="str">
            <v>01.10.1996</v>
          </cell>
          <cell r="E1566">
            <v>0</v>
          </cell>
          <cell r="F1566">
            <v>6295000424</v>
          </cell>
        </row>
        <row r="1567">
          <cell r="A1567">
            <v>3400003946</v>
          </cell>
          <cell r="B1567">
            <v>0</v>
          </cell>
          <cell r="C1567">
            <v>6500</v>
          </cell>
          <cell r="D1567" t="str">
            <v>01.10.1996</v>
          </cell>
          <cell r="E1567">
            <v>0</v>
          </cell>
          <cell r="F1567">
            <v>6295000436</v>
          </cell>
        </row>
        <row r="1568">
          <cell r="A1568">
            <v>3400003947</v>
          </cell>
          <cell r="B1568">
            <v>0</v>
          </cell>
          <cell r="C1568">
            <v>6500</v>
          </cell>
          <cell r="D1568" t="str">
            <v>01.10.1996</v>
          </cell>
          <cell r="E1568">
            <v>0</v>
          </cell>
          <cell r="F1568">
            <v>6295000448</v>
          </cell>
        </row>
        <row r="1569">
          <cell r="A1569">
            <v>3400003948</v>
          </cell>
          <cell r="B1569">
            <v>0</v>
          </cell>
          <cell r="C1569">
            <v>5400</v>
          </cell>
          <cell r="D1569" t="str">
            <v>01.10.1996</v>
          </cell>
          <cell r="E1569">
            <v>0</v>
          </cell>
          <cell r="F1569">
            <v>6295000459</v>
          </cell>
        </row>
        <row r="1570">
          <cell r="A1570">
            <v>3400003949</v>
          </cell>
          <cell r="B1570">
            <v>0</v>
          </cell>
          <cell r="C1570">
            <v>6901</v>
          </cell>
          <cell r="D1570" t="str">
            <v>01.05.1995</v>
          </cell>
          <cell r="E1570">
            <v>0</v>
          </cell>
          <cell r="F1570">
            <v>6295000461</v>
          </cell>
        </row>
        <row r="1571">
          <cell r="A1571">
            <v>3400003950</v>
          </cell>
          <cell r="B1571">
            <v>0</v>
          </cell>
          <cell r="C1571">
            <v>6500</v>
          </cell>
          <cell r="D1571" t="str">
            <v>01.10.1996</v>
          </cell>
          <cell r="E1571">
            <v>0</v>
          </cell>
          <cell r="F1571">
            <v>6295000473</v>
          </cell>
        </row>
        <row r="1572">
          <cell r="A1572">
            <v>3400003951</v>
          </cell>
          <cell r="B1572">
            <v>0</v>
          </cell>
          <cell r="C1572">
            <v>6500</v>
          </cell>
          <cell r="D1572" t="str">
            <v>01.10.1996</v>
          </cell>
          <cell r="E1572">
            <v>0</v>
          </cell>
          <cell r="F1572">
            <v>6295000485</v>
          </cell>
        </row>
        <row r="1573">
          <cell r="A1573">
            <v>3400003952</v>
          </cell>
          <cell r="B1573">
            <v>0</v>
          </cell>
          <cell r="C1573">
            <v>6500</v>
          </cell>
          <cell r="D1573" t="str">
            <v>01.10.1996</v>
          </cell>
          <cell r="E1573">
            <v>0</v>
          </cell>
          <cell r="F1573">
            <v>6295000497</v>
          </cell>
        </row>
        <row r="1574">
          <cell r="A1574">
            <v>3400005613</v>
          </cell>
          <cell r="B1574">
            <v>0</v>
          </cell>
          <cell r="C1574">
            <v>6230</v>
          </cell>
          <cell r="D1574" t="str">
            <v>01.10.1996</v>
          </cell>
          <cell r="E1574">
            <v>2</v>
          </cell>
          <cell r="F1574">
            <v>6295001799</v>
          </cell>
        </row>
        <row r="1575">
          <cell r="A1575">
            <v>3400003953</v>
          </cell>
          <cell r="B1575">
            <v>0</v>
          </cell>
          <cell r="C1575">
            <v>6801</v>
          </cell>
          <cell r="D1575" t="str">
            <v>01.10.1996</v>
          </cell>
          <cell r="E1575">
            <v>1</v>
          </cell>
          <cell r="F1575">
            <v>6393000019</v>
          </cell>
        </row>
        <row r="1576">
          <cell r="A1576">
            <v>3400003954</v>
          </cell>
          <cell r="B1576">
            <v>0</v>
          </cell>
          <cell r="C1576">
            <v>6801</v>
          </cell>
          <cell r="D1576" t="str">
            <v>01.10.1996</v>
          </cell>
          <cell r="E1576">
            <v>1</v>
          </cell>
          <cell r="F1576">
            <v>6393000027</v>
          </cell>
        </row>
        <row r="1577">
          <cell r="A1577">
            <v>3400003955</v>
          </cell>
          <cell r="B1577">
            <v>0</v>
          </cell>
          <cell r="C1577">
            <v>6801</v>
          </cell>
          <cell r="D1577" t="str">
            <v>01.10.1996</v>
          </cell>
          <cell r="E1577">
            <v>1</v>
          </cell>
          <cell r="F1577">
            <v>6393000035</v>
          </cell>
        </row>
        <row r="1578">
          <cell r="A1578">
            <v>3400003956</v>
          </cell>
          <cell r="B1578">
            <v>0</v>
          </cell>
          <cell r="C1578">
            <v>6801</v>
          </cell>
          <cell r="D1578" t="str">
            <v>01.10.1996</v>
          </cell>
          <cell r="E1578">
            <v>1</v>
          </cell>
          <cell r="F1578">
            <v>6393000043</v>
          </cell>
        </row>
        <row r="1579">
          <cell r="A1579">
            <v>3400003957</v>
          </cell>
          <cell r="B1579">
            <v>0</v>
          </cell>
          <cell r="C1579">
            <v>6801</v>
          </cell>
          <cell r="D1579" t="str">
            <v>01.10.1996</v>
          </cell>
          <cell r="E1579">
            <v>1</v>
          </cell>
          <cell r="F1579">
            <v>6393000051</v>
          </cell>
        </row>
        <row r="1580">
          <cell r="A1580">
            <v>3400003958</v>
          </cell>
          <cell r="B1580">
            <v>0</v>
          </cell>
          <cell r="C1580">
            <v>6230</v>
          </cell>
          <cell r="D1580" t="str">
            <v>01.10.1996</v>
          </cell>
          <cell r="E1580">
            <v>0</v>
          </cell>
          <cell r="F1580">
            <v>6393000060</v>
          </cell>
        </row>
        <row r="1581">
          <cell r="A1581">
            <v>3400003959</v>
          </cell>
          <cell r="B1581">
            <v>0</v>
          </cell>
          <cell r="C1581">
            <v>6230</v>
          </cell>
          <cell r="D1581" t="str">
            <v>01.10.1996</v>
          </cell>
          <cell r="E1581">
            <v>0</v>
          </cell>
          <cell r="F1581">
            <v>6393000072</v>
          </cell>
        </row>
        <row r="1582">
          <cell r="A1582">
            <v>3400003960</v>
          </cell>
          <cell r="B1582">
            <v>0</v>
          </cell>
          <cell r="C1582">
            <v>6230</v>
          </cell>
          <cell r="D1582" t="str">
            <v>01.10.1996</v>
          </cell>
          <cell r="E1582">
            <v>0</v>
          </cell>
          <cell r="F1582">
            <v>6393000084</v>
          </cell>
        </row>
        <row r="1583">
          <cell r="A1583">
            <v>3400003961</v>
          </cell>
          <cell r="B1583">
            <v>0</v>
          </cell>
          <cell r="C1583">
            <v>6230</v>
          </cell>
          <cell r="D1583" t="str">
            <v>01.10.1996</v>
          </cell>
          <cell r="E1583">
            <v>0</v>
          </cell>
          <cell r="F1583">
            <v>6393000096</v>
          </cell>
        </row>
        <row r="1584">
          <cell r="A1584">
            <v>3400003962</v>
          </cell>
          <cell r="B1584">
            <v>0</v>
          </cell>
          <cell r="C1584">
            <v>6230</v>
          </cell>
          <cell r="D1584" t="str">
            <v>01.10.1996</v>
          </cell>
          <cell r="E1584">
            <v>0</v>
          </cell>
          <cell r="F1584">
            <v>6393000108</v>
          </cell>
        </row>
        <row r="1585">
          <cell r="A1585">
            <v>3400003963</v>
          </cell>
          <cell r="B1585">
            <v>0</v>
          </cell>
          <cell r="C1585">
            <v>6230</v>
          </cell>
          <cell r="D1585" t="str">
            <v>01.10.1996</v>
          </cell>
          <cell r="E1585">
            <v>0</v>
          </cell>
          <cell r="F1585">
            <v>6393000116</v>
          </cell>
        </row>
        <row r="1586">
          <cell r="A1586">
            <v>3400003964</v>
          </cell>
          <cell r="B1586">
            <v>0</v>
          </cell>
          <cell r="C1586">
            <v>5900</v>
          </cell>
          <cell r="D1586" t="str">
            <v>01.09.1993</v>
          </cell>
          <cell r="E1586">
            <v>0</v>
          </cell>
          <cell r="F1586">
            <v>6393000124</v>
          </cell>
        </row>
        <row r="1587">
          <cell r="A1587">
            <v>3400003965</v>
          </cell>
          <cell r="B1587">
            <v>0</v>
          </cell>
          <cell r="C1587">
            <v>5900</v>
          </cell>
          <cell r="D1587" t="str">
            <v>01.09.1993</v>
          </cell>
          <cell r="E1587">
            <v>0</v>
          </cell>
          <cell r="F1587">
            <v>6393000132</v>
          </cell>
        </row>
        <row r="1588">
          <cell r="A1588">
            <v>3400003966</v>
          </cell>
          <cell r="B1588">
            <v>0</v>
          </cell>
          <cell r="C1588">
            <v>5801</v>
          </cell>
          <cell r="D1588" t="str">
            <v>01.10.1996</v>
          </cell>
          <cell r="E1588">
            <v>1</v>
          </cell>
          <cell r="F1588">
            <v>6393000149</v>
          </cell>
        </row>
        <row r="1589">
          <cell r="A1589">
            <v>3400003967</v>
          </cell>
          <cell r="B1589">
            <v>0</v>
          </cell>
          <cell r="C1589">
            <v>5801</v>
          </cell>
          <cell r="D1589" t="str">
            <v>01.10.1996</v>
          </cell>
          <cell r="E1589">
            <v>0</v>
          </cell>
          <cell r="F1589">
            <v>6393000151</v>
          </cell>
        </row>
        <row r="1590">
          <cell r="A1590">
            <v>3400003968</v>
          </cell>
          <cell r="B1590">
            <v>0</v>
          </cell>
          <cell r="C1590">
            <v>5801</v>
          </cell>
          <cell r="D1590" t="str">
            <v>01.10.1996</v>
          </cell>
          <cell r="E1590">
            <v>0</v>
          </cell>
          <cell r="F1590">
            <v>6393000205</v>
          </cell>
        </row>
        <row r="1591">
          <cell r="A1591">
            <v>3400003969</v>
          </cell>
          <cell r="B1591">
            <v>0</v>
          </cell>
          <cell r="C1591">
            <v>5801</v>
          </cell>
          <cell r="D1591" t="str">
            <v>01.10.1996</v>
          </cell>
          <cell r="E1591">
            <v>1</v>
          </cell>
          <cell r="F1591">
            <v>6393000213</v>
          </cell>
        </row>
        <row r="1592">
          <cell r="A1592">
            <v>3400003970</v>
          </cell>
          <cell r="B1592">
            <v>0</v>
          </cell>
          <cell r="C1592">
            <v>5801</v>
          </cell>
          <cell r="D1592" t="str">
            <v>01.10.1996</v>
          </cell>
          <cell r="E1592">
            <v>1</v>
          </cell>
          <cell r="F1592">
            <v>6393000221</v>
          </cell>
        </row>
        <row r="1593">
          <cell r="A1593">
            <v>3400003971</v>
          </cell>
          <cell r="B1593">
            <v>0</v>
          </cell>
          <cell r="C1593">
            <v>5801</v>
          </cell>
          <cell r="D1593" t="str">
            <v>01.10.1996</v>
          </cell>
          <cell r="E1593">
            <v>1</v>
          </cell>
          <cell r="F1593">
            <v>6393000230</v>
          </cell>
        </row>
        <row r="1594">
          <cell r="A1594">
            <v>3400003972</v>
          </cell>
          <cell r="B1594">
            <v>0</v>
          </cell>
          <cell r="C1594">
            <v>5801</v>
          </cell>
          <cell r="D1594" t="str">
            <v>01.10.1996</v>
          </cell>
          <cell r="E1594">
            <v>1</v>
          </cell>
          <cell r="F1594">
            <v>6393000242</v>
          </cell>
        </row>
        <row r="1595">
          <cell r="A1595">
            <v>3400003973</v>
          </cell>
          <cell r="B1595">
            <v>0</v>
          </cell>
          <cell r="C1595">
            <v>5801</v>
          </cell>
          <cell r="D1595" t="str">
            <v>01.10.1996</v>
          </cell>
          <cell r="E1595">
            <v>0</v>
          </cell>
          <cell r="F1595">
            <v>6393000254</v>
          </cell>
        </row>
        <row r="1596">
          <cell r="A1596">
            <v>3400003974</v>
          </cell>
          <cell r="B1596">
            <v>0</v>
          </cell>
          <cell r="C1596">
            <v>5801</v>
          </cell>
          <cell r="D1596" t="str">
            <v>01.10.1996</v>
          </cell>
          <cell r="E1596">
            <v>1</v>
          </cell>
          <cell r="F1596">
            <v>6393000266</v>
          </cell>
        </row>
        <row r="1597">
          <cell r="A1597">
            <v>3400003975</v>
          </cell>
          <cell r="B1597">
            <v>0</v>
          </cell>
          <cell r="C1597">
            <v>5801</v>
          </cell>
          <cell r="D1597" t="str">
            <v>01.10.1996</v>
          </cell>
          <cell r="E1597">
            <v>1</v>
          </cell>
          <cell r="F1597">
            <v>6393000278</v>
          </cell>
        </row>
        <row r="1598">
          <cell r="A1598">
            <v>3400003976</v>
          </cell>
          <cell r="B1598">
            <v>0</v>
          </cell>
          <cell r="C1598">
            <v>5801</v>
          </cell>
          <cell r="D1598" t="str">
            <v>01.10.1996</v>
          </cell>
          <cell r="E1598">
            <v>1</v>
          </cell>
          <cell r="F1598">
            <v>6393000289</v>
          </cell>
        </row>
        <row r="1599">
          <cell r="A1599">
            <v>3400003977</v>
          </cell>
          <cell r="B1599">
            <v>0</v>
          </cell>
          <cell r="C1599">
            <v>5801</v>
          </cell>
          <cell r="D1599" t="str">
            <v>01.10.1996</v>
          </cell>
          <cell r="E1599">
            <v>0</v>
          </cell>
          <cell r="F1599">
            <v>6393000291</v>
          </cell>
        </row>
        <row r="1600">
          <cell r="A1600">
            <v>3400003978</v>
          </cell>
          <cell r="B1600">
            <v>0</v>
          </cell>
          <cell r="C1600">
            <v>5801</v>
          </cell>
          <cell r="D1600" t="str">
            <v>01.10.1996</v>
          </cell>
          <cell r="E1600">
            <v>1</v>
          </cell>
          <cell r="F1600">
            <v>6393000302</v>
          </cell>
        </row>
        <row r="1601">
          <cell r="A1601">
            <v>3400003979</v>
          </cell>
          <cell r="B1601">
            <v>0</v>
          </cell>
          <cell r="C1601">
            <v>5801</v>
          </cell>
          <cell r="D1601" t="str">
            <v>01.10.1996</v>
          </cell>
          <cell r="E1601">
            <v>1</v>
          </cell>
          <cell r="F1601">
            <v>6393000319</v>
          </cell>
        </row>
        <row r="1602">
          <cell r="A1602">
            <v>3400003980</v>
          </cell>
          <cell r="B1602">
            <v>0</v>
          </cell>
          <cell r="C1602">
            <v>5801</v>
          </cell>
          <cell r="D1602" t="str">
            <v>01.10.1996</v>
          </cell>
          <cell r="E1602">
            <v>1</v>
          </cell>
          <cell r="F1602">
            <v>6393000321</v>
          </cell>
        </row>
        <row r="1603">
          <cell r="A1603">
            <v>3400003981</v>
          </cell>
          <cell r="B1603">
            <v>0</v>
          </cell>
          <cell r="C1603">
            <v>5801</v>
          </cell>
          <cell r="D1603" t="str">
            <v>01.10.1996</v>
          </cell>
          <cell r="E1603">
            <v>1</v>
          </cell>
          <cell r="F1603">
            <v>6393000333</v>
          </cell>
        </row>
        <row r="1604">
          <cell r="A1604">
            <v>3400003982</v>
          </cell>
          <cell r="B1604">
            <v>0</v>
          </cell>
          <cell r="C1604">
            <v>5801</v>
          </cell>
          <cell r="D1604" t="str">
            <v>01.10.1996</v>
          </cell>
          <cell r="E1604">
            <v>0</v>
          </cell>
          <cell r="F1604">
            <v>6393000345</v>
          </cell>
        </row>
        <row r="1605">
          <cell r="A1605">
            <v>3400003983</v>
          </cell>
          <cell r="B1605">
            <v>0</v>
          </cell>
          <cell r="C1605">
            <v>5801</v>
          </cell>
          <cell r="D1605" t="str">
            <v>01.10.1996</v>
          </cell>
          <cell r="E1605">
            <v>0</v>
          </cell>
          <cell r="F1605">
            <v>6393000357</v>
          </cell>
        </row>
        <row r="1606">
          <cell r="A1606">
            <v>3400003984</v>
          </cell>
          <cell r="B1606">
            <v>0</v>
          </cell>
          <cell r="C1606">
            <v>5801</v>
          </cell>
          <cell r="D1606" t="str">
            <v>01.10.1996</v>
          </cell>
          <cell r="E1606">
            <v>0</v>
          </cell>
          <cell r="F1606">
            <v>6393000369</v>
          </cell>
        </row>
        <row r="1607">
          <cell r="A1607">
            <v>3400003985</v>
          </cell>
          <cell r="B1607">
            <v>0</v>
          </cell>
          <cell r="C1607">
            <v>5801</v>
          </cell>
          <cell r="D1607" t="str">
            <v>01.10.1996</v>
          </cell>
          <cell r="E1607">
            <v>0</v>
          </cell>
          <cell r="F1607">
            <v>6393000370</v>
          </cell>
        </row>
        <row r="1608">
          <cell r="A1608">
            <v>3400003986</v>
          </cell>
          <cell r="B1608">
            <v>0</v>
          </cell>
          <cell r="C1608">
            <v>5801</v>
          </cell>
          <cell r="D1608" t="str">
            <v>01.10.1996</v>
          </cell>
          <cell r="E1608">
            <v>0</v>
          </cell>
          <cell r="F1608">
            <v>6393000382</v>
          </cell>
        </row>
        <row r="1609">
          <cell r="A1609">
            <v>3400003987</v>
          </cell>
          <cell r="B1609">
            <v>0</v>
          </cell>
          <cell r="C1609">
            <v>5801</v>
          </cell>
          <cell r="D1609" t="str">
            <v>01.10.1996</v>
          </cell>
          <cell r="E1609">
            <v>1</v>
          </cell>
          <cell r="F1609">
            <v>6393000394</v>
          </cell>
        </row>
        <row r="1610">
          <cell r="A1610">
            <v>3400003988</v>
          </cell>
          <cell r="B1610">
            <v>0</v>
          </cell>
          <cell r="C1610">
            <v>5801</v>
          </cell>
          <cell r="D1610" t="str">
            <v>01.10.1996</v>
          </cell>
          <cell r="E1610">
            <v>1</v>
          </cell>
          <cell r="F1610">
            <v>6393000400</v>
          </cell>
        </row>
        <row r="1611">
          <cell r="A1611">
            <v>3400003989</v>
          </cell>
          <cell r="B1611">
            <v>0</v>
          </cell>
          <cell r="C1611">
            <v>5801</v>
          </cell>
          <cell r="D1611" t="str">
            <v>01.10.1996</v>
          </cell>
          <cell r="E1611">
            <v>1</v>
          </cell>
          <cell r="F1611">
            <v>6393000412</v>
          </cell>
        </row>
        <row r="1612">
          <cell r="A1612">
            <v>3400003990</v>
          </cell>
          <cell r="B1612">
            <v>0</v>
          </cell>
          <cell r="C1612">
            <v>5801</v>
          </cell>
          <cell r="D1612" t="str">
            <v>01.10.1996</v>
          </cell>
          <cell r="E1612">
            <v>1</v>
          </cell>
          <cell r="F1612">
            <v>6393000424</v>
          </cell>
        </row>
        <row r="1613">
          <cell r="A1613">
            <v>3400003991</v>
          </cell>
          <cell r="B1613">
            <v>0</v>
          </cell>
          <cell r="C1613">
            <v>5801</v>
          </cell>
          <cell r="D1613" t="str">
            <v>01.10.1996</v>
          </cell>
          <cell r="E1613">
            <v>1</v>
          </cell>
          <cell r="F1613">
            <v>6393000436</v>
          </cell>
        </row>
        <row r="1614">
          <cell r="A1614">
            <v>3400003992</v>
          </cell>
          <cell r="B1614">
            <v>0</v>
          </cell>
          <cell r="C1614">
            <v>5801</v>
          </cell>
          <cell r="D1614" t="str">
            <v>01.10.1996</v>
          </cell>
          <cell r="E1614">
            <v>1</v>
          </cell>
          <cell r="F1614">
            <v>6393000448</v>
          </cell>
        </row>
        <row r="1615">
          <cell r="A1615">
            <v>3400003993</v>
          </cell>
          <cell r="B1615">
            <v>0</v>
          </cell>
          <cell r="C1615">
            <v>5801</v>
          </cell>
          <cell r="D1615" t="str">
            <v>01.10.1996</v>
          </cell>
          <cell r="E1615">
            <v>0</v>
          </cell>
          <cell r="F1615">
            <v>6393000459</v>
          </cell>
        </row>
        <row r="1616">
          <cell r="A1616">
            <v>3400003994</v>
          </cell>
          <cell r="B1616">
            <v>0</v>
          </cell>
          <cell r="C1616">
            <v>5801</v>
          </cell>
          <cell r="D1616" t="str">
            <v>01.10.1996</v>
          </cell>
          <cell r="E1616">
            <v>0</v>
          </cell>
          <cell r="F1616">
            <v>6393000461</v>
          </cell>
        </row>
        <row r="1617">
          <cell r="A1617">
            <v>3400003995</v>
          </cell>
          <cell r="B1617">
            <v>0</v>
          </cell>
          <cell r="C1617">
            <v>5801</v>
          </cell>
          <cell r="D1617" t="str">
            <v>01.10.1996</v>
          </cell>
          <cell r="E1617">
            <v>0</v>
          </cell>
          <cell r="F1617">
            <v>6393000485</v>
          </cell>
        </row>
        <row r="1618">
          <cell r="A1618">
            <v>3400003996</v>
          </cell>
          <cell r="B1618">
            <v>0</v>
          </cell>
          <cell r="C1618">
            <v>5801</v>
          </cell>
          <cell r="D1618" t="str">
            <v>01.10.1996</v>
          </cell>
          <cell r="E1618">
            <v>0</v>
          </cell>
          <cell r="F1618">
            <v>6393000497</v>
          </cell>
        </row>
        <row r="1619">
          <cell r="A1619">
            <v>3400003997</v>
          </cell>
          <cell r="B1619">
            <v>0</v>
          </cell>
          <cell r="C1619">
            <v>5801</v>
          </cell>
          <cell r="D1619" t="str">
            <v>01.10.1996</v>
          </cell>
          <cell r="E1619">
            <v>0</v>
          </cell>
          <cell r="F1619">
            <v>6393000503</v>
          </cell>
        </row>
        <row r="1620">
          <cell r="A1620">
            <v>3400003998</v>
          </cell>
          <cell r="B1620">
            <v>0</v>
          </cell>
          <cell r="C1620">
            <v>5801</v>
          </cell>
          <cell r="D1620" t="str">
            <v>01.10.1996</v>
          </cell>
          <cell r="E1620">
            <v>0</v>
          </cell>
          <cell r="F1620">
            <v>6393000515</v>
          </cell>
        </row>
        <row r="1621">
          <cell r="A1621">
            <v>3400003999</v>
          </cell>
          <cell r="B1621">
            <v>0</v>
          </cell>
          <cell r="C1621">
            <v>5801</v>
          </cell>
          <cell r="D1621" t="str">
            <v>01.10.1996</v>
          </cell>
          <cell r="E1621">
            <v>0</v>
          </cell>
          <cell r="F1621">
            <v>6393000527</v>
          </cell>
        </row>
        <row r="1622">
          <cell r="A1622">
            <v>3400004000</v>
          </cell>
          <cell r="B1622">
            <v>0</v>
          </cell>
          <cell r="C1622">
            <v>5801</v>
          </cell>
          <cell r="D1622" t="str">
            <v>01.10.1996</v>
          </cell>
          <cell r="E1622">
            <v>0</v>
          </cell>
          <cell r="F1622">
            <v>6393000539</v>
          </cell>
        </row>
        <row r="1623">
          <cell r="A1623">
            <v>3400004001</v>
          </cell>
          <cell r="B1623">
            <v>0</v>
          </cell>
          <cell r="C1623">
            <v>5801</v>
          </cell>
          <cell r="D1623" t="str">
            <v>01.10.1996</v>
          </cell>
          <cell r="E1623">
            <v>0</v>
          </cell>
          <cell r="F1623">
            <v>6393000540</v>
          </cell>
        </row>
        <row r="1624">
          <cell r="A1624">
            <v>3400004002</v>
          </cell>
          <cell r="B1624">
            <v>0</v>
          </cell>
          <cell r="C1624">
            <v>5801</v>
          </cell>
          <cell r="D1624" t="str">
            <v>01.10.1996</v>
          </cell>
          <cell r="E1624">
            <v>0</v>
          </cell>
          <cell r="F1624">
            <v>6393000552</v>
          </cell>
        </row>
        <row r="1625">
          <cell r="A1625">
            <v>3400004003</v>
          </cell>
          <cell r="B1625">
            <v>0</v>
          </cell>
          <cell r="C1625">
            <v>5801</v>
          </cell>
          <cell r="D1625" t="str">
            <v>01.10.1996</v>
          </cell>
          <cell r="E1625">
            <v>0</v>
          </cell>
          <cell r="F1625">
            <v>6393000564</v>
          </cell>
        </row>
        <row r="1626">
          <cell r="A1626">
            <v>3400004004</v>
          </cell>
          <cell r="B1626">
            <v>0</v>
          </cell>
          <cell r="C1626">
            <v>5801</v>
          </cell>
          <cell r="D1626" t="str">
            <v>01.10.1996</v>
          </cell>
          <cell r="E1626">
            <v>0</v>
          </cell>
          <cell r="F1626">
            <v>6393000576</v>
          </cell>
        </row>
        <row r="1627">
          <cell r="A1627">
            <v>3400004005</v>
          </cell>
          <cell r="B1627">
            <v>0</v>
          </cell>
          <cell r="C1627">
            <v>5801</v>
          </cell>
          <cell r="D1627" t="str">
            <v>01.10.1996</v>
          </cell>
          <cell r="E1627">
            <v>0</v>
          </cell>
          <cell r="F1627">
            <v>6393000588</v>
          </cell>
        </row>
        <row r="1628">
          <cell r="A1628">
            <v>3400004006</v>
          </cell>
          <cell r="B1628">
            <v>0</v>
          </cell>
          <cell r="C1628">
            <v>5801</v>
          </cell>
          <cell r="D1628" t="str">
            <v>01.10.1996</v>
          </cell>
          <cell r="E1628">
            <v>0</v>
          </cell>
          <cell r="F1628">
            <v>6393000599</v>
          </cell>
        </row>
        <row r="1629">
          <cell r="A1629">
            <v>3400004007</v>
          </cell>
          <cell r="B1629">
            <v>0</v>
          </cell>
          <cell r="C1629">
            <v>5801</v>
          </cell>
          <cell r="D1629" t="str">
            <v>01.10.1996</v>
          </cell>
          <cell r="E1629">
            <v>0</v>
          </cell>
          <cell r="F1629">
            <v>6393000606</v>
          </cell>
        </row>
        <row r="1630">
          <cell r="A1630">
            <v>3400004008</v>
          </cell>
          <cell r="B1630">
            <v>0</v>
          </cell>
          <cell r="C1630">
            <v>5801</v>
          </cell>
          <cell r="D1630" t="str">
            <v>01.10.1996</v>
          </cell>
          <cell r="E1630">
            <v>0</v>
          </cell>
          <cell r="F1630">
            <v>6393000618</v>
          </cell>
        </row>
        <row r="1631">
          <cell r="A1631">
            <v>3400004009</v>
          </cell>
          <cell r="B1631">
            <v>0</v>
          </cell>
          <cell r="C1631">
            <v>5801</v>
          </cell>
          <cell r="D1631" t="str">
            <v>01.10.1996</v>
          </cell>
          <cell r="E1631">
            <v>0</v>
          </cell>
          <cell r="F1631">
            <v>6393000629</v>
          </cell>
        </row>
        <row r="1632">
          <cell r="A1632">
            <v>3400004010</v>
          </cell>
          <cell r="B1632">
            <v>0</v>
          </cell>
          <cell r="C1632">
            <v>5801</v>
          </cell>
          <cell r="D1632" t="str">
            <v>01.10.1996</v>
          </cell>
          <cell r="E1632">
            <v>0</v>
          </cell>
          <cell r="F1632">
            <v>6393000631</v>
          </cell>
        </row>
        <row r="1633">
          <cell r="A1633">
            <v>3400004011</v>
          </cell>
          <cell r="B1633">
            <v>0</v>
          </cell>
          <cell r="C1633">
            <v>5801</v>
          </cell>
          <cell r="D1633" t="str">
            <v>01.10.1996</v>
          </cell>
          <cell r="E1633">
            <v>0</v>
          </cell>
          <cell r="F1633">
            <v>6393000643</v>
          </cell>
        </row>
        <row r="1634">
          <cell r="A1634">
            <v>3400004012</v>
          </cell>
          <cell r="B1634">
            <v>0</v>
          </cell>
          <cell r="C1634">
            <v>5801</v>
          </cell>
          <cell r="D1634" t="str">
            <v>01.10.1996</v>
          </cell>
          <cell r="E1634">
            <v>1</v>
          </cell>
          <cell r="F1634">
            <v>6393000655</v>
          </cell>
        </row>
        <row r="1635">
          <cell r="A1635">
            <v>3400004013</v>
          </cell>
          <cell r="B1635">
            <v>0</v>
          </cell>
          <cell r="C1635">
            <v>5801</v>
          </cell>
          <cell r="D1635" t="str">
            <v>01.10.1996</v>
          </cell>
          <cell r="E1635">
            <v>1</v>
          </cell>
          <cell r="F1635">
            <v>6393000667</v>
          </cell>
        </row>
        <row r="1636">
          <cell r="A1636">
            <v>3400004014</v>
          </cell>
          <cell r="B1636">
            <v>0</v>
          </cell>
          <cell r="C1636">
            <v>5801</v>
          </cell>
          <cell r="D1636" t="str">
            <v>01.10.1996</v>
          </cell>
          <cell r="E1636">
            <v>0</v>
          </cell>
          <cell r="F1636">
            <v>6393000679</v>
          </cell>
        </row>
        <row r="1637">
          <cell r="A1637">
            <v>3400004015</v>
          </cell>
          <cell r="B1637">
            <v>0</v>
          </cell>
          <cell r="C1637">
            <v>5801</v>
          </cell>
          <cell r="D1637" t="str">
            <v>01.10.1996</v>
          </cell>
          <cell r="E1637">
            <v>0</v>
          </cell>
          <cell r="F1637">
            <v>6393000680</v>
          </cell>
        </row>
        <row r="1638">
          <cell r="A1638">
            <v>3400004016</v>
          </cell>
          <cell r="B1638">
            <v>0</v>
          </cell>
          <cell r="C1638">
            <v>5801</v>
          </cell>
          <cell r="D1638" t="str">
            <v>01.10.1996</v>
          </cell>
          <cell r="E1638">
            <v>1</v>
          </cell>
          <cell r="F1638">
            <v>6393000692</v>
          </cell>
        </row>
        <row r="1639">
          <cell r="A1639">
            <v>3400004017</v>
          </cell>
          <cell r="B1639">
            <v>0</v>
          </cell>
          <cell r="C1639">
            <v>5801</v>
          </cell>
          <cell r="D1639" t="str">
            <v>01.10.1996</v>
          </cell>
          <cell r="E1639">
            <v>1</v>
          </cell>
          <cell r="F1639">
            <v>6393000710</v>
          </cell>
        </row>
        <row r="1640">
          <cell r="A1640">
            <v>3400004018</v>
          </cell>
          <cell r="B1640">
            <v>0</v>
          </cell>
          <cell r="C1640">
            <v>5801</v>
          </cell>
          <cell r="D1640" t="str">
            <v>01.10.1996</v>
          </cell>
          <cell r="E1640">
            <v>0</v>
          </cell>
          <cell r="F1640">
            <v>6393000722</v>
          </cell>
        </row>
        <row r="1641">
          <cell r="A1641">
            <v>3400004019</v>
          </cell>
          <cell r="B1641">
            <v>0</v>
          </cell>
          <cell r="C1641">
            <v>5801</v>
          </cell>
          <cell r="D1641" t="str">
            <v>01.10.1996</v>
          </cell>
          <cell r="E1641">
            <v>0</v>
          </cell>
          <cell r="F1641">
            <v>6393000734</v>
          </cell>
        </row>
        <row r="1642">
          <cell r="A1642">
            <v>3400004020</v>
          </cell>
          <cell r="B1642">
            <v>0</v>
          </cell>
          <cell r="C1642">
            <v>5801</v>
          </cell>
          <cell r="D1642" t="str">
            <v>01.10.1996</v>
          </cell>
          <cell r="E1642">
            <v>1</v>
          </cell>
          <cell r="F1642">
            <v>6393000758</v>
          </cell>
        </row>
        <row r="1643">
          <cell r="A1643">
            <v>3400004021</v>
          </cell>
          <cell r="B1643">
            <v>0</v>
          </cell>
          <cell r="C1643">
            <v>5801</v>
          </cell>
          <cell r="D1643" t="str">
            <v>01.10.1996</v>
          </cell>
          <cell r="E1643">
            <v>1</v>
          </cell>
          <cell r="F1643">
            <v>6393000769</v>
          </cell>
        </row>
        <row r="1644">
          <cell r="A1644">
            <v>3400004022</v>
          </cell>
          <cell r="B1644">
            <v>0</v>
          </cell>
          <cell r="C1644">
            <v>5801</v>
          </cell>
          <cell r="D1644" t="str">
            <v>01.10.1996</v>
          </cell>
          <cell r="E1644">
            <v>0</v>
          </cell>
          <cell r="F1644">
            <v>6393000783</v>
          </cell>
        </row>
        <row r="1645">
          <cell r="A1645">
            <v>3400004023</v>
          </cell>
          <cell r="B1645">
            <v>0</v>
          </cell>
          <cell r="C1645">
            <v>5801</v>
          </cell>
          <cell r="D1645" t="str">
            <v>01.10.1996</v>
          </cell>
          <cell r="E1645">
            <v>0</v>
          </cell>
          <cell r="F1645">
            <v>6393000795</v>
          </cell>
        </row>
        <row r="1646">
          <cell r="A1646">
            <v>3400004024</v>
          </cell>
          <cell r="B1646">
            <v>0</v>
          </cell>
          <cell r="C1646">
            <v>5801</v>
          </cell>
          <cell r="D1646" t="str">
            <v>01.10.1996</v>
          </cell>
          <cell r="E1646">
            <v>1</v>
          </cell>
          <cell r="F1646">
            <v>6393000801</v>
          </cell>
        </row>
        <row r="1647">
          <cell r="A1647">
            <v>3400004025</v>
          </cell>
          <cell r="B1647">
            <v>0</v>
          </cell>
          <cell r="C1647">
            <v>5801</v>
          </cell>
          <cell r="D1647" t="str">
            <v>01.10.1996</v>
          </cell>
          <cell r="E1647">
            <v>0</v>
          </cell>
          <cell r="F1647">
            <v>6393000813</v>
          </cell>
        </row>
        <row r="1648">
          <cell r="A1648">
            <v>3400004026</v>
          </cell>
          <cell r="B1648">
            <v>0</v>
          </cell>
          <cell r="C1648">
            <v>5801</v>
          </cell>
          <cell r="D1648" t="str">
            <v>01.10.1996</v>
          </cell>
          <cell r="E1648">
            <v>0</v>
          </cell>
          <cell r="F1648">
            <v>6393000825</v>
          </cell>
        </row>
        <row r="1649">
          <cell r="A1649">
            <v>3400004027</v>
          </cell>
          <cell r="B1649">
            <v>0</v>
          </cell>
          <cell r="C1649">
            <v>5801</v>
          </cell>
          <cell r="D1649" t="str">
            <v>01.10.1996</v>
          </cell>
          <cell r="E1649">
            <v>0</v>
          </cell>
          <cell r="F1649">
            <v>6393000837</v>
          </cell>
        </row>
        <row r="1650">
          <cell r="A1650">
            <v>3400004028</v>
          </cell>
          <cell r="B1650">
            <v>0</v>
          </cell>
          <cell r="C1650">
            <v>5801</v>
          </cell>
          <cell r="D1650" t="str">
            <v>01.10.1996</v>
          </cell>
          <cell r="E1650">
            <v>0</v>
          </cell>
          <cell r="F1650">
            <v>6393000862</v>
          </cell>
        </row>
        <row r="1651">
          <cell r="A1651">
            <v>3400004029</v>
          </cell>
          <cell r="B1651">
            <v>0</v>
          </cell>
          <cell r="C1651">
            <v>5801</v>
          </cell>
          <cell r="D1651" t="str">
            <v>01.10.1996</v>
          </cell>
          <cell r="E1651">
            <v>0</v>
          </cell>
          <cell r="F1651">
            <v>6393000874</v>
          </cell>
        </row>
        <row r="1652">
          <cell r="A1652">
            <v>3400004030</v>
          </cell>
          <cell r="B1652">
            <v>0</v>
          </cell>
          <cell r="C1652">
            <v>5801</v>
          </cell>
          <cell r="D1652" t="str">
            <v>01.10.1996</v>
          </cell>
          <cell r="E1652">
            <v>0</v>
          </cell>
          <cell r="F1652">
            <v>6393000886</v>
          </cell>
        </row>
        <row r="1653">
          <cell r="A1653">
            <v>3400004031</v>
          </cell>
          <cell r="B1653">
            <v>0</v>
          </cell>
          <cell r="C1653">
            <v>5801</v>
          </cell>
          <cell r="D1653" t="str">
            <v>01.10.1996</v>
          </cell>
          <cell r="E1653">
            <v>0</v>
          </cell>
          <cell r="F1653">
            <v>6393000898</v>
          </cell>
        </row>
        <row r="1654">
          <cell r="A1654">
            <v>3400004032</v>
          </cell>
          <cell r="B1654">
            <v>0</v>
          </cell>
          <cell r="C1654">
            <v>5801</v>
          </cell>
          <cell r="D1654" t="str">
            <v>01.10.1996</v>
          </cell>
          <cell r="E1654">
            <v>0</v>
          </cell>
          <cell r="F1654">
            <v>6393000916</v>
          </cell>
        </row>
        <row r="1655">
          <cell r="A1655">
            <v>3400004033</v>
          </cell>
          <cell r="B1655">
            <v>0</v>
          </cell>
          <cell r="C1655">
            <v>5801</v>
          </cell>
          <cell r="D1655" t="str">
            <v>01.10.1996</v>
          </cell>
          <cell r="E1655">
            <v>1</v>
          </cell>
          <cell r="F1655">
            <v>6393000928</v>
          </cell>
        </row>
        <row r="1656">
          <cell r="A1656">
            <v>3400004034</v>
          </cell>
          <cell r="B1656">
            <v>0</v>
          </cell>
          <cell r="C1656">
            <v>5801</v>
          </cell>
          <cell r="D1656" t="str">
            <v>01.10.1996</v>
          </cell>
          <cell r="E1656">
            <v>0</v>
          </cell>
          <cell r="F1656">
            <v>6393000939</v>
          </cell>
        </row>
        <row r="1657">
          <cell r="A1657">
            <v>3400004035</v>
          </cell>
          <cell r="B1657">
            <v>0</v>
          </cell>
          <cell r="C1657">
            <v>5801</v>
          </cell>
          <cell r="D1657" t="str">
            <v>01.10.1996</v>
          </cell>
          <cell r="E1657">
            <v>1</v>
          </cell>
          <cell r="F1657">
            <v>6393000941</v>
          </cell>
        </row>
        <row r="1658">
          <cell r="A1658">
            <v>3400004036</v>
          </cell>
          <cell r="B1658">
            <v>0</v>
          </cell>
          <cell r="C1658">
            <v>5801</v>
          </cell>
          <cell r="D1658" t="str">
            <v>01.10.1996</v>
          </cell>
          <cell r="E1658">
            <v>0</v>
          </cell>
          <cell r="F1658">
            <v>6393000953</v>
          </cell>
        </row>
        <row r="1659">
          <cell r="A1659">
            <v>3400004037</v>
          </cell>
          <cell r="B1659">
            <v>0</v>
          </cell>
          <cell r="C1659">
            <v>5801</v>
          </cell>
          <cell r="D1659" t="str">
            <v>01.10.1996</v>
          </cell>
          <cell r="E1659">
            <v>0</v>
          </cell>
          <cell r="F1659">
            <v>6393000965</v>
          </cell>
        </row>
        <row r="1660">
          <cell r="A1660">
            <v>3400004038</v>
          </cell>
          <cell r="B1660">
            <v>0</v>
          </cell>
          <cell r="C1660">
            <v>5801</v>
          </cell>
          <cell r="D1660" t="str">
            <v>01.10.1996</v>
          </cell>
          <cell r="E1660">
            <v>0</v>
          </cell>
          <cell r="F1660">
            <v>6393000977</v>
          </cell>
        </row>
        <row r="1661">
          <cell r="A1661">
            <v>3400004039</v>
          </cell>
          <cell r="B1661">
            <v>0</v>
          </cell>
          <cell r="C1661">
            <v>5801</v>
          </cell>
          <cell r="D1661" t="str">
            <v>01.10.1996</v>
          </cell>
          <cell r="E1661">
            <v>0</v>
          </cell>
          <cell r="F1661">
            <v>6393000989</v>
          </cell>
        </row>
        <row r="1662">
          <cell r="A1662">
            <v>3400004040</v>
          </cell>
          <cell r="B1662">
            <v>0</v>
          </cell>
          <cell r="C1662">
            <v>5801</v>
          </cell>
          <cell r="D1662" t="str">
            <v>01.10.1996</v>
          </cell>
          <cell r="E1662">
            <v>0</v>
          </cell>
          <cell r="F1662">
            <v>6393000990</v>
          </cell>
        </row>
        <row r="1663">
          <cell r="A1663">
            <v>3400004041</v>
          </cell>
          <cell r="B1663">
            <v>0</v>
          </cell>
          <cell r="C1663">
            <v>5801</v>
          </cell>
          <cell r="D1663" t="str">
            <v>01.10.1996</v>
          </cell>
          <cell r="E1663">
            <v>1</v>
          </cell>
          <cell r="F1663">
            <v>6393001007</v>
          </cell>
        </row>
        <row r="1664">
          <cell r="A1664">
            <v>3400004042</v>
          </cell>
          <cell r="B1664">
            <v>0</v>
          </cell>
          <cell r="C1664">
            <v>5801</v>
          </cell>
          <cell r="D1664" t="str">
            <v>01.10.1996</v>
          </cell>
          <cell r="E1664">
            <v>1</v>
          </cell>
          <cell r="F1664">
            <v>6393001015</v>
          </cell>
        </row>
        <row r="1665">
          <cell r="A1665">
            <v>3400004043</v>
          </cell>
          <cell r="B1665">
            <v>0</v>
          </cell>
          <cell r="C1665">
            <v>5801</v>
          </cell>
          <cell r="D1665" t="str">
            <v>01.10.1996</v>
          </cell>
          <cell r="E1665">
            <v>1</v>
          </cell>
          <cell r="F1665">
            <v>6393001023</v>
          </cell>
        </row>
        <row r="1666">
          <cell r="A1666">
            <v>3400004044</v>
          </cell>
          <cell r="B1666">
            <v>0</v>
          </cell>
          <cell r="C1666">
            <v>5801</v>
          </cell>
          <cell r="D1666" t="str">
            <v>01.10.1996</v>
          </cell>
          <cell r="E1666">
            <v>1</v>
          </cell>
          <cell r="F1666">
            <v>6393001031</v>
          </cell>
        </row>
        <row r="1667">
          <cell r="A1667">
            <v>3400004045</v>
          </cell>
          <cell r="B1667">
            <v>0</v>
          </cell>
          <cell r="C1667">
            <v>5801</v>
          </cell>
          <cell r="D1667" t="str">
            <v>01.10.1996</v>
          </cell>
          <cell r="E1667">
            <v>1</v>
          </cell>
          <cell r="F1667">
            <v>6393001040</v>
          </cell>
        </row>
        <row r="1668">
          <cell r="A1668">
            <v>3400004046</v>
          </cell>
          <cell r="B1668">
            <v>0</v>
          </cell>
          <cell r="C1668">
            <v>5801</v>
          </cell>
          <cell r="D1668" t="str">
            <v>01.10.1996</v>
          </cell>
          <cell r="E1668">
            <v>1</v>
          </cell>
          <cell r="F1668">
            <v>6393001052</v>
          </cell>
        </row>
        <row r="1669">
          <cell r="A1669">
            <v>3400004047</v>
          </cell>
          <cell r="B1669">
            <v>0</v>
          </cell>
          <cell r="C1669">
            <v>5801</v>
          </cell>
          <cell r="D1669" t="str">
            <v>01.10.1996</v>
          </cell>
          <cell r="E1669">
            <v>1</v>
          </cell>
          <cell r="F1669">
            <v>6393001064</v>
          </cell>
        </row>
        <row r="1670">
          <cell r="A1670">
            <v>3400004048</v>
          </cell>
          <cell r="B1670">
            <v>0</v>
          </cell>
          <cell r="C1670">
            <v>5801</v>
          </cell>
          <cell r="D1670" t="str">
            <v>01.10.1996</v>
          </cell>
          <cell r="E1670">
            <v>1</v>
          </cell>
          <cell r="F1670">
            <v>6393001076</v>
          </cell>
        </row>
        <row r="1671">
          <cell r="A1671">
            <v>3400004049</v>
          </cell>
          <cell r="B1671">
            <v>0</v>
          </cell>
          <cell r="C1671">
            <v>5801</v>
          </cell>
          <cell r="D1671" t="str">
            <v>01.10.1996</v>
          </cell>
          <cell r="E1671">
            <v>1</v>
          </cell>
          <cell r="F1671">
            <v>6393001088</v>
          </cell>
        </row>
        <row r="1672">
          <cell r="A1672">
            <v>3400004050</v>
          </cell>
          <cell r="B1672">
            <v>0</v>
          </cell>
          <cell r="C1672">
            <v>5801</v>
          </cell>
          <cell r="D1672" t="str">
            <v>01.10.1996</v>
          </cell>
          <cell r="E1672">
            <v>1</v>
          </cell>
          <cell r="F1672">
            <v>6393001099</v>
          </cell>
        </row>
        <row r="1673">
          <cell r="A1673">
            <v>3400004051</v>
          </cell>
          <cell r="B1673">
            <v>0</v>
          </cell>
          <cell r="C1673">
            <v>5801</v>
          </cell>
          <cell r="D1673" t="str">
            <v>01.10.1996</v>
          </cell>
          <cell r="E1673">
            <v>1</v>
          </cell>
          <cell r="F1673">
            <v>6393001104</v>
          </cell>
        </row>
        <row r="1674">
          <cell r="A1674">
            <v>3400004052</v>
          </cell>
          <cell r="B1674">
            <v>0</v>
          </cell>
          <cell r="C1674">
            <v>5801</v>
          </cell>
          <cell r="D1674" t="str">
            <v>01.10.1996</v>
          </cell>
          <cell r="E1674">
            <v>1</v>
          </cell>
          <cell r="F1674">
            <v>6393001112</v>
          </cell>
        </row>
        <row r="1675">
          <cell r="A1675">
            <v>3400004053</v>
          </cell>
          <cell r="B1675">
            <v>0</v>
          </cell>
          <cell r="C1675">
            <v>5801</v>
          </cell>
          <cell r="D1675" t="str">
            <v>01.10.1996</v>
          </cell>
          <cell r="E1675">
            <v>1</v>
          </cell>
          <cell r="F1675">
            <v>6393001129</v>
          </cell>
        </row>
        <row r="1676">
          <cell r="A1676">
            <v>3400004054</v>
          </cell>
          <cell r="B1676">
            <v>0</v>
          </cell>
          <cell r="C1676">
            <v>5801</v>
          </cell>
          <cell r="D1676" t="str">
            <v>01.10.1996</v>
          </cell>
          <cell r="E1676">
            <v>1</v>
          </cell>
          <cell r="F1676">
            <v>6393001131</v>
          </cell>
        </row>
        <row r="1677">
          <cell r="A1677">
            <v>3400004055</v>
          </cell>
          <cell r="B1677">
            <v>0</v>
          </cell>
          <cell r="C1677">
            <v>5801</v>
          </cell>
          <cell r="D1677" t="str">
            <v>01.10.1996</v>
          </cell>
          <cell r="E1677">
            <v>1</v>
          </cell>
          <cell r="F1677">
            <v>6393001143</v>
          </cell>
        </row>
        <row r="1678">
          <cell r="A1678">
            <v>3400004056</v>
          </cell>
          <cell r="B1678">
            <v>0</v>
          </cell>
          <cell r="C1678">
            <v>5801</v>
          </cell>
          <cell r="D1678" t="str">
            <v>01.10.1996</v>
          </cell>
          <cell r="E1678">
            <v>1</v>
          </cell>
          <cell r="F1678">
            <v>6393001155</v>
          </cell>
        </row>
        <row r="1679">
          <cell r="A1679">
            <v>3400004057</v>
          </cell>
          <cell r="B1679">
            <v>0</v>
          </cell>
          <cell r="C1679">
            <v>5801</v>
          </cell>
          <cell r="D1679" t="str">
            <v>01.10.1996</v>
          </cell>
          <cell r="E1679">
            <v>1</v>
          </cell>
          <cell r="F1679">
            <v>6393001167</v>
          </cell>
        </row>
        <row r="1680">
          <cell r="A1680">
            <v>3400004058</v>
          </cell>
          <cell r="B1680">
            <v>0</v>
          </cell>
          <cell r="C1680">
            <v>5801</v>
          </cell>
          <cell r="D1680" t="str">
            <v>01.10.1996</v>
          </cell>
          <cell r="E1680">
            <v>1</v>
          </cell>
          <cell r="F1680">
            <v>6393001179</v>
          </cell>
        </row>
        <row r="1681">
          <cell r="A1681">
            <v>3400004059</v>
          </cell>
          <cell r="B1681">
            <v>0</v>
          </cell>
          <cell r="C1681">
            <v>5801</v>
          </cell>
          <cell r="D1681" t="str">
            <v>01.10.1996</v>
          </cell>
          <cell r="E1681">
            <v>1</v>
          </cell>
          <cell r="F1681">
            <v>6393001180</v>
          </cell>
        </row>
        <row r="1682">
          <cell r="A1682">
            <v>3400004060</v>
          </cell>
          <cell r="B1682">
            <v>0</v>
          </cell>
          <cell r="C1682">
            <v>5801</v>
          </cell>
          <cell r="D1682" t="str">
            <v>01.10.1996</v>
          </cell>
          <cell r="E1682">
            <v>1</v>
          </cell>
          <cell r="F1682">
            <v>6393001192</v>
          </cell>
        </row>
        <row r="1683">
          <cell r="A1683">
            <v>3400004061</v>
          </cell>
          <cell r="B1683">
            <v>0</v>
          </cell>
          <cell r="C1683">
            <v>5801</v>
          </cell>
          <cell r="D1683" t="str">
            <v>01.10.1996</v>
          </cell>
          <cell r="E1683">
            <v>1</v>
          </cell>
          <cell r="F1683">
            <v>6393001201</v>
          </cell>
        </row>
        <row r="1684">
          <cell r="A1684">
            <v>3400004062</v>
          </cell>
          <cell r="B1684">
            <v>0</v>
          </cell>
          <cell r="C1684">
            <v>5801</v>
          </cell>
          <cell r="D1684" t="str">
            <v>01.10.1996</v>
          </cell>
          <cell r="E1684">
            <v>1</v>
          </cell>
          <cell r="F1684">
            <v>6393001210</v>
          </cell>
        </row>
        <row r="1685">
          <cell r="A1685">
            <v>3400004063</v>
          </cell>
          <cell r="B1685">
            <v>0</v>
          </cell>
          <cell r="C1685">
            <v>5801</v>
          </cell>
          <cell r="D1685" t="str">
            <v>01.10.1996</v>
          </cell>
          <cell r="E1685">
            <v>1</v>
          </cell>
          <cell r="F1685">
            <v>6393001222</v>
          </cell>
        </row>
        <row r="1686">
          <cell r="A1686">
            <v>3400004064</v>
          </cell>
          <cell r="B1686">
            <v>0</v>
          </cell>
          <cell r="C1686">
            <v>5801</v>
          </cell>
          <cell r="D1686" t="str">
            <v>01.10.1996</v>
          </cell>
          <cell r="E1686">
            <v>1</v>
          </cell>
          <cell r="F1686">
            <v>6393001234</v>
          </cell>
        </row>
        <row r="1687">
          <cell r="A1687">
            <v>3400004065</v>
          </cell>
          <cell r="B1687">
            <v>0</v>
          </cell>
          <cell r="C1687">
            <v>5801</v>
          </cell>
          <cell r="D1687" t="str">
            <v>01.10.1996</v>
          </cell>
          <cell r="E1687">
            <v>1</v>
          </cell>
          <cell r="F1687">
            <v>6393001246</v>
          </cell>
        </row>
        <row r="1688">
          <cell r="A1688">
            <v>3400004066</v>
          </cell>
          <cell r="B1688">
            <v>0</v>
          </cell>
          <cell r="C1688">
            <v>5801</v>
          </cell>
          <cell r="D1688" t="str">
            <v>01.10.1996</v>
          </cell>
          <cell r="E1688">
            <v>0</v>
          </cell>
          <cell r="F1688">
            <v>6393001258</v>
          </cell>
        </row>
        <row r="1689">
          <cell r="A1689">
            <v>3400004067</v>
          </cell>
          <cell r="B1689">
            <v>0</v>
          </cell>
          <cell r="C1689">
            <v>5801</v>
          </cell>
          <cell r="D1689" t="str">
            <v>01.10.1996</v>
          </cell>
          <cell r="E1689">
            <v>0</v>
          </cell>
          <cell r="F1689">
            <v>6393001269</v>
          </cell>
        </row>
        <row r="1690">
          <cell r="A1690">
            <v>3400004068</v>
          </cell>
          <cell r="B1690">
            <v>0</v>
          </cell>
          <cell r="C1690">
            <v>5801</v>
          </cell>
          <cell r="D1690" t="str">
            <v>01.10.1996</v>
          </cell>
          <cell r="E1690">
            <v>0</v>
          </cell>
          <cell r="F1690">
            <v>6393001271</v>
          </cell>
        </row>
        <row r="1691">
          <cell r="A1691">
            <v>3400004069</v>
          </cell>
          <cell r="B1691">
            <v>0</v>
          </cell>
          <cell r="C1691">
            <v>5801</v>
          </cell>
          <cell r="D1691" t="str">
            <v>01.10.1996</v>
          </cell>
          <cell r="E1691">
            <v>0</v>
          </cell>
          <cell r="F1691">
            <v>6393001283</v>
          </cell>
        </row>
        <row r="1692">
          <cell r="A1692">
            <v>3400004070</v>
          </cell>
          <cell r="B1692">
            <v>0</v>
          </cell>
          <cell r="C1692">
            <v>5801</v>
          </cell>
          <cell r="D1692" t="str">
            <v>01.10.1996</v>
          </cell>
          <cell r="E1692">
            <v>0</v>
          </cell>
          <cell r="F1692">
            <v>6393001295</v>
          </cell>
        </row>
        <row r="1693">
          <cell r="A1693">
            <v>3400004071</v>
          </cell>
          <cell r="B1693">
            <v>0</v>
          </cell>
          <cell r="C1693">
            <v>5801</v>
          </cell>
          <cell r="D1693" t="str">
            <v>01.10.1996</v>
          </cell>
          <cell r="E1693">
            <v>0</v>
          </cell>
          <cell r="F1693">
            <v>6393001301</v>
          </cell>
        </row>
        <row r="1694">
          <cell r="A1694">
            <v>3400004072</v>
          </cell>
          <cell r="B1694">
            <v>0</v>
          </cell>
          <cell r="C1694">
            <v>5801</v>
          </cell>
          <cell r="D1694" t="str">
            <v>01.10.1996</v>
          </cell>
          <cell r="E1694">
            <v>0</v>
          </cell>
          <cell r="F1694">
            <v>6393001313</v>
          </cell>
        </row>
        <row r="1695">
          <cell r="A1695">
            <v>3400004073</v>
          </cell>
          <cell r="B1695">
            <v>0</v>
          </cell>
          <cell r="C1695">
            <v>5801</v>
          </cell>
          <cell r="D1695" t="str">
            <v>01.10.1996</v>
          </cell>
          <cell r="E1695">
            <v>0</v>
          </cell>
          <cell r="F1695">
            <v>6393001325</v>
          </cell>
        </row>
        <row r="1696">
          <cell r="A1696">
            <v>3400004074</v>
          </cell>
          <cell r="B1696">
            <v>0</v>
          </cell>
          <cell r="C1696">
            <v>5801</v>
          </cell>
          <cell r="D1696" t="str">
            <v>01.10.1996</v>
          </cell>
          <cell r="E1696">
            <v>0</v>
          </cell>
          <cell r="F1696">
            <v>6393001337</v>
          </cell>
        </row>
        <row r="1697">
          <cell r="A1697">
            <v>3400004075</v>
          </cell>
          <cell r="B1697">
            <v>0</v>
          </cell>
          <cell r="C1697">
            <v>5801</v>
          </cell>
          <cell r="D1697" t="str">
            <v>01.10.1996</v>
          </cell>
          <cell r="E1697">
            <v>0</v>
          </cell>
          <cell r="F1697">
            <v>6393001349</v>
          </cell>
        </row>
        <row r="1698">
          <cell r="A1698">
            <v>3400004076</v>
          </cell>
          <cell r="B1698">
            <v>0</v>
          </cell>
          <cell r="C1698">
            <v>5801</v>
          </cell>
          <cell r="D1698" t="str">
            <v>01.10.1996</v>
          </cell>
          <cell r="E1698">
            <v>0</v>
          </cell>
          <cell r="F1698">
            <v>6393001350</v>
          </cell>
        </row>
        <row r="1699">
          <cell r="A1699">
            <v>3400004077</v>
          </cell>
          <cell r="B1699">
            <v>0</v>
          </cell>
          <cell r="C1699">
            <v>5801</v>
          </cell>
          <cell r="D1699" t="str">
            <v>01.10.1996</v>
          </cell>
          <cell r="E1699">
            <v>1</v>
          </cell>
          <cell r="F1699">
            <v>6393001362</v>
          </cell>
        </row>
        <row r="1700">
          <cell r="A1700">
            <v>3400004078</v>
          </cell>
          <cell r="B1700">
            <v>0</v>
          </cell>
          <cell r="C1700">
            <v>5801</v>
          </cell>
          <cell r="D1700" t="str">
            <v>01.10.1996</v>
          </cell>
          <cell r="E1700">
            <v>1</v>
          </cell>
          <cell r="F1700">
            <v>6393001374</v>
          </cell>
        </row>
        <row r="1701">
          <cell r="A1701">
            <v>3400004079</v>
          </cell>
          <cell r="B1701">
            <v>0</v>
          </cell>
          <cell r="C1701">
            <v>5801</v>
          </cell>
          <cell r="D1701" t="str">
            <v>01.10.1996</v>
          </cell>
          <cell r="E1701">
            <v>1</v>
          </cell>
          <cell r="F1701">
            <v>6393001386</v>
          </cell>
        </row>
        <row r="1702">
          <cell r="A1702">
            <v>3400004080</v>
          </cell>
          <cell r="B1702">
            <v>0</v>
          </cell>
          <cell r="C1702">
            <v>5801</v>
          </cell>
          <cell r="D1702" t="str">
            <v>01.10.1996</v>
          </cell>
          <cell r="E1702">
            <v>0</v>
          </cell>
          <cell r="F1702">
            <v>6393001398</v>
          </cell>
        </row>
        <row r="1703">
          <cell r="A1703">
            <v>3400004081</v>
          </cell>
          <cell r="B1703">
            <v>0</v>
          </cell>
          <cell r="C1703">
            <v>5801</v>
          </cell>
          <cell r="D1703" t="str">
            <v>01.10.1996</v>
          </cell>
          <cell r="E1703">
            <v>1</v>
          </cell>
          <cell r="F1703">
            <v>6393001404</v>
          </cell>
        </row>
        <row r="1704">
          <cell r="A1704">
            <v>3400004082</v>
          </cell>
          <cell r="B1704">
            <v>0</v>
          </cell>
          <cell r="C1704">
            <v>5801</v>
          </cell>
          <cell r="D1704" t="str">
            <v>01.10.1996</v>
          </cell>
          <cell r="E1704">
            <v>1</v>
          </cell>
          <cell r="F1704">
            <v>6393001416</v>
          </cell>
        </row>
        <row r="1705">
          <cell r="A1705">
            <v>3400004083</v>
          </cell>
          <cell r="B1705">
            <v>0</v>
          </cell>
          <cell r="C1705">
            <v>6230</v>
          </cell>
          <cell r="D1705" t="str">
            <v>01.10.1996</v>
          </cell>
          <cell r="E1705">
            <v>0</v>
          </cell>
          <cell r="F1705">
            <v>6393001428</v>
          </cell>
        </row>
        <row r="1706">
          <cell r="A1706">
            <v>3400004084</v>
          </cell>
          <cell r="B1706">
            <v>0</v>
          </cell>
          <cell r="C1706">
            <v>5801</v>
          </cell>
          <cell r="D1706" t="str">
            <v>01.10.1996</v>
          </cell>
          <cell r="E1706">
            <v>1</v>
          </cell>
          <cell r="F1706">
            <v>6393001439</v>
          </cell>
        </row>
        <row r="1707">
          <cell r="A1707">
            <v>3400004085</v>
          </cell>
          <cell r="B1707">
            <v>0</v>
          </cell>
          <cell r="C1707">
            <v>5801</v>
          </cell>
          <cell r="D1707" t="str">
            <v>01.10.1996</v>
          </cell>
          <cell r="E1707">
            <v>1</v>
          </cell>
          <cell r="F1707">
            <v>6393001441</v>
          </cell>
        </row>
        <row r="1708">
          <cell r="A1708">
            <v>3400004086</v>
          </cell>
          <cell r="B1708">
            <v>0</v>
          </cell>
          <cell r="C1708">
            <v>5801</v>
          </cell>
          <cell r="D1708" t="str">
            <v>01.10.1996</v>
          </cell>
          <cell r="E1708">
            <v>0</v>
          </cell>
          <cell r="F1708">
            <v>6393001453</v>
          </cell>
        </row>
        <row r="1709">
          <cell r="A1709">
            <v>3400004087</v>
          </cell>
          <cell r="B1709">
            <v>0</v>
          </cell>
          <cell r="C1709">
            <v>5801</v>
          </cell>
          <cell r="D1709" t="str">
            <v>01.10.1996</v>
          </cell>
          <cell r="E1709">
            <v>1</v>
          </cell>
          <cell r="F1709">
            <v>6393001465</v>
          </cell>
        </row>
        <row r="1710">
          <cell r="A1710">
            <v>3400004088</v>
          </cell>
          <cell r="B1710">
            <v>0</v>
          </cell>
          <cell r="C1710">
            <v>5801</v>
          </cell>
          <cell r="D1710" t="str">
            <v>01.10.1996</v>
          </cell>
          <cell r="E1710">
            <v>0</v>
          </cell>
          <cell r="F1710">
            <v>6393001477</v>
          </cell>
        </row>
        <row r="1711">
          <cell r="A1711">
            <v>3400004089</v>
          </cell>
          <cell r="B1711">
            <v>0</v>
          </cell>
          <cell r="C1711">
            <v>5801</v>
          </cell>
          <cell r="D1711" t="str">
            <v>01.10.1996</v>
          </cell>
          <cell r="E1711">
            <v>0</v>
          </cell>
          <cell r="F1711">
            <v>6393001489</v>
          </cell>
        </row>
        <row r="1712">
          <cell r="A1712">
            <v>3400004090</v>
          </cell>
          <cell r="B1712">
            <v>0</v>
          </cell>
          <cell r="C1712">
            <v>5800</v>
          </cell>
          <cell r="D1712" t="str">
            <v>01.10.1996</v>
          </cell>
          <cell r="E1712">
            <v>1</v>
          </cell>
          <cell r="F1712">
            <v>6393001490</v>
          </cell>
        </row>
        <row r="1713">
          <cell r="A1713">
            <v>3400004091</v>
          </cell>
          <cell r="B1713">
            <v>0</v>
          </cell>
          <cell r="C1713">
            <v>5900</v>
          </cell>
          <cell r="D1713" t="str">
            <v>01.09.1993</v>
          </cell>
          <cell r="E1713">
            <v>0</v>
          </cell>
          <cell r="F1713">
            <v>6393001507</v>
          </cell>
        </row>
        <row r="1714">
          <cell r="A1714">
            <v>3400004092</v>
          </cell>
          <cell r="B1714">
            <v>0</v>
          </cell>
          <cell r="C1714">
            <v>5900</v>
          </cell>
          <cell r="D1714" t="str">
            <v>01.09.1993</v>
          </cell>
          <cell r="E1714">
            <v>3</v>
          </cell>
          <cell r="F1714">
            <v>6393001519</v>
          </cell>
        </row>
        <row r="1715">
          <cell r="A1715">
            <v>3400004093</v>
          </cell>
          <cell r="B1715">
            <v>0</v>
          </cell>
          <cell r="C1715">
            <v>5900</v>
          </cell>
          <cell r="D1715" t="str">
            <v>01.09.1993</v>
          </cell>
          <cell r="E1715">
            <v>0</v>
          </cell>
          <cell r="F1715">
            <v>6393001520</v>
          </cell>
        </row>
        <row r="1716">
          <cell r="A1716">
            <v>3400004795</v>
          </cell>
          <cell r="B1716">
            <v>0</v>
          </cell>
          <cell r="C1716">
            <v>5800</v>
          </cell>
          <cell r="D1716" t="str">
            <v>01.10.1996</v>
          </cell>
          <cell r="E1716">
            <v>1</v>
          </cell>
          <cell r="F1716">
            <v>6393001532</v>
          </cell>
        </row>
        <row r="1717">
          <cell r="A1717">
            <v>3400004094</v>
          </cell>
          <cell r="B1717">
            <v>0</v>
          </cell>
          <cell r="C1717">
            <v>5801</v>
          </cell>
          <cell r="D1717" t="str">
            <v>01.10.1996</v>
          </cell>
          <cell r="E1717">
            <v>1</v>
          </cell>
          <cell r="F1717">
            <v>6393001544</v>
          </cell>
        </row>
        <row r="1718">
          <cell r="A1718">
            <v>3400004095</v>
          </cell>
          <cell r="B1718">
            <v>0</v>
          </cell>
          <cell r="C1718">
            <v>5900</v>
          </cell>
          <cell r="D1718" t="str">
            <v>01.09.1993</v>
          </cell>
          <cell r="E1718">
            <v>5</v>
          </cell>
          <cell r="F1718">
            <v>6393001556</v>
          </cell>
        </row>
        <row r="1719">
          <cell r="A1719">
            <v>3400004096</v>
          </cell>
          <cell r="B1719">
            <v>0</v>
          </cell>
          <cell r="C1719">
            <v>5801</v>
          </cell>
          <cell r="D1719" t="str">
            <v>01.10.1996</v>
          </cell>
          <cell r="E1719">
            <v>0</v>
          </cell>
          <cell r="F1719">
            <v>6393001568</v>
          </cell>
        </row>
        <row r="1720">
          <cell r="A1720">
            <v>3400004097</v>
          </cell>
          <cell r="B1720">
            <v>0</v>
          </cell>
          <cell r="C1720">
            <v>5400</v>
          </cell>
          <cell r="D1720" t="str">
            <v>01.10.1996</v>
          </cell>
          <cell r="E1720">
            <v>0</v>
          </cell>
          <cell r="F1720">
            <v>6393001579</v>
          </cell>
        </row>
        <row r="1721">
          <cell r="A1721">
            <v>3400004098</v>
          </cell>
          <cell r="B1721">
            <v>0</v>
          </cell>
          <cell r="C1721">
            <v>5400</v>
          </cell>
          <cell r="D1721" t="str">
            <v>01.10.1996</v>
          </cell>
          <cell r="E1721">
            <v>0</v>
          </cell>
          <cell r="F1721">
            <v>6393001581</v>
          </cell>
        </row>
        <row r="1722">
          <cell r="A1722">
            <v>3400004099</v>
          </cell>
          <cell r="B1722">
            <v>0</v>
          </cell>
          <cell r="C1722">
            <v>5400</v>
          </cell>
          <cell r="D1722" t="str">
            <v>01.10.1996</v>
          </cell>
          <cell r="E1722">
            <v>0</v>
          </cell>
          <cell r="F1722">
            <v>6393001593</v>
          </cell>
        </row>
        <row r="1723">
          <cell r="A1723">
            <v>3400004100</v>
          </cell>
          <cell r="B1723">
            <v>0</v>
          </cell>
          <cell r="C1723">
            <v>5400</v>
          </cell>
          <cell r="D1723" t="str">
            <v>01.10.1996</v>
          </cell>
          <cell r="E1723">
            <v>1</v>
          </cell>
          <cell r="F1723">
            <v>6393001609</v>
          </cell>
        </row>
        <row r="1724">
          <cell r="A1724">
            <v>3400004101</v>
          </cell>
          <cell r="B1724">
            <v>0</v>
          </cell>
          <cell r="C1724">
            <v>5400</v>
          </cell>
          <cell r="D1724" t="str">
            <v>01.10.1996</v>
          </cell>
          <cell r="E1724">
            <v>1</v>
          </cell>
          <cell r="F1724">
            <v>6393001611</v>
          </cell>
        </row>
        <row r="1725">
          <cell r="A1725">
            <v>3400004102</v>
          </cell>
          <cell r="B1725">
            <v>0</v>
          </cell>
          <cell r="C1725">
            <v>5400</v>
          </cell>
          <cell r="D1725" t="str">
            <v>01.10.1996</v>
          </cell>
          <cell r="E1725">
            <v>0</v>
          </cell>
          <cell r="F1725">
            <v>6393001623</v>
          </cell>
        </row>
        <row r="1726">
          <cell r="A1726">
            <v>3400004103</v>
          </cell>
          <cell r="B1726">
            <v>0</v>
          </cell>
          <cell r="C1726">
            <v>5400</v>
          </cell>
          <cell r="D1726" t="str">
            <v>01.10.1996</v>
          </cell>
          <cell r="E1726">
            <v>0</v>
          </cell>
          <cell r="F1726">
            <v>6393001635</v>
          </cell>
        </row>
        <row r="1727">
          <cell r="A1727">
            <v>3400004104</v>
          </cell>
          <cell r="B1727">
            <v>0</v>
          </cell>
          <cell r="C1727">
            <v>5400</v>
          </cell>
          <cell r="D1727" t="str">
            <v>01.10.1996</v>
          </cell>
          <cell r="E1727">
            <v>0</v>
          </cell>
          <cell r="F1727">
            <v>6393001647</v>
          </cell>
        </row>
        <row r="1728">
          <cell r="A1728">
            <v>3400004105</v>
          </cell>
          <cell r="B1728">
            <v>0</v>
          </cell>
          <cell r="C1728">
            <v>5400</v>
          </cell>
          <cell r="D1728" t="str">
            <v>01.10.1996</v>
          </cell>
          <cell r="E1728">
            <v>0</v>
          </cell>
          <cell r="F1728">
            <v>6393001659</v>
          </cell>
        </row>
        <row r="1729">
          <cell r="A1729">
            <v>3400004106</v>
          </cell>
          <cell r="B1729">
            <v>0</v>
          </cell>
          <cell r="C1729">
            <v>5400</v>
          </cell>
          <cell r="D1729" t="str">
            <v>01.10.1996</v>
          </cell>
          <cell r="E1729">
            <v>0</v>
          </cell>
          <cell r="F1729">
            <v>6393001660</v>
          </cell>
        </row>
        <row r="1730">
          <cell r="A1730">
            <v>3400004107</v>
          </cell>
          <cell r="B1730">
            <v>0</v>
          </cell>
          <cell r="C1730">
            <v>6801</v>
          </cell>
          <cell r="D1730" t="str">
            <v>01.10.1996</v>
          </cell>
          <cell r="E1730">
            <v>0</v>
          </cell>
          <cell r="F1730">
            <v>6393001672</v>
          </cell>
        </row>
        <row r="1731">
          <cell r="A1731">
            <v>3400004108</v>
          </cell>
          <cell r="B1731">
            <v>0</v>
          </cell>
          <cell r="C1731">
            <v>6801</v>
          </cell>
          <cell r="D1731" t="str">
            <v>01.10.1996</v>
          </cell>
          <cell r="E1731">
            <v>0</v>
          </cell>
          <cell r="F1731">
            <v>6393001684</v>
          </cell>
        </row>
        <row r="1732">
          <cell r="A1732">
            <v>3400004109</v>
          </cell>
          <cell r="B1732">
            <v>0</v>
          </cell>
          <cell r="C1732">
            <v>6801</v>
          </cell>
          <cell r="D1732" t="str">
            <v>01.10.1996</v>
          </cell>
          <cell r="E1732">
            <v>0</v>
          </cell>
          <cell r="F1732">
            <v>6393001696</v>
          </cell>
        </row>
        <row r="1733">
          <cell r="A1733">
            <v>3400004110</v>
          </cell>
          <cell r="B1733">
            <v>0</v>
          </cell>
          <cell r="C1733">
            <v>6801</v>
          </cell>
          <cell r="D1733" t="str">
            <v>01.10.1996</v>
          </cell>
          <cell r="E1733">
            <v>0</v>
          </cell>
          <cell r="F1733">
            <v>6393001702</v>
          </cell>
        </row>
        <row r="1734">
          <cell r="A1734">
            <v>3400004111</v>
          </cell>
          <cell r="B1734">
            <v>0</v>
          </cell>
          <cell r="C1734">
            <v>6801</v>
          </cell>
          <cell r="D1734" t="str">
            <v>01.10.1996</v>
          </cell>
          <cell r="E1734">
            <v>0</v>
          </cell>
          <cell r="F1734">
            <v>6393001714</v>
          </cell>
        </row>
        <row r="1735">
          <cell r="A1735">
            <v>3400004112</v>
          </cell>
          <cell r="B1735">
            <v>0</v>
          </cell>
          <cell r="C1735">
            <v>6801</v>
          </cell>
          <cell r="D1735" t="str">
            <v>01.10.1996</v>
          </cell>
          <cell r="E1735">
            <v>0</v>
          </cell>
          <cell r="F1735">
            <v>6393001726</v>
          </cell>
        </row>
        <row r="1736">
          <cell r="A1736">
            <v>3400004113</v>
          </cell>
          <cell r="B1736">
            <v>0</v>
          </cell>
          <cell r="C1736">
            <v>6801</v>
          </cell>
          <cell r="D1736" t="str">
            <v>01.10.1996</v>
          </cell>
          <cell r="E1736">
            <v>0</v>
          </cell>
          <cell r="F1736">
            <v>6393001738</v>
          </cell>
        </row>
        <row r="1737">
          <cell r="A1737">
            <v>3400004114</v>
          </cell>
          <cell r="B1737">
            <v>0</v>
          </cell>
          <cell r="C1737">
            <v>6801</v>
          </cell>
          <cell r="D1737" t="str">
            <v>01.10.1996</v>
          </cell>
          <cell r="E1737">
            <v>0</v>
          </cell>
          <cell r="F1737">
            <v>6393001749</v>
          </cell>
        </row>
        <row r="1738">
          <cell r="A1738">
            <v>3400004115</v>
          </cell>
          <cell r="B1738">
            <v>0</v>
          </cell>
          <cell r="C1738">
            <v>6801</v>
          </cell>
          <cell r="D1738" t="str">
            <v>01.10.1996</v>
          </cell>
          <cell r="E1738">
            <v>0</v>
          </cell>
          <cell r="F1738">
            <v>6393001751</v>
          </cell>
        </row>
        <row r="1739">
          <cell r="A1739">
            <v>3400004116</v>
          </cell>
          <cell r="B1739">
            <v>0</v>
          </cell>
          <cell r="C1739">
            <v>6801</v>
          </cell>
          <cell r="D1739" t="str">
            <v>01.10.1996</v>
          </cell>
          <cell r="E1739">
            <v>0</v>
          </cell>
          <cell r="F1739">
            <v>6393001763</v>
          </cell>
        </row>
        <row r="1740">
          <cell r="A1740">
            <v>3400004117</v>
          </cell>
          <cell r="B1740">
            <v>0</v>
          </cell>
          <cell r="C1740">
            <v>6801</v>
          </cell>
          <cell r="D1740" t="str">
            <v>01.10.1996</v>
          </cell>
          <cell r="E1740">
            <v>1</v>
          </cell>
          <cell r="F1740">
            <v>6393001775</v>
          </cell>
        </row>
        <row r="1741">
          <cell r="A1741">
            <v>3400004118</v>
          </cell>
          <cell r="B1741">
            <v>0</v>
          </cell>
          <cell r="C1741">
            <v>6801</v>
          </cell>
          <cell r="D1741" t="str">
            <v>01.10.1996</v>
          </cell>
          <cell r="E1741">
            <v>1</v>
          </cell>
          <cell r="F1741">
            <v>6393001787</v>
          </cell>
        </row>
        <row r="1742">
          <cell r="A1742">
            <v>3400004119</v>
          </cell>
          <cell r="B1742">
            <v>0</v>
          </cell>
          <cell r="C1742">
            <v>6801</v>
          </cell>
          <cell r="D1742" t="str">
            <v>01.10.1996</v>
          </cell>
          <cell r="E1742">
            <v>1</v>
          </cell>
          <cell r="F1742">
            <v>6393001799</v>
          </cell>
        </row>
        <row r="1743">
          <cell r="A1743">
            <v>3400004120</v>
          </cell>
          <cell r="B1743">
            <v>0</v>
          </cell>
          <cell r="C1743">
            <v>6801</v>
          </cell>
          <cell r="D1743" t="str">
            <v>01.10.1996</v>
          </cell>
          <cell r="E1743">
            <v>1</v>
          </cell>
          <cell r="F1743">
            <v>6393001805</v>
          </cell>
        </row>
        <row r="1744">
          <cell r="A1744">
            <v>3400004121</v>
          </cell>
          <cell r="B1744">
            <v>0</v>
          </cell>
          <cell r="C1744">
            <v>6801</v>
          </cell>
          <cell r="D1744" t="str">
            <v>01.10.1996</v>
          </cell>
          <cell r="E1744">
            <v>0</v>
          </cell>
          <cell r="F1744">
            <v>6393001817</v>
          </cell>
        </row>
        <row r="1745">
          <cell r="A1745">
            <v>3400004122</v>
          </cell>
          <cell r="B1745">
            <v>1</v>
          </cell>
          <cell r="C1745">
            <v>6801</v>
          </cell>
          <cell r="D1745" t="str">
            <v>01.10.1996</v>
          </cell>
          <cell r="E1745">
            <v>0</v>
          </cell>
          <cell r="F1745">
            <v>6393001829</v>
          </cell>
        </row>
        <row r="1746">
          <cell r="A1746">
            <v>3400004122</v>
          </cell>
          <cell r="B1746">
            <v>0</v>
          </cell>
          <cell r="C1746">
            <v>6801</v>
          </cell>
          <cell r="D1746" t="str">
            <v>01.10.1996</v>
          </cell>
          <cell r="E1746">
            <v>0</v>
          </cell>
          <cell r="F1746">
            <v>6393001829</v>
          </cell>
        </row>
        <row r="1747">
          <cell r="A1747">
            <v>3400004123</v>
          </cell>
          <cell r="B1747">
            <v>0</v>
          </cell>
          <cell r="C1747">
            <v>6801</v>
          </cell>
          <cell r="D1747" t="str">
            <v>01.10.1996</v>
          </cell>
          <cell r="E1747">
            <v>0</v>
          </cell>
          <cell r="F1747">
            <v>6393001830</v>
          </cell>
        </row>
        <row r="1748">
          <cell r="A1748">
            <v>3400004123</v>
          </cell>
          <cell r="B1748">
            <v>1</v>
          </cell>
          <cell r="C1748">
            <v>6801</v>
          </cell>
          <cell r="D1748" t="str">
            <v>01.10.1996</v>
          </cell>
          <cell r="E1748">
            <v>0</v>
          </cell>
          <cell r="F1748">
            <v>6393001830</v>
          </cell>
        </row>
        <row r="1749">
          <cell r="A1749">
            <v>3400004124</v>
          </cell>
          <cell r="B1749">
            <v>1</v>
          </cell>
          <cell r="C1749">
            <v>6801</v>
          </cell>
          <cell r="D1749" t="str">
            <v>01.10.1996</v>
          </cell>
          <cell r="E1749">
            <v>0</v>
          </cell>
          <cell r="F1749">
            <v>6393001842</v>
          </cell>
        </row>
        <row r="1750">
          <cell r="A1750">
            <v>3400004124</v>
          </cell>
          <cell r="B1750">
            <v>0</v>
          </cell>
          <cell r="C1750">
            <v>6801</v>
          </cell>
          <cell r="D1750" t="str">
            <v>01.10.1996</v>
          </cell>
          <cell r="E1750">
            <v>1</v>
          </cell>
          <cell r="F1750">
            <v>6393001842</v>
          </cell>
        </row>
        <row r="1751">
          <cell r="A1751">
            <v>3400004125</v>
          </cell>
          <cell r="B1751">
            <v>0</v>
          </cell>
          <cell r="C1751">
            <v>6801</v>
          </cell>
          <cell r="D1751" t="str">
            <v>01.10.1996</v>
          </cell>
          <cell r="E1751">
            <v>1</v>
          </cell>
          <cell r="F1751">
            <v>6393001854</v>
          </cell>
        </row>
        <row r="1752">
          <cell r="A1752">
            <v>3400004125</v>
          </cell>
          <cell r="B1752">
            <v>1</v>
          </cell>
          <cell r="C1752">
            <v>6801</v>
          </cell>
          <cell r="D1752" t="str">
            <v>01.10.1996</v>
          </cell>
          <cell r="E1752">
            <v>0</v>
          </cell>
          <cell r="F1752">
            <v>6393001854</v>
          </cell>
        </row>
        <row r="1753">
          <cell r="A1753">
            <v>3400004126</v>
          </cell>
          <cell r="B1753">
            <v>0</v>
          </cell>
          <cell r="C1753">
            <v>6801</v>
          </cell>
          <cell r="D1753" t="str">
            <v>01.10.1996</v>
          </cell>
          <cell r="E1753">
            <v>1</v>
          </cell>
          <cell r="F1753">
            <v>6393001866</v>
          </cell>
        </row>
        <row r="1754">
          <cell r="A1754">
            <v>3400004126</v>
          </cell>
          <cell r="B1754">
            <v>1</v>
          </cell>
          <cell r="C1754">
            <v>6801</v>
          </cell>
          <cell r="D1754" t="str">
            <v>01.10.1996</v>
          </cell>
          <cell r="E1754">
            <v>0</v>
          </cell>
          <cell r="F1754">
            <v>6393001866</v>
          </cell>
        </row>
        <row r="1755">
          <cell r="A1755">
            <v>3400004127</v>
          </cell>
          <cell r="B1755">
            <v>0</v>
          </cell>
          <cell r="C1755">
            <v>6801</v>
          </cell>
          <cell r="D1755" t="str">
            <v>01.10.1996</v>
          </cell>
          <cell r="E1755">
            <v>0</v>
          </cell>
          <cell r="F1755">
            <v>6393001878</v>
          </cell>
        </row>
        <row r="1756">
          <cell r="A1756">
            <v>3400004128</v>
          </cell>
          <cell r="B1756">
            <v>0</v>
          </cell>
          <cell r="C1756">
            <v>6801</v>
          </cell>
          <cell r="D1756" t="str">
            <v>01.10.1996</v>
          </cell>
          <cell r="E1756">
            <v>1</v>
          </cell>
          <cell r="F1756">
            <v>6393001889</v>
          </cell>
        </row>
        <row r="1757">
          <cell r="A1757">
            <v>3400004129</v>
          </cell>
          <cell r="B1757">
            <v>0</v>
          </cell>
          <cell r="C1757">
            <v>6801</v>
          </cell>
          <cell r="D1757" t="str">
            <v>01.10.1996</v>
          </cell>
          <cell r="E1757">
            <v>1</v>
          </cell>
          <cell r="F1757">
            <v>6393001891</v>
          </cell>
        </row>
        <row r="1758">
          <cell r="A1758">
            <v>3400004130</v>
          </cell>
          <cell r="B1758">
            <v>0</v>
          </cell>
          <cell r="C1758">
            <v>6801</v>
          </cell>
          <cell r="D1758" t="str">
            <v>01.10.1996</v>
          </cell>
          <cell r="E1758">
            <v>1</v>
          </cell>
          <cell r="F1758">
            <v>6393001908</v>
          </cell>
        </row>
        <row r="1759">
          <cell r="A1759">
            <v>3400004131</v>
          </cell>
          <cell r="B1759">
            <v>0</v>
          </cell>
          <cell r="C1759">
            <v>6801</v>
          </cell>
          <cell r="D1759" t="str">
            <v>01.10.1996</v>
          </cell>
          <cell r="E1759">
            <v>1</v>
          </cell>
          <cell r="F1759">
            <v>6393001919</v>
          </cell>
        </row>
        <row r="1760">
          <cell r="A1760">
            <v>3400004132</v>
          </cell>
          <cell r="B1760">
            <v>0</v>
          </cell>
          <cell r="C1760">
            <v>5400</v>
          </cell>
          <cell r="D1760" t="str">
            <v>01.10.1996</v>
          </cell>
          <cell r="E1760">
            <v>0</v>
          </cell>
          <cell r="F1760">
            <v>6393001921</v>
          </cell>
        </row>
        <row r="1761">
          <cell r="A1761">
            <v>3400004132</v>
          </cell>
          <cell r="B1761">
            <v>1</v>
          </cell>
          <cell r="C1761">
            <v>5400</v>
          </cell>
          <cell r="D1761" t="str">
            <v>01.10.1996</v>
          </cell>
          <cell r="E1761">
            <v>0</v>
          </cell>
          <cell r="F1761">
            <v>6393001921</v>
          </cell>
        </row>
        <row r="1762">
          <cell r="A1762">
            <v>3400004133</v>
          </cell>
          <cell r="B1762">
            <v>0</v>
          </cell>
          <cell r="C1762">
            <v>6801</v>
          </cell>
          <cell r="D1762" t="str">
            <v>01.10.1996</v>
          </cell>
          <cell r="E1762">
            <v>0</v>
          </cell>
          <cell r="F1762">
            <v>6393001933</v>
          </cell>
        </row>
        <row r="1763">
          <cell r="A1763">
            <v>3400004134</v>
          </cell>
          <cell r="B1763">
            <v>0</v>
          </cell>
          <cell r="C1763">
            <v>6801</v>
          </cell>
          <cell r="D1763" t="str">
            <v>01.10.1996</v>
          </cell>
          <cell r="E1763">
            <v>0</v>
          </cell>
          <cell r="F1763">
            <v>6393001945</v>
          </cell>
        </row>
        <row r="1764">
          <cell r="A1764">
            <v>3400004135</v>
          </cell>
          <cell r="B1764">
            <v>0</v>
          </cell>
          <cell r="C1764">
            <v>6801</v>
          </cell>
          <cell r="D1764" t="str">
            <v>01.10.1996</v>
          </cell>
          <cell r="E1764">
            <v>0</v>
          </cell>
          <cell r="F1764">
            <v>6393001957</v>
          </cell>
        </row>
        <row r="1765">
          <cell r="A1765">
            <v>3400004136</v>
          </cell>
          <cell r="B1765">
            <v>0</v>
          </cell>
          <cell r="C1765">
            <v>6801</v>
          </cell>
          <cell r="D1765" t="str">
            <v>01.10.1996</v>
          </cell>
          <cell r="E1765">
            <v>0</v>
          </cell>
          <cell r="F1765">
            <v>6393001969</v>
          </cell>
        </row>
        <row r="1766">
          <cell r="A1766">
            <v>3400004137</v>
          </cell>
          <cell r="B1766">
            <v>0</v>
          </cell>
          <cell r="C1766">
            <v>6801</v>
          </cell>
          <cell r="D1766" t="str">
            <v>01.10.1996</v>
          </cell>
          <cell r="E1766">
            <v>0</v>
          </cell>
          <cell r="F1766">
            <v>6393001970</v>
          </cell>
        </row>
        <row r="1767">
          <cell r="A1767">
            <v>3400004138</v>
          </cell>
          <cell r="B1767">
            <v>0</v>
          </cell>
          <cell r="C1767">
            <v>6801</v>
          </cell>
          <cell r="D1767" t="str">
            <v>01.10.1996</v>
          </cell>
          <cell r="E1767">
            <v>0</v>
          </cell>
          <cell r="F1767">
            <v>6393001982</v>
          </cell>
        </row>
        <row r="1768">
          <cell r="A1768">
            <v>3400004139</v>
          </cell>
          <cell r="B1768">
            <v>0</v>
          </cell>
          <cell r="C1768">
            <v>6801</v>
          </cell>
          <cell r="D1768" t="str">
            <v>01.10.1996</v>
          </cell>
          <cell r="E1768">
            <v>0</v>
          </cell>
          <cell r="F1768">
            <v>6393001994</v>
          </cell>
        </row>
        <row r="1769">
          <cell r="A1769">
            <v>3400004140</v>
          </cell>
          <cell r="B1769">
            <v>0</v>
          </cell>
          <cell r="C1769">
            <v>6801</v>
          </cell>
          <cell r="D1769" t="str">
            <v>01.10.1996</v>
          </cell>
          <cell r="E1769">
            <v>0</v>
          </cell>
          <cell r="F1769">
            <v>6393002003</v>
          </cell>
        </row>
        <row r="1770">
          <cell r="A1770">
            <v>3400004141</v>
          </cell>
          <cell r="B1770">
            <v>0</v>
          </cell>
          <cell r="C1770">
            <v>6801</v>
          </cell>
          <cell r="D1770" t="str">
            <v>01.10.1996</v>
          </cell>
          <cell r="E1770">
            <v>0</v>
          </cell>
          <cell r="F1770">
            <v>6393002011</v>
          </cell>
        </row>
        <row r="1771">
          <cell r="A1771">
            <v>3400004142</v>
          </cell>
          <cell r="B1771">
            <v>0</v>
          </cell>
          <cell r="C1771">
            <v>6801</v>
          </cell>
          <cell r="D1771" t="str">
            <v>01.10.1996</v>
          </cell>
          <cell r="E1771">
            <v>0</v>
          </cell>
          <cell r="F1771">
            <v>6393002020</v>
          </cell>
        </row>
        <row r="1772">
          <cell r="A1772">
            <v>3400004143</v>
          </cell>
          <cell r="B1772">
            <v>0</v>
          </cell>
          <cell r="C1772">
            <v>6801</v>
          </cell>
          <cell r="D1772" t="str">
            <v>01.10.1996</v>
          </cell>
          <cell r="E1772">
            <v>1</v>
          </cell>
          <cell r="F1772">
            <v>6393002032</v>
          </cell>
        </row>
        <row r="1773">
          <cell r="A1773">
            <v>3400004144</v>
          </cell>
          <cell r="B1773">
            <v>0</v>
          </cell>
          <cell r="C1773">
            <v>6801</v>
          </cell>
          <cell r="D1773" t="str">
            <v>01.10.1996</v>
          </cell>
          <cell r="E1773">
            <v>1</v>
          </cell>
          <cell r="F1773">
            <v>6393002044</v>
          </cell>
        </row>
        <row r="1774">
          <cell r="A1774">
            <v>3400004145</v>
          </cell>
          <cell r="B1774">
            <v>0</v>
          </cell>
          <cell r="C1774">
            <v>6801</v>
          </cell>
          <cell r="D1774" t="str">
            <v>01.10.1996</v>
          </cell>
          <cell r="E1774">
            <v>1</v>
          </cell>
          <cell r="F1774">
            <v>6393002056</v>
          </cell>
        </row>
        <row r="1775">
          <cell r="A1775">
            <v>3400004146</v>
          </cell>
          <cell r="B1775">
            <v>0</v>
          </cell>
          <cell r="C1775">
            <v>6801</v>
          </cell>
          <cell r="D1775" t="str">
            <v>01.10.1996</v>
          </cell>
          <cell r="E1775">
            <v>1</v>
          </cell>
          <cell r="F1775">
            <v>6393002068</v>
          </cell>
        </row>
        <row r="1776">
          <cell r="A1776">
            <v>3400004147</v>
          </cell>
          <cell r="B1776">
            <v>0</v>
          </cell>
          <cell r="C1776">
            <v>6801</v>
          </cell>
          <cell r="D1776" t="str">
            <v>01.10.1996</v>
          </cell>
          <cell r="E1776">
            <v>0</v>
          </cell>
          <cell r="F1776">
            <v>6393002079</v>
          </cell>
        </row>
        <row r="1777">
          <cell r="A1777">
            <v>3400004148</v>
          </cell>
          <cell r="B1777">
            <v>0</v>
          </cell>
          <cell r="C1777">
            <v>6801</v>
          </cell>
          <cell r="D1777" t="str">
            <v>01.10.1996</v>
          </cell>
          <cell r="E1777">
            <v>0</v>
          </cell>
          <cell r="F1777">
            <v>6393002081</v>
          </cell>
        </row>
        <row r="1778">
          <cell r="A1778">
            <v>3400004149</v>
          </cell>
          <cell r="B1778">
            <v>0</v>
          </cell>
          <cell r="C1778">
            <v>6801</v>
          </cell>
          <cell r="D1778" t="str">
            <v>01.10.1996</v>
          </cell>
          <cell r="E1778">
            <v>0</v>
          </cell>
          <cell r="F1778">
            <v>6393002093</v>
          </cell>
        </row>
        <row r="1779">
          <cell r="A1779">
            <v>3400004150</v>
          </cell>
          <cell r="B1779">
            <v>0</v>
          </cell>
          <cell r="C1779">
            <v>6801</v>
          </cell>
          <cell r="D1779" t="str">
            <v>01.10.1996</v>
          </cell>
          <cell r="E1779">
            <v>0</v>
          </cell>
          <cell r="F1779">
            <v>6393002109</v>
          </cell>
        </row>
        <row r="1780">
          <cell r="A1780">
            <v>3400004151</v>
          </cell>
          <cell r="B1780">
            <v>0</v>
          </cell>
          <cell r="C1780">
            <v>6801</v>
          </cell>
          <cell r="D1780" t="str">
            <v>01.10.1996</v>
          </cell>
          <cell r="E1780">
            <v>0</v>
          </cell>
          <cell r="F1780">
            <v>6393002111</v>
          </cell>
        </row>
        <row r="1781">
          <cell r="A1781">
            <v>3400004152</v>
          </cell>
          <cell r="B1781">
            <v>0</v>
          </cell>
          <cell r="C1781">
            <v>6801</v>
          </cell>
          <cell r="D1781" t="str">
            <v>01.10.1996</v>
          </cell>
          <cell r="E1781">
            <v>0</v>
          </cell>
          <cell r="F1781">
            <v>6393002123</v>
          </cell>
        </row>
        <row r="1782">
          <cell r="A1782">
            <v>3400004153</v>
          </cell>
          <cell r="B1782">
            <v>0</v>
          </cell>
          <cell r="C1782">
            <v>6801</v>
          </cell>
          <cell r="D1782" t="str">
            <v>01.10.1996</v>
          </cell>
          <cell r="E1782">
            <v>0</v>
          </cell>
          <cell r="F1782">
            <v>6393002135</v>
          </cell>
        </row>
        <row r="1783">
          <cell r="A1783">
            <v>3400004154</v>
          </cell>
          <cell r="B1783">
            <v>0</v>
          </cell>
          <cell r="C1783">
            <v>6801</v>
          </cell>
          <cell r="D1783" t="str">
            <v>01.10.1996</v>
          </cell>
          <cell r="E1783">
            <v>0</v>
          </cell>
          <cell r="F1783">
            <v>6393002147</v>
          </cell>
        </row>
        <row r="1784">
          <cell r="A1784">
            <v>3400004155</v>
          </cell>
          <cell r="B1784">
            <v>0</v>
          </cell>
          <cell r="C1784">
            <v>6801</v>
          </cell>
          <cell r="D1784" t="str">
            <v>01.10.1996</v>
          </cell>
          <cell r="E1784">
            <v>0</v>
          </cell>
          <cell r="F1784">
            <v>6393002159</v>
          </cell>
        </row>
        <row r="1785">
          <cell r="A1785">
            <v>3400004156</v>
          </cell>
          <cell r="B1785">
            <v>0</v>
          </cell>
          <cell r="C1785">
            <v>6801</v>
          </cell>
          <cell r="D1785" t="str">
            <v>01.10.1996</v>
          </cell>
          <cell r="E1785">
            <v>0</v>
          </cell>
          <cell r="F1785">
            <v>6393002160</v>
          </cell>
        </row>
        <row r="1786">
          <cell r="A1786">
            <v>3400004157</v>
          </cell>
          <cell r="B1786">
            <v>0</v>
          </cell>
          <cell r="C1786">
            <v>6801</v>
          </cell>
          <cell r="D1786" t="str">
            <v>01.10.1996</v>
          </cell>
          <cell r="E1786">
            <v>0</v>
          </cell>
          <cell r="F1786">
            <v>6393002172</v>
          </cell>
        </row>
        <row r="1787">
          <cell r="A1787">
            <v>3400004158</v>
          </cell>
          <cell r="B1787">
            <v>0</v>
          </cell>
          <cell r="C1787">
            <v>6801</v>
          </cell>
          <cell r="D1787" t="str">
            <v>01.10.1996</v>
          </cell>
          <cell r="E1787">
            <v>0</v>
          </cell>
          <cell r="F1787">
            <v>6393002184</v>
          </cell>
        </row>
        <row r="1788">
          <cell r="A1788">
            <v>3400004159</v>
          </cell>
          <cell r="B1788">
            <v>0</v>
          </cell>
          <cell r="C1788">
            <v>6801</v>
          </cell>
          <cell r="D1788" t="str">
            <v>01.10.1996</v>
          </cell>
          <cell r="E1788">
            <v>0</v>
          </cell>
          <cell r="F1788">
            <v>6393002196</v>
          </cell>
        </row>
        <row r="1789">
          <cell r="A1789">
            <v>3400004160</v>
          </cell>
          <cell r="B1789">
            <v>0</v>
          </cell>
          <cell r="C1789">
            <v>6801</v>
          </cell>
          <cell r="D1789" t="str">
            <v>01.10.1996</v>
          </cell>
          <cell r="E1789">
            <v>0</v>
          </cell>
          <cell r="F1789">
            <v>6393002202</v>
          </cell>
        </row>
        <row r="1790">
          <cell r="A1790">
            <v>3400004161</v>
          </cell>
          <cell r="B1790">
            <v>0</v>
          </cell>
          <cell r="C1790">
            <v>6801</v>
          </cell>
          <cell r="D1790" t="str">
            <v>01.10.1996</v>
          </cell>
          <cell r="E1790">
            <v>0</v>
          </cell>
          <cell r="F1790">
            <v>6393002214</v>
          </cell>
        </row>
        <row r="1791">
          <cell r="A1791">
            <v>3400004162</v>
          </cell>
          <cell r="B1791">
            <v>0</v>
          </cell>
          <cell r="C1791">
            <v>6801</v>
          </cell>
          <cell r="D1791" t="str">
            <v>01.10.1996</v>
          </cell>
          <cell r="E1791">
            <v>0</v>
          </cell>
          <cell r="F1791">
            <v>6393002226</v>
          </cell>
        </row>
        <row r="1792">
          <cell r="A1792">
            <v>3400004163</v>
          </cell>
          <cell r="B1792">
            <v>0</v>
          </cell>
          <cell r="C1792">
            <v>6801</v>
          </cell>
          <cell r="D1792" t="str">
            <v>01.10.1996</v>
          </cell>
          <cell r="E1792">
            <v>0</v>
          </cell>
          <cell r="F1792">
            <v>6393002238</v>
          </cell>
        </row>
        <row r="1793">
          <cell r="A1793">
            <v>3400004164</v>
          </cell>
          <cell r="B1793">
            <v>0</v>
          </cell>
          <cell r="C1793">
            <v>6801</v>
          </cell>
          <cell r="D1793" t="str">
            <v>01.10.1996</v>
          </cell>
          <cell r="E1793">
            <v>0</v>
          </cell>
          <cell r="F1793">
            <v>6393002249</v>
          </cell>
        </row>
        <row r="1794">
          <cell r="A1794">
            <v>3400004165</v>
          </cell>
          <cell r="B1794">
            <v>0</v>
          </cell>
          <cell r="C1794">
            <v>6801</v>
          </cell>
          <cell r="D1794" t="str">
            <v>01.10.1996</v>
          </cell>
          <cell r="E1794">
            <v>0</v>
          </cell>
          <cell r="F1794">
            <v>6393002251</v>
          </cell>
        </row>
        <row r="1795">
          <cell r="A1795">
            <v>3400004166</v>
          </cell>
          <cell r="B1795">
            <v>0</v>
          </cell>
          <cell r="C1795">
            <v>6801</v>
          </cell>
          <cell r="D1795" t="str">
            <v>01.10.1996</v>
          </cell>
          <cell r="E1795">
            <v>0</v>
          </cell>
          <cell r="F1795">
            <v>6393002263</v>
          </cell>
        </row>
        <row r="1796">
          <cell r="A1796">
            <v>3400004167</v>
          </cell>
          <cell r="B1796">
            <v>0</v>
          </cell>
          <cell r="C1796">
            <v>6801</v>
          </cell>
          <cell r="D1796" t="str">
            <v>01.10.1996</v>
          </cell>
          <cell r="E1796">
            <v>0</v>
          </cell>
          <cell r="F1796">
            <v>6393002275</v>
          </cell>
        </row>
        <row r="1797">
          <cell r="A1797">
            <v>3400004168</v>
          </cell>
          <cell r="B1797">
            <v>0</v>
          </cell>
          <cell r="C1797">
            <v>6230</v>
          </cell>
          <cell r="D1797" t="str">
            <v>01.10.1996</v>
          </cell>
          <cell r="E1797">
            <v>0</v>
          </cell>
          <cell r="F1797">
            <v>6393002287</v>
          </cell>
        </row>
        <row r="1798">
          <cell r="A1798">
            <v>3400004169</v>
          </cell>
          <cell r="B1798">
            <v>0</v>
          </cell>
          <cell r="C1798">
            <v>6230</v>
          </cell>
          <cell r="D1798" t="str">
            <v>01.10.1996</v>
          </cell>
          <cell r="E1798">
            <v>0</v>
          </cell>
          <cell r="F1798">
            <v>6393002299</v>
          </cell>
        </row>
        <row r="1799">
          <cell r="A1799">
            <v>3400004170</v>
          </cell>
          <cell r="B1799">
            <v>0</v>
          </cell>
          <cell r="C1799">
            <v>6800</v>
          </cell>
          <cell r="D1799" t="str">
            <v>01.10.1996</v>
          </cell>
          <cell r="E1799">
            <v>0</v>
          </cell>
          <cell r="F1799">
            <v>6393002305</v>
          </cell>
        </row>
        <row r="1800">
          <cell r="A1800">
            <v>3400004171</v>
          </cell>
          <cell r="B1800">
            <v>0</v>
          </cell>
          <cell r="C1800">
            <v>5801</v>
          </cell>
          <cell r="D1800" t="str">
            <v>01.10.1996</v>
          </cell>
          <cell r="E1800">
            <v>1</v>
          </cell>
          <cell r="F1800">
            <v>6393002317</v>
          </cell>
        </row>
        <row r="1801">
          <cell r="A1801">
            <v>3400004172</v>
          </cell>
          <cell r="B1801">
            <v>0</v>
          </cell>
          <cell r="C1801">
            <v>5400</v>
          </cell>
          <cell r="D1801" t="str">
            <v>01.10.1996</v>
          </cell>
          <cell r="E1801">
            <v>1</v>
          </cell>
          <cell r="F1801">
            <v>6393002329</v>
          </cell>
        </row>
        <row r="1802">
          <cell r="A1802">
            <v>3400004173</v>
          </cell>
          <cell r="B1802">
            <v>0</v>
          </cell>
          <cell r="C1802">
            <v>6230</v>
          </cell>
          <cell r="D1802" t="str">
            <v>01.10.1996</v>
          </cell>
          <cell r="E1802">
            <v>0</v>
          </cell>
          <cell r="F1802">
            <v>6393002330</v>
          </cell>
        </row>
        <row r="1803">
          <cell r="A1803">
            <v>3400004174</v>
          </cell>
          <cell r="B1803">
            <v>0</v>
          </cell>
          <cell r="C1803">
            <v>6230</v>
          </cell>
          <cell r="D1803" t="str">
            <v>01.10.1996</v>
          </cell>
          <cell r="E1803">
            <v>0</v>
          </cell>
          <cell r="F1803">
            <v>6393002342</v>
          </cell>
        </row>
        <row r="1804">
          <cell r="A1804">
            <v>3400005204</v>
          </cell>
          <cell r="B1804">
            <v>0</v>
          </cell>
          <cell r="C1804">
            <v>6230</v>
          </cell>
          <cell r="D1804" t="str">
            <v>01.10.1996</v>
          </cell>
          <cell r="E1804">
            <v>2</v>
          </cell>
          <cell r="F1804">
            <v>6393002342</v>
          </cell>
        </row>
        <row r="1805">
          <cell r="A1805">
            <v>3400004175</v>
          </cell>
          <cell r="B1805">
            <v>0</v>
          </cell>
          <cell r="C1805">
            <v>6801</v>
          </cell>
          <cell r="D1805" t="str">
            <v>01.10.1996</v>
          </cell>
          <cell r="E1805">
            <v>0</v>
          </cell>
          <cell r="F1805">
            <v>6393002354</v>
          </cell>
        </row>
        <row r="1806">
          <cell r="A1806">
            <v>3400004176</v>
          </cell>
          <cell r="B1806">
            <v>0</v>
          </cell>
          <cell r="C1806">
            <v>6801</v>
          </cell>
          <cell r="D1806" t="str">
            <v>01.10.1996</v>
          </cell>
          <cell r="E1806">
            <v>0</v>
          </cell>
          <cell r="F1806">
            <v>6393002366</v>
          </cell>
        </row>
        <row r="1807">
          <cell r="A1807">
            <v>3400004177</v>
          </cell>
          <cell r="B1807">
            <v>0</v>
          </cell>
          <cell r="C1807">
            <v>6801</v>
          </cell>
          <cell r="D1807" t="str">
            <v>01.10.1996</v>
          </cell>
          <cell r="E1807">
            <v>0</v>
          </cell>
          <cell r="F1807">
            <v>6393002378</v>
          </cell>
        </row>
        <row r="1808">
          <cell r="A1808">
            <v>3400004178</v>
          </cell>
          <cell r="B1808">
            <v>0</v>
          </cell>
          <cell r="C1808">
            <v>6801</v>
          </cell>
          <cell r="D1808" t="str">
            <v>01.10.1996</v>
          </cell>
          <cell r="E1808">
            <v>0</v>
          </cell>
          <cell r="F1808">
            <v>6393002389</v>
          </cell>
        </row>
        <row r="1809">
          <cell r="A1809">
            <v>3400004179</v>
          </cell>
          <cell r="B1809">
            <v>0</v>
          </cell>
          <cell r="C1809">
            <v>6801</v>
          </cell>
          <cell r="D1809" t="str">
            <v>01.10.1996</v>
          </cell>
          <cell r="E1809">
            <v>0</v>
          </cell>
          <cell r="F1809">
            <v>6393002391</v>
          </cell>
        </row>
        <row r="1810">
          <cell r="A1810">
            <v>3400004180</v>
          </cell>
          <cell r="B1810">
            <v>0</v>
          </cell>
          <cell r="C1810">
            <v>6801</v>
          </cell>
          <cell r="D1810" t="str">
            <v>01.10.1996</v>
          </cell>
          <cell r="E1810">
            <v>0</v>
          </cell>
          <cell r="F1810">
            <v>6393002408</v>
          </cell>
        </row>
        <row r="1811">
          <cell r="A1811">
            <v>3400004181</v>
          </cell>
          <cell r="B1811">
            <v>0</v>
          </cell>
          <cell r="C1811">
            <v>6801</v>
          </cell>
          <cell r="D1811" t="str">
            <v>01.10.1996</v>
          </cell>
          <cell r="E1811">
            <v>0</v>
          </cell>
          <cell r="F1811">
            <v>6393002419</v>
          </cell>
        </row>
        <row r="1812">
          <cell r="A1812">
            <v>3400004182</v>
          </cell>
          <cell r="B1812">
            <v>0</v>
          </cell>
          <cell r="C1812">
            <v>6801</v>
          </cell>
          <cell r="D1812" t="str">
            <v>01.10.1996</v>
          </cell>
          <cell r="E1812">
            <v>0</v>
          </cell>
          <cell r="F1812">
            <v>6393002421</v>
          </cell>
        </row>
        <row r="1813">
          <cell r="A1813">
            <v>3400004183</v>
          </cell>
          <cell r="B1813">
            <v>0</v>
          </cell>
          <cell r="C1813">
            <v>6801</v>
          </cell>
          <cell r="D1813" t="str">
            <v>01.10.1996</v>
          </cell>
          <cell r="E1813">
            <v>0</v>
          </cell>
          <cell r="F1813">
            <v>6393002433</v>
          </cell>
        </row>
        <row r="1814">
          <cell r="A1814">
            <v>3400004184</v>
          </cell>
          <cell r="B1814">
            <v>0</v>
          </cell>
          <cell r="C1814">
            <v>6801</v>
          </cell>
          <cell r="D1814" t="str">
            <v>01.10.1996</v>
          </cell>
          <cell r="E1814">
            <v>0</v>
          </cell>
          <cell r="F1814">
            <v>6393002445</v>
          </cell>
        </row>
        <row r="1815">
          <cell r="A1815">
            <v>3400004185</v>
          </cell>
          <cell r="B1815">
            <v>0</v>
          </cell>
          <cell r="C1815">
            <v>6801</v>
          </cell>
          <cell r="D1815" t="str">
            <v>01.10.1996</v>
          </cell>
          <cell r="E1815">
            <v>0</v>
          </cell>
          <cell r="F1815">
            <v>6393002457</v>
          </cell>
        </row>
        <row r="1816">
          <cell r="A1816">
            <v>3400004186</v>
          </cell>
          <cell r="B1816">
            <v>0</v>
          </cell>
          <cell r="C1816">
            <v>6801</v>
          </cell>
          <cell r="D1816" t="str">
            <v>01.10.1996</v>
          </cell>
          <cell r="E1816">
            <v>0</v>
          </cell>
          <cell r="F1816">
            <v>6393002469</v>
          </cell>
        </row>
        <row r="1817">
          <cell r="A1817">
            <v>3400004187</v>
          </cell>
          <cell r="B1817">
            <v>0</v>
          </cell>
          <cell r="C1817">
            <v>6801</v>
          </cell>
          <cell r="D1817" t="str">
            <v>01.10.1996</v>
          </cell>
          <cell r="E1817">
            <v>0</v>
          </cell>
          <cell r="F1817">
            <v>6393002470</v>
          </cell>
        </row>
        <row r="1818">
          <cell r="A1818">
            <v>3400004188</v>
          </cell>
          <cell r="B1818">
            <v>0</v>
          </cell>
          <cell r="C1818">
            <v>6801</v>
          </cell>
          <cell r="D1818" t="str">
            <v>01.10.1996</v>
          </cell>
          <cell r="E1818">
            <v>0</v>
          </cell>
          <cell r="F1818">
            <v>6393002482</v>
          </cell>
        </row>
        <row r="1819">
          <cell r="A1819">
            <v>3400004189</v>
          </cell>
          <cell r="B1819">
            <v>0</v>
          </cell>
          <cell r="C1819">
            <v>6801</v>
          </cell>
          <cell r="D1819" t="str">
            <v>01.10.1996</v>
          </cell>
          <cell r="E1819">
            <v>0</v>
          </cell>
          <cell r="F1819">
            <v>6393002494</v>
          </cell>
        </row>
        <row r="1820">
          <cell r="A1820">
            <v>3400004190</v>
          </cell>
          <cell r="B1820">
            <v>0</v>
          </cell>
          <cell r="C1820">
            <v>6801</v>
          </cell>
          <cell r="D1820" t="str">
            <v>01.10.1996</v>
          </cell>
          <cell r="E1820">
            <v>0</v>
          </cell>
          <cell r="F1820">
            <v>6393002500</v>
          </cell>
        </row>
        <row r="1821">
          <cell r="A1821">
            <v>3400004191</v>
          </cell>
          <cell r="B1821">
            <v>0</v>
          </cell>
          <cell r="C1821">
            <v>6801</v>
          </cell>
          <cell r="D1821" t="str">
            <v>01.10.1996</v>
          </cell>
          <cell r="E1821">
            <v>0</v>
          </cell>
          <cell r="F1821">
            <v>6393002512</v>
          </cell>
        </row>
        <row r="1822">
          <cell r="A1822">
            <v>3400004192</v>
          </cell>
          <cell r="B1822">
            <v>0</v>
          </cell>
          <cell r="C1822">
            <v>6801</v>
          </cell>
          <cell r="D1822" t="str">
            <v>01.10.1996</v>
          </cell>
          <cell r="E1822">
            <v>0</v>
          </cell>
          <cell r="F1822">
            <v>6393002524</v>
          </cell>
        </row>
        <row r="1823">
          <cell r="A1823">
            <v>3400004193</v>
          </cell>
          <cell r="B1823">
            <v>0</v>
          </cell>
          <cell r="C1823">
            <v>6801</v>
          </cell>
          <cell r="D1823" t="str">
            <v>01.10.1996</v>
          </cell>
          <cell r="E1823">
            <v>0</v>
          </cell>
          <cell r="F1823">
            <v>6393002536</v>
          </cell>
        </row>
        <row r="1824">
          <cell r="A1824">
            <v>3400004194</v>
          </cell>
          <cell r="B1824">
            <v>0</v>
          </cell>
          <cell r="C1824">
            <v>6801</v>
          </cell>
          <cell r="D1824" t="str">
            <v>01.10.1996</v>
          </cell>
          <cell r="E1824">
            <v>0</v>
          </cell>
          <cell r="F1824">
            <v>6393002548</v>
          </cell>
        </row>
        <row r="1825">
          <cell r="A1825">
            <v>3400004195</v>
          </cell>
          <cell r="B1825">
            <v>0</v>
          </cell>
          <cell r="C1825">
            <v>6801</v>
          </cell>
          <cell r="D1825" t="str">
            <v>01.10.1996</v>
          </cell>
          <cell r="E1825">
            <v>0</v>
          </cell>
          <cell r="F1825">
            <v>6393002559</v>
          </cell>
        </row>
        <row r="1826">
          <cell r="A1826">
            <v>3400004196</v>
          </cell>
          <cell r="B1826">
            <v>0</v>
          </cell>
          <cell r="C1826">
            <v>6801</v>
          </cell>
          <cell r="D1826" t="str">
            <v>01.10.1996</v>
          </cell>
          <cell r="E1826">
            <v>0</v>
          </cell>
          <cell r="F1826">
            <v>6393002561</v>
          </cell>
        </row>
        <row r="1827">
          <cell r="A1827">
            <v>3400004197</v>
          </cell>
          <cell r="B1827">
            <v>0</v>
          </cell>
          <cell r="C1827">
            <v>6801</v>
          </cell>
          <cell r="D1827" t="str">
            <v>01.10.1996</v>
          </cell>
          <cell r="E1827">
            <v>0</v>
          </cell>
          <cell r="F1827">
            <v>6393002573</v>
          </cell>
        </row>
        <row r="1828">
          <cell r="A1828">
            <v>3400004198</v>
          </cell>
          <cell r="B1828">
            <v>0</v>
          </cell>
          <cell r="C1828">
            <v>6801</v>
          </cell>
          <cell r="D1828" t="str">
            <v>01.10.1996</v>
          </cell>
          <cell r="E1828">
            <v>0</v>
          </cell>
          <cell r="F1828">
            <v>6393002585</v>
          </cell>
        </row>
        <row r="1829">
          <cell r="A1829">
            <v>3400004796</v>
          </cell>
          <cell r="B1829">
            <v>0</v>
          </cell>
          <cell r="C1829">
            <v>6801</v>
          </cell>
          <cell r="D1829" t="str">
            <v>01.10.1996</v>
          </cell>
          <cell r="E1829">
            <v>1</v>
          </cell>
          <cell r="F1829">
            <v>6393002597</v>
          </cell>
        </row>
        <row r="1830">
          <cell r="A1830">
            <v>3400004199</v>
          </cell>
          <cell r="B1830">
            <v>0</v>
          </cell>
          <cell r="C1830">
            <v>6801</v>
          </cell>
          <cell r="D1830" t="str">
            <v>01.10.1996</v>
          </cell>
          <cell r="E1830">
            <v>0</v>
          </cell>
          <cell r="F1830">
            <v>6393002603</v>
          </cell>
        </row>
        <row r="1831">
          <cell r="A1831">
            <v>3400004200</v>
          </cell>
          <cell r="B1831">
            <v>0</v>
          </cell>
          <cell r="C1831">
            <v>6801</v>
          </cell>
          <cell r="D1831" t="str">
            <v>01.10.1996</v>
          </cell>
          <cell r="E1831">
            <v>0</v>
          </cell>
          <cell r="F1831">
            <v>6393002615</v>
          </cell>
        </row>
        <row r="1832">
          <cell r="A1832">
            <v>3400004201</v>
          </cell>
          <cell r="B1832">
            <v>0</v>
          </cell>
          <cell r="C1832">
            <v>6801</v>
          </cell>
          <cell r="D1832" t="str">
            <v>01.10.1996</v>
          </cell>
          <cell r="E1832">
            <v>0</v>
          </cell>
          <cell r="F1832">
            <v>6393002627</v>
          </cell>
        </row>
        <row r="1833">
          <cell r="A1833">
            <v>3400004202</v>
          </cell>
          <cell r="B1833">
            <v>0</v>
          </cell>
          <cell r="C1833">
            <v>6801</v>
          </cell>
          <cell r="D1833" t="str">
            <v>01.10.1996</v>
          </cell>
          <cell r="E1833">
            <v>0</v>
          </cell>
          <cell r="F1833">
            <v>6393002639</v>
          </cell>
        </row>
        <row r="1834">
          <cell r="A1834">
            <v>3400004203</v>
          </cell>
          <cell r="B1834">
            <v>0</v>
          </cell>
          <cell r="C1834">
            <v>6801</v>
          </cell>
          <cell r="D1834" t="str">
            <v>01.10.1996</v>
          </cell>
          <cell r="E1834">
            <v>0</v>
          </cell>
          <cell r="F1834">
            <v>6393002640</v>
          </cell>
        </row>
        <row r="1835">
          <cell r="A1835">
            <v>3400004204</v>
          </cell>
          <cell r="B1835">
            <v>0</v>
          </cell>
          <cell r="C1835">
            <v>6801</v>
          </cell>
          <cell r="D1835" t="str">
            <v>01.10.1996</v>
          </cell>
          <cell r="E1835">
            <v>0</v>
          </cell>
          <cell r="F1835">
            <v>6393002652</v>
          </cell>
        </row>
        <row r="1836">
          <cell r="A1836">
            <v>3400004205</v>
          </cell>
          <cell r="B1836">
            <v>0</v>
          </cell>
          <cell r="C1836">
            <v>6801</v>
          </cell>
          <cell r="D1836" t="str">
            <v>01.10.1996</v>
          </cell>
          <cell r="E1836">
            <v>0</v>
          </cell>
          <cell r="F1836">
            <v>6393002664</v>
          </cell>
        </row>
        <row r="1837">
          <cell r="A1837">
            <v>3400004206</v>
          </cell>
          <cell r="B1837">
            <v>0</v>
          </cell>
          <cell r="C1837">
            <v>6801</v>
          </cell>
          <cell r="D1837" t="str">
            <v>01.10.1996</v>
          </cell>
          <cell r="E1837">
            <v>0</v>
          </cell>
          <cell r="F1837">
            <v>6393002676</v>
          </cell>
        </row>
        <row r="1838">
          <cell r="A1838">
            <v>3400004207</v>
          </cell>
          <cell r="B1838">
            <v>0</v>
          </cell>
          <cell r="C1838">
            <v>6801</v>
          </cell>
          <cell r="D1838" t="str">
            <v>01.10.1996</v>
          </cell>
          <cell r="E1838">
            <v>0</v>
          </cell>
          <cell r="F1838">
            <v>6393002688</v>
          </cell>
        </row>
        <row r="1839">
          <cell r="A1839">
            <v>3400004208</v>
          </cell>
          <cell r="B1839">
            <v>0</v>
          </cell>
          <cell r="C1839">
            <v>6801</v>
          </cell>
          <cell r="D1839" t="str">
            <v>01.10.1996</v>
          </cell>
          <cell r="E1839">
            <v>0</v>
          </cell>
          <cell r="F1839">
            <v>6393002699</v>
          </cell>
        </row>
        <row r="1840">
          <cell r="A1840">
            <v>3400004209</v>
          </cell>
          <cell r="B1840">
            <v>0</v>
          </cell>
          <cell r="C1840">
            <v>6801</v>
          </cell>
          <cell r="D1840" t="str">
            <v>01.10.1996</v>
          </cell>
          <cell r="E1840">
            <v>0</v>
          </cell>
          <cell r="F1840">
            <v>6393002706</v>
          </cell>
        </row>
        <row r="1841">
          <cell r="A1841">
            <v>3400004210</v>
          </cell>
          <cell r="B1841">
            <v>0</v>
          </cell>
          <cell r="C1841">
            <v>6801</v>
          </cell>
          <cell r="D1841" t="str">
            <v>01.10.1996</v>
          </cell>
          <cell r="E1841">
            <v>0</v>
          </cell>
          <cell r="F1841">
            <v>6393002718</v>
          </cell>
        </row>
        <row r="1842">
          <cell r="A1842">
            <v>3400004211</v>
          </cell>
          <cell r="B1842">
            <v>0</v>
          </cell>
          <cell r="C1842">
            <v>6801</v>
          </cell>
          <cell r="D1842" t="str">
            <v>01.10.1996</v>
          </cell>
          <cell r="E1842">
            <v>0</v>
          </cell>
          <cell r="F1842">
            <v>6393002729</v>
          </cell>
        </row>
        <row r="1843">
          <cell r="A1843">
            <v>3400004212</v>
          </cell>
          <cell r="B1843">
            <v>0</v>
          </cell>
          <cell r="C1843">
            <v>6801</v>
          </cell>
          <cell r="D1843" t="str">
            <v>01.10.1996</v>
          </cell>
          <cell r="E1843">
            <v>0</v>
          </cell>
          <cell r="F1843">
            <v>6393002731</v>
          </cell>
        </row>
        <row r="1844">
          <cell r="A1844">
            <v>3400004213</v>
          </cell>
          <cell r="B1844">
            <v>0</v>
          </cell>
          <cell r="C1844">
            <v>6801</v>
          </cell>
          <cell r="D1844" t="str">
            <v>01.10.1996</v>
          </cell>
          <cell r="E1844">
            <v>0</v>
          </cell>
          <cell r="F1844">
            <v>6393002743</v>
          </cell>
        </row>
        <row r="1845">
          <cell r="A1845">
            <v>3400004214</v>
          </cell>
          <cell r="B1845">
            <v>0</v>
          </cell>
          <cell r="C1845">
            <v>6801</v>
          </cell>
          <cell r="D1845" t="str">
            <v>01.10.1996</v>
          </cell>
          <cell r="E1845">
            <v>0</v>
          </cell>
          <cell r="F1845">
            <v>6393002755</v>
          </cell>
        </row>
        <row r="1846">
          <cell r="A1846">
            <v>3400004215</v>
          </cell>
          <cell r="B1846">
            <v>0</v>
          </cell>
          <cell r="C1846">
            <v>6801</v>
          </cell>
          <cell r="D1846" t="str">
            <v>01.10.1996</v>
          </cell>
          <cell r="E1846">
            <v>0</v>
          </cell>
          <cell r="F1846">
            <v>6393002767</v>
          </cell>
        </row>
        <row r="1847">
          <cell r="A1847">
            <v>3400004216</v>
          </cell>
          <cell r="B1847">
            <v>0</v>
          </cell>
          <cell r="C1847">
            <v>6801</v>
          </cell>
          <cell r="D1847" t="str">
            <v>01.10.1996</v>
          </cell>
          <cell r="E1847">
            <v>0</v>
          </cell>
          <cell r="F1847">
            <v>6393002779</v>
          </cell>
        </row>
        <row r="1848">
          <cell r="A1848">
            <v>3400004217</v>
          </cell>
          <cell r="B1848">
            <v>0</v>
          </cell>
          <cell r="C1848">
            <v>6801</v>
          </cell>
          <cell r="D1848" t="str">
            <v>01.10.1996</v>
          </cell>
          <cell r="E1848">
            <v>0</v>
          </cell>
          <cell r="F1848">
            <v>6393002780</v>
          </cell>
        </row>
        <row r="1849">
          <cell r="A1849">
            <v>3400004218</v>
          </cell>
          <cell r="B1849">
            <v>0</v>
          </cell>
          <cell r="C1849">
            <v>6801</v>
          </cell>
          <cell r="D1849" t="str">
            <v>01.10.1996</v>
          </cell>
          <cell r="E1849">
            <v>0</v>
          </cell>
          <cell r="F1849">
            <v>6393002792</v>
          </cell>
        </row>
        <row r="1850">
          <cell r="A1850">
            <v>3400004219</v>
          </cell>
          <cell r="B1850">
            <v>0</v>
          </cell>
          <cell r="C1850">
            <v>6801</v>
          </cell>
          <cell r="D1850" t="str">
            <v>01.10.1996</v>
          </cell>
          <cell r="E1850">
            <v>0</v>
          </cell>
          <cell r="F1850">
            <v>6393002809</v>
          </cell>
        </row>
        <row r="1851">
          <cell r="A1851">
            <v>3400004220</v>
          </cell>
          <cell r="B1851">
            <v>0</v>
          </cell>
          <cell r="C1851">
            <v>6801</v>
          </cell>
          <cell r="D1851" t="str">
            <v>01.10.1996</v>
          </cell>
          <cell r="E1851">
            <v>0</v>
          </cell>
          <cell r="F1851">
            <v>6393002810</v>
          </cell>
        </row>
        <row r="1852">
          <cell r="A1852">
            <v>3400004221</v>
          </cell>
          <cell r="B1852">
            <v>0</v>
          </cell>
          <cell r="C1852">
            <v>6801</v>
          </cell>
          <cell r="D1852" t="str">
            <v>01.10.1996</v>
          </cell>
          <cell r="E1852">
            <v>0</v>
          </cell>
          <cell r="F1852">
            <v>6393002822</v>
          </cell>
        </row>
        <row r="1853">
          <cell r="A1853">
            <v>3400004222</v>
          </cell>
          <cell r="B1853">
            <v>0</v>
          </cell>
          <cell r="C1853">
            <v>6801</v>
          </cell>
          <cell r="D1853" t="str">
            <v>01.10.1996</v>
          </cell>
          <cell r="E1853">
            <v>0</v>
          </cell>
          <cell r="F1853">
            <v>6393002834</v>
          </cell>
        </row>
        <row r="1854">
          <cell r="A1854">
            <v>3400004223</v>
          </cell>
          <cell r="B1854">
            <v>0</v>
          </cell>
          <cell r="C1854">
            <v>6801</v>
          </cell>
          <cell r="D1854" t="str">
            <v>01.10.1996</v>
          </cell>
          <cell r="E1854">
            <v>0</v>
          </cell>
          <cell r="F1854">
            <v>6393002846</v>
          </cell>
        </row>
        <row r="1855">
          <cell r="A1855">
            <v>3400004224</v>
          </cell>
          <cell r="B1855">
            <v>0</v>
          </cell>
          <cell r="C1855">
            <v>5400</v>
          </cell>
          <cell r="D1855" t="str">
            <v>01.10.1996</v>
          </cell>
          <cell r="E1855">
            <v>1</v>
          </cell>
          <cell r="F1855">
            <v>6393002858</v>
          </cell>
        </row>
        <row r="1856">
          <cell r="A1856">
            <v>3400004225</v>
          </cell>
          <cell r="B1856">
            <v>0</v>
          </cell>
          <cell r="C1856">
            <v>5400</v>
          </cell>
          <cell r="D1856" t="str">
            <v>01.10.1996</v>
          </cell>
          <cell r="E1856">
            <v>1</v>
          </cell>
          <cell r="F1856">
            <v>6393002869</v>
          </cell>
        </row>
        <row r="1857">
          <cell r="A1857">
            <v>3400004226</v>
          </cell>
          <cell r="B1857">
            <v>0</v>
          </cell>
          <cell r="C1857">
            <v>5400</v>
          </cell>
          <cell r="D1857" t="str">
            <v>01.10.1996</v>
          </cell>
          <cell r="E1857">
            <v>1</v>
          </cell>
          <cell r="F1857">
            <v>6393002871</v>
          </cell>
        </row>
        <row r="1858">
          <cell r="A1858">
            <v>3400004227</v>
          </cell>
          <cell r="B1858">
            <v>0</v>
          </cell>
          <cell r="C1858">
            <v>5400</v>
          </cell>
          <cell r="D1858" t="str">
            <v>01.10.1996</v>
          </cell>
          <cell r="E1858">
            <v>1</v>
          </cell>
          <cell r="F1858">
            <v>6393002883</v>
          </cell>
        </row>
        <row r="1859">
          <cell r="A1859">
            <v>3400004228</v>
          </cell>
          <cell r="B1859">
            <v>0</v>
          </cell>
          <cell r="C1859">
            <v>5400</v>
          </cell>
          <cell r="D1859" t="str">
            <v>01.10.1996</v>
          </cell>
          <cell r="E1859">
            <v>1</v>
          </cell>
          <cell r="F1859">
            <v>6393002895</v>
          </cell>
        </row>
        <row r="1860">
          <cell r="A1860">
            <v>3400004229</v>
          </cell>
          <cell r="B1860">
            <v>0</v>
          </cell>
          <cell r="C1860">
            <v>5400</v>
          </cell>
          <cell r="D1860" t="str">
            <v>01.10.1996</v>
          </cell>
          <cell r="E1860">
            <v>1</v>
          </cell>
          <cell r="F1860">
            <v>6393002901</v>
          </cell>
        </row>
        <row r="1861">
          <cell r="A1861">
            <v>3400004230</v>
          </cell>
          <cell r="B1861">
            <v>0</v>
          </cell>
          <cell r="C1861">
            <v>5400</v>
          </cell>
          <cell r="D1861" t="str">
            <v>01.10.1996</v>
          </cell>
          <cell r="E1861">
            <v>1</v>
          </cell>
          <cell r="F1861">
            <v>6393002913</v>
          </cell>
        </row>
        <row r="1862">
          <cell r="A1862">
            <v>3400004231</v>
          </cell>
          <cell r="B1862">
            <v>0</v>
          </cell>
          <cell r="C1862">
            <v>6801</v>
          </cell>
          <cell r="D1862" t="str">
            <v>01.10.1996</v>
          </cell>
          <cell r="E1862">
            <v>1</v>
          </cell>
          <cell r="F1862">
            <v>6393002925</v>
          </cell>
        </row>
        <row r="1863">
          <cell r="A1863">
            <v>3400004232</v>
          </cell>
          <cell r="B1863">
            <v>0</v>
          </cell>
          <cell r="C1863">
            <v>6801</v>
          </cell>
          <cell r="D1863" t="str">
            <v>01.10.1996</v>
          </cell>
          <cell r="E1863">
            <v>1</v>
          </cell>
          <cell r="F1863">
            <v>6393002937</v>
          </cell>
        </row>
        <row r="1864">
          <cell r="A1864">
            <v>3400004233</v>
          </cell>
          <cell r="B1864">
            <v>0</v>
          </cell>
          <cell r="C1864">
            <v>5801</v>
          </cell>
          <cell r="D1864" t="str">
            <v>01.10.1996</v>
          </cell>
          <cell r="E1864">
            <v>0</v>
          </cell>
          <cell r="F1864">
            <v>6393002949</v>
          </cell>
        </row>
        <row r="1865">
          <cell r="A1865">
            <v>3400004234</v>
          </cell>
          <cell r="B1865">
            <v>0</v>
          </cell>
          <cell r="C1865">
            <v>5801</v>
          </cell>
          <cell r="D1865" t="str">
            <v>01.10.1996</v>
          </cell>
          <cell r="E1865">
            <v>0</v>
          </cell>
          <cell r="F1865">
            <v>6393002950</v>
          </cell>
        </row>
        <row r="1866">
          <cell r="A1866">
            <v>3400004235</v>
          </cell>
          <cell r="B1866">
            <v>0</v>
          </cell>
          <cell r="C1866">
            <v>5801</v>
          </cell>
          <cell r="D1866" t="str">
            <v>01.10.1996</v>
          </cell>
          <cell r="E1866">
            <v>0</v>
          </cell>
          <cell r="F1866">
            <v>6393002962</v>
          </cell>
        </row>
        <row r="1867">
          <cell r="A1867">
            <v>3400004236</v>
          </cell>
          <cell r="B1867">
            <v>0</v>
          </cell>
          <cell r="C1867">
            <v>5801</v>
          </cell>
          <cell r="D1867" t="str">
            <v>01.10.1996</v>
          </cell>
          <cell r="E1867">
            <v>0</v>
          </cell>
          <cell r="F1867">
            <v>6393002974</v>
          </cell>
        </row>
        <row r="1868">
          <cell r="A1868">
            <v>3400004237</v>
          </cell>
          <cell r="B1868">
            <v>0</v>
          </cell>
          <cell r="C1868">
            <v>5801</v>
          </cell>
          <cell r="D1868" t="str">
            <v>01.10.1996</v>
          </cell>
          <cell r="E1868">
            <v>0</v>
          </cell>
          <cell r="F1868">
            <v>6393002986</v>
          </cell>
        </row>
        <row r="1869">
          <cell r="A1869">
            <v>3400004238</v>
          </cell>
          <cell r="B1869">
            <v>0</v>
          </cell>
          <cell r="C1869">
            <v>5801</v>
          </cell>
          <cell r="D1869" t="str">
            <v>01.10.1996</v>
          </cell>
          <cell r="E1869">
            <v>1</v>
          </cell>
          <cell r="F1869">
            <v>6393002998</v>
          </cell>
        </row>
        <row r="1870">
          <cell r="A1870">
            <v>3400004239</v>
          </cell>
          <cell r="B1870">
            <v>0</v>
          </cell>
          <cell r="C1870">
            <v>5801</v>
          </cell>
          <cell r="D1870" t="str">
            <v>01.10.1996</v>
          </cell>
          <cell r="E1870">
            <v>1</v>
          </cell>
          <cell r="F1870">
            <v>6393003000</v>
          </cell>
        </row>
        <row r="1871">
          <cell r="A1871">
            <v>3400004240</v>
          </cell>
          <cell r="B1871">
            <v>0</v>
          </cell>
          <cell r="C1871">
            <v>5801</v>
          </cell>
          <cell r="D1871" t="str">
            <v>01.10.1996</v>
          </cell>
          <cell r="E1871">
            <v>1</v>
          </cell>
          <cell r="F1871">
            <v>6393003012</v>
          </cell>
        </row>
        <row r="1872">
          <cell r="A1872">
            <v>3400004241</v>
          </cell>
          <cell r="B1872">
            <v>0</v>
          </cell>
          <cell r="C1872">
            <v>5801</v>
          </cell>
          <cell r="D1872" t="str">
            <v>01.10.1996</v>
          </cell>
          <cell r="E1872">
            <v>1</v>
          </cell>
          <cell r="F1872">
            <v>6393003024</v>
          </cell>
        </row>
        <row r="1873">
          <cell r="A1873">
            <v>3400004242</v>
          </cell>
          <cell r="B1873">
            <v>0</v>
          </cell>
          <cell r="C1873">
            <v>5801</v>
          </cell>
          <cell r="D1873" t="str">
            <v>01.10.1996</v>
          </cell>
          <cell r="E1873">
            <v>1</v>
          </cell>
          <cell r="F1873">
            <v>6393003036</v>
          </cell>
        </row>
        <row r="1874">
          <cell r="A1874">
            <v>3400004243</v>
          </cell>
          <cell r="B1874">
            <v>0</v>
          </cell>
          <cell r="C1874">
            <v>6901</v>
          </cell>
          <cell r="D1874" t="str">
            <v>01.09.1993</v>
          </cell>
          <cell r="E1874">
            <v>150</v>
          </cell>
          <cell r="F1874">
            <v>6393003048</v>
          </cell>
        </row>
        <row r="1875">
          <cell r="A1875">
            <v>3400004244</v>
          </cell>
          <cell r="B1875">
            <v>0</v>
          </cell>
          <cell r="C1875">
            <v>6901</v>
          </cell>
          <cell r="D1875" t="str">
            <v>01.09.1993</v>
          </cell>
          <cell r="E1875">
            <v>50</v>
          </cell>
          <cell r="F1875">
            <v>6393003059</v>
          </cell>
        </row>
        <row r="1876">
          <cell r="A1876">
            <v>3400004245</v>
          </cell>
          <cell r="B1876">
            <v>0</v>
          </cell>
          <cell r="C1876">
            <v>6901</v>
          </cell>
          <cell r="D1876" t="str">
            <v>01.09.1993</v>
          </cell>
          <cell r="E1876">
            <v>20</v>
          </cell>
          <cell r="F1876">
            <v>6393003061</v>
          </cell>
        </row>
        <row r="1877">
          <cell r="A1877">
            <v>3400004246</v>
          </cell>
          <cell r="B1877">
            <v>0</v>
          </cell>
          <cell r="C1877">
            <v>5801</v>
          </cell>
          <cell r="D1877" t="str">
            <v>01.10.1996</v>
          </cell>
          <cell r="E1877">
            <v>0</v>
          </cell>
          <cell r="F1877">
            <v>6393003073</v>
          </cell>
        </row>
        <row r="1878">
          <cell r="A1878">
            <v>3400004247</v>
          </cell>
          <cell r="B1878">
            <v>0</v>
          </cell>
          <cell r="C1878">
            <v>5801</v>
          </cell>
          <cell r="D1878" t="str">
            <v>01.10.1996</v>
          </cell>
          <cell r="E1878">
            <v>0</v>
          </cell>
          <cell r="F1878">
            <v>6393003085</v>
          </cell>
        </row>
        <row r="1879">
          <cell r="A1879">
            <v>3400004248</v>
          </cell>
          <cell r="B1879">
            <v>0</v>
          </cell>
          <cell r="C1879">
            <v>5801</v>
          </cell>
          <cell r="D1879" t="str">
            <v>01.10.1996</v>
          </cell>
          <cell r="E1879">
            <v>0</v>
          </cell>
          <cell r="F1879">
            <v>6393003097</v>
          </cell>
        </row>
        <row r="1880">
          <cell r="A1880">
            <v>3400004249</v>
          </cell>
          <cell r="B1880">
            <v>0</v>
          </cell>
          <cell r="C1880">
            <v>5801</v>
          </cell>
          <cell r="D1880" t="str">
            <v>01.10.1996</v>
          </cell>
          <cell r="E1880">
            <v>0</v>
          </cell>
          <cell r="F1880">
            <v>6393003103</v>
          </cell>
        </row>
        <row r="1881">
          <cell r="A1881">
            <v>3400004250</v>
          </cell>
          <cell r="B1881">
            <v>0</v>
          </cell>
          <cell r="C1881">
            <v>5801</v>
          </cell>
          <cell r="D1881" t="str">
            <v>01.10.1996</v>
          </cell>
          <cell r="E1881">
            <v>1</v>
          </cell>
          <cell r="F1881">
            <v>6393003115</v>
          </cell>
        </row>
        <row r="1882">
          <cell r="A1882">
            <v>3400004251</v>
          </cell>
          <cell r="B1882">
            <v>0</v>
          </cell>
          <cell r="C1882">
            <v>5801</v>
          </cell>
          <cell r="D1882" t="str">
            <v>01.10.1996</v>
          </cell>
          <cell r="E1882">
            <v>0</v>
          </cell>
          <cell r="F1882">
            <v>6393003127</v>
          </cell>
        </row>
        <row r="1883">
          <cell r="A1883">
            <v>3400004252</v>
          </cell>
          <cell r="B1883">
            <v>0</v>
          </cell>
          <cell r="C1883">
            <v>5801</v>
          </cell>
          <cell r="D1883" t="str">
            <v>01.10.1996</v>
          </cell>
          <cell r="E1883">
            <v>0</v>
          </cell>
          <cell r="F1883">
            <v>6393003139</v>
          </cell>
        </row>
        <row r="1884">
          <cell r="A1884">
            <v>3400004253</v>
          </cell>
          <cell r="B1884">
            <v>0</v>
          </cell>
          <cell r="C1884">
            <v>5801</v>
          </cell>
          <cell r="D1884" t="str">
            <v>01.10.1996</v>
          </cell>
          <cell r="E1884">
            <v>0</v>
          </cell>
          <cell r="F1884">
            <v>6393003140</v>
          </cell>
        </row>
        <row r="1885">
          <cell r="A1885">
            <v>3400004254</v>
          </cell>
          <cell r="B1885">
            <v>0</v>
          </cell>
          <cell r="C1885">
            <v>5801</v>
          </cell>
          <cell r="D1885" t="str">
            <v>01.10.1996</v>
          </cell>
          <cell r="E1885">
            <v>0</v>
          </cell>
          <cell r="F1885">
            <v>6393003152</v>
          </cell>
        </row>
        <row r="1886">
          <cell r="A1886">
            <v>3400004255</v>
          </cell>
          <cell r="B1886">
            <v>0</v>
          </cell>
          <cell r="C1886">
            <v>6801</v>
          </cell>
          <cell r="D1886" t="str">
            <v>01.10.1996</v>
          </cell>
          <cell r="E1886">
            <v>0</v>
          </cell>
          <cell r="F1886">
            <v>6393003164</v>
          </cell>
        </row>
        <row r="1887">
          <cell r="A1887">
            <v>3400004256</v>
          </cell>
          <cell r="B1887">
            <v>1</v>
          </cell>
          <cell r="C1887">
            <v>5801</v>
          </cell>
          <cell r="D1887" t="str">
            <v>01.10.1996</v>
          </cell>
          <cell r="E1887">
            <v>0</v>
          </cell>
          <cell r="F1887">
            <v>6393003176</v>
          </cell>
        </row>
        <row r="1888">
          <cell r="A1888">
            <v>3400004256</v>
          </cell>
          <cell r="B1888">
            <v>0</v>
          </cell>
          <cell r="C1888">
            <v>5801</v>
          </cell>
          <cell r="D1888" t="str">
            <v>01.10.1996</v>
          </cell>
          <cell r="E1888">
            <v>0</v>
          </cell>
          <cell r="F1888">
            <v>6393003176</v>
          </cell>
        </row>
        <row r="1889">
          <cell r="A1889">
            <v>3400004257</v>
          </cell>
          <cell r="B1889">
            <v>0</v>
          </cell>
          <cell r="C1889">
            <v>5801</v>
          </cell>
          <cell r="D1889" t="str">
            <v>01.10.1996</v>
          </cell>
          <cell r="E1889">
            <v>1</v>
          </cell>
          <cell r="F1889">
            <v>6393003188</v>
          </cell>
        </row>
        <row r="1890">
          <cell r="A1890">
            <v>3400004258</v>
          </cell>
          <cell r="B1890">
            <v>0</v>
          </cell>
          <cell r="C1890">
            <v>6801</v>
          </cell>
          <cell r="D1890" t="str">
            <v>01.10.1996</v>
          </cell>
          <cell r="E1890">
            <v>1</v>
          </cell>
          <cell r="F1890">
            <v>6393003199</v>
          </cell>
        </row>
        <row r="1891">
          <cell r="A1891">
            <v>3400004259</v>
          </cell>
          <cell r="B1891">
            <v>0</v>
          </cell>
          <cell r="C1891">
            <v>6801</v>
          </cell>
          <cell r="D1891" t="str">
            <v>01.10.1996</v>
          </cell>
          <cell r="E1891">
            <v>1</v>
          </cell>
          <cell r="F1891">
            <v>6394000019</v>
          </cell>
        </row>
        <row r="1892">
          <cell r="A1892">
            <v>3400004260</v>
          </cell>
          <cell r="B1892">
            <v>0</v>
          </cell>
          <cell r="C1892">
            <v>6801</v>
          </cell>
          <cell r="D1892" t="str">
            <v>01.10.1996</v>
          </cell>
          <cell r="E1892">
            <v>1</v>
          </cell>
          <cell r="F1892">
            <v>6394000027</v>
          </cell>
        </row>
        <row r="1893">
          <cell r="A1893">
            <v>3400004261</v>
          </cell>
          <cell r="B1893">
            <v>0</v>
          </cell>
          <cell r="C1893">
            <v>6801</v>
          </cell>
          <cell r="D1893" t="str">
            <v>01.10.1996</v>
          </cell>
          <cell r="E1893">
            <v>1</v>
          </cell>
          <cell r="F1893">
            <v>6394000035</v>
          </cell>
        </row>
        <row r="1894">
          <cell r="A1894">
            <v>3400004262</v>
          </cell>
          <cell r="B1894">
            <v>0</v>
          </cell>
          <cell r="C1894">
            <v>6801</v>
          </cell>
          <cell r="D1894" t="str">
            <v>01.10.1996</v>
          </cell>
          <cell r="E1894">
            <v>1</v>
          </cell>
          <cell r="F1894">
            <v>6394000043</v>
          </cell>
        </row>
        <row r="1895">
          <cell r="A1895">
            <v>3400004263</v>
          </cell>
          <cell r="B1895">
            <v>0</v>
          </cell>
          <cell r="C1895">
            <v>5800</v>
          </cell>
          <cell r="D1895" t="str">
            <v>01.10.1996</v>
          </cell>
          <cell r="E1895">
            <v>1</v>
          </cell>
          <cell r="F1895">
            <v>6394000051</v>
          </cell>
        </row>
        <row r="1896">
          <cell r="A1896">
            <v>3400004264</v>
          </cell>
          <cell r="B1896">
            <v>0</v>
          </cell>
          <cell r="C1896">
            <v>5900</v>
          </cell>
          <cell r="D1896" t="str">
            <v>01.10.1993</v>
          </cell>
          <cell r="E1896">
            <v>5</v>
          </cell>
          <cell r="F1896">
            <v>6394000060</v>
          </cell>
        </row>
        <row r="1897">
          <cell r="A1897">
            <v>3400004265</v>
          </cell>
          <cell r="B1897">
            <v>0</v>
          </cell>
          <cell r="C1897">
            <v>5900</v>
          </cell>
          <cell r="D1897" t="str">
            <v>01.10.1993</v>
          </cell>
          <cell r="E1897">
            <v>1</v>
          </cell>
          <cell r="F1897">
            <v>6394000072</v>
          </cell>
        </row>
        <row r="1898">
          <cell r="A1898">
            <v>3400004266</v>
          </cell>
          <cell r="B1898">
            <v>0</v>
          </cell>
          <cell r="C1898">
            <v>5900</v>
          </cell>
          <cell r="D1898" t="str">
            <v>01.11.1993</v>
          </cell>
          <cell r="E1898">
            <v>0</v>
          </cell>
          <cell r="F1898">
            <v>6394000084</v>
          </cell>
        </row>
        <row r="1899">
          <cell r="A1899">
            <v>3400004267</v>
          </cell>
          <cell r="B1899">
            <v>0</v>
          </cell>
          <cell r="C1899">
            <v>5801</v>
          </cell>
          <cell r="D1899" t="str">
            <v>01.10.1996</v>
          </cell>
          <cell r="E1899">
            <v>0</v>
          </cell>
          <cell r="F1899">
            <v>6394000096</v>
          </cell>
        </row>
        <row r="1900">
          <cell r="A1900">
            <v>3400004268</v>
          </cell>
          <cell r="B1900">
            <v>0</v>
          </cell>
          <cell r="C1900">
            <v>6230</v>
          </cell>
          <cell r="D1900" t="str">
            <v>01.10.1996</v>
          </cell>
          <cell r="E1900">
            <v>0</v>
          </cell>
          <cell r="F1900">
            <v>6394000116</v>
          </cell>
        </row>
        <row r="1901">
          <cell r="A1901">
            <v>3400004269</v>
          </cell>
          <cell r="B1901">
            <v>0</v>
          </cell>
          <cell r="C1901">
            <v>6230</v>
          </cell>
          <cell r="D1901" t="str">
            <v>01.10.1996</v>
          </cell>
          <cell r="E1901">
            <v>0</v>
          </cell>
          <cell r="F1901">
            <v>6394000124</v>
          </cell>
        </row>
        <row r="1902">
          <cell r="A1902">
            <v>3400004270</v>
          </cell>
          <cell r="B1902">
            <v>0</v>
          </cell>
          <cell r="C1902">
            <v>5600</v>
          </cell>
          <cell r="D1902" t="str">
            <v>01.10.1996</v>
          </cell>
          <cell r="E1902">
            <v>1</v>
          </cell>
          <cell r="F1902">
            <v>6394000132</v>
          </cell>
        </row>
        <row r="1903">
          <cell r="A1903">
            <v>3400004271</v>
          </cell>
          <cell r="B1903">
            <v>0</v>
          </cell>
          <cell r="C1903">
            <v>5600</v>
          </cell>
          <cell r="D1903" t="str">
            <v>01.10.1996</v>
          </cell>
          <cell r="E1903">
            <v>1</v>
          </cell>
          <cell r="F1903">
            <v>6394000149</v>
          </cell>
        </row>
        <row r="1904">
          <cell r="A1904">
            <v>3400004272</v>
          </cell>
          <cell r="B1904">
            <v>0</v>
          </cell>
          <cell r="C1904">
            <v>6801</v>
          </cell>
          <cell r="D1904" t="str">
            <v>01.10.1996</v>
          </cell>
          <cell r="E1904">
            <v>1</v>
          </cell>
          <cell r="F1904">
            <v>6394000151</v>
          </cell>
        </row>
        <row r="1905">
          <cell r="A1905">
            <v>3400004273</v>
          </cell>
          <cell r="B1905">
            <v>0</v>
          </cell>
          <cell r="C1905">
            <v>6801</v>
          </cell>
          <cell r="D1905" t="str">
            <v>01.10.1996</v>
          </cell>
          <cell r="E1905">
            <v>1</v>
          </cell>
          <cell r="F1905">
            <v>6394000163</v>
          </cell>
        </row>
        <row r="1906">
          <cell r="A1906">
            <v>3400004274</v>
          </cell>
          <cell r="B1906">
            <v>0</v>
          </cell>
          <cell r="C1906">
            <v>6801</v>
          </cell>
          <cell r="D1906" t="str">
            <v>01.10.1996</v>
          </cell>
          <cell r="E1906">
            <v>1</v>
          </cell>
          <cell r="F1906">
            <v>6394000175</v>
          </cell>
        </row>
        <row r="1907">
          <cell r="A1907">
            <v>3400004275</v>
          </cell>
          <cell r="B1907">
            <v>0</v>
          </cell>
          <cell r="C1907">
            <v>6801</v>
          </cell>
          <cell r="D1907" t="str">
            <v>01.10.1996</v>
          </cell>
          <cell r="E1907">
            <v>1</v>
          </cell>
          <cell r="F1907">
            <v>6394000187</v>
          </cell>
        </row>
        <row r="1908">
          <cell r="A1908">
            <v>3400004276</v>
          </cell>
          <cell r="B1908">
            <v>0</v>
          </cell>
          <cell r="C1908">
            <v>6801</v>
          </cell>
          <cell r="D1908" t="str">
            <v>01.10.1996</v>
          </cell>
          <cell r="E1908">
            <v>1</v>
          </cell>
          <cell r="F1908">
            <v>6394000199</v>
          </cell>
        </row>
        <row r="1909">
          <cell r="A1909">
            <v>3400004277</v>
          </cell>
          <cell r="B1909">
            <v>0</v>
          </cell>
          <cell r="C1909">
            <v>6801</v>
          </cell>
          <cell r="D1909" t="str">
            <v>01.10.1996</v>
          </cell>
          <cell r="E1909">
            <v>1</v>
          </cell>
          <cell r="F1909">
            <v>6394000205</v>
          </cell>
        </row>
        <row r="1910">
          <cell r="A1910">
            <v>3400004278</v>
          </cell>
          <cell r="B1910">
            <v>0</v>
          </cell>
          <cell r="C1910">
            <v>6801</v>
          </cell>
          <cell r="D1910" t="str">
            <v>01.10.1996</v>
          </cell>
          <cell r="E1910">
            <v>1</v>
          </cell>
          <cell r="F1910">
            <v>6394000213</v>
          </cell>
        </row>
        <row r="1911">
          <cell r="A1911">
            <v>3400004279</v>
          </cell>
          <cell r="B1911">
            <v>0</v>
          </cell>
          <cell r="C1911">
            <v>6801</v>
          </cell>
          <cell r="D1911" t="str">
            <v>01.10.1996</v>
          </cell>
          <cell r="E1911">
            <v>1</v>
          </cell>
          <cell r="F1911">
            <v>6394000221</v>
          </cell>
        </row>
        <row r="1912">
          <cell r="A1912">
            <v>3400004280</v>
          </cell>
          <cell r="B1912">
            <v>0</v>
          </cell>
          <cell r="C1912">
            <v>6801</v>
          </cell>
          <cell r="D1912" t="str">
            <v>01.10.1996</v>
          </cell>
          <cell r="E1912">
            <v>1</v>
          </cell>
          <cell r="F1912">
            <v>6394000230</v>
          </cell>
        </row>
        <row r="1913">
          <cell r="A1913">
            <v>3400004281</v>
          </cell>
          <cell r="B1913">
            <v>0</v>
          </cell>
          <cell r="C1913">
            <v>6801</v>
          </cell>
          <cell r="D1913" t="str">
            <v>01.10.1996</v>
          </cell>
          <cell r="E1913">
            <v>1</v>
          </cell>
          <cell r="F1913">
            <v>6394000242</v>
          </cell>
        </row>
        <row r="1914">
          <cell r="A1914">
            <v>3400004282</v>
          </cell>
          <cell r="B1914">
            <v>0</v>
          </cell>
          <cell r="C1914">
            <v>5400</v>
          </cell>
          <cell r="D1914" t="str">
            <v>01.10.1996</v>
          </cell>
          <cell r="E1914">
            <v>0</v>
          </cell>
          <cell r="F1914">
            <v>6394000254</v>
          </cell>
        </row>
        <row r="1915">
          <cell r="A1915">
            <v>3400004282</v>
          </cell>
          <cell r="B1915">
            <v>1</v>
          </cell>
          <cell r="C1915">
            <v>5400</v>
          </cell>
          <cell r="D1915" t="str">
            <v>01.10.1996</v>
          </cell>
          <cell r="E1915">
            <v>0</v>
          </cell>
          <cell r="F1915">
            <v>6394000254</v>
          </cell>
        </row>
        <row r="1916">
          <cell r="A1916">
            <v>3400004283</v>
          </cell>
          <cell r="B1916">
            <v>1</v>
          </cell>
          <cell r="C1916">
            <v>5400</v>
          </cell>
          <cell r="D1916" t="str">
            <v>01.10.1996</v>
          </cell>
          <cell r="E1916">
            <v>0</v>
          </cell>
          <cell r="F1916">
            <v>6394000266</v>
          </cell>
        </row>
        <row r="1917">
          <cell r="A1917">
            <v>3400004283</v>
          </cell>
          <cell r="B1917">
            <v>0</v>
          </cell>
          <cell r="C1917">
            <v>5400</v>
          </cell>
          <cell r="D1917" t="str">
            <v>01.10.1996</v>
          </cell>
          <cell r="E1917">
            <v>0</v>
          </cell>
          <cell r="F1917">
            <v>6394000266</v>
          </cell>
        </row>
        <row r="1918">
          <cell r="A1918">
            <v>3400004284</v>
          </cell>
          <cell r="B1918">
            <v>0</v>
          </cell>
          <cell r="C1918">
            <v>5400</v>
          </cell>
          <cell r="D1918" t="str">
            <v>01.10.1996</v>
          </cell>
          <cell r="E1918">
            <v>0</v>
          </cell>
          <cell r="F1918">
            <v>6394000278</v>
          </cell>
        </row>
        <row r="1919">
          <cell r="A1919">
            <v>3400004284</v>
          </cell>
          <cell r="B1919">
            <v>1</v>
          </cell>
          <cell r="C1919">
            <v>5400</v>
          </cell>
          <cell r="D1919" t="str">
            <v>01.10.1996</v>
          </cell>
          <cell r="E1919">
            <v>0</v>
          </cell>
          <cell r="F1919">
            <v>6394000278</v>
          </cell>
        </row>
        <row r="1920">
          <cell r="A1920">
            <v>3400004285</v>
          </cell>
          <cell r="B1920">
            <v>0</v>
          </cell>
          <cell r="C1920">
            <v>5400</v>
          </cell>
          <cell r="D1920" t="str">
            <v>01.10.1996</v>
          </cell>
          <cell r="E1920">
            <v>1</v>
          </cell>
          <cell r="F1920">
            <v>6394000289</v>
          </cell>
        </row>
        <row r="1921">
          <cell r="A1921">
            <v>3400004286</v>
          </cell>
          <cell r="B1921">
            <v>0</v>
          </cell>
          <cell r="C1921">
            <v>5400</v>
          </cell>
          <cell r="D1921" t="str">
            <v>01.10.1996</v>
          </cell>
          <cell r="E1921">
            <v>1</v>
          </cell>
          <cell r="F1921">
            <v>6394000291</v>
          </cell>
        </row>
        <row r="1922">
          <cell r="A1922">
            <v>3400004287</v>
          </cell>
          <cell r="B1922">
            <v>0</v>
          </cell>
          <cell r="C1922">
            <v>5400</v>
          </cell>
          <cell r="D1922" t="str">
            <v>01.10.1996</v>
          </cell>
          <cell r="E1922">
            <v>1</v>
          </cell>
          <cell r="F1922">
            <v>6394000302</v>
          </cell>
        </row>
        <row r="1923">
          <cell r="A1923">
            <v>3400004288</v>
          </cell>
          <cell r="B1923">
            <v>0</v>
          </cell>
          <cell r="C1923">
            <v>5400</v>
          </cell>
          <cell r="D1923" t="str">
            <v>01.10.1996</v>
          </cell>
          <cell r="E1923">
            <v>1</v>
          </cell>
          <cell r="F1923">
            <v>6394000319</v>
          </cell>
        </row>
        <row r="1924">
          <cell r="A1924">
            <v>3400004289</v>
          </cell>
          <cell r="B1924">
            <v>0</v>
          </cell>
          <cell r="C1924">
            <v>5400</v>
          </cell>
          <cell r="D1924" t="str">
            <v>01.10.1996</v>
          </cell>
          <cell r="E1924">
            <v>1</v>
          </cell>
          <cell r="F1924">
            <v>6394000321</v>
          </cell>
        </row>
        <row r="1925">
          <cell r="A1925">
            <v>3400004290</v>
          </cell>
          <cell r="B1925">
            <v>0</v>
          </cell>
          <cell r="C1925">
            <v>5400</v>
          </cell>
          <cell r="D1925" t="str">
            <v>01.10.1996</v>
          </cell>
          <cell r="E1925">
            <v>1</v>
          </cell>
          <cell r="F1925">
            <v>6394000333</v>
          </cell>
        </row>
        <row r="1926">
          <cell r="A1926">
            <v>3400004291</v>
          </cell>
          <cell r="B1926">
            <v>0</v>
          </cell>
          <cell r="C1926">
            <v>5400</v>
          </cell>
          <cell r="D1926" t="str">
            <v>01.10.1996</v>
          </cell>
          <cell r="E1926">
            <v>1</v>
          </cell>
          <cell r="F1926">
            <v>6394000345</v>
          </cell>
        </row>
        <row r="1927">
          <cell r="A1927">
            <v>3400004292</v>
          </cell>
          <cell r="B1927">
            <v>0</v>
          </cell>
          <cell r="C1927">
            <v>5400</v>
          </cell>
          <cell r="D1927" t="str">
            <v>01.10.1996</v>
          </cell>
          <cell r="E1927">
            <v>1</v>
          </cell>
          <cell r="F1927">
            <v>6394000357</v>
          </cell>
        </row>
        <row r="1928">
          <cell r="A1928">
            <v>3400004293</v>
          </cell>
          <cell r="B1928">
            <v>0</v>
          </cell>
          <cell r="C1928">
            <v>5400</v>
          </cell>
          <cell r="D1928" t="str">
            <v>01.10.1996</v>
          </cell>
          <cell r="E1928">
            <v>1</v>
          </cell>
          <cell r="F1928">
            <v>6394000369</v>
          </cell>
        </row>
        <row r="1929">
          <cell r="A1929">
            <v>3400004294</v>
          </cell>
          <cell r="B1929">
            <v>0</v>
          </cell>
          <cell r="C1929">
            <v>5400</v>
          </cell>
          <cell r="D1929" t="str">
            <v>01.10.1996</v>
          </cell>
          <cell r="E1929">
            <v>1</v>
          </cell>
          <cell r="F1929">
            <v>6394000370</v>
          </cell>
        </row>
        <row r="1930">
          <cell r="A1930">
            <v>3400004295</v>
          </cell>
          <cell r="B1930">
            <v>0</v>
          </cell>
          <cell r="C1930">
            <v>5400</v>
          </cell>
          <cell r="D1930" t="str">
            <v>01.10.1996</v>
          </cell>
          <cell r="E1930">
            <v>1</v>
          </cell>
          <cell r="F1930">
            <v>6394000382</v>
          </cell>
        </row>
        <row r="1931">
          <cell r="A1931">
            <v>3400004296</v>
          </cell>
          <cell r="B1931">
            <v>0</v>
          </cell>
          <cell r="C1931">
            <v>5400</v>
          </cell>
          <cell r="D1931" t="str">
            <v>01.10.1996</v>
          </cell>
          <cell r="E1931">
            <v>1</v>
          </cell>
          <cell r="F1931">
            <v>6394000394</v>
          </cell>
        </row>
        <row r="1932">
          <cell r="A1932">
            <v>3400004297</v>
          </cell>
          <cell r="B1932">
            <v>0</v>
          </cell>
          <cell r="C1932">
            <v>6801</v>
          </cell>
          <cell r="D1932" t="str">
            <v>01.10.1996</v>
          </cell>
          <cell r="E1932">
            <v>0</v>
          </cell>
          <cell r="F1932">
            <v>6394000400</v>
          </cell>
        </row>
        <row r="1933">
          <cell r="A1933">
            <v>3400004298</v>
          </cell>
          <cell r="B1933">
            <v>0</v>
          </cell>
          <cell r="C1933">
            <v>6801</v>
          </cell>
          <cell r="D1933" t="str">
            <v>01.10.1996</v>
          </cell>
          <cell r="E1933">
            <v>0</v>
          </cell>
          <cell r="F1933">
            <v>6394000412</v>
          </cell>
        </row>
        <row r="1934">
          <cell r="A1934">
            <v>3400004299</v>
          </cell>
          <cell r="B1934">
            <v>0</v>
          </cell>
          <cell r="C1934">
            <v>6801</v>
          </cell>
          <cell r="D1934" t="str">
            <v>01.10.1996</v>
          </cell>
          <cell r="E1934">
            <v>0</v>
          </cell>
          <cell r="F1934">
            <v>6394000424</v>
          </cell>
        </row>
        <row r="1935">
          <cell r="A1935">
            <v>3400004300</v>
          </cell>
          <cell r="B1935">
            <v>0</v>
          </cell>
          <cell r="C1935">
            <v>6801</v>
          </cell>
          <cell r="D1935" t="str">
            <v>01.10.1996</v>
          </cell>
          <cell r="E1935">
            <v>0</v>
          </cell>
          <cell r="F1935">
            <v>6394000436</v>
          </cell>
        </row>
        <row r="1936">
          <cell r="A1936">
            <v>3400004301</v>
          </cell>
          <cell r="B1936">
            <v>0</v>
          </cell>
          <cell r="C1936">
            <v>6801</v>
          </cell>
          <cell r="D1936" t="str">
            <v>01.10.1996</v>
          </cell>
          <cell r="E1936">
            <v>0</v>
          </cell>
          <cell r="F1936">
            <v>6394000448</v>
          </cell>
        </row>
        <row r="1937">
          <cell r="A1937">
            <v>3400004302</v>
          </cell>
          <cell r="B1937">
            <v>0</v>
          </cell>
          <cell r="C1937">
            <v>6801</v>
          </cell>
          <cell r="D1937" t="str">
            <v>01.10.1996</v>
          </cell>
          <cell r="E1937">
            <v>0</v>
          </cell>
          <cell r="F1937">
            <v>6394000459</v>
          </cell>
        </row>
        <row r="1938">
          <cell r="A1938">
            <v>3400004303</v>
          </cell>
          <cell r="B1938">
            <v>0</v>
          </cell>
          <cell r="C1938">
            <v>6801</v>
          </cell>
          <cell r="D1938" t="str">
            <v>01.10.1996</v>
          </cell>
          <cell r="E1938">
            <v>1</v>
          </cell>
          <cell r="F1938">
            <v>6394000461</v>
          </cell>
        </row>
        <row r="1939">
          <cell r="A1939">
            <v>3400004304</v>
          </cell>
          <cell r="B1939">
            <v>0</v>
          </cell>
          <cell r="C1939">
            <v>6801</v>
          </cell>
          <cell r="D1939" t="str">
            <v>01.10.1996</v>
          </cell>
          <cell r="E1939">
            <v>0</v>
          </cell>
          <cell r="F1939">
            <v>6394000473</v>
          </cell>
        </row>
        <row r="1940">
          <cell r="A1940">
            <v>3400004305</v>
          </cell>
          <cell r="B1940">
            <v>0</v>
          </cell>
          <cell r="C1940">
            <v>6801</v>
          </cell>
          <cell r="D1940" t="str">
            <v>01.10.1996</v>
          </cell>
          <cell r="E1940">
            <v>0</v>
          </cell>
          <cell r="F1940">
            <v>6394000485</v>
          </cell>
        </row>
        <row r="1941">
          <cell r="A1941">
            <v>3400004306</v>
          </cell>
          <cell r="B1941">
            <v>0</v>
          </cell>
          <cell r="C1941">
            <v>6801</v>
          </cell>
          <cell r="D1941" t="str">
            <v>01.10.1996</v>
          </cell>
          <cell r="E1941">
            <v>0</v>
          </cell>
          <cell r="F1941">
            <v>6394000497</v>
          </cell>
        </row>
        <row r="1942">
          <cell r="A1942">
            <v>3400004307</v>
          </cell>
          <cell r="B1942">
            <v>0</v>
          </cell>
          <cell r="C1942">
            <v>6801</v>
          </cell>
          <cell r="D1942" t="str">
            <v>01.10.1996</v>
          </cell>
          <cell r="E1942">
            <v>0</v>
          </cell>
          <cell r="F1942">
            <v>6394000503</v>
          </cell>
        </row>
        <row r="1943">
          <cell r="A1943">
            <v>3400004308</v>
          </cell>
          <cell r="B1943">
            <v>0</v>
          </cell>
          <cell r="C1943">
            <v>6801</v>
          </cell>
          <cell r="D1943" t="str">
            <v>01.10.1996</v>
          </cell>
          <cell r="E1943">
            <v>0</v>
          </cell>
          <cell r="F1943">
            <v>6394000515</v>
          </cell>
        </row>
        <row r="1944">
          <cell r="A1944">
            <v>3400004309</v>
          </cell>
          <cell r="B1944">
            <v>0</v>
          </cell>
          <cell r="C1944">
            <v>6801</v>
          </cell>
          <cell r="D1944" t="str">
            <v>01.10.1996</v>
          </cell>
          <cell r="E1944">
            <v>1</v>
          </cell>
          <cell r="F1944">
            <v>6394000527</v>
          </cell>
        </row>
        <row r="1945">
          <cell r="A1945">
            <v>3400004310</v>
          </cell>
          <cell r="B1945">
            <v>0</v>
          </cell>
          <cell r="C1945">
            <v>6801</v>
          </cell>
          <cell r="D1945" t="str">
            <v>01.10.1996</v>
          </cell>
          <cell r="E1945">
            <v>1</v>
          </cell>
          <cell r="F1945">
            <v>6394000539</v>
          </cell>
        </row>
        <row r="1946">
          <cell r="A1946">
            <v>3400004311</v>
          </cell>
          <cell r="B1946">
            <v>0</v>
          </cell>
          <cell r="C1946">
            <v>6801</v>
          </cell>
          <cell r="D1946" t="str">
            <v>01.10.1996</v>
          </cell>
          <cell r="E1946">
            <v>1</v>
          </cell>
          <cell r="F1946">
            <v>6394000540</v>
          </cell>
        </row>
        <row r="1947">
          <cell r="A1947">
            <v>3400004312</v>
          </cell>
          <cell r="B1947">
            <v>0</v>
          </cell>
          <cell r="C1947">
            <v>6801</v>
          </cell>
          <cell r="D1947" t="str">
            <v>01.10.1996</v>
          </cell>
          <cell r="E1947">
            <v>1</v>
          </cell>
          <cell r="F1947">
            <v>6394000552</v>
          </cell>
        </row>
        <row r="1948">
          <cell r="A1948">
            <v>3400004313</v>
          </cell>
          <cell r="B1948">
            <v>0</v>
          </cell>
          <cell r="C1948">
            <v>6801</v>
          </cell>
          <cell r="D1948" t="str">
            <v>01.10.1996</v>
          </cell>
          <cell r="E1948">
            <v>1</v>
          </cell>
          <cell r="F1948">
            <v>6394000564</v>
          </cell>
        </row>
        <row r="1949">
          <cell r="A1949">
            <v>3400004314</v>
          </cell>
          <cell r="B1949">
            <v>0</v>
          </cell>
          <cell r="C1949">
            <v>6801</v>
          </cell>
          <cell r="D1949" t="str">
            <v>01.10.1996</v>
          </cell>
          <cell r="E1949">
            <v>0</v>
          </cell>
          <cell r="F1949">
            <v>6394000576</v>
          </cell>
        </row>
        <row r="1950">
          <cell r="A1950">
            <v>3400004315</v>
          </cell>
          <cell r="B1950">
            <v>0</v>
          </cell>
          <cell r="C1950">
            <v>6801</v>
          </cell>
          <cell r="D1950" t="str">
            <v>01.10.1996</v>
          </cell>
          <cell r="E1950">
            <v>0</v>
          </cell>
          <cell r="F1950">
            <v>6394000588</v>
          </cell>
        </row>
        <row r="1951">
          <cell r="A1951">
            <v>3400004316</v>
          </cell>
          <cell r="B1951">
            <v>0</v>
          </cell>
          <cell r="C1951">
            <v>6801</v>
          </cell>
          <cell r="D1951" t="str">
            <v>01.10.1996</v>
          </cell>
          <cell r="E1951">
            <v>1</v>
          </cell>
          <cell r="F1951">
            <v>6394000599</v>
          </cell>
        </row>
        <row r="1952">
          <cell r="A1952">
            <v>3400004317</v>
          </cell>
          <cell r="B1952">
            <v>0</v>
          </cell>
          <cell r="C1952">
            <v>6801</v>
          </cell>
          <cell r="D1952" t="str">
            <v>01.10.1996</v>
          </cell>
          <cell r="E1952">
            <v>1</v>
          </cell>
          <cell r="F1952">
            <v>6394000606</v>
          </cell>
        </row>
        <row r="1953">
          <cell r="A1953">
            <v>3400004318</v>
          </cell>
          <cell r="B1953">
            <v>0</v>
          </cell>
          <cell r="C1953">
            <v>6801</v>
          </cell>
          <cell r="D1953" t="str">
            <v>01.10.1996</v>
          </cell>
          <cell r="E1953">
            <v>1</v>
          </cell>
          <cell r="F1953">
            <v>6394000618</v>
          </cell>
        </row>
        <row r="1954">
          <cell r="A1954">
            <v>3400004319</v>
          </cell>
          <cell r="B1954">
            <v>0</v>
          </cell>
          <cell r="C1954">
            <v>6801</v>
          </cell>
          <cell r="D1954" t="str">
            <v>01.10.1996</v>
          </cell>
          <cell r="E1954">
            <v>1</v>
          </cell>
          <cell r="F1954">
            <v>6394000629</v>
          </cell>
        </row>
        <row r="1955">
          <cell r="A1955">
            <v>3400004320</v>
          </cell>
          <cell r="B1955">
            <v>0</v>
          </cell>
          <cell r="C1955">
            <v>6801</v>
          </cell>
          <cell r="D1955" t="str">
            <v>01.10.1996</v>
          </cell>
          <cell r="E1955">
            <v>1</v>
          </cell>
          <cell r="F1955">
            <v>6394000631</v>
          </cell>
        </row>
        <row r="1956">
          <cell r="A1956">
            <v>3400004321</v>
          </cell>
          <cell r="B1956">
            <v>0</v>
          </cell>
          <cell r="C1956">
            <v>6801</v>
          </cell>
          <cell r="D1956" t="str">
            <v>01.10.1996</v>
          </cell>
          <cell r="E1956">
            <v>1</v>
          </cell>
          <cell r="F1956">
            <v>6394000643</v>
          </cell>
        </row>
        <row r="1957">
          <cell r="A1957">
            <v>3400004322</v>
          </cell>
          <cell r="B1957">
            <v>0</v>
          </cell>
          <cell r="C1957">
            <v>6801</v>
          </cell>
          <cell r="D1957" t="str">
            <v>01.10.1996</v>
          </cell>
          <cell r="E1957">
            <v>1</v>
          </cell>
          <cell r="F1957">
            <v>6394000655</v>
          </cell>
        </row>
        <row r="1958">
          <cell r="A1958">
            <v>3400004323</v>
          </cell>
          <cell r="B1958">
            <v>0</v>
          </cell>
          <cell r="C1958">
            <v>6801</v>
          </cell>
          <cell r="D1958" t="str">
            <v>01.10.1996</v>
          </cell>
          <cell r="E1958">
            <v>1</v>
          </cell>
          <cell r="F1958">
            <v>6394000667</v>
          </cell>
        </row>
        <row r="1959">
          <cell r="A1959">
            <v>3400004324</v>
          </cell>
          <cell r="B1959">
            <v>0</v>
          </cell>
          <cell r="C1959">
            <v>6801</v>
          </cell>
          <cell r="D1959" t="str">
            <v>01.10.1996</v>
          </cell>
          <cell r="E1959">
            <v>1</v>
          </cell>
          <cell r="F1959">
            <v>6394000679</v>
          </cell>
        </row>
        <row r="1960">
          <cell r="A1960">
            <v>3400004325</v>
          </cell>
          <cell r="B1960">
            <v>0</v>
          </cell>
          <cell r="C1960">
            <v>6801</v>
          </cell>
          <cell r="D1960" t="str">
            <v>01.10.1996</v>
          </cell>
          <cell r="E1960">
            <v>1</v>
          </cell>
          <cell r="F1960">
            <v>6394000680</v>
          </cell>
        </row>
        <row r="1961">
          <cell r="A1961">
            <v>3400004326</v>
          </cell>
          <cell r="B1961">
            <v>0</v>
          </cell>
          <cell r="C1961">
            <v>6801</v>
          </cell>
          <cell r="D1961" t="str">
            <v>01.10.1996</v>
          </cell>
          <cell r="E1961">
            <v>1</v>
          </cell>
          <cell r="F1961">
            <v>6394000692</v>
          </cell>
        </row>
        <row r="1962">
          <cell r="A1962">
            <v>3400004327</v>
          </cell>
          <cell r="B1962">
            <v>0</v>
          </cell>
          <cell r="C1962">
            <v>6801</v>
          </cell>
          <cell r="D1962" t="str">
            <v>01.10.1996</v>
          </cell>
          <cell r="E1962">
            <v>1</v>
          </cell>
          <cell r="F1962">
            <v>6394000709</v>
          </cell>
        </row>
        <row r="1963">
          <cell r="A1963">
            <v>3400004328</v>
          </cell>
          <cell r="B1963">
            <v>0</v>
          </cell>
          <cell r="C1963">
            <v>6801</v>
          </cell>
          <cell r="D1963" t="str">
            <v>01.10.1996</v>
          </cell>
          <cell r="E1963">
            <v>1</v>
          </cell>
          <cell r="F1963">
            <v>6394000710</v>
          </cell>
        </row>
        <row r="1964">
          <cell r="A1964">
            <v>3400004329</v>
          </cell>
          <cell r="B1964">
            <v>0</v>
          </cell>
          <cell r="C1964">
            <v>6801</v>
          </cell>
          <cell r="D1964" t="str">
            <v>01.10.1996</v>
          </cell>
          <cell r="E1964">
            <v>1</v>
          </cell>
          <cell r="F1964">
            <v>6394000722</v>
          </cell>
        </row>
        <row r="1965">
          <cell r="A1965">
            <v>3400004330</v>
          </cell>
          <cell r="B1965">
            <v>0</v>
          </cell>
          <cell r="C1965">
            <v>6801</v>
          </cell>
          <cell r="D1965" t="str">
            <v>01.10.1996</v>
          </cell>
          <cell r="E1965">
            <v>1</v>
          </cell>
          <cell r="F1965">
            <v>6394000734</v>
          </cell>
        </row>
        <row r="1966">
          <cell r="A1966">
            <v>3400004331</v>
          </cell>
          <cell r="B1966">
            <v>0</v>
          </cell>
          <cell r="C1966">
            <v>6801</v>
          </cell>
          <cell r="D1966" t="str">
            <v>01.10.1996</v>
          </cell>
          <cell r="E1966">
            <v>1</v>
          </cell>
          <cell r="F1966">
            <v>6394000746</v>
          </cell>
        </row>
        <row r="1967">
          <cell r="A1967">
            <v>3400004332</v>
          </cell>
          <cell r="B1967">
            <v>0</v>
          </cell>
          <cell r="C1967">
            <v>6801</v>
          </cell>
          <cell r="D1967" t="str">
            <v>01.10.1996</v>
          </cell>
          <cell r="E1967">
            <v>1</v>
          </cell>
          <cell r="F1967">
            <v>6394000758</v>
          </cell>
        </row>
        <row r="1968">
          <cell r="A1968">
            <v>3400004333</v>
          </cell>
          <cell r="B1968">
            <v>0</v>
          </cell>
          <cell r="C1968">
            <v>6801</v>
          </cell>
          <cell r="D1968" t="str">
            <v>01.10.1996</v>
          </cell>
          <cell r="E1968">
            <v>1</v>
          </cell>
          <cell r="F1968">
            <v>6394000769</v>
          </cell>
        </row>
        <row r="1969">
          <cell r="A1969">
            <v>3400004334</v>
          </cell>
          <cell r="B1969">
            <v>0</v>
          </cell>
          <cell r="C1969">
            <v>6801</v>
          </cell>
          <cell r="D1969" t="str">
            <v>01.10.1996</v>
          </cell>
          <cell r="E1969">
            <v>1</v>
          </cell>
          <cell r="F1969">
            <v>6394000771</v>
          </cell>
        </row>
        <row r="1970">
          <cell r="A1970">
            <v>3400004335</v>
          </cell>
          <cell r="B1970">
            <v>0</v>
          </cell>
          <cell r="C1970">
            <v>6801</v>
          </cell>
          <cell r="D1970" t="str">
            <v>01.10.1996</v>
          </cell>
          <cell r="E1970">
            <v>1</v>
          </cell>
          <cell r="F1970">
            <v>6394000783</v>
          </cell>
        </row>
        <row r="1971">
          <cell r="A1971">
            <v>3400004336</v>
          </cell>
          <cell r="B1971">
            <v>0</v>
          </cell>
          <cell r="C1971">
            <v>6901</v>
          </cell>
          <cell r="D1971" t="str">
            <v>01.12.1993</v>
          </cell>
          <cell r="E1971">
            <v>2</v>
          </cell>
          <cell r="F1971">
            <v>6394000795</v>
          </cell>
        </row>
        <row r="1972">
          <cell r="A1972">
            <v>3400004337</v>
          </cell>
          <cell r="B1972">
            <v>0</v>
          </cell>
          <cell r="C1972">
            <v>6801</v>
          </cell>
          <cell r="D1972" t="str">
            <v>01.10.1996</v>
          </cell>
          <cell r="E1972">
            <v>0</v>
          </cell>
          <cell r="F1972">
            <v>6394000801</v>
          </cell>
        </row>
        <row r="1973">
          <cell r="A1973">
            <v>3400004338</v>
          </cell>
          <cell r="B1973">
            <v>0</v>
          </cell>
          <cell r="C1973">
            <v>6801</v>
          </cell>
          <cell r="D1973" t="str">
            <v>01.10.1996</v>
          </cell>
          <cell r="E1973">
            <v>0</v>
          </cell>
          <cell r="F1973">
            <v>6394000813</v>
          </cell>
        </row>
        <row r="1974">
          <cell r="A1974">
            <v>3400004339</v>
          </cell>
          <cell r="B1974">
            <v>0</v>
          </cell>
          <cell r="C1974">
            <v>6801</v>
          </cell>
          <cell r="D1974" t="str">
            <v>01.10.1996</v>
          </cell>
          <cell r="E1974">
            <v>0</v>
          </cell>
          <cell r="F1974">
            <v>6394000825</v>
          </cell>
        </row>
        <row r="1975">
          <cell r="A1975">
            <v>3400004340</v>
          </cell>
          <cell r="B1975">
            <v>0</v>
          </cell>
          <cell r="C1975">
            <v>6801</v>
          </cell>
          <cell r="D1975" t="str">
            <v>01.10.1996</v>
          </cell>
          <cell r="E1975">
            <v>0</v>
          </cell>
          <cell r="F1975">
            <v>6394000837</v>
          </cell>
        </row>
        <row r="1976">
          <cell r="A1976">
            <v>3400004341</v>
          </cell>
          <cell r="B1976">
            <v>0</v>
          </cell>
          <cell r="C1976">
            <v>6801</v>
          </cell>
          <cell r="D1976" t="str">
            <v>01.10.1996</v>
          </cell>
          <cell r="E1976">
            <v>0</v>
          </cell>
          <cell r="F1976">
            <v>6394000849</v>
          </cell>
        </row>
        <row r="1977">
          <cell r="A1977">
            <v>3400004342</v>
          </cell>
          <cell r="B1977">
            <v>0</v>
          </cell>
          <cell r="C1977">
            <v>6801</v>
          </cell>
          <cell r="D1977" t="str">
            <v>01.10.1996</v>
          </cell>
          <cell r="E1977">
            <v>0</v>
          </cell>
          <cell r="F1977">
            <v>6394000850</v>
          </cell>
        </row>
        <row r="1978">
          <cell r="A1978">
            <v>3400004343</v>
          </cell>
          <cell r="B1978">
            <v>0</v>
          </cell>
          <cell r="C1978">
            <v>6801</v>
          </cell>
          <cell r="D1978" t="str">
            <v>01.10.1996</v>
          </cell>
          <cell r="E1978">
            <v>0</v>
          </cell>
          <cell r="F1978">
            <v>6394000862</v>
          </cell>
        </row>
        <row r="1979">
          <cell r="A1979">
            <v>3400004344</v>
          </cell>
          <cell r="B1979">
            <v>0</v>
          </cell>
          <cell r="C1979">
            <v>6801</v>
          </cell>
          <cell r="D1979" t="str">
            <v>01.10.1996</v>
          </cell>
          <cell r="E1979">
            <v>0</v>
          </cell>
          <cell r="F1979">
            <v>6394000874</v>
          </cell>
        </row>
        <row r="1980">
          <cell r="A1980">
            <v>3400004345</v>
          </cell>
          <cell r="B1980">
            <v>0</v>
          </cell>
          <cell r="C1980">
            <v>6801</v>
          </cell>
          <cell r="D1980" t="str">
            <v>01.10.1996</v>
          </cell>
          <cell r="E1980">
            <v>0</v>
          </cell>
          <cell r="F1980">
            <v>6394000886</v>
          </cell>
        </row>
        <row r="1981">
          <cell r="A1981">
            <v>3400004346</v>
          </cell>
          <cell r="B1981">
            <v>0</v>
          </cell>
          <cell r="C1981">
            <v>6801</v>
          </cell>
          <cell r="D1981" t="str">
            <v>01.10.1996</v>
          </cell>
          <cell r="E1981">
            <v>0</v>
          </cell>
          <cell r="F1981">
            <v>6394000898</v>
          </cell>
        </row>
        <row r="1982">
          <cell r="A1982">
            <v>3400004347</v>
          </cell>
          <cell r="B1982">
            <v>0</v>
          </cell>
          <cell r="C1982">
            <v>6801</v>
          </cell>
          <cell r="D1982" t="str">
            <v>01.10.1996</v>
          </cell>
          <cell r="E1982">
            <v>0</v>
          </cell>
          <cell r="F1982">
            <v>6394000904</v>
          </cell>
        </row>
        <row r="1983">
          <cell r="A1983">
            <v>3400004348</v>
          </cell>
          <cell r="B1983">
            <v>0</v>
          </cell>
          <cell r="C1983">
            <v>6801</v>
          </cell>
          <cell r="D1983" t="str">
            <v>01.10.1996</v>
          </cell>
          <cell r="E1983">
            <v>0</v>
          </cell>
          <cell r="F1983">
            <v>6394000916</v>
          </cell>
        </row>
        <row r="1984">
          <cell r="A1984">
            <v>3400004349</v>
          </cell>
          <cell r="B1984">
            <v>0</v>
          </cell>
          <cell r="C1984">
            <v>6801</v>
          </cell>
          <cell r="D1984" t="str">
            <v>01.10.1996</v>
          </cell>
          <cell r="E1984">
            <v>0</v>
          </cell>
          <cell r="F1984">
            <v>6394000928</v>
          </cell>
        </row>
        <row r="1985">
          <cell r="A1985">
            <v>3400004350</v>
          </cell>
          <cell r="B1985">
            <v>0</v>
          </cell>
          <cell r="C1985">
            <v>6801</v>
          </cell>
          <cell r="D1985" t="str">
            <v>01.10.1996</v>
          </cell>
          <cell r="E1985">
            <v>0</v>
          </cell>
          <cell r="F1985">
            <v>6394000939</v>
          </cell>
        </row>
        <row r="1986">
          <cell r="A1986">
            <v>3400004351</v>
          </cell>
          <cell r="B1986">
            <v>0</v>
          </cell>
          <cell r="C1986">
            <v>6801</v>
          </cell>
          <cell r="D1986" t="str">
            <v>01.10.1996</v>
          </cell>
          <cell r="E1986">
            <v>0</v>
          </cell>
          <cell r="F1986">
            <v>6394000941</v>
          </cell>
        </row>
        <row r="1987">
          <cell r="A1987">
            <v>3400004352</v>
          </cell>
          <cell r="B1987">
            <v>0</v>
          </cell>
          <cell r="C1987">
            <v>6801</v>
          </cell>
          <cell r="D1987" t="str">
            <v>01.10.1996</v>
          </cell>
          <cell r="E1987">
            <v>0</v>
          </cell>
          <cell r="F1987">
            <v>6394000953</v>
          </cell>
        </row>
        <row r="1988">
          <cell r="A1988">
            <v>3400004353</v>
          </cell>
          <cell r="B1988">
            <v>0</v>
          </cell>
          <cell r="C1988">
            <v>6801</v>
          </cell>
          <cell r="D1988" t="str">
            <v>01.10.1996</v>
          </cell>
          <cell r="E1988">
            <v>1</v>
          </cell>
          <cell r="F1988">
            <v>6394000965</v>
          </cell>
        </row>
        <row r="1989">
          <cell r="A1989">
            <v>3400004354</v>
          </cell>
          <cell r="B1989">
            <v>0</v>
          </cell>
          <cell r="C1989">
            <v>6801</v>
          </cell>
          <cell r="D1989" t="str">
            <v>01.10.1996</v>
          </cell>
          <cell r="E1989">
            <v>1</v>
          </cell>
          <cell r="F1989">
            <v>6394000977</v>
          </cell>
        </row>
        <row r="1990">
          <cell r="A1990">
            <v>3400004355</v>
          </cell>
          <cell r="B1990">
            <v>0</v>
          </cell>
          <cell r="C1990">
            <v>5400</v>
          </cell>
          <cell r="D1990" t="str">
            <v>01.10.1996</v>
          </cell>
          <cell r="E1990">
            <v>1</v>
          </cell>
          <cell r="F1990">
            <v>6394000989</v>
          </cell>
        </row>
        <row r="1991">
          <cell r="A1991">
            <v>3400004356</v>
          </cell>
          <cell r="B1991">
            <v>0</v>
          </cell>
          <cell r="C1991">
            <v>5400</v>
          </cell>
          <cell r="D1991" t="str">
            <v>01.10.1996</v>
          </cell>
          <cell r="E1991">
            <v>1</v>
          </cell>
          <cell r="F1991">
            <v>6394000990</v>
          </cell>
        </row>
        <row r="1992">
          <cell r="A1992">
            <v>3400004357</v>
          </cell>
          <cell r="B1992">
            <v>0</v>
          </cell>
          <cell r="C1992">
            <v>5400</v>
          </cell>
          <cell r="D1992" t="str">
            <v>01.10.1996</v>
          </cell>
          <cell r="E1992">
            <v>1</v>
          </cell>
          <cell r="F1992">
            <v>6394001007</v>
          </cell>
        </row>
        <row r="1993">
          <cell r="A1993">
            <v>3400004358</v>
          </cell>
          <cell r="B1993">
            <v>0</v>
          </cell>
          <cell r="C1993">
            <v>5400</v>
          </cell>
          <cell r="D1993" t="str">
            <v>01.10.1996</v>
          </cell>
          <cell r="E1993">
            <v>1</v>
          </cell>
          <cell r="F1993">
            <v>6394001015</v>
          </cell>
        </row>
        <row r="1994">
          <cell r="A1994">
            <v>3400004359</v>
          </cell>
          <cell r="B1994">
            <v>0</v>
          </cell>
          <cell r="C1994">
            <v>6901</v>
          </cell>
          <cell r="D1994" t="str">
            <v>01.12.1993</v>
          </cell>
          <cell r="E1994">
            <v>100</v>
          </cell>
          <cell r="F1994">
            <v>6394001023</v>
          </cell>
        </row>
        <row r="1995">
          <cell r="A1995">
            <v>3400004360</v>
          </cell>
          <cell r="B1995">
            <v>0</v>
          </cell>
          <cell r="C1995">
            <v>6901</v>
          </cell>
          <cell r="D1995" t="str">
            <v>01.10.1993</v>
          </cell>
          <cell r="E1995">
            <v>131</v>
          </cell>
          <cell r="F1995">
            <v>6394001031</v>
          </cell>
        </row>
        <row r="1996">
          <cell r="A1996">
            <v>3400004361</v>
          </cell>
          <cell r="B1996">
            <v>0</v>
          </cell>
          <cell r="C1996">
            <v>6901</v>
          </cell>
          <cell r="D1996" t="str">
            <v>01.10.1993</v>
          </cell>
          <cell r="E1996">
            <v>122</v>
          </cell>
          <cell r="F1996">
            <v>6394001040</v>
          </cell>
        </row>
        <row r="1997">
          <cell r="A1997">
            <v>3400004362</v>
          </cell>
          <cell r="B1997">
            <v>0</v>
          </cell>
          <cell r="C1997">
            <v>6901</v>
          </cell>
          <cell r="D1997" t="str">
            <v>01.11.1993</v>
          </cell>
          <cell r="E1997">
            <v>180</v>
          </cell>
          <cell r="F1997">
            <v>6394001052</v>
          </cell>
        </row>
        <row r="1998">
          <cell r="A1998">
            <v>3400004363</v>
          </cell>
          <cell r="B1998">
            <v>0</v>
          </cell>
          <cell r="C1998">
            <v>6901</v>
          </cell>
          <cell r="D1998" t="str">
            <v>01.01.1994</v>
          </cell>
          <cell r="E1998">
            <v>188</v>
          </cell>
          <cell r="F1998">
            <v>6394001064</v>
          </cell>
        </row>
        <row r="1999">
          <cell r="A1999">
            <v>3400004364</v>
          </cell>
          <cell r="B1999">
            <v>0</v>
          </cell>
          <cell r="C1999">
            <v>6230</v>
          </cell>
          <cell r="D1999" t="str">
            <v>01.10.1996</v>
          </cell>
          <cell r="E1999">
            <v>0</v>
          </cell>
          <cell r="F1999">
            <v>6394001076</v>
          </cell>
        </row>
        <row r="2000">
          <cell r="A2000">
            <v>3400005205</v>
          </cell>
          <cell r="B2000">
            <v>0</v>
          </cell>
          <cell r="C2000">
            <v>6230</v>
          </cell>
          <cell r="D2000" t="str">
            <v>01.10.1996</v>
          </cell>
          <cell r="E2000">
            <v>2</v>
          </cell>
          <cell r="F2000">
            <v>6394001076</v>
          </cell>
        </row>
        <row r="2001">
          <cell r="A2001">
            <v>3400004365</v>
          </cell>
          <cell r="B2001">
            <v>3</v>
          </cell>
          <cell r="C2001">
            <v>6230</v>
          </cell>
          <cell r="D2001" t="str">
            <v>01.10.1996</v>
          </cell>
          <cell r="E2001">
            <v>0</v>
          </cell>
          <cell r="F2001">
            <v>6394001088</v>
          </cell>
        </row>
        <row r="2002">
          <cell r="A2002">
            <v>3400004365</v>
          </cell>
          <cell r="B2002">
            <v>2</v>
          </cell>
          <cell r="C2002">
            <v>6230</v>
          </cell>
          <cell r="D2002" t="str">
            <v>01.10.1996</v>
          </cell>
          <cell r="E2002">
            <v>0</v>
          </cell>
          <cell r="F2002">
            <v>6394001088</v>
          </cell>
        </row>
        <row r="2003">
          <cell r="A2003">
            <v>3400004365</v>
          </cell>
          <cell r="B2003">
            <v>1</v>
          </cell>
          <cell r="C2003">
            <v>6230</v>
          </cell>
          <cell r="D2003" t="str">
            <v>01.10.1996</v>
          </cell>
          <cell r="E2003">
            <v>0</v>
          </cell>
          <cell r="F2003">
            <v>6394001088</v>
          </cell>
        </row>
        <row r="2004">
          <cell r="A2004">
            <v>3400004365</v>
          </cell>
          <cell r="B2004">
            <v>0</v>
          </cell>
          <cell r="C2004">
            <v>6230</v>
          </cell>
          <cell r="D2004" t="str">
            <v>01.10.1996</v>
          </cell>
          <cell r="E2004">
            <v>0</v>
          </cell>
          <cell r="F2004">
            <v>6394001088</v>
          </cell>
        </row>
        <row r="2005">
          <cell r="A2005">
            <v>3400004366</v>
          </cell>
          <cell r="B2005">
            <v>0</v>
          </cell>
          <cell r="C2005">
            <v>5800</v>
          </cell>
          <cell r="D2005" t="str">
            <v>01.10.1996</v>
          </cell>
          <cell r="E2005">
            <v>1</v>
          </cell>
          <cell r="F2005">
            <v>6394001099</v>
          </cell>
        </row>
        <row r="2006">
          <cell r="A2006">
            <v>3400004367</v>
          </cell>
          <cell r="B2006">
            <v>0</v>
          </cell>
          <cell r="C2006">
            <v>5900</v>
          </cell>
          <cell r="D2006" t="str">
            <v>01.09.1994</v>
          </cell>
          <cell r="E2006">
            <v>4</v>
          </cell>
          <cell r="F2006">
            <v>6394001104</v>
          </cell>
        </row>
        <row r="2007">
          <cell r="A2007">
            <v>3400004368</v>
          </cell>
          <cell r="B2007">
            <v>0</v>
          </cell>
          <cell r="C2007">
            <v>5800</v>
          </cell>
          <cell r="D2007" t="str">
            <v>01.10.1996</v>
          </cell>
          <cell r="E2007">
            <v>1</v>
          </cell>
          <cell r="F2007">
            <v>6394001112</v>
          </cell>
        </row>
        <row r="2008">
          <cell r="A2008">
            <v>3400004369</v>
          </cell>
          <cell r="B2008">
            <v>0</v>
          </cell>
          <cell r="C2008">
            <v>5800</v>
          </cell>
          <cell r="D2008" t="str">
            <v>01.10.1996</v>
          </cell>
          <cell r="E2008">
            <v>1</v>
          </cell>
          <cell r="F2008">
            <v>6394001129</v>
          </cell>
        </row>
        <row r="2009">
          <cell r="A2009">
            <v>3400004370</v>
          </cell>
          <cell r="B2009">
            <v>0</v>
          </cell>
          <cell r="C2009">
            <v>5800</v>
          </cell>
          <cell r="D2009" t="str">
            <v>01.10.1996</v>
          </cell>
          <cell r="E2009">
            <v>1</v>
          </cell>
          <cell r="F2009">
            <v>6394001131</v>
          </cell>
        </row>
        <row r="2010">
          <cell r="A2010">
            <v>3400004371</v>
          </cell>
          <cell r="B2010">
            <v>0</v>
          </cell>
          <cell r="C2010">
            <v>5800</v>
          </cell>
          <cell r="D2010" t="str">
            <v>01.10.1996</v>
          </cell>
          <cell r="E2010">
            <v>1</v>
          </cell>
          <cell r="F2010">
            <v>6394001143</v>
          </cell>
        </row>
        <row r="2011">
          <cell r="A2011">
            <v>3400004372</v>
          </cell>
          <cell r="B2011">
            <v>0</v>
          </cell>
          <cell r="C2011">
            <v>5800</v>
          </cell>
          <cell r="D2011" t="str">
            <v>01.10.1996</v>
          </cell>
          <cell r="E2011">
            <v>1</v>
          </cell>
          <cell r="F2011">
            <v>6394001155</v>
          </cell>
        </row>
        <row r="2012">
          <cell r="A2012">
            <v>3400004373</v>
          </cell>
          <cell r="B2012">
            <v>0</v>
          </cell>
          <cell r="C2012">
            <v>5900</v>
          </cell>
          <cell r="D2012" t="str">
            <v>01.09.1994</v>
          </cell>
          <cell r="E2012">
            <v>1</v>
          </cell>
          <cell r="F2012">
            <v>6394001167</v>
          </cell>
        </row>
        <row r="2013">
          <cell r="A2013">
            <v>3400004374</v>
          </cell>
          <cell r="B2013">
            <v>0</v>
          </cell>
          <cell r="C2013">
            <v>5800</v>
          </cell>
          <cell r="D2013" t="str">
            <v>01.10.1996</v>
          </cell>
          <cell r="E2013">
            <v>1</v>
          </cell>
          <cell r="F2013">
            <v>6394001179</v>
          </cell>
        </row>
        <row r="2014">
          <cell r="A2014">
            <v>3400004375</v>
          </cell>
          <cell r="B2014">
            <v>0</v>
          </cell>
          <cell r="C2014">
            <v>5800</v>
          </cell>
          <cell r="D2014" t="str">
            <v>01.10.1996</v>
          </cell>
          <cell r="E2014">
            <v>1</v>
          </cell>
          <cell r="F2014">
            <v>6394001180</v>
          </cell>
        </row>
        <row r="2015">
          <cell r="A2015">
            <v>3400004376</v>
          </cell>
          <cell r="B2015">
            <v>0</v>
          </cell>
          <cell r="C2015">
            <v>5800</v>
          </cell>
          <cell r="D2015" t="str">
            <v>01.10.1996</v>
          </cell>
          <cell r="E2015">
            <v>1</v>
          </cell>
          <cell r="F2015">
            <v>6394001210</v>
          </cell>
        </row>
        <row r="2016">
          <cell r="A2016">
            <v>3400004377</v>
          </cell>
          <cell r="B2016">
            <v>0</v>
          </cell>
          <cell r="C2016">
            <v>5800</v>
          </cell>
          <cell r="D2016" t="str">
            <v>01.10.1996</v>
          </cell>
          <cell r="E2016">
            <v>1</v>
          </cell>
          <cell r="F2016">
            <v>6394001222</v>
          </cell>
        </row>
        <row r="2017">
          <cell r="A2017">
            <v>3400004378</v>
          </cell>
          <cell r="B2017">
            <v>0</v>
          </cell>
          <cell r="C2017">
            <v>5900</v>
          </cell>
          <cell r="D2017" t="str">
            <v>01.09.1994</v>
          </cell>
          <cell r="E2017">
            <v>2</v>
          </cell>
          <cell r="F2017">
            <v>6394001234</v>
          </cell>
        </row>
        <row r="2018">
          <cell r="A2018">
            <v>3400004379</v>
          </cell>
          <cell r="B2018">
            <v>0</v>
          </cell>
          <cell r="C2018">
            <v>5800</v>
          </cell>
          <cell r="D2018" t="str">
            <v>01.10.1996</v>
          </cell>
          <cell r="E2018">
            <v>1</v>
          </cell>
          <cell r="F2018">
            <v>6394001246</v>
          </cell>
        </row>
        <row r="2019">
          <cell r="A2019">
            <v>3400004380</v>
          </cell>
          <cell r="B2019">
            <v>0</v>
          </cell>
          <cell r="C2019">
            <v>5800</v>
          </cell>
          <cell r="D2019" t="str">
            <v>01.10.1996</v>
          </cell>
          <cell r="E2019">
            <v>1</v>
          </cell>
          <cell r="F2019">
            <v>6394001258</v>
          </cell>
        </row>
        <row r="2020">
          <cell r="A2020">
            <v>3400004381</v>
          </cell>
          <cell r="B2020">
            <v>0</v>
          </cell>
          <cell r="C2020">
            <v>5800</v>
          </cell>
          <cell r="D2020" t="str">
            <v>01.10.1996</v>
          </cell>
          <cell r="E2020">
            <v>1</v>
          </cell>
          <cell r="F2020">
            <v>6394001269</v>
          </cell>
        </row>
        <row r="2021">
          <cell r="A2021">
            <v>3400004382</v>
          </cell>
          <cell r="B2021">
            <v>0</v>
          </cell>
          <cell r="C2021">
            <v>5800</v>
          </cell>
          <cell r="D2021" t="str">
            <v>01.10.1996</v>
          </cell>
          <cell r="E2021">
            <v>1</v>
          </cell>
          <cell r="F2021">
            <v>6394001283</v>
          </cell>
        </row>
        <row r="2022">
          <cell r="A2022">
            <v>3400004383</v>
          </cell>
          <cell r="B2022">
            <v>0</v>
          </cell>
          <cell r="C2022">
            <v>5800</v>
          </cell>
          <cell r="D2022" t="str">
            <v>01.10.1996</v>
          </cell>
          <cell r="E2022">
            <v>1</v>
          </cell>
          <cell r="F2022">
            <v>6394001295</v>
          </cell>
        </row>
        <row r="2023">
          <cell r="A2023">
            <v>3400004384</v>
          </cell>
          <cell r="B2023">
            <v>0</v>
          </cell>
          <cell r="C2023">
            <v>6600</v>
          </cell>
          <cell r="D2023" t="str">
            <v>01.10.1996</v>
          </cell>
          <cell r="E2023">
            <v>1</v>
          </cell>
          <cell r="F2023">
            <v>6394001301</v>
          </cell>
        </row>
        <row r="2024">
          <cell r="A2024">
            <v>3400004385</v>
          </cell>
          <cell r="B2024">
            <v>0</v>
          </cell>
          <cell r="C2024">
            <v>5800</v>
          </cell>
          <cell r="D2024" t="str">
            <v>01.10.1996</v>
          </cell>
          <cell r="E2024">
            <v>1</v>
          </cell>
          <cell r="F2024">
            <v>6394001313</v>
          </cell>
        </row>
        <row r="2025">
          <cell r="A2025">
            <v>3400004386</v>
          </cell>
          <cell r="B2025">
            <v>0</v>
          </cell>
          <cell r="C2025">
            <v>5800</v>
          </cell>
          <cell r="D2025" t="str">
            <v>01.10.1996</v>
          </cell>
          <cell r="E2025">
            <v>1</v>
          </cell>
          <cell r="F2025">
            <v>6394001325</v>
          </cell>
        </row>
        <row r="2026">
          <cell r="A2026">
            <v>3400004387</v>
          </cell>
          <cell r="B2026">
            <v>0</v>
          </cell>
          <cell r="C2026">
            <v>5800</v>
          </cell>
          <cell r="D2026" t="str">
            <v>01.10.1996</v>
          </cell>
          <cell r="E2026">
            <v>1</v>
          </cell>
          <cell r="F2026">
            <v>6394001337</v>
          </cell>
        </row>
        <row r="2027">
          <cell r="A2027">
            <v>3400004388</v>
          </cell>
          <cell r="B2027">
            <v>2</v>
          </cell>
          <cell r="C2027">
            <v>6220</v>
          </cell>
          <cell r="D2027" t="str">
            <v>01.10.1996</v>
          </cell>
          <cell r="E2027">
            <v>0</v>
          </cell>
          <cell r="F2027">
            <v>6395000019</v>
          </cell>
        </row>
        <row r="2028">
          <cell r="A2028">
            <v>3400004388</v>
          </cell>
          <cell r="B2028">
            <v>1</v>
          </cell>
          <cell r="C2028">
            <v>6220</v>
          </cell>
          <cell r="D2028" t="str">
            <v>01.10.1996</v>
          </cell>
          <cell r="E2028">
            <v>0</v>
          </cell>
          <cell r="F2028">
            <v>6395000019</v>
          </cell>
        </row>
        <row r="2029">
          <cell r="A2029">
            <v>3400004388</v>
          </cell>
          <cell r="B2029">
            <v>0</v>
          </cell>
          <cell r="C2029">
            <v>6220</v>
          </cell>
          <cell r="D2029" t="str">
            <v>01.10.1996</v>
          </cell>
          <cell r="E2029">
            <v>0</v>
          </cell>
          <cell r="F2029">
            <v>6395000019</v>
          </cell>
        </row>
        <row r="2030">
          <cell r="A2030">
            <v>3400005558</v>
          </cell>
          <cell r="B2030">
            <v>0</v>
          </cell>
          <cell r="C2030">
            <v>6220</v>
          </cell>
          <cell r="D2030" t="str">
            <v>01.10.1996</v>
          </cell>
          <cell r="E2030">
            <v>4</v>
          </cell>
          <cell r="F2030">
            <v>6395000019</v>
          </cell>
        </row>
        <row r="2031">
          <cell r="A2031">
            <v>3400005557</v>
          </cell>
          <cell r="B2031">
            <v>0</v>
          </cell>
          <cell r="C2031">
            <v>6220</v>
          </cell>
          <cell r="D2031" t="str">
            <v>01.10.1996</v>
          </cell>
          <cell r="E2031">
            <v>2</v>
          </cell>
          <cell r="F2031">
            <v>6395000019</v>
          </cell>
        </row>
        <row r="2032">
          <cell r="A2032">
            <v>3400005559</v>
          </cell>
          <cell r="B2032">
            <v>0</v>
          </cell>
          <cell r="C2032">
            <v>6220</v>
          </cell>
          <cell r="D2032" t="str">
            <v>01.10.1996</v>
          </cell>
          <cell r="E2032">
            <v>2</v>
          </cell>
          <cell r="F2032">
            <v>6395000019</v>
          </cell>
        </row>
        <row r="2033">
          <cell r="A2033">
            <v>3400004389</v>
          </cell>
          <cell r="B2033">
            <v>1</v>
          </cell>
          <cell r="C2033">
            <v>6230</v>
          </cell>
          <cell r="D2033" t="str">
            <v>01.10.1996</v>
          </cell>
          <cell r="E2033">
            <v>0</v>
          </cell>
          <cell r="F2033">
            <v>6395000035</v>
          </cell>
        </row>
        <row r="2034">
          <cell r="A2034">
            <v>3400004389</v>
          </cell>
          <cell r="B2034">
            <v>0</v>
          </cell>
          <cell r="C2034">
            <v>6230</v>
          </cell>
          <cell r="D2034" t="str">
            <v>01.10.1996</v>
          </cell>
          <cell r="E2034">
            <v>0</v>
          </cell>
          <cell r="F2034">
            <v>6395000035</v>
          </cell>
        </row>
        <row r="2035">
          <cell r="A2035">
            <v>3400004390</v>
          </cell>
          <cell r="B2035">
            <v>1</v>
          </cell>
          <cell r="C2035">
            <v>6230</v>
          </cell>
          <cell r="D2035" t="str">
            <v>01.10.1996</v>
          </cell>
          <cell r="E2035">
            <v>0</v>
          </cell>
          <cell r="F2035">
            <v>6395000043</v>
          </cell>
        </row>
        <row r="2036">
          <cell r="A2036">
            <v>3400004390</v>
          </cell>
          <cell r="B2036">
            <v>0</v>
          </cell>
          <cell r="C2036">
            <v>6230</v>
          </cell>
          <cell r="D2036" t="str">
            <v>01.10.1996</v>
          </cell>
          <cell r="E2036">
            <v>0</v>
          </cell>
          <cell r="F2036">
            <v>6395000043</v>
          </cell>
        </row>
        <row r="2037">
          <cell r="A2037">
            <v>3400004390</v>
          </cell>
          <cell r="B2037">
            <v>2</v>
          </cell>
          <cell r="C2037">
            <v>6230</v>
          </cell>
          <cell r="D2037" t="str">
            <v>01.10.1996</v>
          </cell>
          <cell r="E2037">
            <v>0</v>
          </cell>
          <cell r="F2037">
            <v>6395000043</v>
          </cell>
        </row>
        <row r="2038">
          <cell r="A2038">
            <v>3400004391</v>
          </cell>
          <cell r="B2038">
            <v>1</v>
          </cell>
          <cell r="C2038">
            <v>6230</v>
          </cell>
          <cell r="D2038" t="str">
            <v>01.10.1996</v>
          </cell>
          <cell r="E2038">
            <v>0</v>
          </cell>
          <cell r="F2038">
            <v>6395000051</v>
          </cell>
        </row>
        <row r="2039">
          <cell r="A2039">
            <v>3400004391</v>
          </cell>
          <cell r="B2039">
            <v>0</v>
          </cell>
          <cell r="C2039">
            <v>6230</v>
          </cell>
          <cell r="D2039" t="str">
            <v>01.10.1996</v>
          </cell>
          <cell r="E2039">
            <v>0</v>
          </cell>
          <cell r="F2039">
            <v>6395000051</v>
          </cell>
        </row>
        <row r="2040">
          <cell r="A2040">
            <v>3400004392</v>
          </cell>
          <cell r="B2040">
            <v>0</v>
          </cell>
          <cell r="C2040">
            <v>6230</v>
          </cell>
          <cell r="D2040" t="str">
            <v>01.10.1996</v>
          </cell>
          <cell r="E2040">
            <v>0</v>
          </cell>
          <cell r="F2040">
            <v>6395000060</v>
          </cell>
        </row>
        <row r="2041">
          <cell r="A2041">
            <v>3400004392</v>
          </cell>
          <cell r="B2041">
            <v>1</v>
          </cell>
          <cell r="C2041">
            <v>6230</v>
          </cell>
          <cell r="D2041" t="str">
            <v>01.10.1996</v>
          </cell>
          <cell r="E2041">
            <v>0</v>
          </cell>
          <cell r="F2041">
            <v>6395000060</v>
          </cell>
        </row>
        <row r="2042">
          <cell r="A2042">
            <v>3400004393</v>
          </cell>
          <cell r="B2042">
            <v>0</v>
          </cell>
          <cell r="C2042">
            <v>5600</v>
          </cell>
          <cell r="D2042" t="str">
            <v>01.10.1996</v>
          </cell>
          <cell r="E2042">
            <v>0</v>
          </cell>
          <cell r="F2042">
            <v>6395000072</v>
          </cell>
        </row>
        <row r="2043">
          <cell r="A2043">
            <v>3400004394</v>
          </cell>
          <cell r="B2043">
            <v>0</v>
          </cell>
          <cell r="C2043">
            <v>6600</v>
          </cell>
          <cell r="D2043" t="str">
            <v>01.10.1996</v>
          </cell>
          <cell r="E2043">
            <v>1</v>
          </cell>
          <cell r="F2043">
            <v>6395000096</v>
          </cell>
        </row>
        <row r="2044">
          <cell r="A2044">
            <v>3400004395</v>
          </cell>
          <cell r="B2044">
            <v>0</v>
          </cell>
          <cell r="C2044">
            <v>6600</v>
          </cell>
          <cell r="D2044" t="str">
            <v>01.10.1996</v>
          </cell>
          <cell r="E2044">
            <v>1</v>
          </cell>
          <cell r="F2044">
            <v>6395000108</v>
          </cell>
        </row>
        <row r="2045">
          <cell r="A2045">
            <v>3400004396</v>
          </cell>
          <cell r="B2045">
            <v>0</v>
          </cell>
          <cell r="C2045">
            <v>6600</v>
          </cell>
          <cell r="D2045" t="str">
            <v>01.10.1996</v>
          </cell>
          <cell r="E2045">
            <v>1</v>
          </cell>
          <cell r="F2045">
            <v>6395000116</v>
          </cell>
        </row>
        <row r="2046">
          <cell r="A2046">
            <v>3400004397</v>
          </cell>
          <cell r="B2046">
            <v>0</v>
          </cell>
          <cell r="C2046">
            <v>6600</v>
          </cell>
          <cell r="D2046" t="str">
            <v>01.10.1996</v>
          </cell>
          <cell r="E2046">
            <v>1</v>
          </cell>
          <cell r="F2046">
            <v>6395000124</v>
          </cell>
        </row>
        <row r="2047">
          <cell r="A2047">
            <v>3400004398</v>
          </cell>
          <cell r="B2047">
            <v>0</v>
          </cell>
          <cell r="C2047">
            <v>6600</v>
          </cell>
          <cell r="D2047" t="str">
            <v>01.10.1996</v>
          </cell>
          <cell r="E2047">
            <v>1</v>
          </cell>
          <cell r="F2047">
            <v>6395000132</v>
          </cell>
        </row>
        <row r="2048">
          <cell r="A2048">
            <v>3400004399</v>
          </cell>
          <cell r="B2048">
            <v>0</v>
          </cell>
          <cell r="C2048">
            <v>6600</v>
          </cell>
          <cell r="D2048" t="str">
            <v>01.10.1996</v>
          </cell>
          <cell r="E2048">
            <v>1</v>
          </cell>
          <cell r="F2048">
            <v>6395000149</v>
          </cell>
        </row>
        <row r="2049">
          <cell r="A2049">
            <v>3400004400</v>
          </cell>
          <cell r="B2049">
            <v>0</v>
          </cell>
          <cell r="C2049">
            <v>6600</v>
          </cell>
          <cell r="D2049" t="str">
            <v>01.10.1996</v>
          </cell>
          <cell r="E2049">
            <v>1</v>
          </cell>
          <cell r="F2049">
            <v>6395000151</v>
          </cell>
        </row>
        <row r="2050">
          <cell r="A2050">
            <v>3400004401</v>
          </cell>
          <cell r="B2050">
            <v>0</v>
          </cell>
          <cell r="C2050">
            <v>6602</v>
          </cell>
          <cell r="D2050" t="str">
            <v>01.12.1994</v>
          </cell>
          <cell r="E2050">
            <v>1</v>
          </cell>
          <cell r="F2050">
            <v>6395000163</v>
          </cell>
        </row>
        <row r="2051">
          <cell r="A2051">
            <v>3400004402</v>
          </cell>
          <cell r="B2051">
            <v>0</v>
          </cell>
          <cell r="C2051">
            <v>6600</v>
          </cell>
          <cell r="D2051" t="str">
            <v>01.10.1996</v>
          </cell>
          <cell r="E2051">
            <v>1</v>
          </cell>
          <cell r="F2051">
            <v>6395000175</v>
          </cell>
        </row>
        <row r="2052">
          <cell r="A2052">
            <v>3400004403</v>
          </cell>
          <cell r="B2052">
            <v>0</v>
          </cell>
          <cell r="C2052">
            <v>6602</v>
          </cell>
          <cell r="D2052" t="str">
            <v>01.12.1994</v>
          </cell>
          <cell r="E2052">
            <v>1</v>
          </cell>
          <cell r="F2052">
            <v>6395000187</v>
          </cell>
        </row>
        <row r="2053">
          <cell r="A2053">
            <v>3400004404</v>
          </cell>
          <cell r="B2053">
            <v>0</v>
          </cell>
          <cell r="C2053">
            <v>6600</v>
          </cell>
          <cell r="D2053" t="str">
            <v>01.10.1996</v>
          </cell>
          <cell r="E2053">
            <v>1</v>
          </cell>
          <cell r="F2053">
            <v>6395000199</v>
          </cell>
        </row>
        <row r="2054">
          <cell r="A2054">
            <v>3400004405</v>
          </cell>
          <cell r="B2054">
            <v>0</v>
          </cell>
          <cell r="C2054">
            <v>6600</v>
          </cell>
          <cell r="D2054" t="str">
            <v>01.10.1996</v>
          </cell>
          <cell r="E2054">
            <v>1</v>
          </cell>
          <cell r="F2054">
            <v>6395000205</v>
          </cell>
        </row>
        <row r="2055">
          <cell r="A2055">
            <v>3400004406</v>
          </cell>
          <cell r="B2055">
            <v>0</v>
          </cell>
          <cell r="C2055">
            <v>6600</v>
          </cell>
          <cell r="D2055" t="str">
            <v>01.10.1996</v>
          </cell>
          <cell r="E2055">
            <v>1</v>
          </cell>
          <cell r="F2055">
            <v>6395000213</v>
          </cell>
        </row>
        <row r="2056">
          <cell r="A2056">
            <v>3400004407</v>
          </cell>
          <cell r="B2056">
            <v>0</v>
          </cell>
          <cell r="C2056">
            <v>6600</v>
          </cell>
          <cell r="D2056" t="str">
            <v>01.10.1996</v>
          </cell>
          <cell r="E2056">
            <v>1</v>
          </cell>
          <cell r="F2056">
            <v>6395000221</v>
          </cell>
        </row>
        <row r="2057">
          <cell r="A2057">
            <v>3400004408</v>
          </cell>
          <cell r="B2057">
            <v>0</v>
          </cell>
          <cell r="C2057">
            <v>6600</v>
          </cell>
          <cell r="D2057" t="str">
            <v>01.10.1996</v>
          </cell>
          <cell r="E2057">
            <v>1</v>
          </cell>
          <cell r="F2057">
            <v>6395000230</v>
          </cell>
        </row>
        <row r="2058">
          <cell r="A2058">
            <v>3400004409</v>
          </cell>
          <cell r="B2058">
            <v>0</v>
          </cell>
          <cell r="C2058">
            <v>6600</v>
          </cell>
          <cell r="D2058" t="str">
            <v>01.10.1996</v>
          </cell>
          <cell r="E2058">
            <v>1</v>
          </cell>
          <cell r="F2058">
            <v>6395000242</v>
          </cell>
        </row>
        <row r="2059">
          <cell r="A2059">
            <v>3400004410</v>
          </cell>
          <cell r="B2059">
            <v>0</v>
          </cell>
          <cell r="C2059">
            <v>6600</v>
          </cell>
          <cell r="D2059" t="str">
            <v>01.10.1996</v>
          </cell>
          <cell r="E2059">
            <v>1</v>
          </cell>
          <cell r="F2059">
            <v>6395000254</v>
          </cell>
        </row>
        <row r="2060">
          <cell r="A2060">
            <v>3400004411</v>
          </cell>
          <cell r="B2060">
            <v>0</v>
          </cell>
          <cell r="C2060">
            <v>6602</v>
          </cell>
          <cell r="D2060" t="str">
            <v>01.12.1994</v>
          </cell>
          <cell r="E2060">
            <v>0</v>
          </cell>
          <cell r="F2060">
            <v>6395000266</v>
          </cell>
        </row>
        <row r="2061">
          <cell r="A2061">
            <v>3400004412</v>
          </cell>
          <cell r="B2061">
            <v>0</v>
          </cell>
          <cell r="C2061">
            <v>6600</v>
          </cell>
          <cell r="D2061" t="str">
            <v>01.10.1996</v>
          </cell>
          <cell r="E2061">
            <v>1</v>
          </cell>
          <cell r="F2061">
            <v>6395000278</v>
          </cell>
        </row>
        <row r="2062">
          <cell r="A2062">
            <v>3400004413</v>
          </cell>
          <cell r="B2062">
            <v>0</v>
          </cell>
          <cell r="C2062">
            <v>6602</v>
          </cell>
          <cell r="D2062" t="str">
            <v>01.12.1994</v>
          </cell>
          <cell r="E2062">
            <v>1</v>
          </cell>
          <cell r="F2062">
            <v>6395000289</v>
          </cell>
        </row>
        <row r="2063">
          <cell r="A2063">
            <v>3400004414</v>
          </cell>
          <cell r="B2063">
            <v>0</v>
          </cell>
          <cell r="C2063">
            <v>5100</v>
          </cell>
          <cell r="D2063" t="str">
            <v>01.10.1996</v>
          </cell>
          <cell r="E2063">
            <v>0</v>
          </cell>
          <cell r="F2063">
            <v>6395000291</v>
          </cell>
        </row>
        <row r="2064">
          <cell r="A2064">
            <v>3400004415</v>
          </cell>
          <cell r="B2064">
            <v>0</v>
          </cell>
          <cell r="C2064">
            <v>6600</v>
          </cell>
          <cell r="D2064" t="str">
            <v>01.10.1996</v>
          </cell>
          <cell r="E2064">
            <v>0</v>
          </cell>
          <cell r="F2064">
            <v>6395000302</v>
          </cell>
        </row>
        <row r="2065">
          <cell r="A2065">
            <v>3400004416</v>
          </cell>
          <cell r="B2065">
            <v>0</v>
          </cell>
          <cell r="C2065">
            <v>6600</v>
          </cell>
          <cell r="D2065" t="str">
            <v>01.10.1996</v>
          </cell>
          <cell r="E2065">
            <v>0</v>
          </cell>
          <cell r="F2065">
            <v>6395000319</v>
          </cell>
        </row>
        <row r="2066">
          <cell r="A2066">
            <v>3400004417</v>
          </cell>
          <cell r="B2066">
            <v>0</v>
          </cell>
          <cell r="C2066">
            <v>6602</v>
          </cell>
          <cell r="D2066" t="str">
            <v>01.01.1995</v>
          </cell>
          <cell r="E2066">
            <v>0</v>
          </cell>
          <cell r="F2066">
            <v>6395000321</v>
          </cell>
        </row>
        <row r="2067">
          <cell r="A2067">
            <v>3400004418</v>
          </cell>
          <cell r="B2067">
            <v>0</v>
          </cell>
          <cell r="C2067">
            <v>6602</v>
          </cell>
          <cell r="D2067" t="str">
            <v>01.01.1995</v>
          </cell>
          <cell r="E2067">
            <v>0</v>
          </cell>
          <cell r="F2067">
            <v>6395000333</v>
          </cell>
        </row>
        <row r="2068">
          <cell r="A2068">
            <v>3400004419</v>
          </cell>
          <cell r="B2068">
            <v>0</v>
          </cell>
          <cell r="C2068">
            <v>6602</v>
          </cell>
          <cell r="D2068" t="str">
            <v>01.01.1995</v>
          </cell>
          <cell r="E2068">
            <v>1</v>
          </cell>
          <cell r="F2068">
            <v>6395000345</v>
          </cell>
        </row>
        <row r="2069">
          <cell r="A2069">
            <v>3400004420</v>
          </cell>
          <cell r="B2069">
            <v>0</v>
          </cell>
          <cell r="C2069">
            <v>5800</v>
          </cell>
          <cell r="D2069" t="str">
            <v>01.10.1996</v>
          </cell>
          <cell r="E2069">
            <v>1</v>
          </cell>
          <cell r="F2069">
            <v>6395000357</v>
          </cell>
        </row>
        <row r="2070">
          <cell r="A2070">
            <v>3400004421</v>
          </cell>
          <cell r="B2070">
            <v>0</v>
          </cell>
          <cell r="C2070">
            <v>5800</v>
          </cell>
          <cell r="D2070" t="str">
            <v>01.10.1996</v>
          </cell>
          <cell r="E2070">
            <v>1</v>
          </cell>
          <cell r="F2070">
            <v>6395000369</v>
          </cell>
        </row>
        <row r="2071">
          <cell r="A2071">
            <v>3400004422</v>
          </cell>
          <cell r="B2071">
            <v>0</v>
          </cell>
          <cell r="C2071">
            <v>5800</v>
          </cell>
          <cell r="D2071" t="str">
            <v>01.10.1996</v>
          </cell>
          <cell r="E2071">
            <v>1</v>
          </cell>
          <cell r="F2071">
            <v>6395000370</v>
          </cell>
        </row>
        <row r="2072">
          <cell r="A2072">
            <v>3400004423</v>
          </cell>
          <cell r="B2072">
            <v>0</v>
          </cell>
          <cell r="C2072">
            <v>6801</v>
          </cell>
          <cell r="D2072" t="str">
            <v>01.10.1996</v>
          </cell>
          <cell r="E2072">
            <v>1</v>
          </cell>
          <cell r="F2072">
            <v>6395000382</v>
          </cell>
        </row>
        <row r="2073">
          <cell r="A2073">
            <v>3400004423</v>
          </cell>
          <cell r="B2073">
            <v>1</v>
          </cell>
          <cell r="C2073">
            <v>6801</v>
          </cell>
          <cell r="D2073" t="str">
            <v>01.10.1996</v>
          </cell>
          <cell r="E2073">
            <v>0</v>
          </cell>
          <cell r="F2073">
            <v>6395000382</v>
          </cell>
        </row>
        <row r="2074">
          <cell r="A2074">
            <v>3400004424</v>
          </cell>
          <cell r="B2074">
            <v>0</v>
          </cell>
          <cell r="C2074">
            <v>6901</v>
          </cell>
          <cell r="D2074" t="str">
            <v>01.01.1995</v>
          </cell>
          <cell r="E2074">
            <v>0</v>
          </cell>
          <cell r="F2074">
            <v>6395000394</v>
          </cell>
        </row>
        <row r="2075">
          <cell r="A2075">
            <v>3400004425</v>
          </cell>
          <cell r="B2075">
            <v>0</v>
          </cell>
          <cell r="C2075">
            <v>6901</v>
          </cell>
          <cell r="D2075" t="str">
            <v>01.01.1995</v>
          </cell>
          <cell r="E2075">
            <v>15</v>
          </cell>
          <cell r="F2075">
            <v>6395000400</v>
          </cell>
        </row>
        <row r="2076">
          <cell r="A2076">
            <v>3400004426</v>
          </cell>
          <cell r="B2076">
            <v>0</v>
          </cell>
          <cell r="C2076">
            <v>6901</v>
          </cell>
          <cell r="D2076" t="str">
            <v>01.12.1994</v>
          </cell>
          <cell r="E2076">
            <v>0</v>
          </cell>
          <cell r="F2076">
            <v>6395000412</v>
          </cell>
        </row>
        <row r="2077">
          <cell r="A2077">
            <v>3400004427</v>
          </cell>
          <cell r="B2077">
            <v>0</v>
          </cell>
          <cell r="C2077">
            <v>6801</v>
          </cell>
          <cell r="D2077" t="str">
            <v>01.10.1996</v>
          </cell>
          <cell r="E2077">
            <v>1</v>
          </cell>
          <cell r="F2077">
            <v>6395000424</v>
          </cell>
        </row>
        <row r="2078">
          <cell r="A2078">
            <v>3400004428</v>
          </cell>
          <cell r="B2078">
            <v>0</v>
          </cell>
          <cell r="C2078">
            <v>6230</v>
          </cell>
          <cell r="D2078" t="str">
            <v>01.10.1996</v>
          </cell>
          <cell r="E2078">
            <v>0</v>
          </cell>
          <cell r="F2078">
            <v>6395000436</v>
          </cell>
        </row>
        <row r="2079">
          <cell r="A2079">
            <v>3400005206</v>
          </cell>
          <cell r="B2079">
            <v>0</v>
          </cell>
          <cell r="C2079">
            <v>6230</v>
          </cell>
          <cell r="D2079" t="str">
            <v>01.10.1996</v>
          </cell>
          <cell r="E2079">
            <v>2</v>
          </cell>
          <cell r="F2079">
            <v>6395000436</v>
          </cell>
        </row>
        <row r="2080">
          <cell r="A2080">
            <v>3400004429</v>
          </cell>
          <cell r="B2080">
            <v>0</v>
          </cell>
          <cell r="C2080">
            <v>6800</v>
          </cell>
          <cell r="D2080" t="str">
            <v>01.10.1996</v>
          </cell>
          <cell r="E2080">
            <v>1</v>
          </cell>
          <cell r="F2080">
            <v>6395000448</v>
          </cell>
        </row>
        <row r="2081">
          <cell r="A2081">
            <v>3400004430</v>
          </cell>
          <cell r="B2081">
            <v>0</v>
          </cell>
          <cell r="C2081">
            <v>6210</v>
          </cell>
          <cell r="D2081" t="str">
            <v>01.10.1996</v>
          </cell>
          <cell r="E2081">
            <v>0</v>
          </cell>
          <cell r="F2081">
            <v>6395000459</v>
          </cell>
        </row>
        <row r="2082">
          <cell r="A2082">
            <v>3400004431</v>
          </cell>
          <cell r="B2082">
            <v>0</v>
          </cell>
          <cell r="C2082">
            <v>6901</v>
          </cell>
          <cell r="D2082" t="str">
            <v>01.12.1994</v>
          </cell>
          <cell r="E2082">
            <v>5</v>
          </cell>
          <cell r="F2082">
            <v>6395000461</v>
          </cell>
        </row>
        <row r="2083">
          <cell r="A2083">
            <v>3400004432</v>
          </cell>
          <cell r="B2083">
            <v>0</v>
          </cell>
          <cell r="C2083">
            <v>6900</v>
          </cell>
          <cell r="D2083" t="str">
            <v>01.11.1994</v>
          </cell>
          <cell r="E2083">
            <v>4</v>
          </cell>
          <cell r="F2083">
            <v>6395000473</v>
          </cell>
        </row>
        <row r="2084">
          <cell r="A2084">
            <v>3400004433</v>
          </cell>
          <cell r="B2084">
            <v>0</v>
          </cell>
          <cell r="C2084">
            <v>5301</v>
          </cell>
          <cell r="D2084" t="str">
            <v>01.10.1996</v>
          </cell>
          <cell r="E2084">
            <v>0</v>
          </cell>
          <cell r="F2084">
            <v>6395000485</v>
          </cell>
        </row>
        <row r="2085">
          <cell r="A2085">
            <v>3400004434</v>
          </cell>
          <cell r="B2085">
            <v>0</v>
          </cell>
          <cell r="C2085">
            <v>5301</v>
          </cell>
          <cell r="D2085" t="str">
            <v>01.10.1996</v>
          </cell>
          <cell r="E2085">
            <v>0</v>
          </cell>
          <cell r="F2085">
            <v>6395000497</v>
          </cell>
        </row>
        <row r="2086">
          <cell r="A2086">
            <v>3400004435</v>
          </cell>
          <cell r="B2086">
            <v>0</v>
          </cell>
          <cell r="C2086">
            <v>6230</v>
          </cell>
          <cell r="D2086" t="str">
            <v>01.10.1996</v>
          </cell>
          <cell r="E2086">
            <v>0</v>
          </cell>
          <cell r="F2086">
            <v>6395000503</v>
          </cell>
        </row>
        <row r="2087">
          <cell r="A2087">
            <v>3400004436</v>
          </cell>
          <cell r="B2087">
            <v>0</v>
          </cell>
          <cell r="C2087">
            <v>6901</v>
          </cell>
          <cell r="D2087" t="str">
            <v>01.11.1994</v>
          </cell>
          <cell r="E2087">
            <v>4</v>
          </cell>
          <cell r="F2087">
            <v>6395000515</v>
          </cell>
        </row>
        <row r="2088">
          <cell r="A2088">
            <v>3400004437</v>
          </cell>
          <cell r="B2088">
            <v>0</v>
          </cell>
          <cell r="C2088">
            <v>5100</v>
          </cell>
          <cell r="D2088" t="str">
            <v>01.10.1996</v>
          </cell>
          <cell r="E2088">
            <v>1</v>
          </cell>
          <cell r="F2088">
            <v>6395000527</v>
          </cell>
        </row>
        <row r="2089">
          <cell r="A2089">
            <v>3400004438</v>
          </cell>
          <cell r="B2089">
            <v>0</v>
          </cell>
          <cell r="C2089">
            <v>5100</v>
          </cell>
          <cell r="D2089" t="str">
            <v>01.10.1996</v>
          </cell>
          <cell r="E2089">
            <v>1</v>
          </cell>
          <cell r="F2089">
            <v>6395000539</v>
          </cell>
        </row>
        <row r="2090">
          <cell r="A2090">
            <v>3400004439</v>
          </cell>
          <cell r="B2090">
            <v>0</v>
          </cell>
          <cell r="C2090">
            <v>5100</v>
          </cell>
          <cell r="D2090" t="str">
            <v>01.10.1996</v>
          </cell>
          <cell r="E2090">
            <v>1</v>
          </cell>
          <cell r="F2090">
            <v>6395000540</v>
          </cell>
        </row>
        <row r="2091">
          <cell r="A2091">
            <v>3400004440</v>
          </cell>
          <cell r="B2091">
            <v>0</v>
          </cell>
          <cell r="C2091">
            <v>5100</v>
          </cell>
          <cell r="D2091" t="str">
            <v>01.10.1996</v>
          </cell>
          <cell r="E2091">
            <v>1</v>
          </cell>
          <cell r="F2091">
            <v>6395000552</v>
          </cell>
        </row>
        <row r="2092">
          <cell r="A2092">
            <v>3400004441</v>
          </cell>
          <cell r="B2092">
            <v>0</v>
          </cell>
          <cell r="C2092">
            <v>5101</v>
          </cell>
          <cell r="D2092" t="str">
            <v>01.10.1996</v>
          </cell>
          <cell r="E2092">
            <v>1</v>
          </cell>
          <cell r="F2092">
            <v>6395000564</v>
          </cell>
        </row>
        <row r="2093">
          <cell r="A2093">
            <v>3400004442</v>
          </cell>
          <cell r="B2093">
            <v>0</v>
          </cell>
          <cell r="C2093">
            <v>5101</v>
          </cell>
          <cell r="D2093" t="str">
            <v>01.10.1996</v>
          </cell>
          <cell r="E2093">
            <v>1</v>
          </cell>
          <cell r="F2093">
            <v>6395000576</v>
          </cell>
        </row>
        <row r="2094">
          <cell r="A2094">
            <v>3400004443</v>
          </cell>
          <cell r="B2094">
            <v>0</v>
          </cell>
          <cell r="C2094">
            <v>5101</v>
          </cell>
          <cell r="D2094" t="str">
            <v>01.10.1996</v>
          </cell>
          <cell r="E2094">
            <v>1</v>
          </cell>
          <cell r="F2094">
            <v>6395000588</v>
          </cell>
        </row>
        <row r="2095">
          <cell r="A2095">
            <v>3400004444</v>
          </cell>
          <cell r="B2095">
            <v>0</v>
          </cell>
          <cell r="C2095">
            <v>5101</v>
          </cell>
          <cell r="D2095" t="str">
            <v>01.10.1996</v>
          </cell>
          <cell r="E2095">
            <v>1</v>
          </cell>
          <cell r="F2095">
            <v>6395000599</v>
          </cell>
        </row>
        <row r="2096">
          <cell r="A2096">
            <v>3400004445</v>
          </cell>
          <cell r="B2096">
            <v>0</v>
          </cell>
          <cell r="C2096">
            <v>5101</v>
          </cell>
          <cell r="D2096" t="str">
            <v>01.10.1996</v>
          </cell>
          <cell r="E2096">
            <v>1</v>
          </cell>
          <cell r="F2096">
            <v>6395000606</v>
          </cell>
        </row>
        <row r="2097">
          <cell r="A2097">
            <v>3400004446</v>
          </cell>
          <cell r="B2097">
            <v>0</v>
          </cell>
          <cell r="C2097">
            <v>6901</v>
          </cell>
          <cell r="D2097" t="str">
            <v>01.09.1994</v>
          </cell>
          <cell r="E2097">
            <v>5</v>
          </cell>
          <cell r="F2097">
            <v>6395000618</v>
          </cell>
        </row>
        <row r="2098">
          <cell r="A2098">
            <v>3400004447</v>
          </cell>
          <cell r="B2098">
            <v>0</v>
          </cell>
          <cell r="C2098">
            <v>6230</v>
          </cell>
          <cell r="D2098" t="str">
            <v>01.10.1996</v>
          </cell>
          <cell r="E2098">
            <v>0</v>
          </cell>
          <cell r="F2098">
            <v>6395000629</v>
          </cell>
        </row>
        <row r="2099">
          <cell r="A2099">
            <v>3400005588</v>
          </cell>
          <cell r="B2099">
            <v>0</v>
          </cell>
          <cell r="C2099">
            <v>6230</v>
          </cell>
          <cell r="D2099" t="str">
            <v>01.10.1996</v>
          </cell>
          <cell r="E2099">
            <v>2</v>
          </cell>
          <cell r="F2099">
            <v>6395000631</v>
          </cell>
        </row>
        <row r="2100">
          <cell r="A2100">
            <v>3400004448</v>
          </cell>
          <cell r="B2100">
            <v>0</v>
          </cell>
          <cell r="C2100">
            <v>6800</v>
          </cell>
          <cell r="D2100" t="str">
            <v>01.10.1996</v>
          </cell>
          <cell r="E2100">
            <v>0</v>
          </cell>
          <cell r="F2100">
            <v>6395000631</v>
          </cell>
        </row>
        <row r="2101">
          <cell r="A2101">
            <v>3400004449</v>
          </cell>
          <cell r="B2101">
            <v>0</v>
          </cell>
          <cell r="C2101">
            <v>6230</v>
          </cell>
          <cell r="D2101" t="str">
            <v>01.10.1996</v>
          </cell>
          <cell r="E2101">
            <v>0</v>
          </cell>
          <cell r="F2101">
            <v>6395000643</v>
          </cell>
        </row>
        <row r="2102">
          <cell r="A2102">
            <v>3400004450</v>
          </cell>
          <cell r="B2102">
            <v>0</v>
          </cell>
          <cell r="C2102">
            <v>6901</v>
          </cell>
          <cell r="D2102" t="str">
            <v>01.08.1994</v>
          </cell>
          <cell r="E2102">
            <v>0</v>
          </cell>
          <cell r="F2102">
            <v>6395000655</v>
          </cell>
        </row>
        <row r="2103">
          <cell r="A2103">
            <v>3400004451</v>
          </cell>
          <cell r="B2103">
            <v>0</v>
          </cell>
          <cell r="C2103">
            <v>6901</v>
          </cell>
          <cell r="D2103" t="str">
            <v>01.08.1994</v>
          </cell>
          <cell r="E2103">
            <v>15</v>
          </cell>
          <cell r="F2103">
            <v>6395000667</v>
          </cell>
        </row>
        <row r="2104">
          <cell r="A2104">
            <v>3400004452</v>
          </cell>
          <cell r="B2104">
            <v>1</v>
          </cell>
          <cell r="C2104">
            <v>5301</v>
          </cell>
          <cell r="D2104" t="str">
            <v>01.10.1996</v>
          </cell>
          <cell r="E2104">
            <v>0</v>
          </cell>
          <cell r="F2104">
            <v>6395000679</v>
          </cell>
        </row>
        <row r="2105">
          <cell r="A2105">
            <v>3400004452</v>
          </cell>
          <cell r="B2105">
            <v>0</v>
          </cell>
          <cell r="C2105">
            <v>5301</v>
          </cell>
          <cell r="D2105" t="str">
            <v>01.10.1996</v>
          </cell>
          <cell r="E2105">
            <v>1</v>
          </cell>
          <cell r="F2105">
            <v>6395000679</v>
          </cell>
        </row>
        <row r="2106">
          <cell r="A2106">
            <v>3400004453</v>
          </cell>
          <cell r="B2106">
            <v>0</v>
          </cell>
          <cell r="C2106">
            <v>6801</v>
          </cell>
          <cell r="D2106" t="str">
            <v>01.10.1996</v>
          </cell>
          <cell r="E2106">
            <v>1</v>
          </cell>
          <cell r="F2106">
            <v>6395000680</v>
          </cell>
        </row>
        <row r="2107">
          <cell r="A2107">
            <v>3400004454</v>
          </cell>
          <cell r="B2107">
            <v>0</v>
          </cell>
          <cell r="C2107">
            <v>5301</v>
          </cell>
          <cell r="D2107" t="str">
            <v>01.10.1996</v>
          </cell>
          <cell r="E2107">
            <v>1</v>
          </cell>
          <cell r="F2107">
            <v>6395000692</v>
          </cell>
        </row>
        <row r="2108">
          <cell r="A2108">
            <v>3400004455</v>
          </cell>
          <cell r="B2108">
            <v>0</v>
          </cell>
          <cell r="C2108">
            <v>6901</v>
          </cell>
          <cell r="D2108" t="str">
            <v>01.01.1995</v>
          </cell>
          <cell r="E2108">
            <v>3</v>
          </cell>
          <cell r="F2108">
            <v>6395000709</v>
          </cell>
        </row>
        <row r="2109">
          <cell r="A2109">
            <v>3400004456</v>
          </cell>
          <cell r="B2109">
            <v>0</v>
          </cell>
          <cell r="C2109">
            <v>5900</v>
          </cell>
          <cell r="D2109" t="str">
            <v>01.02.1995</v>
          </cell>
          <cell r="E2109">
            <v>1</v>
          </cell>
          <cell r="F2109">
            <v>6395000710</v>
          </cell>
        </row>
        <row r="2110">
          <cell r="A2110">
            <v>3400004457</v>
          </cell>
          <cell r="B2110">
            <v>0</v>
          </cell>
          <cell r="C2110">
            <v>6901</v>
          </cell>
          <cell r="D2110" t="str">
            <v>01.02.1995</v>
          </cell>
          <cell r="E2110">
            <v>2</v>
          </cell>
          <cell r="F2110">
            <v>6395000722</v>
          </cell>
        </row>
        <row r="2111">
          <cell r="A2111">
            <v>3400004458</v>
          </cell>
          <cell r="B2111">
            <v>0</v>
          </cell>
          <cell r="C2111">
            <v>6600</v>
          </cell>
          <cell r="D2111" t="str">
            <v>01.10.1996</v>
          </cell>
          <cell r="E2111">
            <v>0</v>
          </cell>
          <cell r="F2111">
            <v>6395000734</v>
          </cell>
        </row>
        <row r="2112">
          <cell r="A2112">
            <v>3400004459</v>
          </cell>
          <cell r="B2112">
            <v>0</v>
          </cell>
          <cell r="C2112">
            <v>6801</v>
          </cell>
          <cell r="D2112" t="str">
            <v>01.10.1996</v>
          </cell>
          <cell r="E2112">
            <v>1</v>
          </cell>
          <cell r="F2112">
            <v>6395000746</v>
          </cell>
        </row>
        <row r="2113">
          <cell r="A2113">
            <v>3400004460</v>
          </cell>
          <cell r="B2113">
            <v>0</v>
          </cell>
          <cell r="C2113">
            <v>5800</v>
          </cell>
          <cell r="D2113" t="str">
            <v>01.10.1996</v>
          </cell>
          <cell r="E2113">
            <v>0</v>
          </cell>
          <cell r="F2113">
            <v>6395000758</v>
          </cell>
        </row>
        <row r="2114">
          <cell r="A2114">
            <v>3400004461</v>
          </cell>
          <cell r="B2114">
            <v>0</v>
          </cell>
          <cell r="C2114">
            <v>6801</v>
          </cell>
          <cell r="D2114" t="str">
            <v>01.10.1996</v>
          </cell>
          <cell r="E2114">
            <v>1</v>
          </cell>
          <cell r="F2114">
            <v>6395000771</v>
          </cell>
        </row>
        <row r="2115">
          <cell r="A2115">
            <v>3400004462</v>
          </cell>
          <cell r="B2115">
            <v>0</v>
          </cell>
          <cell r="C2115">
            <v>6500</v>
          </cell>
          <cell r="D2115" t="str">
            <v>01.10.1996</v>
          </cell>
          <cell r="E2115">
            <v>0</v>
          </cell>
          <cell r="F2115">
            <v>6395000783</v>
          </cell>
        </row>
        <row r="2116">
          <cell r="A2116">
            <v>3400004463</v>
          </cell>
          <cell r="B2116">
            <v>0</v>
          </cell>
          <cell r="C2116">
            <v>6600</v>
          </cell>
          <cell r="D2116" t="str">
            <v>01.10.1996</v>
          </cell>
          <cell r="E2116">
            <v>1</v>
          </cell>
          <cell r="F2116">
            <v>6395000795</v>
          </cell>
        </row>
        <row r="2117">
          <cell r="A2117">
            <v>3400004464</v>
          </cell>
          <cell r="B2117">
            <v>1</v>
          </cell>
          <cell r="C2117">
            <v>6600</v>
          </cell>
          <cell r="D2117" t="str">
            <v>01.10.1996</v>
          </cell>
          <cell r="E2117">
            <v>0</v>
          </cell>
          <cell r="F2117">
            <v>6395000801</v>
          </cell>
        </row>
        <row r="2118">
          <cell r="A2118">
            <v>3400004464</v>
          </cell>
          <cell r="B2118">
            <v>0</v>
          </cell>
          <cell r="C2118">
            <v>6600</v>
          </cell>
          <cell r="D2118" t="str">
            <v>01.10.1996</v>
          </cell>
          <cell r="E2118">
            <v>1</v>
          </cell>
          <cell r="F2118">
            <v>6395000801</v>
          </cell>
        </row>
        <row r="2119">
          <cell r="A2119">
            <v>3400004465</v>
          </cell>
          <cell r="B2119">
            <v>1</v>
          </cell>
          <cell r="C2119">
            <v>6600</v>
          </cell>
          <cell r="D2119" t="str">
            <v>01.10.1996</v>
          </cell>
          <cell r="E2119">
            <v>0</v>
          </cell>
          <cell r="F2119">
            <v>6395000813</v>
          </cell>
        </row>
        <row r="2120">
          <cell r="A2120">
            <v>3400004465</v>
          </cell>
          <cell r="B2120">
            <v>0</v>
          </cell>
          <cell r="C2120">
            <v>6600</v>
          </cell>
          <cell r="D2120" t="str">
            <v>01.10.1996</v>
          </cell>
          <cell r="E2120">
            <v>1</v>
          </cell>
          <cell r="F2120">
            <v>6395000813</v>
          </cell>
        </row>
        <row r="2121">
          <cell r="A2121">
            <v>3400004466</v>
          </cell>
          <cell r="B2121">
            <v>0</v>
          </cell>
          <cell r="C2121">
            <v>6600</v>
          </cell>
          <cell r="D2121" t="str">
            <v>01.10.1996</v>
          </cell>
          <cell r="E2121">
            <v>1</v>
          </cell>
          <cell r="F2121">
            <v>6395000825</v>
          </cell>
        </row>
        <row r="2122">
          <cell r="A2122">
            <v>3400004467</v>
          </cell>
          <cell r="B2122">
            <v>0</v>
          </cell>
          <cell r="C2122">
            <v>6500</v>
          </cell>
          <cell r="D2122" t="str">
            <v>01.10.1996</v>
          </cell>
          <cell r="E2122">
            <v>0</v>
          </cell>
          <cell r="F2122">
            <v>6395000837</v>
          </cell>
        </row>
        <row r="2123">
          <cell r="A2123">
            <v>3400004468</v>
          </cell>
          <cell r="B2123">
            <v>0</v>
          </cell>
          <cell r="C2123">
            <v>6500</v>
          </cell>
          <cell r="D2123" t="str">
            <v>01.10.1996</v>
          </cell>
          <cell r="E2123">
            <v>0</v>
          </cell>
          <cell r="F2123">
            <v>6395000849</v>
          </cell>
        </row>
        <row r="2124">
          <cell r="A2124">
            <v>3400004469</v>
          </cell>
          <cell r="B2124">
            <v>0</v>
          </cell>
          <cell r="C2124">
            <v>5800</v>
          </cell>
          <cell r="D2124" t="str">
            <v>01.10.1996</v>
          </cell>
          <cell r="E2124">
            <v>0</v>
          </cell>
          <cell r="F2124">
            <v>6395000850</v>
          </cell>
        </row>
        <row r="2125">
          <cell r="A2125">
            <v>3400004470</v>
          </cell>
          <cell r="B2125">
            <v>0</v>
          </cell>
          <cell r="C2125">
            <v>6801</v>
          </cell>
          <cell r="D2125" t="str">
            <v>01.10.1996</v>
          </cell>
          <cell r="E2125">
            <v>1</v>
          </cell>
          <cell r="F2125">
            <v>6395000862</v>
          </cell>
        </row>
        <row r="2126">
          <cell r="A2126">
            <v>3400004471</v>
          </cell>
          <cell r="B2126">
            <v>0</v>
          </cell>
          <cell r="C2126">
            <v>6801</v>
          </cell>
          <cell r="D2126" t="str">
            <v>01.10.1996</v>
          </cell>
          <cell r="E2126">
            <v>1</v>
          </cell>
          <cell r="F2126">
            <v>6395000874</v>
          </cell>
        </row>
        <row r="2127">
          <cell r="A2127">
            <v>3400004472</v>
          </cell>
          <cell r="B2127">
            <v>0</v>
          </cell>
          <cell r="C2127">
            <v>6801</v>
          </cell>
          <cell r="D2127" t="str">
            <v>01.10.1996</v>
          </cell>
          <cell r="E2127">
            <v>1</v>
          </cell>
          <cell r="F2127">
            <v>6395000886</v>
          </cell>
        </row>
        <row r="2128">
          <cell r="A2128">
            <v>3400004473</v>
          </cell>
          <cell r="B2128">
            <v>0</v>
          </cell>
          <cell r="C2128">
            <v>6801</v>
          </cell>
          <cell r="D2128" t="str">
            <v>01.10.1996</v>
          </cell>
          <cell r="E2128">
            <v>1</v>
          </cell>
          <cell r="F2128">
            <v>6395000898</v>
          </cell>
        </row>
        <row r="2129">
          <cell r="A2129">
            <v>3400004474</v>
          </cell>
          <cell r="B2129">
            <v>0</v>
          </cell>
          <cell r="C2129">
            <v>5800</v>
          </cell>
          <cell r="D2129" t="str">
            <v>01.10.1996</v>
          </cell>
          <cell r="E2129">
            <v>0</v>
          </cell>
          <cell r="F2129">
            <v>6395000904</v>
          </cell>
        </row>
        <row r="2130">
          <cell r="A2130">
            <v>3400004475</v>
          </cell>
          <cell r="B2130">
            <v>0</v>
          </cell>
          <cell r="C2130">
            <v>6801</v>
          </cell>
          <cell r="D2130" t="str">
            <v>01.10.1996</v>
          </cell>
          <cell r="E2130">
            <v>1</v>
          </cell>
          <cell r="F2130">
            <v>6395000916</v>
          </cell>
        </row>
        <row r="2131">
          <cell r="A2131">
            <v>3400004476</v>
          </cell>
          <cell r="B2131">
            <v>0</v>
          </cell>
          <cell r="C2131">
            <v>5801</v>
          </cell>
          <cell r="D2131" t="str">
            <v>01.10.1996</v>
          </cell>
          <cell r="E2131">
            <v>0</v>
          </cell>
          <cell r="F2131">
            <v>6395000928</v>
          </cell>
        </row>
        <row r="2132">
          <cell r="A2132">
            <v>3400004477</v>
          </cell>
          <cell r="B2132">
            <v>0</v>
          </cell>
          <cell r="C2132">
            <v>6600</v>
          </cell>
          <cell r="D2132" t="str">
            <v>01.10.1996</v>
          </cell>
          <cell r="E2132">
            <v>0</v>
          </cell>
          <cell r="F2132">
            <v>6395000939</v>
          </cell>
        </row>
        <row r="2133">
          <cell r="A2133">
            <v>3400004797</v>
          </cell>
          <cell r="B2133">
            <v>0</v>
          </cell>
          <cell r="C2133">
            <v>6600</v>
          </cell>
          <cell r="D2133" t="str">
            <v>01.10.1996</v>
          </cell>
          <cell r="E2133">
            <v>1</v>
          </cell>
          <cell r="F2133">
            <v>6395000941</v>
          </cell>
        </row>
        <row r="2134">
          <cell r="A2134">
            <v>3400004478</v>
          </cell>
          <cell r="B2134">
            <v>0</v>
          </cell>
          <cell r="C2134">
            <v>6801</v>
          </cell>
          <cell r="D2134" t="str">
            <v>01.10.1996</v>
          </cell>
          <cell r="E2134">
            <v>1</v>
          </cell>
          <cell r="F2134">
            <v>6395000953</v>
          </cell>
        </row>
        <row r="2135">
          <cell r="A2135">
            <v>3400004479</v>
          </cell>
          <cell r="B2135">
            <v>0</v>
          </cell>
          <cell r="C2135">
            <v>6230</v>
          </cell>
          <cell r="D2135" t="str">
            <v>01.10.1996</v>
          </cell>
          <cell r="E2135">
            <v>0</v>
          </cell>
          <cell r="F2135">
            <v>6395000965</v>
          </cell>
        </row>
        <row r="2136">
          <cell r="A2136">
            <v>3400004480</v>
          </cell>
          <cell r="B2136">
            <v>0</v>
          </cell>
          <cell r="C2136">
            <v>6801</v>
          </cell>
          <cell r="D2136" t="str">
            <v>01.10.1996</v>
          </cell>
          <cell r="E2136">
            <v>1</v>
          </cell>
          <cell r="F2136">
            <v>6395000990</v>
          </cell>
        </row>
        <row r="2137">
          <cell r="A2137">
            <v>3400004481</v>
          </cell>
          <cell r="B2137">
            <v>0</v>
          </cell>
          <cell r="C2137">
            <v>5400</v>
          </cell>
          <cell r="D2137" t="str">
            <v>01.10.1996</v>
          </cell>
          <cell r="E2137">
            <v>1</v>
          </cell>
          <cell r="F2137">
            <v>6395001007</v>
          </cell>
        </row>
        <row r="2138">
          <cell r="A2138">
            <v>3400004482</v>
          </cell>
          <cell r="B2138">
            <v>0</v>
          </cell>
          <cell r="C2138">
            <v>6602</v>
          </cell>
          <cell r="D2138" t="str">
            <v>01.10.1994</v>
          </cell>
          <cell r="E2138">
            <v>16</v>
          </cell>
          <cell r="F2138">
            <v>6395001015</v>
          </cell>
        </row>
        <row r="2139">
          <cell r="A2139">
            <v>3400004483</v>
          </cell>
          <cell r="B2139">
            <v>0</v>
          </cell>
          <cell r="C2139">
            <v>5800</v>
          </cell>
          <cell r="D2139" t="str">
            <v>01.10.1996</v>
          </cell>
          <cell r="E2139">
            <v>0</v>
          </cell>
          <cell r="F2139">
            <v>6395001023</v>
          </cell>
        </row>
        <row r="2140">
          <cell r="A2140">
            <v>3400004484</v>
          </cell>
          <cell r="B2140">
            <v>0</v>
          </cell>
          <cell r="C2140">
            <v>6230</v>
          </cell>
          <cell r="D2140" t="str">
            <v>01.10.1996</v>
          </cell>
          <cell r="E2140">
            <v>0</v>
          </cell>
          <cell r="F2140">
            <v>6395001031</v>
          </cell>
        </row>
        <row r="2141">
          <cell r="A2141">
            <v>3400004485</v>
          </cell>
          <cell r="B2141">
            <v>0</v>
          </cell>
          <cell r="C2141">
            <v>6901</v>
          </cell>
          <cell r="D2141" t="str">
            <v>01.10.1994</v>
          </cell>
          <cell r="E2141">
            <v>22</v>
          </cell>
          <cell r="F2141">
            <v>6395001040</v>
          </cell>
        </row>
        <row r="2142">
          <cell r="A2142">
            <v>3400004486</v>
          </cell>
          <cell r="B2142">
            <v>0</v>
          </cell>
          <cell r="C2142">
            <v>6230</v>
          </cell>
          <cell r="D2142" t="str">
            <v>01.10.1996</v>
          </cell>
          <cell r="E2142">
            <v>0</v>
          </cell>
          <cell r="F2142">
            <v>6395001052</v>
          </cell>
        </row>
        <row r="2143">
          <cell r="A2143">
            <v>3400004487</v>
          </cell>
          <cell r="B2143">
            <v>0</v>
          </cell>
          <cell r="C2143">
            <v>6901</v>
          </cell>
          <cell r="D2143" t="str">
            <v>01.10.1994</v>
          </cell>
          <cell r="E2143">
            <v>1</v>
          </cell>
          <cell r="F2143">
            <v>6395001064</v>
          </cell>
        </row>
        <row r="2144">
          <cell r="A2144">
            <v>3400004488</v>
          </cell>
          <cell r="B2144">
            <v>0</v>
          </cell>
          <cell r="C2144">
            <v>6901</v>
          </cell>
          <cell r="D2144" t="str">
            <v>04.01.1995</v>
          </cell>
          <cell r="E2144">
            <v>24</v>
          </cell>
          <cell r="F2144">
            <v>6395001076</v>
          </cell>
        </row>
        <row r="2145">
          <cell r="A2145">
            <v>3400004489</v>
          </cell>
          <cell r="B2145">
            <v>0</v>
          </cell>
          <cell r="C2145">
            <v>6800</v>
          </cell>
          <cell r="D2145" t="str">
            <v>01.10.1996</v>
          </cell>
          <cell r="E2145">
            <v>1</v>
          </cell>
          <cell r="F2145">
            <v>6395001088</v>
          </cell>
        </row>
        <row r="2146">
          <cell r="A2146">
            <v>3400004490</v>
          </cell>
          <cell r="B2146">
            <v>0</v>
          </cell>
          <cell r="C2146">
            <v>6801</v>
          </cell>
          <cell r="D2146" t="str">
            <v>01.10.1996</v>
          </cell>
          <cell r="E2146">
            <v>1</v>
          </cell>
          <cell r="F2146">
            <v>6395001099</v>
          </cell>
        </row>
        <row r="2147">
          <cell r="A2147">
            <v>3400004491</v>
          </cell>
          <cell r="B2147">
            <v>0</v>
          </cell>
          <cell r="C2147">
            <v>6901</v>
          </cell>
          <cell r="D2147" t="str">
            <v>01.10.1994</v>
          </cell>
          <cell r="E2147">
            <v>1</v>
          </cell>
          <cell r="F2147">
            <v>6395001104</v>
          </cell>
        </row>
        <row r="2148">
          <cell r="A2148">
            <v>3400004492</v>
          </cell>
          <cell r="B2148">
            <v>0</v>
          </cell>
          <cell r="C2148">
            <v>6800</v>
          </cell>
          <cell r="D2148" t="str">
            <v>01.10.1996</v>
          </cell>
          <cell r="E2148">
            <v>1</v>
          </cell>
          <cell r="F2148">
            <v>6395001112</v>
          </cell>
        </row>
        <row r="2149">
          <cell r="A2149">
            <v>3400004493</v>
          </cell>
          <cell r="B2149">
            <v>0</v>
          </cell>
          <cell r="C2149">
            <v>5302</v>
          </cell>
          <cell r="D2149" t="str">
            <v>01.10.1996</v>
          </cell>
          <cell r="E2149">
            <v>0</v>
          </cell>
          <cell r="F2149">
            <v>6395001129</v>
          </cell>
        </row>
        <row r="2150">
          <cell r="A2150">
            <v>3400004494</v>
          </cell>
          <cell r="B2150">
            <v>0</v>
          </cell>
          <cell r="C2150">
            <v>6602</v>
          </cell>
          <cell r="D2150" t="str">
            <v>01.05.1995</v>
          </cell>
          <cell r="E2150">
            <v>2</v>
          </cell>
          <cell r="F2150">
            <v>6395001131</v>
          </cell>
        </row>
        <row r="2151">
          <cell r="A2151">
            <v>3400004495</v>
          </cell>
          <cell r="B2151">
            <v>0</v>
          </cell>
          <cell r="C2151">
            <v>5800</v>
          </cell>
          <cell r="D2151" t="str">
            <v>01.10.1996</v>
          </cell>
          <cell r="E2151">
            <v>1</v>
          </cell>
          <cell r="F2151">
            <v>6395001143</v>
          </cell>
        </row>
        <row r="2152">
          <cell r="A2152">
            <v>3400004496</v>
          </cell>
          <cell r="B2152">
            <v>0</v>
          </cell>
          <cell r="C2152">
            <v>5801</v>
          </cell>
          <cell r="D2152" t="str">
            <v>01.10.1996</v>
          </cell>
          <cell r="E2152">
            <v>0</v>
          </cell>
          <cell r="F2152">
            <v>6395001155</v>
          </cell>
        </row>
        <row r="2153">
          <cell r="A2153">
            <v>3400004497</v>
          </cell>
          <cell r="B2153">
            <v>0</v>
          </cell>
          <cell r="C2153">
            <v>5801</v>
          </cell>
          <cell r="D2153" t="str">
            <v>01.10.1996</v>
          </cell>
          <cell r="E2153">
            <v>0</v>
          </cell>
          <cell r="F2153">
            <v>6395001167</v>
          </cell>
        </row>
        <row r="2154">
          <cell r="A2154">
            <v>3400004498</v>
          </cell>
          <cell r="B2154">
            <v>0</v>
          </cell>
          <cell r="C2154">
            <v>6600</v>
          </cell>
          <cell r="D2154" t="str">
            <v>01.10.1996</v>
          </cell>
          <cell r="E2154">
            <v>1</v>
          </cell>
          <cell r="F2154">
            <v>6395001179</v>
          </cell>
        </row>
        <row r="2155">
          <cell r="A2155">
            <v>3400004499</v>
          </cell>
          <cell r="B2155">
            <v>0</v>
          </cell>
          <cell r="C2155">
            <v>6600</v>
          </cell>
          <cell r="D2155" t="str">
            <v>01.10.1996</v>
          </cell>
          <cell r="E2155">
            <v>1</v>
          </cell>
          <cell r="F2155">
            <v>6395001180</v>
          </cell>
        </row>
        <row r="2156">
          <cell r="A2156">
            <v>3400004500</v>
          </cell>
          <cell r="B2156">
            <v>0</v>
          </cell>
          <cell r="C2156">
            <v>6600</v>
          </cell>
          <cell r="D2156" t="str">
            <v>01.10.1996</v>
          </cell>
          <cell r="E2156">
            <v>1</v>
          </cell>
          <cell r="F2156">
            <v>6395001192</v>
          </cell>
        </row>
        <row r="2157">
          <cell r="A2157">
            <v>3400004501</v>
          </cell>
          <cell r="B2157">
            <v>0</v>
          </cell>
          <cell r="C2157">
            <v>6600</v>
          </cell>
          <cell r="D2157" t="str">
            <v>01.10.1996</v>
          </cell>
          <cell r="E2157">
            <v>1</v>
          </cell>
          <cell r="F2157">
            <v>6395001201</v>
          </cell>
        </row>
        <row r="2158">
          <cell r="A2158">
            <v>3400004502</v>
          </cell>
          <cell r="B2158">
            <v>0</v>
          </cell>
          <cell r="C2158">
            <v>6600</v>
          </cell>
          <cell r="D2158" t="str">
            <v>01.10.1996</v>
          </cell>
          <cell r="E2158">
            <v>1</v>
          </cell>
          <cell r="F2158">
            <v>6395001210</v>
          </cell>
        </row>
        <row r="2159">
          <cell r="A2159">
            <v>3400004503</v>
          </cell>
          <cell r="B2159">
            <v>0</v>
          </cell>
          <cell r="C2159">
            <v>6602</v>
          </cell>
          <cell r="D2159" t="str">
            <v>01.06.1995</v>
          </cell>
          <cell r="E2159">
            <v>86</v>
          </cell>
          <cell r="F2159">
            <v>6395001222</v>
          </cell>
        </row>
        <row r="2160">
          <cell r="A2160">
            <v>3400004504</v>
          </cell>
          <cell r="B2160">
            <v>0</v>
          </cell>
          <cell r="C2160">
            <v>5801</v>
          </cell>
          <cell r="D2160" t="str">
            <v>01.10.1996</v>
          </cell>
          <cell r="E2160">
            <v>1</v>
          </cell>
          <cell r="F2160">
            <v>6395001234</v>
          </cell>
        </row>
        <row r="2161">
          <cell r="A2161">
            <v>3400004505</v>
          </cell>
          <cell r="B2161">
            <v>0</v>
          </cell>
          <cell r="C2161">
            <v>5801</v>
          </cell>
          <cell r="D2161" t="str">
            <v>01.10.1996</v>
          </cell>
          <cell r="E2161">
            <v>0</v>
          </cell>
          <cell r="F2161">
            <v>6395001246</v>
          </cell>
        </row>
        <row r="2162">
          <cell r="A2162">
            <v>3400004506</v>
          </cell>
          <cell r="B2162">
            <v>0</v>
          </cell>
          <cell r="C2162">
            <v>5801</v>
          </cell>
          <cell r="D2162" t="str">
            <v>01.10.1996</v>
          </cell>
          <cell r="E2162">
            <v>1</v>
          </cell>
          <cell r="F2162">
            <v>6395001269</v>
          </cell>
        </row>
        <row r="2163">
          <cell r="A2163">
            <v>3400004507</v>
          </cell>
          <cell r="B2163">
            <v>0</v>
          </cell>
          <cell r="C2163">
            <v>5801</v>
          </cell>
          <cell r="D2163" t="str">
            <v>01.10.1996</v>
          </cell>
          <cell r="E2163">
            <v>1</v>
          </cell>
          <cell r="F2163">
            <v>6395001271</v>
          </cell>
        </row>
        <row r="2164">
          <cell r="A2164">
            <v>3400004508</v>
          </cell>
          <cell r="B2164">
            <v>0</v>
          </cell>
          <cell r="C2164">
            <v>5100</v>
          </cell>
          <cell r="D2164" t="str">
            <v>01.10.1996</v>
          </cell>
          <cell r="E2164">
            <v>0</v>
          </cell>
          <cell r="F2164">
            <v>6395001283</v>
          </cell>
        </row>
        <row r="2165">
          <cell r="A2165">
            <v>3400004509</v>
          </cell>
          <cell r="B2165">
            <v>0</v>
          </cell>
          <cell r="C2165">
            <v>5801</v>
          </cell>
          <cell r="D2165" t="str">
            <v>01.10.1996</v>
          </cell>
          <cell r="E2165">
            <v>0</v>
          </cell>
          <cell r="F2165">
            <v>6395001295</v>
          </cell>
        </row>
        <row r="2166">
          <cell r="A2166">
            <v>3400004510</v>
          </cell>
          <cell r="B2166">
            <v>0</v>
          </cell>
          <cell r="C2166">
            <v>5801</v>
          </cell>
          <cell r="D2166" t="str">
            <v>01.10.1996</v>
          </cell>
          <cell r="E2166">
            <v>0</v>
          </cell>
          <cell r="F2166">
            <v>6395001301</v>
          </cell>
        </row>
        <row r="2167">
          <cell r="A2167">
            <v>3400004511</v>
          </cell>
          <cell r="B2167">
            <v>0</v>
          </cell>
          <cell r="C2167">
            <v>5801</v>
          </cell>
          <cell r="D2167" t="str">
            <v>01.10.1996</v>
          </cell>
          <cell r="E2167">
            <v>0</v>
          </cell>
          <cell r="F2167">
            <v>6395001313</v>
          </cell>
        </row>
        <row r="2168">
          <cell r="A2168">
            <v>3400004512</v>
          </cell>
          <cell r="B2168">
            <v>0</v>
          </cell>
          <cell r="C2168">
            <v>5801</v>
          </cell>
          <cell r="D2168" t="str">
            <v>01.10.1996</v>
          </cell>
          <cell r="E2168">
            <v>0</v>
          </cell>
          <cell r="F2168">
            <v>6395001325</v>
          </cell>
        </row>
        <row r="2169">
          <cell r="A2169">
            <v>3400004513</v>
          </cell>
          <cell r="B2169">
            <v>0</v>
          </cell>
          <cell r="C2169">
            <v>5900</v>
          </cell>
          <cell r="D2169" t="str">
            <v>01.06.1995</v>
          </cell>
          <cell r="E2169">
            <v>0</v>
          </cell>
          <cell r="F2169">
            <v>6395001337</v>
          </cell>
        </row>
        <row r="2170">
          <cell r="A2170">
            <v>3400004514</v>
          </cell>
          <cell r="B2170">
            <v>0</v>
          </cell>
          <cell r="C2170">
            <v>5801</v>
          </cell>
          <cell r="D2170" t="str">
            <v>01.10.1996</v>
          </cell>
          <cell r="E2170">
            <v>0</v>
          </cell>
          <cell r="F2170">
            <v>6395001349</v>
          </cell>
        </row>
        <row r="2171">
          <cell r="A2171">
            <v>3400004515</v>
          </cell>
          <cell r="B2171">
            <v>0</v>
          </cell>
          <cell r="C2171">
            <v>5801</v>
          </cell>
          <cell r="D2171" t="str">
            <v>01.10.1996</v>
          </cell>
          <cell r="E2171">
            <v>0</v>
          </cell>
          <cell r="F2171">
            <v>6395001350</v>
          </cell>
        </row>
        <row r="2172">
          <cell r="A2172">
            <v>3400004516</v>
          </cell>
          <cell r="B2172">
            <v>0</v>
          </cell>
          <cell r="C2172">
            <v>6901</v>
          </cell>
          <cell r="D2172" t="str">
            <v>01.07.1995</v>
          </cell>
          <cell r="E2172">
            <v>1</v>
          </cell>
          <cell r="F2172">
            <v>6395001428</v>
          </cell>
        </row>
        <row r="2173">
          <cell r="A2173">
            <v>3400004517</v>
          </cell>
          <cell r="B2173">
            <v>0</v>
          </cell>
          <cell r="C2173">
            <v>6901</v>
          </cell>
          <cell r="D2173" t="str">
            <v>01.07.1995</v>
          </cell>
          <cell r="E2173">
            <v>1</v>
          </cell>
          <cell r="F2173">
            <v>6395001439</v>
          </cell>
        </row>
        <row r="2174">
          <cell r="A2174">
            <v>3400004518</v>
          </cell>
          <cell r="B2174">
            <v>0</v>
          </cell>
          <cell r="C2174">
            <v>6600</v>
          </cell>
          <cell r="D2174" t="str">
            <v>01.10.1996</v>
          </cell>
          <cell r="E2174">
            <v>0</v>
          </cell>
          <cell r="F2174">
            <v>6395001441</v>
          </cell>
        </row>
        <row r="2175">
          <cell r="A2175">
            <v>3400004519</v>
          </cell>
          <cell r="B2175">
            <v>0</v>
          </cell>
          <cell r="C2175">
            <v>6230</v>
          </cell>
          <cell r="D2175" t="str">
            <v>01.10.1996</v>
          </cell>
          <cell r="E2175">
            <v>0</v>
          </cell>
          <cell r="F2175">
            <v>6395001453</v>
          </cell>
        </row>
        <row r="2176">
          <cell r="A2176">
            <v>3400004520</v>
          </cell>
          <cell r="B2176">
            <v>0</v>
          </cell>
          <cell r="C2176">
            <v>6800</v>
          </cell>
          <cell r="D2176" t="str">
            <v>01.10.1996</v>
          </cell>
          <cell r="E2176">
            <v>1</v>
          </cell>
          <cell r="F2176">
            <v>6395001465</v>
          </cell>
        </row>
        <row r="2177">
          <cell r="A2177">
            <v>3400004521</v>
          </cell>
          <cell r="B2177">
            <v>0</v>
          </cell>
          <cell r="C2177">
            <v>5800</v>
          </cell>
          <cell r="D2177" t="str">
            <v>01.10.1996</v>
          </cell>
          <cell r="E2177">
            <v>1</v>
          </cell>
          <cell r="F2177">
            <v>6395001477</v>
          </cell>
        </row>
        <row r="2178">
          <cell r="A2178">
            <v>3400004522</v>
          </cell>
          <cell r="B2178">
            <v>0</v>
          </cell>
          <cell r="C2178">
            <v>5800</v>
          </cell>
          <cell r="D2178" t="str">
            <v>01.10.1996</v>
          </cell>
          <cell r="E2178">
            <v>1</v>
          </cell>
          <cell r="F2178">
            <v>6395001489</v>
          </cell>
        </row>
        <row r="2179">
          <cell r="A2179">
            <v>3400004523</v>
          </cell>
          <cell r="B2179">
            <v>0</v>
          </cell>
          <cell r="C2179">
            <v>5800</v>
          </cell>
          <cell r="D2179" t="str">
            <v>01.10.1996</v>
          </cell>
          <cell r="E2179">
            <v>1</v>
          </cell>
          <cell r="F2179">
            <v>6395001490</v>
          </cell>
        </row>
        <row r="2180">
          <cell r="A2180">
            <v>3400004524</v>
          </cell>
          <cell r="B2180">
            <v>0</v>
          </cell>
          <cell r="C2180">
            <v>5800</v>
          </cell>
          <cell r="D2180" t="str">
            <v>01.10.1996</v>
          </cell>
          <cell r="E2180">
            <v>1</v>
          </cell>
          <cell r="F2180">
            <v>6395001507</v>
          </cell>
        </row>
        <row r="2181">
          <cell r="A2181">
            <v>3400004525</v>
          </cell>
          <cell r="B2181">
            <v>0</v>
          </cell>
          <cell r="C2181">
            <v>5800</v>
          </cell>
          <cell r="D2181" t="str">
            <v>01.10.1996</v>
          </cell>
          <cell r="E2181">
            <v>0</v>
          </cell>
          <cell r="F2181">
            <v>6395001519</v>
          </cell>
        </row>
        <row r="2182">
          <cell r="A2182">
            <v>3400004526</v>
          </cell>
          <cell r="B2182">
            <v>0</v>
          </cell>
          <cell r="C2182">
            <v>5800</v>
          </cell>
          <cell r="D2182" t="str">
            <v>01.10.1996</v>
          </cell>
          <cell r="E2182">
            <v>1</v>
          </cell>
          <cell r="F2182">
            <v>6395001520</v>
          </cell>
        </row>
        <row r="2183">
          <cell r="A2183">
            <v>3400004527</v>
          </cell>
          <cell r="B2183">
            <v>0</v>
          </cell>
          <cell r="C2183">
            <v>6230</v>
          </cell>
          <cell r="D2183" t="str">
            <v>01.10.1996</v>
          </cell>
          <cell r="E2183">
            <v>0</v>
          </cell>
          <cell r="F2183">
            <v>6395001532</v>
          </cell>
        </row>
        <row r="2184">
          <cell r="A2184">
            <v>3400004528</v>
          </cell>
          <cell r="B2184">
            <v>0</v>
          </cell>
          <cell r="C2184">
            <v>6230</v>
          </cell>
          <cell r="D2184" t="str">
            <v>01.10.1996</v>
          </cell>
          <cell r="E2184">
            <v>0</v>
          </cell>
          <cell r="F2184">
            <v>6395001544</v>
          </cell>
        </row>
        <row r="2185">
          <cell r="A2185">
            <v>3400004529</v>
          </cell>
          <cell r="B2185">
            <v>0</v>
          </cell>
          <cell r="C2185">
            <v>5900</v>
          </cell>
          <cell r="D2185" t="str">
            <v>01.04.1995</v>
          </cell>
          <cell r="E2185">
            <v>13</v>
          </cell>
          <cell r="F2185">
            <v>6395001556</v>
          </cell>
        </row>
        <row r="2186">
          <cell r="A2186">
            <v>3400004530</v>
          </cell>
          <cell r="B2186">
            <v>0</v>
          </cell>
          <cell r="C2186">
            <v>5400</v>
          </cell>
          <cell r="D2186" t="str">
            <v>01.10.1996</v>
          </cell>
          <cell r="E2186">
            <v>1</v>
          </cell>
          <cell r="F2186">
            <v>6395001568</v>
          </cell>
        </row>
        <row r="2187">
          <cell r="A2187">
            <v>3400004531</v>
          </cell>
          <cell r="B2187">
            <v>0</v>
          </cell>
          <cell r="C2187">
            <v>6501</v>
          </cell>
          <cell r="D2187" t="str">
            <v>01.03.1995</v>
          </cell>
          <cell r="E2187">
            <v>2</v>
          </cell>
          <cell r="F2187">
            <v>6395001579</v>
          </cell>
        </row>
        <row r="2188">
          <cell r="A2188">
            <v>3400004532</v>
          </cell>
          <cell r="B2188">
            <v>0</v>
          </cell>
          <cell r="C2188">
            <v>6801</v>
          </cell>
          <cell r="D2188" t="str">
            <v>01.10.1996</v>
          </cell>
          <cell r="E2188">
            <v>1</v>
          </cell>
          <cell r="F2188">
            <v>6395001581</v>
          </cell>
        </row>
        <row r="2189">
          <cell r="A2189">
            <v>3400004533</v>
          </cell>
          <cell r="B2189">
            <v>0</v>
          </cell>
          <cell r="C2189">
            <v>6600</v>
          </cell>
          <cell r="D2189" t="str">
            <v>01.10.1996</v>
          </cell>
          <cell r="E2189">
            <v>0</v>
          </cell>
          <cell r="F2189">
            <v>6395001593</v>
          </cell>
        </row>
        <row r="2190">
          <cell r="A2190">
            <v>3400004534</v>
          </cell>
          <cell r="B2190">
            <v>0</v>
          </cell>
          <cell r="C2190">
            <v>6801</v>
          </cell>
          <cell r="D2190" t="str">
            <v>01.10.1996</v>
          </cell>
          <cell r="E2190">
            <v>1</v>
          </cell>
          <cell r="F2190">
            <v>6395001609</v>
          </cell>
        </row>
        <row r="2191">
          <cell r="A2191">
            <v>3400004535</v>
          </cell>
          <cell r="B2191">
            <v>0</v>
          </cell>
          <cell r="C2191">
            <v>5400</v>
          </cell>
          <cell r="D2191" t="str">
            <v>01.10.1996</v>
          </cell>
          <cell r="E2191">
            <v>1</v>
          </cell>
          <cell r="F2191">
            <v>6395001611</v>
          </cell>
        </row>
        <row r="2192">
          <cell r="A2192">
            <v>3400004536</v>
          </cell>
          <cell r="B2192">
            <v>0</v>
          </cell>
          <cell r="C2192">
            <v>6602</v>
          </cell>
          <cell r="D2192" t="str">
            <v>01.06.1995</v>
          </cell>
          <cell r="E2192">
            <v>1</v>
          </cell>
          <cell r="F2192">
            <v>6395001623</v>
          </cell>
        </row>
        <row r="2193">
          <cell r="A2193">
            <v>3400004537</v>
          </cell>
          <cell r="B2193">
            <v>0</v>
          </cell>
          <cell r="C2193">
            <v>6600</v>
          </cell>
          <cell r="D2193" t="str">
            <v>01.10.1996</v>
          </cell>
          <cell r="E2193">
            <v>0</v>
          </cell>
          <cell r="F2193">
            <v>6395001635</v>
          </cell>
        </row>
        <row r="2194">
          <cell r="A2194">
            <v>3400004538</v>
          </cell>
          <cell r="B2194">
            <v>0</v>
          </cell>
          <cell r="C2194">
            <v>6600</v>
          </cell>
          <cell r="D2194" t="str">
            <v>01.10.1996</v>
          </cell>
          <cell r="E2194">
            <v>1</v>
          </cell>
          <cell r="F2194">
            <v>6395001647</v>
          </cell>
        </row>
        <row r="2195">
          <cell r="A2195">
            <v>3400004539</v>
          </cell>
          <cell r="B2195">
            <v>0</v>
          </cell>
          <cell r="C2195">
            <v>6901</v>
          </cell>
          <cell r="D2195" t="str">
            <v>01.06.1995</v>
          </cell>
          <cell r="E2195">
            <v>10</v>
          </cell>
          <cell r="F2195">
            <v>6395001659</v>
          </cell>
        </row>
        <row r="2196">
          <cell r="A2196">
            <v>3400004540</v>
          </cell>
          <cell r="B2196">
            <v>0</v>
          </cell>
          <cell r="C2196">
            <v>6901</v>
          </cell>
          <cell r="D2196" t="str">
            <v>01.06.1995</v>
          </cell>
          <cell r="E2196">
            <v>30</v>
          </cell>
          <cell r="F2196">
            <v>6395001660</v>
          </cell>
        </row>
        <row r="2197">
          <cell r="A2197">
            <v>3400004541</v>
          </cell>
          <cell r="B2197">
            <v>0</v>
          </cell>
          <cell r="C2197">
            <v>6210</v>
          </cell>
          <cell r="D2197" t="str">
            <v>01.10.1996</v>
          </cell>
          <cell r="E2197">
            <v>0</v>
          </cell>
          <cell r="F2197">
            <v>6395001672</v>
          </cell>
        </row>
        <row r="2198">
          <cell r="A2198">
            <v>3400004542</v>
          </cell>
          <cell r="B2198">
            <v>1</v>
          </cell>
          <cell r="C2198">
            <v>6210</v>
          </cell>
          <cell r="D2198" t="str">
            <v>01.10.1996</v>
          </cell>
          <cell r="E2198">
            <v>0</v>
          </cell>
          <cell r="F2198">
            <v>6395001684</v>
          </cell>
        </row>
        <row r="2199">
          <cell r="A2199">
            <v>3400004542</v>
          </cell>
          <cell r="B2199">
            <v>0</v>
          </cell>
          <cell r="C2199">
            <v>6210</v>
          </cell>
          <cell r="D2199" t="str">
            <v>01.10.1996</v>
          </cell>
          <cell r="E2199">
            <v>0</v>
          </cell>
          <cell r="F2199">
            <v>6395001684</v>
          </cell>
        </row>
        <row r="2200">
          <cell r="A2200">
            <v>3400004543</v>
          </cell>
          <cell r="B2200">
            <v>0</v>
          </cell>
          <cell r="C2200">
            <v>6230</v>
          </cell>
          <cell r="D2200" t="str">
            <v>01.10.1996</v>
          </cell>
          <cell r="E2200">
            <v>0</v>
          </cell>
          <cell r="F2200">
            <v>6395001696</v>
          </cell>
        </row>
        <row r="2201">
          <cell r="A2201">
            <v>3400004544</v>
          </cell>
          <cell r="B2201">
            <v>0</v>
          </cell>
          <cell r="C2201">
            <v>6230</v>
          </cell>
          <cell r="D2201" t="str">
            <v>01.10.1996</v>
          </cell>
          <cell r="E2201">
            <v>0</v>
          </cell>
          <cell r="F2201">
            <v>6395001702</v>
          </cell>
        </row>
        <row r="2202">
          <cell r="A2202">
            <v>3400004545</v>
          </cell>
          <cell r="B2202">
            <v>0</v>
          </cell>
          <cell r="C2202">
            <v>6230</v>
          </cell>
          <cell r="D2202" t="str">
            <v>01.10.1996</v>
          </cell>
          <cell r="E2202">
            <v>0</v>
          </cell>
          <cell r="F2202">
            <v>6395001714</v>
          </cell>
        </row>
        <row r="2203">
          <cell r="A2203">
            <v>3400004546</v>
          </cell>
          <cell r="B2203">
            <v>0</v>
          </cell>
          <cell r="C2203">
            <v>6230</v>
          </cell>
          <cell r="D2203" t="str">
            <v>01.10.1996</v>
          </cell>
          <cell r="E2203">
            <v>0</v>
          </cell>
          <cell r="F2203">
            <v>6395001726</v>
          </cell>
        </row>
        <row r="2204">
          <cell r="A2204">
            <v>3400004547</v>
          </cell>
          <cell r="B2204">
            <v>0</v>
          </cell>
          <cell r="C2204">
            <v>6230</v>
          </cell>
          <cell r="D2204" t="str">
            <v>01.10.1996</v>
          </cell>
          <cell r="E2204">
            <v>0</v>
          </cell>
          <cell r="F2204">
            <v>6395001738</v>
          </cell>
        </row>
        <row r="2205">
          <cell r="A2205">
            <v>3400004548</v>
          </cell>
          <cell r="B2205">
            <v>0</v>
          </cell>
          <cell r="C2205">
            <v>6600</v>
          </cell>
          <cell r="D2205" t="str">
            <v>01.10.1996</v>
          </cell>
          <cell r="E2205">
            <v>1</v>
          </cell>
          <cell r="F2205">
            <v>6395001749</v>
          </cell>
        </row>
        <row r="2206">
          <cell r="A2206">
            <v>3400004549</v>
          </cell>
          <cell r="B2206">
            <v>0</v>
          </cell>
          <cell r="C2206">
            <v>6600</v>
          </cell>
          <cell r="D2206" t="str">
            <v>01.10.1996</v>
          </cell>
          <cell r="E2206">
            <v>1</v>
          </cell>
          <cell r="F2206">
            <v>6395001751</v>
          </cell>
        </row>
        <row r="2207">
          <cell r="A2207">
            <v>3400004550</v>
          </cell>
          <cell r="B2207">
            <v>0</v>
          </cell>
          <cell r="C2207">
            <v>6600</v>
          </cell>
          <cell r="D2207" t="str">
            <v>01.10.1996</v>
          </cell>
          <cell r="E2207">
            <v>1</v>
          </cell>
          <cell r="F2207">
            <v>6395001763</v>
          </cell>
        </row>
        <row r="2208">
          <cell r="A2208">
            <v>3400004551</v>
          </cell>
          <cell r="B2208">
            <v>0</v>
          </cell>
          <cell r="C2208">
            <v>6600</v>
          </cell>
          <cell r="D2208" t="str">
            <v>01.10.1996</v>
          </cell>
          <cell r="E2208">
            <v>1</v>
          </cell>
          <cell r="F2208">
            <v>6395001775</v>
          </cell>
        </row>
        <row r="2209">
          <cell r="A2209">
            <v>3400004552</v>
          </cell>
          <cell r="B2209">
            <v>0</v>
          </cell>
          <cell r="C2209">
            <v>6600</v>
          </cell>
          <cell r="D2209" t="str">
            <v>01.10.1996</v>
          </cell>
          <cell r="E2209">
            <v>1</v>
          </cell>
          <cell r="F2209">
            <v>6395001787</v>
          </cell>
        </row>
        <row r="2210">
          <cell r="A2210">
            <v>3400004553</v>
          </cell>
          <cell r="B2210">
            <v>0</v>
          </cell>
          <cell r="C2210">
            <v>6600</v>
          </cell>
          <cell r="D2210" t="str">
            <v>01.10.1996</v>
          </cell>
          <cell r="E2210">
            <v>1</v>
          </cell>
          <cell r="F2210">
            <v>6395001799</v>
          </cell>
        </row>
        <row r="2211">
          <cell r="A2211">
            <v>3400004554</v>
          </cell>
          <cell r="B2211">
            <v>0</v>
          </cell>
          <cell r="C2211">
            <v>6600</v>
          </cell>
          <cell r="D2211" t="str">
            <v>01.10.1996</v>
          </cell>
          <cell r="E2211">
            <v>1</v>
          </cell>
          <cell r="F2211">
            <v>6395001805</v>
          </cell>
        </row>
        <row r="2212">
          <cell r="A2212">
            <v>3400004555</v>
          </cell>
          <cell r="B2212">
            <v>0</v>
          </cell>
          <cell r="C2212">
            <v>6602</v>
          </cell>
          <cell r="D2212" t="str">
            <v>01.05.1995</v>
          </cell>
          <cell r="E2212">
            <v>1</v>
          </cell>
          <cell r="F2212">
            <v>6395001817</v>
          </cell>
        </row>
        <row r="2213">
          <cell r="A2213">
            <v>3400004556</v>
          </cell>
          <cell r="B2213">
            <v>0</v>
          </cell>
          <cell r="C2213">
            <v>6602</v>
          </cell>
          <cell r="D2213" t="str">
            <v>01.05.1995</v>
          </cell>
          <cell r="E2213">
            <v>1</v>
          </cell>
          <cell r="F2213">
            <v>6395001829</v>
          </cell>
        </row>
        <row r="2214">
          <cell r="A2214">
            <v>3400004557</v>
          </cell>
          <cell r="B2214">
            <v>0</v>
          </cell>
          <cell r="C2214">
            <v>6602</v>
          </cell>
          <cell r="D2214" t="str">
            <v>01.05.1995</v>
          </cell>
          <cell r="E2214">
            <v>1</v>
          </cell>
          <cell r="F2214">
            <v>6395001830</v>
          </cell>
        </row>
        <row r="2215">
          <cell r="A2215">
            <v>3400004558</v>
          </cell>
          <cell r="B2215">
            <v>0</v>
          </cell>
          <cell r="C2215">
            <v>6601</v>
          </cell>
          <cell r="D2215" t="str">
            <v>01.10.1996</v>
          </cell>
          <cell r="E2215">
            <v>1</v>
          </cell>
          <cell r="F2215">
            <v>6395001854</v>
          </cell>
        </row>
        <row r="2216">
          <cell r="A2216">
            <v>3400004559</v>
          </cell>
          <cell r="B2216">
            <v>0</v>
          </cell>
          <cell r="C2216">
            <v>5800</v>
          </cell>
          <cell r="D2216" t="str">
            <v>01.10.1996</v>
          </cell>
          <cell r="E2216">
            <v>0</v>
          </cell>
          <cell r="F2216">
            <v>6395001866</v>
          </cell>
        </row>
        <row r="2217">
          <cell r="A2217">
            <v>3400004560</v>
          </cell>
          <cell r="B2217">
            <v>0</v>
          </cell>
          <cell r="C2217">
            <v>5800</v>
          </cell>
          <cell r="D2217" t="str">
            <v>01.10.1996</v>
          </cell>
          <cell r="E2217">
            <v>1</v>
          </cell>
          <cell r="F2217">
            <v>6395001878</v>
          </cell>
        </row>
        <row r="2218">
          <cell r="A2218">
            <v>3400004561</v>
          </cell>
          <cell r="B2218">
            <v>0</v>
          </cell>
          <cell r="C2218">
            <v>5800</v>
          </cell>
          <cell r="D2218" t="str">
            <v>01.10.1996</v>
          </cell>
          <cell r="E2218">
            <v>0</v>
          </cell>
          <cell r="F2218">
            <v>6395001889</v>
          </cell>
        </row>
        <row r="2219">
          <cell r="A2219">
            <v>3400004562</v>
          </cell>
          <cell r="B2219">
            <v>0</v>
          </cell>
          <cell r="C2219">
            <v>5800</v>
          </cell>
          <cell r="D2219" t="str">
            <v>01.10.1996</v>
          </cell>
          <cell r="E2219">
            <v>0</v>
          </cell>
          <cell r="F2219">
            <v>6395001891</v>
          </cell>
        </row>
        <row r="2220">
          <cell r="A2220">
            <v>3400004563</v>
          </cell>
          <cell r="B2220">
            <v>0</v>
          </cell>
          <cell r="C2220">
            <v>5800</v>
          </cell>
          <cell r="D2220" t="str">
            <v>01.10.1996</v>
          </cell>
          <cell r="E2220">
            <v>0</v>
          </cell>
          <cell r="F2220">
            <v>6395001908</v>
          </cell>
        </row>
        <row r="2221">
          <cell r="A2221">
            <v>3400004564</v>
          </cell>
          <cell r="B2221">
            <v>0</v>
          </cell>
          <cell r="C2221">
            <v>5800</v>
          </cell>
          <cell r="D2221" t="str">
            <v>01.10.1996</v>
          </cell>
          <cell r="E2221">
            <v>0</v>
          </cell>
          <cell r="F2221">
            <v>6395001919</v>
          </cell>
        </row>
        <row r="2222">
          <cell r="A2222">
            <v>3400004565</v>
          </cell>
          <cell r="B2222">
            <v>0</v>
          </cell>
          <cell r="C2222">
            <v>5800</v>
          </cell>
          <cell r="D2222" t="str">
            <v>01.10.1996</v>
          </cell>
          <cell r="E2222">
            <v>1</v>
          </cell>
          <cell r="F2222">
            <v>6395001921</v>
          </cell>
        </row>
        <row r="2223">
          <cell r="A2223">
            <v>3400004566</v>
          </cell>
          <cell r="B2223">
            <v>0</v>
          </cell>
          <cell r="C2223">
            <v>5800</v>
          </cell>
          <cell r="D2223" t="str">
            <v>01.10.1996</v>
          </cell>
          <cell r="E2223">
            <v>0</v>
          </cell>
          <cell r="F2223">
            <v>6395001933</v>
          </cell>
        </row>
        <row r="2224">
          <cell r="A2224">
            <v>3400004567</v>
          </cell>
          <cell r="B2224">
            <v>0</v>
          </cell>
          <cell r="C2224">
            <v>5800</v>
          </cell>
          <cell r="D2224" t="str">
            <v>01.10.1996</v>
          </cell>
          <cell r="E2224">
            <v>1</v>
          </cell>
          <cell r="F2224">
            <v>6395001945</v>
          </cell>
        </row>
        <row r="2225">
          <cell r="A2225">
            <v>3400004568</v>
          </cell>
          <cell r="B2225">
            <v>0</v>
          </cell>
          <cell r="C2225">
            <v>5800</v>
          </cell>
          <cell r="D2225" t="str">
            <v>01.10.1996</v>
          </cell>
          <cell r="E2225">
            <v>0</v>
          </cell>
          <cell r="F2225">
            <v>6395001957</v>
          </cell>
        </row>
        <row r="2226">
          <cell r="A2226">
            <v>3400004569</v>
          </cell>
          <cell r="B2226">
            <v>0</v>
          </cell>
          <cell r="C2226">
            <v>5800</v>
          </cell>
          <cell r="D2226" t="str">
            <v>01.10.1996</v>
          </cell>
          <cell r="E2226">
            <v>1</v>
          </cell>
          <cell r="F2226">
            <v>6395001970</v>
          </cell>
        </row>
        <row r="2227">
          <cell r="A2227">
            <v>3400004570</v>
          </cell>
          <cell r="B2227">
            <v>0</v>
          </cell>
          <cell r="C2227">
            <v>6602</v>
          </cell>
          <cell r="D2227" t="str">
            <v>01.05.1995</v>
          </cell>
          <cell r="E2227">
            <v>2</v>
          </cell>
          <cell r="F2227">
            <v>6395001982</v>
          </cell>
        </row>
        <row r="2228">
          <cell r="A2228">
            <v>3400004571</v>
          </cell>
          <cell r="B2228">
            <v>0</v>
          </cell>
          <cell r="C2228">
            <v>6602</v>
          </cell>
          <cell r="D2228" t="str">
            <v>01.05.1995</v>
          </cell>
          <cell r="E2228">
            <v>2</v>
          </cell>
          <cell r="F2228">
            <v>6395001994</v>
          </cell>
        </row>
        <row r="2229">
          <cell r="A2229">
            <v>3400004572</v>
          </cell>
          <cell r="B2229">
            <v>0</v>
          </cell>
          <cell r="C2229">
            <v>5900</v>
          </cell>
          <cell r="D2229" t="str">
            <v>01.05.1995</v>
          </cell>
          <cell r="E2229">
            <v>2</v>
          </cell>
          <cell r="F2229">
            <v>6395002003</v>
          </cell>
        </row>
        <row r="2230">
          <cell r="A2230">
            <v>3400004573</v>
          </cell>
          <cell r="B2230">
            <v>0</v>
          </cell>
          <cell r="C2230">
            <v>5800</v>
          </cell>
          <cell r="D2230" t="str">
            <v>01.10.1996</v>
          </cell>
          <cell r="E2230">
            <v>0</v>
          </cell>
          <cell r="F2230">
            <v>6395002011</v>
          </cell>
        </row>
        <row r="2231">
          <cell r="A2231">
            <v>3400004574</v>
          </cell>
          <cell r="B2231">
            <v>0</v>
          </cell>
          <cell r="C2231">
            <v>5900</v>
          </cell>
          <cell r="D2231" t="str">
            <v>01.05.1995</v>
          </cell>
          <cell r="E2231">
            <v>2</v>
          </cell>
          <cell r="F2231">
            <v>6395002020</v>
          </cell>
        </row>
        <row r="2232">
          <cell r="A2232">
            <v>3400004575</v>
          </cell>
          <cell r="B2232">
            <v>0</v>
          </cell>
          <cell r="C2232">
            <v>6602</v>
          </cell>
          <cell r="D2232" t="str">
            <v>01.05.1995</v>
          </cell>
          <cell r="E2232">
            <v>1</v>
          </cell>
          <cell r="F2232">
            <v>6395002032</v>
          </cell>
        </row>
        <row r="2233">
          <cell r="A2233">
            <v>3400004576</v>
          </cell>
          <cell r="B2233">
            <v>0</v>
          </cell>
          <cell r="C2233">
            <v>6602</v>
          </cell>
          <cell r="D2233" t="str">
            <v>01.05.1995</v>
          </cell>
          <cell r="E2233">
            <v>2</v>
          </cell>
          <cell r="F2233">
            <v>6395002056</v>
          </cell>
        </row>
        <row r="2234">
          <cell r="A2234">
            <v>3400004577</v>
          </cell>
          <cell r="B2234">
            <v>0</v>
          </cell>
          <cell r="C2234">
            <v>6602</v>
          </cell>
          <cell r="D2234" t="str">
            <v>01.05.1995</v>
          </cell>
          <cell r="E2234">
            <v>2</v>
          </cell>
          <cell r="F2234">
            <v>6395002068</v>
          </cell>
        </row>
        <row r="2235">
          <cell r="A2235">
            <v>3400004578</v>
          </cell>
          <cell r="B2235">
            <v>0</v>
          </cell>
          <cell r="C2235">
            <v>6602</v>
          </cell>
          <cell r="D2235" t="str">
            <v>01.05.1995</v>
          </cell>
          <cell r="E2235">
            <v>1</v>
          </cell>
          <cell r="F2235">
            <v>6395002079</v>
          </cell>
        </row>
        <row r="2236">
          <cell r="A2236">
            <v>3400004579</v>
          </cell>
          <cell r="B2236">
            <v>0</v>
          </cell>
          <cell r="C2236">
            <v>6602</v>
          </cell>
          <cell r="D2236" t="str">
            <v>01.05.1995</v>
          </cell>
          <cell r="E2236">
            <v>10</v>
          </cell>
          <cell r="F2236">
            <v>6395002081</v>
          </cell>
        </row>
        <row r="2237">
          <cell r="A2237">
            <v>3400004580</v>
          </cell>
          <cell r="B2237">
            <v>0</v>
          </cell>
          <cell r="C2237">
            <v>6602</v>
          </cell>
          <cell r="D2237" t="str">
            <v>01.05.1995</v>
          </cell>
          <cell r="E2237">
            <v>2</v>
          </cell>
          <cell r="F2237">
            <v>6395002093</v>
          </cell>
        </row>
        <row r="2238">
          <cell r="A2238">
            <v>3400004581</v>
          </cell>
          <cell r="B2238">
            <v>0</v>
          </cell>
          <cell r="C2238">
            <v>6602</v>
          </cell>
          <cell r="D2238" t="str">
            <v>01.05.1995</v>
          </cell>
          <cell r="E2238">
            <v>2</v>
          </cell>
          <cell r="F2238">
            <v>6395002109</v>
          </cell>
        </row>
        <row r="2239">
          <cell r="A2239">
            <v>3400004582</v>
          </cell>
          <cell r="B2239">
            <v>0</v>
          </cell>
          <cell r="C2239">
            <v>6602</v>
          </cell>
          <cell r="D2239" t="str">
            <v>01.05.1995</v>
          </cell>
          <cell r="E2239">
            <v>4</v>
          </cell>
          <cell r="F2239">
            <v>6395002111</v>
          </cell>
        </row>
        <row r="2240">
          <cell r="A2240">
            <v>3400004583</v>
          </cell>
          <cell r="B2240">
            <v>0</v>
          </cell>
          <cell r="C2240">
            <v>6602</v>
          </cell>
          <cell r="D2240" t="str">
            <v>01.05.1995</v>
          </cell>
          <cell r="E2240">
            <v>2</v>
          </cell>
          <cell r="F2240">
            <v>6395002123</v>
          </cell>
        </row>
        <row r="2241">
          <cell r="A2241">
            <v>3400004584</v>
          </cell>
          <cell r="B2241">
            <v>0</v>
          </cell>
          <cell r="C2241">
            <v>6602</v>
          </cell>
          <cell r="D2241" t="str">
            <v>01.05.1995</v>
          </cell>
          <cell r="E2241">
            <v>2</v>
          </cell>
          <cell r="F2241">
            <v>6395002135</v>
          </cell>
        </row>
        <row r="2242">
          <cell r="A2242">
            <v>3400004585</v>
          </cell>
          <cell r="B2242">
            <v>0</v>
          </cell>
          <cell r="C2242">
            <v>6602</v>
          </cell>
          <cell r="D2242" t="str">
            <v>01.05.1995</v>
          </cell>
          <cell r="E2242">
            <v>12</v>
          </cell>
          <cell r="F2242">
            <v>6395002147</v>
          </cell>
        </row>
        <row r="2243">
          <cell r="A2243">
            <v>3400004586</v>
          </cell>
          <cell r="B2243">
            <v>0</v>
          </cell>
          <cell r="C2243">
            <v>5801</v>
          </cell>
          <cell r="D2243" t="str">
            <v>01.10.1996</v>
          </cell>
          <cell r="E2243">
            <v>0</v>
          </cell>
          <cell r="F2243">
            <v>6395002159</v>
          </cell>
        </row>
        <row r="2244">
          <cell r="A2244">
            <v>3400004587</v>
          </cell>
          <cell r="B2244">
            <v>0</v>
          </cell>
          <cell r="C2244">
            <v>5801</v>
          </cell>
          <cell r="D2244" t="str">
            <v>01.10.1996</v>
          </cell>
          <cell r="E2244">
            <v>0</v>
          </cell>
          <cell r="F2244">
            <v>6395002172</v>
          </cell>
        </row>
        <row r="2245">
          <cell r="A2245">
            <v>3400004588</v>
          </cell>
          <cell r="B2245">
            <v>0</v>
          </cell>
          <cell r="C2245">
            <v>5801</v>
          </cell>
          <cell r="D2245" t="str">
            <v>01.10.1996</v>
          </cell>
          <cell r="E2245">
            <v>0</v>
          </cell>
          <cell r="F2245">
            <v>6395002184</v>
          </cell>
        </row>
        <row r="2246">
          <cell r="A2246">
            <v>3400004589</v>
          </cell>
          <cell r="B2246">
            <v>0</v>
          </cell>
          <cell r="C2246">
            <v>5801</v>
          </cell>
          <cell r="D2246" t="str">
            <v>01.10.1996</v>
          </cell>
          <cell r="E2246">
            <v>0</v>
          </cell>
          <cell r="F2246">
            <v>6395002196</v>
          </cell>
        </row>
        <row r="2247">
          <cell r="A2247">
            <v>3400004590</v>
          </cell>
          <cell r="B2247">
            <v>0</v>
          </cell>
          <cell r="C2247">
            <v>5801</v>
          </cell>
          <cell r="D2247" t="str">
            <v>01.10.1996</v>
          </cell>
          <cell r="E2247">
            <v>0</v>
          </cell>
          <cell r="F2247">
            <v>6395002202</v>
          </cell>
        </row>
        <row r="2248">
          <cell r="A2248">
            <v>3400004591</v>
          </cell>
          <cell r="B2248">
            <v>0</v>
          </cell>
          <cell r="C2248">
            <v>5801</v>
          </cell>
          <cell r="D2248" t="str">
            <v>01.10.1996</v>
          </cell>
          <cell r="E2248">
            <v>0</v>
          </cell>
          <cell r="F2248">
            <v>6395002226</v>
          </cell>
        </row>
        <row r="2249">
          <cell r="A2249">
            <v>3400004592</v>
          </cell>
          <cell r="B2249">
            <v>0</v>
          </cell>
          <cell r="C2249">
            <v>5801</v>
          </cell>
          <cell r="D2249" t="str">
            <v>01.10.1996</v>
          </cell>
          <cell r="E2249">
            <v>0</v>
          </cell>
          <cell r="F2249">
            <v>6395002238</v>
          </cell>
        </row>
        <row r="2250">
          <cell r="A2250">
            <v>3400004593</v>
          </cell>
          <cell r="B2250">
            <v>0</v>
          </cell>
          <cell r="C2250">
            <v>5801</v>
          </cell>
          <cell r="D2250" t="str">
            <v>01.10.1996</v>
          </cell>
          <cell r="E2250">
            <v>0</v>
          </cell>
          <cell r="F2250">
            <v>6395002249</v>
          </cell>
        </row>
        <row r="2251">
          <cell r="A2251">
            <v>3400005056</v>
          </cell>
          <cell r="B2251">
            <v>0</v>
          </cell>
          <cell r="C2251">
            <v>5801</v>
          </cell>
          <cell r="D2251" t="str">
            <v>01.10.1996</v>
          </cell>
          <cell r="E2251">
            <v>0</v>
          </cell>
          <cell r="F2251">
            <v>6395002251</v>
          </cell>
        </row>
        <row r="2252">
          <cell r="A2252">
            <v>3400004594</v>
          </cell>
          <cell r="B2252">
            <v>0</v>
          </cell>
          <cell r="C2252">
            <v>5801</v>
          </cell>
          <cell r="D2252" t="str">
            <v>01.10.1996</v>
          </cell>
          <cell r="E2252">
            <v>0</v>
          </cell>
          <cell r="F2252">
            <v>6395002251</v>
          </cell>
        </row>
        <row r="2253">
          <cell r="A2253">
            <v>3400005097</v>
          </cell>
          <cell r="B2253">
            <v>0</v>
          </cell>
          <cell r="C2253">
            <v>5801</v>
          </cell>
          <cell r="D2253" t="str">
            <v>01.04.1998</v>
          </cell>
          <cell r="E2253">
            <v>0</v>
          </cell>
          <cell r="F2253">
            <v>6395002251</v>
          </cell>
        </row>
        <row r="2254">
          <cell r="A2254">
            <v>3400004595</v>
          </cell>
          <cell r="B2254">
            <v>0</v>
          </cell>
          <cell r="C2254">
            <v>5800</v>
          </cell>
          <cell r="D2254" t="str">
            <v>01.10.1996</v>
          </cell>
          <cell r="E2254">
            <v>1</v>
          </cell>
          <cell r="F2254">
            <v>6395002263</v>
          </cell>
        </row>
        <row r="2255">
          <cell r="A2255">
            <v>3400004596</v>
          </cell>
          <cell r="B2255">
            <v>0</v>
          </cell>
          <cell r="C2255">
            <v>5800</v>
          </cell>
          <cell r="D2255" t="str">
            <v>01.10.1996</v>
          </cell>
          <cell r="E2255">
            <v>1</v>
          </cell>
          <cell r="F2255">
            <v>6395002275</v>
          </cell>
        </row>
        <row r="2256">
          <cell r="A2256">
            <v>3400004597</v>
          </cell>
          <cell r="B2256">
            <v>0</v>
          </cell>
          <cell r="C2256">
            <v>5800</v>
          </cell>
          <cell r="D2256" t="str">
            <v>01.10.1996</v>
          </cell>
          <cell r="E2256">
            <v>1</v>
          </cell>
          <cell r="F2256">
            <v>6395002287</v>
          </cell>
        </row>
        <row r="2257">
          <cell r="A2257">
            <v>3400004598</v>
          </cell>
          <cell r="B2257">
            <v>0</v>
          </cell>
          <cell r="C2257">
            <v>6501</v>
          </cell>
          <cell r="D2257" t="str">
            <v>01.06.1995</v>
          </cell>
          <cell r="E2257">
            <v>0</v>
          </cell>
          <cell r="F2257">
            <v>6395002299</v>
          </cell>
        </row>
        <row r="2258">
          <cell r="A2258">
            <v>3400004599</v>
          </cell>
          <cell r="B2258">
            <v>0</v>
          </cell>
          <cell r="C2258">
            <v>5800</v>
          </cell>
          <cell r="D2258" t="str">
            <v>01.10.1996</v>
          </cell>
          <cell r="E2258">
            <v>1</v>
          </cell>
          <cell r="F2258">
            <v>6395002305</v>
          </cell>
        </row>
        <row r="2259">
          <cell r="A2259">
            <v>3400004600</v>
          </cell>
          <cell r="B2259">
            <v>0</v>
          </cell>
          <cell r="C2259">
            <v>5800</v>
          </cell>
          <cell r="D2259" t="str">
            <v>01.10.1996</v>
          </cell>
          <cell r="E2259">
            <v>1</v>
          </cell>
          <cell r="F2259">
            <v>6395002329</v>
          </cell>
        </row>
        <row r="2260">
          <cell r="A2260">
            <v>3400004601</v>
          </cell>
          <cell r="B2260">
            <v>0</v>
          </cell>
          <cell r="C2260">
            <v>5800</v>
          </cell>
          <cell r="D2260" t="str">
            <v>01.10.1996</v>
          </cell>
          <cell r="E2260">
            <v>1</v>
          </cell>
          <cell r="F2260">
            <v>6395002330</v>
          </cell>
        </row>
        <row r="2261">
          <cell r="A2261">
            <v>3400004602</v>
          </cell>
          <cell r="B2261">
            <v>0</v>
          </cell>
          <cell r="C2261">
            <v>5800</v>
          </cell>
          <cell r="D2261" t="str">
            <v>01.10.1996</v>
          </cell>
          <cell r="E2261">
            <v>1</v>
          </cell>
          <cell r="F2261">
            <v>6395002342</v>
          </cell>
        </row>
        <row r="2262">
          <cell r="A2262">
            <v>3400004603</v>
          </cell>
          <cell r="B2262">
            <v>0</v>
          </cell>
          <cell r="C2262">
            <v>5800</v>
          </cell>
          <cell r="D2262" t="str">
            <v>01.10.1996</v>
          </cell>
          <cell r="E2262">
            <v>1</v>
          </cell>
          <cell r="F2262">
            <v>6395002354</v>
          </cell>
        </row>
        <row r="2263">
          <cell r="A2263">
            <v>3400004604</v>
          </cell>
          <cell r="B2263">
            <v>0</v>
          </cell>
          <cell r="C2263">
            <v>5900</v>
          </cell>
          <cell r="D2263" t="str">
            <v>01.05.1995</v>
          </cell>
          <cell r="E2263">
            <v>2</v>
          </cell>
          <cell r="F2263">
            <v>6395002366</v>
          </cell>
        </row>
        <row r="2264">
          <cell r="A2264">
            <v>3400004605</v>
          </cell>
          <cell r="B2264">
            <v>0</v>
          </cell>
          <cell r="C2264">
            <v>5900</v>
          </cell>
          <cell r="D2264" t="str">
            <v>01.05.1995</v>
          </cell>
          <cell r="E2264">
            <v>6</v>
          </cell>
          <cell r="F2264">
            <v>6395002378</v>
          </cell>
        </row>
        <row r="2265">
          <cell r="A2265">
            <v>3400004606</v>
          </cell>
          <cell r="B2265">
            <v>0</v>
          </cell>
          <cell r="C2265">
            <v>5800</v>
          </cell>
          <cell r="D2265" t="str">
            <v>01.10.1996</v>
          </cell>
          <cell r="E2265">
            <v>1</v>
          </cell>
          <cell r="F2265">
            <v>6395002389</v>
          </cell>
        </row>
        <row r="2266">
          <cell r="A2266">
            <v>3400004607</v>
          </cell>
          <cell r="B2266">
            <v>0</v>
          </cell>
          <cell r="C2266">
            <v>5800</v>
          </cell>
          <cell r="D2266" t="str">
            <v>01.10.1996</v>
          </cell>
          <cell r="E2266">
            <v>1</v>
          </cell>
          <cell r="F2266">
            <v>6395002391</v>
          </cell>
        </row>
        <row r="2267">
          <cell r="A2267">
            <v>3400004608</v>
          </cell>
          <cell r="B2267">
            <v>0</v>
          </cell>
          <cell r="C2267">
            <v>5800</v>
          </cell>
          <cell r="D2267" t="str">
            <v>01.10.1996</v>
          </cell>
          <cell r="E2267">
            <v>1</v>
          </cell>
          <cell r="F2267">
            <v>6395002408</v>
          </cell>
        </row>
        <row r="2268">
          <cell r="A2268">
            <v>3400004609</v>
          </cell>
          <cell r="B2268">
            <v>0</v>
          </cell>
          <cell r="C2268">
            <v>5800</v>
          </cell>
          <cell r="D2268" t="str">
            <v>01.10.1996</v>
          </cell>
          <cell r="E2268">
            <v>1</v>
          </cell>
          <cell r="F2268">
            <v>6395002419</v>
          </cell>
        </row>
        <row r="2269">
          <cell r="A2269">
            <v>3400004610</v>
          </cell>
          <cell r="B2269">
            <v>0</v>
          </cell>
          <cell r="C2269">
            <v>5800</v>
          </cell>
          <cell r="D2269" t="str">
            <v>01.10.1996</v>
          </cell>
          <cell r="E2269">
            <v>1</v>
          </cell>
          <cell r="F2269">
            <v>6395002421</v>
          </cell>
        </row>
        <row r="2270">
          <cell r="A2270">
            <v>3400004611</v>
          </cell>
          <cell r="B2270">
            <v>0</v>
          </cell>
          <cell r="C2270">
            <v>5800</v>
          </cell>
          <cell r="D2270" t="str">
            <v>01.10.1996</v>
          </cell>
          <cell r="E2270">
            <v>1</v>
          </cell>
          <cell r="F2270">
            <v>6395002433</v>
          </cell>
        </row>
        <row r="2271">
          <cell r="A2271">
            <v>3400004612</v>
          </cell>
          <cell r="B2271">
            <v>0</v>
          </cell>
          <cell r="C2271">
            <v>5800</v>
          </cell>
          <cell r="D2271" t="str">
            <v>01.10.1996</v>
          </cell>
          <cell r="E2271">
            <v>1</v>
          </cell>
          <cell r="F2271">
            <v>6395002445</v>
          </cell>
        </row>
        <row r="2272">
          <cell r="A2272">
            <v>3400004613</v>
          </cell>
          <cell r="B2272">
            <v>0</v>
          </cell>
          <cell r="C2272">
            <v>5800</v>
          </cell>
          <cell r="D2272" t="str">
            <v>01.10.1996</v>
          </cell>
          <cell r="E2272">
            <v>1</v>
          </cell>
          <cell r="F2272">
            <v>6395002457</v>
          </cell>
        </row>
        <row r="2273">
          <cell r="A2273">
            <v>3400004614</v>
          </cell>
          <cell r="B2273">
            <v>0</v>
          </cell>
          <cell r="C2273">
            <v>5400</v>
          </cell>
          <cell r="D2273" t="str">
            <v>01.10.1996</v>
          </cell>
          <cell r="E2273">
            <v>1</v>
          </cell>
          <cell r="F2273">
            <v>6395002469</v>
          </cell>
        </row>
        <row r="2274">
          <cell r="A2274">
            <v>3400004615</v>
          </cell>
          <cell r="B2274">
            <v>0</v>
          </cell>
          <cell r="C2274">
            <v>6600</v>
          </cell>
          <cell r="D2274" t="str">
            <v>01.10.1996</v>
          </cell>
          <cell r="E2274">
            <v>1</v>
          </cell>
          <cell r="F2274">
            <v>6395002470</v>
          </cell>
        </row>
        <row r="2275">
          <cell r="A2275">
            <v>3400004616</v>
          </cell>
          <cell r="B2275">
            <v>0</v>
          </cell>
          <cell r="C2275">
            <v>6600</v>
          </cell>
          <cell r="D2275" t="str">
            <v>01.10.1996</v>
          </cell>
          <cell r="E2275">
            <v>1</v>
          </cell>
          <cell r="F2275">
            <v>6395002482</v>
          </cell>
        </row>
        <row r="2276">
          <cell r="A2276">
            <v>3400004617</v>
          </cell>
          <cell r="B2276">
            <v>0</v>
          </cell>
          <cell r="C2276">
            <v>6602</v>
          </cell>
          <cell r="D2276" t="str">
            <v>01.05.1995</v>
          </cell>
          <cell r="E2276">
            <v>4</v>
          </cell>
          <cell r="F2276">
            <v>6395002494</v>
          </cell>
        </row>
        <row r="2277">
          <cell r="A2277">
            <v>3400004618</v>
          </cell>
          <cell r="B2277">
            <v>0</v>
          </cell>
          <cell r="C2277">
            <v>5801</v>
          </cell>
          <cell r="D2277" t="str">
            <v>01.10.1996</v>
          </cell>
          <cell r="E2277">
            <v>0</v>
          </cell>
          <cell r="F2277">
            <v>6395002500</v>
          </cell>
        </row>
        <row r="2278">
          <cell r="A2278">
            <v>3400004619</v>
          </cell>
          <cell r="B2278">
            <v>0</v>
          </cell>
          <cell r="C2278">
            <v>5600</v>
          </cell>
          <cell r="D2278" t="str">
            <v>01.10.1996</v>
          </cell>
          <cell r="E2278">
            <v>0</v>
          </cell>
          <cell r="F2278">
            <v>6395002512</v>
          </cell>
        </row>
        <row r="2279">
          <cell r="A2279">
            <v>3400004620</v>
          </cell>
          <cell r="B2279">
            <v>0</v>
          </cell>
          <cell r="C2279">
            <v>5801</v>
          </cell>
          <cell r="D2279" t="str">
            <v>01.10.1996</v>
          </cell>
          <cell r="E2279">
            <v>0</v>
          </cell>
          <cell r="F2279">
            <v>6395002524</v>
          </cell>
        </row>
        <row r="2280">
          <cell r="A2280">
            <v>3400004621</v>
          </cell>
          <cell r="B2280">
            <v>0</v>
          </cell>
          <cell r="C2280">
            <v>5600</v>
          </cell>
          <cell r="D2280" t="str">
            <v>01.10.1996</v>
          </cell>
          <cell r="E2280">
            <v>1</v>
          </cell>
          <cell r="F2280">
            <v>6395002536</v>
          </cell>
        </row>
        <row r="2281">
          <cell r="A2281">
            <v>3400004622</v>
          </cell>
          <cell r="B2281">
            <v>0</v>
          </cell>
          <cell r="C2281">
            <v>6501</v>
          </cell>
          <cell r="D2281" t="str">
            <v>01.05.1995</v>
          </cell>
          <cell r="E2281">
            <v>2</v>
          </cell>
          <cell r="F2281">
            <v>6395002548</v>
          </cell>
        </row>
        <row r="2282">
          <cell r="A2282">
            <v>3400004623</v>
          </cell>
          <cell r="B2282">
            <v>0</v>
          </cell>
          <cell r="C2282">
            <v>6501</v>
          </cell>
          <cell r="D2282" t="str">
            <v>01.05.1995</v>
          </cell>
          <cell r="E2282">
            <v>25</v>
          </cell>
          <cell r="F2282">
            <v>6395002559</v>
          </cell>
        </row>
        <row r="2283">
          <cell r="A2283">
            <v>3400004624</v>
          </cell>
          <cell r="B2283">
            <v>0</v>
          </cell>
          <cell r="C2283">
            <v>5600</v>
          </cell>
          <cell r="D2283" t="str">
            <v>01.10.1996</v>
          </cell>
          <cell r="E2283">
            <v>0</v>
          </cell>
          <cell r="F2283">
            <v>6395002561</v>
          </cell>
        </row>
        <row r="2284">
          <cell r="A2284">
            <v>3400004625</v>
          </cell>
          <cell r="B2284">
            <v>0</v>
          </cell>
          <cell r="C2284">
            <v>5600</v>
          </cell>
          <cell r="D2284" t="str">
            <v>01.10.1996</v>
          </cell>
          <cell r="E2284">
            <v>0</v>
          </cell>
          <cell r="F2284">
            <v>6395002573</v>
          </cell>
        </row>
        <row r="2285">
          <cell r="A2285">
            <v>3400004626</v>
          </cell>
          <cell r="B2285">
            <v>0</v>
          </cell>
          <cell r="C2285">
            <v>5600</v>
          </cell>
          <cell r="D2285" t="str">
            <v>01.10.1996</v>
          </cell>
          <cell r="E2285">
            <v>0</v>
          </cell>
          <cell r="F2285">
            <v>6395002585</v>
          </cell>
        </row>
        <row r="2286">
          <cell r="A2286">
            <v>3400004627</v>
          </cell>
          <cell r="B2286">
            <v>0</v>
          </cell>
          <cell r="C2286">
            <v>5600</v>
          </cell>
          <cell r="D2286" t="str">
            <v>01.10.1996</v>
          </cell>
          <cell r="E2286">
            <v>0</v>
          </cell>
          <cell r="F2286">
            <v>6395002597</v>
          </cell>
        </row>
        <row r="2287">
          <cell r="A2287">
            <v>3400004628</v>
          </cell>
          <cell r="B2287">
            <v>0</v>
          </cell>
          <cell r="C2287">
            <v>5600</v>
          </cell>
          <cell r="D2287" t="str">
            <v>01.10.1996</v>
          </cell>
          <cell r="E2287">
            <v>0</v>
          </cell>
          <cell r="F2287">
            <v>6395002603</v>
          </cell>
        </row>
        <row r="2288">
          <cell r="A2288">
            <v>3400004629</v>
          </cell>
          <cell r="B2288">
            <v>0</v>
          </cell>
          <cell r="C2288">
            <v>5600</v>
          </cell>
          <cell r="D2288" t="str">
            <v>01.10.1996</v>
          </cell>
          <cell r="E2288">
            <v>0</v>
          </cell>
          <cell r="F2288">
            <v>6395002615</v>
          </cell>
        </row>
        <row r="2289">
          <cell r="A2289">
            <v>3400004630</v>
          </cell>
          <cell r="B2289">
            <v>0</v>
          </cell>
          <cell r="C2289">
            <v>5600</v>
          </cell>
          <cell r="D2289" t="str">
            <v>01.10.1996</v>
          </cell>
          <cell r="E2289">
            <v>0</v>
          </cell>
          <cell r="F2289">
            <v>6395002627</v>
          </cell>
        </row>
        <row r="2290">
          <cell r="A2290">
            <v>3400004631</v>
          </cell>
          <cell r="B2290">
            <v>0</v>
          </cell>
          <cell r="C2290">
            <v>5600</v>
          </cell>
          <cell r="D2290" t="str">
            <v>01.10.1996</v>
          </cell>
          <cell r="E2290">
            <v>0</v>
          </cell>
          <cell r="F2290">
            <v>6395002639</v>
          </cell>
        </row>
        <row r="2291">
          <cell r="A2291">
            <v>3400004632</v>
          </cell>
          <cell r="B2291">
            <v>0</v>
          </cell>
          <cell r="C2291">
            <v>5600</v>
          </cell>
          <cell r="D2291" t="str">
            <v>01.10.1996</v>
          </cell>
          <cell r="E2291">
            <v>0</v>
          </cell>
          <cell r="F2291">
            <v>6395002640</v>
          </cell>
        </row>
        <row r="2292">
          <cell r="A2292">
            <v>3400004633</v>
          </cell>
          <cell r="B2292">
            <v>0</v>
          </cell>
          <cell r="C2292">
            <v>5600</v>
          </cell>
          <cell r="D2292" t="str">
            <v>01.10.1996</v>
          </cell>
          <cell r="E2292">
            <v>0</v>
          </cell>
          <cell r="F2292">
            <v>6395002652</v>
          </cell>
        </row>
        <row r="2293">
          <cell r="A2293">
            <v>3400004634</v>
          </cell>
          <cell r="B2293">
            <v>0</v>
          </cell>
          <cell r="C2293">
            <v>5600</v>
          </cell>
          <cell r="D2293" t="str">
            <v>01.10.1996</v>
          </cell>
          <cell r="E2293">
            <v>0</v>
          </cell>
          <cell r="F2293">
            <v>6395002664</v>
          </cell>
        </row>
        <row r="2294">
          <cell r="A2294">
            <v>3400004635</v>
          </cell>
          <cell r="B2294">
            <v>0</v>
          </cell>
          <cell r="C2294">
            <v>6500</v>
          </cell>
          <cell r="D2294" t="str">
            <v>01.10.1996</v>
          </cell>
          <cell r="E2294">
            <v>0</v>
          </cell>
          <cell r="F2294">
            <v>6395002676</v>
          </cell>
        </row>
        <row r="2295">
          <cell r="A2295">
            <v>3400004636</v>
          </cell>
          <cell r="B2295">
            <v>0</v>
          </cell>
          <cell r="C2295">
            <v>6500</v>
          </cell>
          <cell r="D2295" t="str">
            <v>01.10.1996</v>
          </cell>
          <cell r="E2295">
            <v>0</v>
          </cell>
          <cell r="F2295">
            <v>6395002688</v>
          </cell>
        </row>
        <row r="2296">
          <cell r="A2296">
            <v>3400004637</v>
          </cell>
          <cell r="B2296">
            <v>0</v>
          </cell>
          <cell r="C2296">
            <v>5800</v>
          </cell>
          <cell r="D2296" t="str">
            <v>01.10.1996</v>
          </cell>
          <cell r="E2296">
            <v>0</v>
          </cell>
          <cell r="F2296">
            <v>6395002699</v>
          </cell>
        </row>
        <row r="2297">
          <cell r="A2297">
            <v>3400004638</v>
          </cell>
          <cell r="B2297">
            <v>0</v>
          </cell>
          <cell r="C2297">
            <v>5800</v>
          </cell>
          <cell r="D2297" t="str">
            <v>01.10.1996</v>
          </cell>
          <cell r="E2297">
            <v>0</v>
          </cell>
          <cell r="F2297">
            <v>6395002706</v>
          </cell>
        </row>
        <row r="2298">
          <cell r="A2298">
            <v>3400004639</v>
          </cell>
          <cell r="B2298">
            <v>0</v>
          </cell>
          <cell r="C2298">
            <v>5800</v>
          </cell>
          <cell r="D2298" t="str">
            <v>01.10.1996</v>
          </cell>
          <cell r="E2298">
            <v>0</v>
          </cell>
          <cell r="F2298">
            <v>6395002718</v>
          </cell>
        </row>
        <row r="2299">
          <cell r="A2299">
            <v>3400004640</v>
          </cell>
          <cell r="B2299">
            <v>0</v>
          </cell>
          <cell r="C2299">
            <v>5800</v>
          </cell>
          <cell r="D2299" t="str">
            <v>01.10.1996</v>
          </cell>
          <cell r="E2299">
            <v>0</v>
          </cell>
          <cell r="F2299">
            <v>6395002729</v>
          </cell>
        </row>
        <row r="2300">
          <cell r="A2300">
            <v>3400004641</v>
          </cell>
          <cell r="B2300">
            <v>0</v>
          </cell>
          <cell r="C2300">
            <v>5800</v>
          </cell>
          <cell r="D2300" t="str">
            <v>01.10.1996</v>
          </cell>
          <cell r="E2300">
            <v>0</v>
          </cell>
          <cell r="F2300">
            <v>6395002731</v>
          </cell>
        </row>
        <row r="2301">
          <cell r="A2301">
            <v>3400004642</v>
          </cell>
          <cell r="B2301">
            <v>0</v>
          </cell>
          <cell r="C2301">
            <v>5800</v>
          </cell>
          <cell r="D2301" t="str">
            <v>01.10.1996</v>
          </cell>
          <cell r="E2301">
            <v>0</v>
          </cell>
          <cell r="F2301">
            <v>6395002743</v>
          </cell>
        </row>
        <row r="2302">
          <cell r="A2302">
            <v>3400004643</v>
          </cell>
          <cell r="B2302">
            <v>0</v>
          </cell>
          <cell r="C2302">
            <v>5800</v>
          </cell>
          <cell r="D2302" t="str">
            <v>01.10.1996</v>
          </cell>
          <cell r="E2302">
            <v>0</v>
          </cell>
          <cell r="F2302">
            <v>6395002755</v>
          </cell>
        </row>
        <row r="2303">
          <cell r="A2303">
            <v>3400004644</v>
          </cell>
          <cell r="B2303">
            <v>0</v>
          </cell>
          <cell r="C2303">
            <v>6500</v>
          </cell>
          <cell r="D2303" t="str">
            <v>01.10.1996</v>
          </cell>
          <cell r="E2303">
            <v>1</v>
          </cell>
          <cell r="F2303">
            <v>6395002779</v>
          </cell>
        </row>
        <row r="2304">
          <cell r="A2304">
            <v>3400004645</v>
          </cell>
          <cell r="B2304">
            <v>0</v>
          </cell>
          <cell r="C2304">
            <v>6500</v>
          </cell>
          <cell r="D2304" t="str">
            <v>01.10.1996</v>
          </cell>
          <cell r="E2304">
            <v>1</v>
          </cell>
          <cell r="F2304">
            <v>6395002780</v>
          </cell>
        </row>
        <row r="2305">
          <cell r="A2305">
            <v>3400004646</v>
          </cell>
          <cell r="B2305">
            <v>0</v>
          </cell>
          <cell r="C2305">
            <v>6500</v>
          </cell>
          <cell r="D2305" t="str">
            <v>01.09.1996</v>
          </cell>
          <cell r="E2305">
            <v>1</v>
          </cell>
          <cell r="F2305">
            <v>6395002792</v>
          </cell>
        </row>
        <row r="2306">
          <cell r="A2306">
            <v>3400004647</v>
          </cell>
          <cell r="B2306">
            <v>0</v>
          </cell>
          <cell r="C2306">
            <v>6500</v>
          </cell>
          <cell r="D2306" t="str">
            <v>01.10.1996</v>
          </cell>
          <cell r="E2306">
            <v>1</v>
          </cell>
          <cell r="F2306">
            <v>6395002809</v>
          </cell>
        </row>
        <row r="2307">
          <cell r="A2307">
            <v>3400004648</v>
          </cell>
          <cell r="B2307">
            <v>0</v>
          </cell>
          <cell r="C2307">
            <v>6500</v>
          </cell>
          <cell r="D2307" t="str">
            <v>01.10.1996</v>
          </cell>
          <cell r="E2307">
            <v>1</v>
          </cell>
          <cell r="F2307">
            <v>6395002810</v>
          </cell>
        </row>
        <row r="2308">
          <cell r="A2308">
            <v>3400004649</v>
          </cell>
          <cell r="B2308">
            <v>0</v>
          </cell>
          <cell r="C2308">
            <v>6500</v>
          </cell>
          <cell r="D2308" t="str">
            <v>01.10.1996</v>
          </cell>
          <cell r="E2308">
            <v>1</v>
          </cell>
          <cell r="F2308">
            <v>6395002822</v>
          </cell>
        </row>
        <row r="2309">
          <cell r="A2309">
            <v>3400004650</v>
          </cell>
          <cell r="B2309">
            <v>0</v>
          </cell>
          <cell r="C2309">
            <v>6500</v>
          </cell>
          <cell r="D2309" t="str">
            <v>01.10.1996</v>
          </cell>
          <cell r="E2309">
            <v>1</v>
          </cell>
          <cell r="F2309">
            <v>6395002834</v>
          </cell>
        </row>
        <row r="2310">
          <cell r="A2310">
            <v>3400004651</v>
          </cell>
          <cell r="B2310">
            <v>0</v>
          </cell>
          <cell r="C2310">
            <v>6500</v>
          </cell>
          <cell r="D2310" t="str">
            <v>01.10.1996</v>
          </cell>
          <cell r="E2310">
            <v>0</v>
          </cell>
          <cell r="F2310">
            <v>6395002846</v>
          </cell>
        </row>
        <row r="2311">
          <cell r="A2311">
            <v>3400004652</v>
          </cell>
          <cell r="B2311">
            <v>0</v>
          </cell>
          <cell r="C2311">
            <v>6500</v>
          </cell>
          <cell r="D2311" t="str">
            <v>01.10.1996</v>
          </cell>
          <cell r="E2311">
            <v>0</v>
          </cell>
          <cell r="F2311">
            <v>6395002858</v>
          </cell>
        </row>
        <row r="2312">
          <cell r="A2312">
            <v>3400004653</v>
          </cell>
          <cell r="B2312">
            <v>0</v>
          </cell>
          <cell r="C2312">
            <v>6500</v>
          </cell>
          <cell r="D2312" t="str">
            <v>01.10.1996</v>
          </cell>
          <cell r="E2312">
            <v>0</v>
          </cell>
          <cell r="F2312">
            <v>6395002869</v>
          </cell>
        </row>
        <row r="2313">
          <cell r="A2313">
            <v>3400004654</v>
          </cell>
          <cell r="B2313">
            <v>0</v>
          </cell>
          <cell r="C2313">
            <v>6500</v>
          </cell>
          <cell r="D2313" t="str">
            <v>01.10.1996</v>
          </cell>
          <cell r="E2313">
            <v>0</v>
          </cell>
          <cell r="F2313">
            <v>6395002871</v>
          </cell>
        </row>
        <row r="2314">
          <cell r="A2314">
            <v>3400004655</v>
          </cell>
          <cell r="B2314">
            <v>0</v>
          </cell>
          <cell r="C2314">
            <v>6500</v>
          </cell>
          <cell r="D2314" t="str">
            <v>01.10.1996</v>
          </cell>
          <cell r="E2314">
            <v>0</v>
          </cell>
          <cell r="F2314">
            <v>6395002883</v>
          </cell>
        </row>
        <row r="2315">
          <cell r="A2315">
            <v>3400004656</v>
          </cell>
          <cell r="B2315">
            <v>0</v>
          </cell>
          <cell r="C2315">
            <v>6500</v>
          </cell>
          <cell r="D2315" t="str">
            <v>01.10.1996</v>
          </cell>
          <cell r="E2315">
            <v>0</v>
          </cell>
          <cell r="F2315">
            <v>6395002895</v>
          </cell>
        </row>
        <row r="2316">
          <cell r="A2316">
            <v>3400004657</v>
          </cell>
          <cell r="B2316">
            <v>0</v>
          </cell>
          <cell r="C2316">
            <v>6500</v>
          </cell>
          <cell r="D2316" t="str">
            <v>01.10.1996</v>
          </cell>
          <cell r="E2316">
            <v>0</v>
          </cell>
          <cell r="F2316">
            <v>6395002901</v>
          </cell>
        </row>
        <row r="2317">
          <cell r="A2317">
            <v>3400004658</v>
          </cell>
          <cell r="B2317">
            <v>0</v>
          </cell>
          <cell r="C2317">
            <v>6500</v>
          </cell>
          <cell r="D2317" t="str">
            <v>01.10.1996</v>
          </cell>
          <cell r="E2317">
            <v>1</v>
          </cell>
          <cell r="F2317">
            <v>6395002913</v>
          </cell>
        </row>
        <row r="2318">
          <cell r="A2318">
            <v>3400004659</v>
          </cell>
          <cell r="B2318">
            <v>0</v>
          </cell>
          <cell r="C2318">
            <v>6500</v>
          </cell>
          <cell r="D2318" t="str">
            <v>01.10.1996</v>
          </cell>
          <cell r="E2318">
            <v>1</v>
          </cell>
          <cell r="F2318">
            <v>6395002925</v>
          </cell>
        </row>
        <row r="2319">
          <cell r="A2319">
            <v>3400004660</v>
          </cell>
          <cell r="B2319">
            <v>0</v>
          </cell>
          <cell r="C2319">
            <v>6500</v>
          </cell>
          <cell r="D2319" t="str">
            <v>01.10.1996</v>
          </cell>
          <cell r="E2319">
            <v>1</v>
          </cell>
          <cell r="F2319">
            <v>6395002937</v>
          </cell>
        </row>
        <row r="2320">
          <cell r="A2320">
            <v>3400004661</v>
          </cell>
          <cell r="B2320">
            <v>0</v>
          </cell>
          <cell r="C2320">
            <v>6500</v>
          </cell>
          <cell r="D2320" t="str">
            <v>01.10.1996</v>
          </cell>
          <cell r="E2320">
            <v>1</v>
          </cell>
          <cell r="F2320">
            <v>6395002949</v>
          </cell>
        </row>
        <row r="2321">
          <cell r="A2321">
            <v>3400004662</v>
          </cell>
          <cell r="B2321">
            <v>0</v>
          </cell>
          <cell r="C2321">
            <v>5600</v>
          </cell>
          <cell r="D2321" t="str">
            <v>01.10.1996</v>
          </cell>
          <cell r="E2321">
            <v>0</v>
          </cell>
          <cell r="F2321">
            <v>6395002950</v>
          </cell>
        </row>
        <row r="2322">
          <cell r="A2322">
            <v>3400004663</v>
          </cell>
          <cell r="B2322">
            <v>0</v>
          </cell>
          <cell r="C2322">
            <v>5600</v>
          </cell>
          <cell r="D2322" t="str">
            <v>01.10.1996</v>
          </cell>
          <cell r="E2322">
            <v>0</v>
          </cell>
          <cell r="F2322">
            <v>6395002962</v>
          </cell>
        </row>
        <row r="2323">
          <cell r="A2323">
            <v>3400004664</v>
          </cell>
          <cell r="B2323">
            <v>0</v>
          </cell>
          <cell r="C2323">
            <v>5600</v>
          </cell>
          <cell r="D2323" t="str">
            <v>01.10.1996</v>
          </cell>
          <cell r="E2323">
            <v>0</v>
          </cell>
          <cell r="F2323">
            <v>6395002974</v>
          </cell>
        </row>
        <row r="2324">
          <cell r="A2324">
            <v>3400004665</v>
          </cell>
          <cell r="B2324">
            <v>0</v>
          </cell>
          <cell r="C2324">
            <v>5600</v>
          </cell>
          <cell r="D2324" t="str">
            <v>01.10.1996</v>
          </cell>
          <cell r="E2324">
            <v>0</v>
          </cell>
          <cell r="F2324">
            <v>6395002986</v>
          </cell>
        </row>
        <row r="2325">
          <cell r="A2325">
            <v>3400004666</v>
          </cell>
          <cell r="B2325">
            <v>0</v>
          </cell>
          <cell r="C2325">
            <v>5600</v>
          </cell>
          <cell r="D2325" t="str">
            <v>01.10.1996</v>
          </cell>
          <cell r="E2325">
            <v>0</v>
          </cell>
          <cell r="F2325">
            <v>6395002998</v>
          </cell>
        </row>
        <row r="2326">
          <cell r="A2326">
            <v>3400004667</v>
          </cell>
          <cell r="B2326">
            <v>0</v>
          </cell>
          <cell r="C2326">
            <v>5600</v>
          </cell>
          <cell r="D2326" t="str">
            <v>01.10.1996</v>
          </cell>
          <cell r="E2326">
            <v>0</v>
          </cell>
          <cell r="F2326">
            <v>6395003000</v>
          </cell>
        </row>
        <row r="2327">
          <cell r="A2327">
            <v>3400004668</v>
          </cell>
          <cell r="B2327">
            <v>0</v>
          </cell>
          <cell r="C2327">
            <v>6600</v>
          </cell>
          <cell r="D2327" t="str">
            <v>01.10.1996</v>
          </cell>
          <cell r="E2327">
            <v>0</v>
          </cell>
          <cell r="F2327">
            <v>6395003012</v>
          </cell>
        </row>
        <row r="2328">
          <cell r="A2328">
            <v>3400004669</v>
          </cell>
          <cell r="B2328">
            <v>0</v>
          </cell>
          <cell r="C2328">
            <v>6600</v>
          </cell>
          <cell r="D2328" t="str">
            <v>01.10.1996</v>
          </cell>
          <cell r="E2328">
            <v>0</v>
          </cell>
          <cell r="F2328">
            <v>6395003024</v>
          </cell>
        </row>
        <row r="2329">
          <cell r="A2329">
            <v>3400004670</v>
          </cell>
          <cell r="B2329">
            <v>0</v>
          </cell>
          <cell r="C2329">
            <v>6600</v>
          </cell>
          <cell r="D2329" t="str">
            <v>01.10.1996</v>
          </cell>
          <cell r="E2329">
            <v>0</v>
          </cell>
          <cell r="F2329">
            <v>6395003036</v>
          </cell>
        </row>
        <row r="2330">
          <cell r="A2330">
            <v>3400004671</v>
          </cell>
          <cell r="B2330">
            <v>0</v>
          </cell>
          <cell r="C2330">
            <v>6600</v>
          </cell>
          <cell r="D2330" t="str">
            <v>01.10.1996</v>
          </cell>
          <cell r="E2330">
            <v>0</v>
          </cell>
          <cell r="F2330">
            <v>6395003048</v>
          </cell>
        </row>
        <row r="2331">
          <cell r="A2331">
            <v>3400004672</v>
          </cell>
          <cell r="B2331">
            <v>0</v>
          </cell>
          <cell r="C2331">
            <v>6600</v>
          </cell>
          <cell r="D2331" t="str">
            <v>01.10.1996</v>
          </cell>
          <cell r="E2331">
            <v>0</v>
          </cell>
          <cell r="F2331">
            <v>6395003059</v>
          </cell>
        </row>
        <row r="2332">
          <cell r="A2332">
            <v>3400004673</v>
          </cell>
          <cell r="B2332">
            <v>0</v>
          </cell>
          <cell r="C2332">
            <v>6600</v>
          </cell>
          <cell r="D2332" t="str">
            <v>01.10.1996</v>
          </cell>
          <cell r="E2332">
            <v>0</v>
          </cell>
          <cell r="F2332">
            <v>6395003061</v>
          </cell>
        </row>
        <row r="2333">
          <cell r="A2333">
            <v>3400004674</v>
          </cell>
          <cell r="B2333">
            <v>1</v>
          </cell>
          <cell r="C2333">
            <v>6600</v>
          </cell>
          <cell r="D2333" t="str">
            <v>01.10.1996</v>
          </cell>
          <cell r="E2333">
            <v>1</v>
          </cell>
          <cell r="F2333">
            <v>6395003073</v>
          </cell>
        </row>
        <row r="2334">
          <cell r="A2334">
            <v>3400004674</v>
          </cell>
          <cell r="B2334">
            <v>0</v>
          </cell>
          <cell r="C2334">
            <v>6600</v>
          </cell>
          <cell r="D2334" t="str">
            <v>01.10.1996</v>
          </cell>
          <cell r="E2334">
            <v>0</v>
          </cell>
          <cell r="F2334">
            <v>6395003073</v>
          </cell>
        </row>
        <row r="2335">
          <cell r="A2335">
            <v>3400004675</v>
          </cell>
          <cell r="B2335">
            <v>1</v>
          </cell>
          <cell r="C2335">
            <v>6600</v>
          </cell>
          <cell r="D2335" t="str">
            <v>01.09.1996</v>
          </cell>
          <cell r="E2335">
            <v>1</v>
          </cell>
          <cell r="F2335">
            <v>6395003085</v>
          </cell>
        </row>
        <row r="2336">
          <cell r="A2336">
            <v>3400004675</v>
          </cell>
          <cell r="B2336">
            <v>0</v>
          </cell>
          <cell r="C2336">
            <v>6600</v>
          </cell>
          <cell r="D2336" t="str">
            <v>01.10.1996</v>
          </cell>
          <cell r="E2336">
            <v>0</v>
          </cell>
          <cell r="F2336">
            <v>6395003085</v>
          </cell>
        </row>
        <row r="2337">
          <cell r="A2337">
            <v>3400004798</v>
          </cell>
          <cell r="B2337">
            <v>0</v>
          </cell>
          <cell r="C2337">
            <v>6600</v>
          </cell>
          <cell r="D2337" t="str">
            <v>01.10.1996</v>
          </cell>
          <cell r="E2337">
            <v>1</v>
          </cell>
          <cell r="F2337">
            <v>6395003097</v>
          </cell>
        </row>
        <row r="2338">
          <cell r="A2338">
            <v>3400004676</v>
          </cell>
          <cell r="B2338">
            <v>1</v>
          </cell>
          <cell r="C2338">
            <v>6602</v>
          </cell>
          <cell r="D2338" t="str">
            <v>01.10.1996</v>
          </cell>
          <cell r="E2338">
            <v>0</v>
          </cell>
          <cell r="F2338">
            <v>6395003103</v>
          </cell>
        </row>
        <row r="2339">
          <cell r="A2339">
            <v>3400004676</v>
          </cell>
          <cell r="B2339">
            <v>0</v>
          </cell>
          <cell r="C2339">
            <v>6602</v>
          </cell>
          <cell r="D2339" t="str">
            <v>01.08.1995</v>
          </cell>
          <cell r="E2339">
            <v>0</v>
          </cell>
          <cell r="F2339">
            <v>6395003103</v>
          </cell>
        </row>
        <row r="2340">
          <cell r="A2340">
            <v>3400004677</v>
          </cell>
          <cell r="B2340">
            <v>0</v>
          </cell>
          <cell r="C2340">
            <v>6600</v>
          </cell>
          <cell r="D2340" t="str">
            <v>01.10.1996</v>
          </cell>
          <cell r="E2340">
            <v>1</v>
          </cell>
          <cell r="F2340">
            <v>6395003115</v>
          </cell>
        </row>
        <row r="2341">
          <cell r="A2341">
            <v>3400004678</v>
          </cell>
          <cell r="B2341">
            <v>1</v>
          </cell>
          <cell r="C2341">
            <v>6602</v>
          </cell>
          <cell r="D2341" t="str">
            <v>01.08.1995</v>
          </cell>
          <cell r="E2341">
            <v>2</v>
          </cell>
          <cell r="F2341">
            <v>6395003127</v>
          </cell>
        </row>
        <row r="2342">
          <cell r="A2342">
            <v>3400004678</v>
          </cell>
          <cell r="B2342">
            <v>0</v>
          </cell>
          <cell r="C2342">
            <v>6602</v>
          </cell>
          <cell r="D2342" t="str">
            <v>01.08.1995</v>
          </cell>
          <cell r="E2342">
            <v>0</v>
          </cell>
          <cell r="F2342">
            <v>6395003127</v>
          </cell>
        </row>
        <row r="2343">
          <cell r="A2343">
            <v>3400004679</v>
          </cell>
          <cell r="B2343">
            <v>0</v>
          </cell>
          <cell r="C2343">
            <v>5801</v>
          </cell>
          <cell r="D2343" t="str">
            <v>01.10.1996</v>
          </cell>
          <cell r="E2343">
            <v>0</v>
          </cell>
          <cell r="F2343">
            <v>6395003139</v>
          </cell>
        </row>
        <row r="2344">
          <cell r="A2344">
            <v>3400004679</v>
          </cell>
          <cell r="B2344">
            <v>1</v>
          </cell>
          <cell r="C2344">
            <v>5801</v>
          </cell>
          <cell r="D2344" t="str">
            <v>01.10.1996</v>
          </cell>
          <cell r="E2344">
            <v>1</v>
          </cell>
          <cell r="F2344">
            <v>6395003139</v>
          </cell>
        </row>
        <row r="2345">
          <cell r="A2345">
            <v>3400004680</v>
          </cell>
          <cell r="B2345">
            <v>1</v>
          </cell>
          <cell r="C2345">
            <v>5801</v>
          </cell>
          <cell r="D2345" t="str">
            <v>01.10.1996</v>
          </cell>
          <cell r="E2345">
            <v>3</v>
          </cell>
          <cell r="F2345">
            <v>6395003140</v>
          </cell>
        </row>
        <row r="2346">
          <cell r="A2346">
            <v>3400004680</v>
          </cell>
          <cell r="B2346">
            <v>0</v>
          </cell>
          <cell r="C2346">
            <v>5801</v>
          </cell>
          <cell r="D2346" t="str">
            <v>01.10.1996</v>
          </cell>
          <cell r="E2346">
            <v>0</v>
          </cell>
          <cell r="F2346">
            <v>6395003140</v>
          </cell>
        </row>
        <row r="2347">
          <cell r="A2347">
            <v>3400004681</v>
          </cell>
          <cell r="B2347">
            <v>0</v>
          </cell>
          <cell r="C2347">
            <v>5801</v>
          </cell>
          <cell r="D2347" t="str">
            <v>01.10.1996</v>
          </cell>
          <cell r="E2347">
            <v>0</v>
          </cell>
          <cell r="F2347">
            <v>6395003152</v>
          </cell>
        </row>
        <row r="2348">
          <cell r="A2348">
            <v>3400004681</v>
          </cell>
          <cell r="B2348">
            <v>1</v>
          </cell>
          <cell r="C2348">
            <v>5801</v>
          </cell>
          <cell r="D2348" t="str">
            <v>01.10.1996</v>
          </cell>
          <cell r="E2348">
            <v>2</v>
          </cell>
          <cell r="F2348">
            <v>6395003152</v>
          </cell>
        </row>
        <row r="2349">
          <cell r="A2349">
            <v>3400004682</v>
          </cell>
          <cell r="B2349">
            <v>1</v>
          </cell>
          <cell r="C2349">
            <v>5801</v>
          </cell>
          <cell r="D2349" t="str">
            <v>01.10.1996</v>
          </cell>
          <cell r="E2349">
            <v>6</v>
          </cell>
          <cell r="F2349">
            <v>6395003164</v>
          </cell>
        </row>
        <row r="2350">
          <cell r="A2350">
            <v>3400004682</v>
          </cell>
          <cell r="B2350">
            <v>0</v>
          </cell>
          <cell r="C2350">
            <v>5801</v>
          </cell>
          <cell r="D2350" t="str">
            <v>01.10.1996</v>
          </cell>
          <cell r="E2350">
            <v>1</v>
          </cell>
          <cell r="F2350">
            <v>6395003164</v>
          </cell>
        </row>
        <row r="2351">
          <cell r="A2351">
            <v>3400004683</v>
          </cell>
          <cell r="B2351">
            <v>1</v>
          </cell>
          <cell r="C2351">
            <v>5801</v>
          </cell>
          <cell r="D2351" t="str">
            <v>01.10.1996</v>
          </cell>
          <cell r="E2351">
            <v>4</v>
          </cell>
          <cell r="F2351">
            <v>6395003176</v>
          </cell>
        </row>
        <row r="2352">
          <cell r="A2352">
            <v>3400004683</v>
          </cell>
          <cell r="B2352">
            <v>0</v>
          </cell>
          <cell r="C2352">
            <v>5801</v>
          </cell>
          <cell r="D2352" t="str">
            <v>01.10.1996</v>
          </cell>
          <cell r="E2352">
            <v>0</v>
          </cell>
          <cell r="F2352">
            <v>6395003176</v>
          </cell>
        </row>
        <row r="2353">
          <cell r="A2353">
            <v>3400004684</v>
          </cell>
          <cell r="B2353">
            <v>1</v>
          </cell>
          <cell r="C2353">
            <v>5801</v>
          </cell>
          <cell r="D2353" t="str">
            <v>01.10.1996</v>
          </cell>
          <cell r="E2353">
            <v>1</v>
          </cell>
          <cell r="F2353">
            <v>6395003188</v>
          </cell>
        </row>
        <row r="2354">
          <cell r="A2354">
            <v>3400004684</v>
          </cell>
          <cell r="B2354">
            <v>0</v>
          </cell>
          <cell r="C2354">
            <v>5801</v>
          </cell>
          <cell r="D2354" t="str">
            <v>01.10.1996</v>
          </cell>
          <cell r="E2354">
            <v>0</v>
          </cell>
          <cell r="F2354">
            <v>6395003188</v>
          </cell>
        </row>
        <row r="2355">
          <cell r="A2355">
            <v>3400004685</v>
          </cell>
          <cell r="B2355">
            <v>0</v>
          </cell>
          <cell r="C2355">
            <v>5801</v>
          </cell>
          <cell r="D2355" t="str">
            <v>01.10.1996</v>
          </cell>
          <cell r="E2355">
            <v>0</v>
          </cell>
          <cell r="F2355">
            <v>6395003199</v>
          </cell>
        </row>
        <row r="2356">
          <cell r="A2356">
            <v>3400004686</v>
          </cell>
          <cell r="B2356">
            <v>0</v>
          </cell>
          <cell r="C2356">
            <v>5801</v>
          </cell>
          <cell r="D2356" t="str">
            <v>01.10.1996</v>
          </cell>
          <cell r="E2356">
            <v>0</v>
          </cell>
          <cell r="F2356">
            <v>6395003206</v>
          </cell>
        </row>
        <row r="2357">
          <cell r="A2357">
            <v>3400004687</v>
          </cell>
          <cell r="B2357">
            <v>0</v>
          </cell>
          <cell r="C2357">
            <v>5801</v>
          </cell>
          <cell r="D2357" t="str">
            <v>01.10.1996</v>
          </cell>
          <cell r="E2357">
            <v>0</v>
          </cell>
          <cell r="F2357">
            <v>6395003218</v>
          </cell>
        </row>
        <row r="2358">
          <cell r="A2358">
            <v>3400004688</v>
          </cell>
          <cell r="B2358">
            <v>0</v>
          </cell>
          <cell r="C2358">
            <v>5801</v>
          </cell>
          <cell r="D2358" t="str">
            <v>01.10.1996</v>
          </cell>
          <cell r="E2358">
            <v>0</v>
          </cell>
          <cell r="F2358">
            <v>6395003229</v>
          </cell>
        </row>
        <row r="2359">
          <cell r="A2359">
            <v>3400004689</v>
          </cell>
          <cell r="B2359">
            <v>0</v>
          </cell>
          <cell r="C2359">
            <v>5900</v>
          </cell>
          <cell r="D2359" t="str">
            <v>01.10.1996</v>
          </cell>
          <cell r="E2359">
            <v>0</v>
          </cell>
          <cell r="F2359">
            <v>6395003231</v>
          </cell>
        </row>
        <row r="2360">
          <cell r="A2360">
            <v>3400004690</v>
          </cell>
          <cell r="B2360">
            <v>0</v>
          </cell>
          <cell r="C2360">
            <v>5900</v>
          </cell>
          <cell r="D2360" t="str">
            <v>01.10.1996</v>
          </cell>
          <cell r="E2360">
            <v>0</v>
          </cell>
          <cell r="F2360">
            <v>6395003243</v>
          </cell>
        </row>
        <row r="2361">
          <cell r="A2361">
            <v>3400004691</v>
          </cell>
          <cell r="B2361">
            <v>0</v>
          </cell>
          <cell r="C2361">
            <v>5900</v>
          </cell>
          <cell r="D2361" t="str">
            <v>01.08.1995</v>
          </cell>
          <cell r="E2361">
            <v>0</v>
          </cell>
          <cell r="F2361">
            <v>6395003255</v>
          </cell>
        </row>
        <row r="2362">
          <cell r="A2362">
            <v>3400004692</v>
          </cell>
          <cell r="B2362">
            <v>0</v>
          </cell>
          <cell r="C2362">
            <v>5801</v>
          </cell>
          <cell r="D2362" t="str">
            <v>01.10.1996</v>
          </cell>
          <cell r="E2362">
            <v>1</v>
          </cell>
          <cell r="F2362">
            <v>6395003267</v>
          </cell>
        </row>
        <row r="2363">
          <cell r="A2363">
            <v>3400004693</v>
          </cell>
          <cell r="B2363">
            <v>0</v>
          </cell>
          <cell r="C2363">
            <v>5801</v>
          </cell>
          <cell r="D2363" t="str">
            <v>01.10.1996</v>
          </cell>
          <cell r="E2363">
            <v>1</v>
          </cell>
          <cell r="F2363">
            <v>6395003279</v>
          </cell>
        </row>
        <row r="2364">
          <cell r="A2364">
            <v>3400004694</v>
          </cell>
          <cell r="B2364">
            <v>0</v>
          </cell>
          <cell r="C2364">
            <v>5801</v>
          </cell>
          <cell r="D2364" t="str">
            <v>01.10.1996</v>
          </cell>
          <cell r="E2364">
            <v>1</v>
          </cell>
          <cell r="F2364">
            <v>6395003280</v>
          </cell>
        </row>
        <row r="2365">
          <cell r="A2365">
            <v>3400004695</v>
          </cell>
          <cell r="B2365">
            <v>0</v>
          </cell>
          <cell r="C2365">
            <v>5801</v>
          </cell>
          <cell r="D2365" t="str">
            <v>01.10.1996</v>
          </cell>
          <cell r="E2365">
            <v>1</v>
          </cell>
          <cell r="F2365">
            <v>6395003292</v>
          </cell>
        </row>
        <row r="2366">
          <cell r="A2366">
            <v>3400004696</v>
          </cell>
          <cell r="B2366">
            <v>0</v>
          </cell>
          <cell r="C2366">
            <v>5801</v>
          </cell>
          <cell r="D2366" t="str">
            <v>01.10.1996</v>
          </cell>
          <cell r="E2366">
            <v>1</v>
          </cell>
          <cell r="F2366">
            <v>6395003309</v>
          </cell>
        </row>
        <row r="2367">
          <cell r="A2367">
            <v>3400004697</v>
          </cell>
          <cell r="B2367">
            <v>0</v>
          </cell>
          <cell r="C2367">
            <v>5801</v>
          </cell>
          <cell r="D2367" t="str">
            <v>01.10.1996</v>
          </cell>
          <cell r="E2367">
            <v>1</v>
          </cell>
          <cell r="F2367">
            <v>6395003310</v>
          </cell>
        </row>
        <row r="2368">
          <cell r="A2368">
            <v>3400004698</v>
          </cell>
          <cell r="B2368">
            <v>0</v>
          </cell>
          <cell r="C2368">
            <v>5801</v>
          </cell>
          <cell r="D2368" t="str">
            <v>01.10.1996</v>
          </cell>
          <cell r="E2368">
            <v>1</v>
          </cell>
          <cell r="F2368">
            <v>6395003322</v>
          </cell>
        </row>
        <row r="2369">
          <cell r="A2369">
            <v>3400004699</v>
          </cell>
          <cell r="B2369">
            <v>0</v>
          </cell>
          <cell r="C2369">
            <v>5801</v>
          </cell>
          <cell r="D2369" t="str">
            <v>01.10.1996</v>
          </cell>
          <cell r="E2369">
            <v>1</v>
          </cell>
          <cell r="F2369">
            <v>6395003334</v>
          </cell>
        </row>
        <row r="2370">
          <cell r="A2370">
            <v>3400004700</v>
          </cell>
          <cell r="B2370">
            <v>0</v>
          </cell>
          <cell r="C2370">
            <v>5801</v>
          </cell>
          <cell r="D2370" t="str">
            <v>01.10.1996</v>
          </cell>
          <cell r="E2370">
            <v>1</v>
          </cell>
          <cell r="F2370">
            <v>6395003346</v>
          </cell>
        </row>
        <row r="2371">
          <cell r="A2371">
            <v>3400004701</v>
          </cell>
          <cell r="B2371">
            <v>0</v>
          </cell>
          <cell r="C2371">
            <v>5801</v>
          </cell>
          <cell r="D2371" t="str">
            <v>01.10.1996</v>
          </cell>
          <cell r="E2371">
            <v>1</v>
          </cell>
          <cell r="F2371">
            <v>6395003358</v>
          </cell>
        </row>
        <row r="2372">
          <cell r="A2372">
            <v>3400004702</v>
          </cell>
          <cell r="B2372">
            <v>0</v>
          </cell>
          <cell r="C2372">
            <v>5801</v>
          </cell>
          <cell r="D2372" t="str">
            <v>01.10.1996</v>
          </cell>
          <cell r="E2372">
            <v>0</v>
          </cell>
          <cell r="F2372">
            <v>6395003369</v>
          </cell>
        </row>
        <row r="2373">
          <cell r="A2373">
            <v>3400004703</v>
          </cell>
          <cell r="B2373">
            <v>0</v>
          </cell>
          <cell r="C2373">
            <v>5801</v>
          </cell>
          <cell r="D2373" t="str">
            <v>01.10.1996</v>
          </cell>
          <cell r="E2373">
            <v>0</v>
          </cell>
          <cell r="F2373">
            <v>6395003371</v>
          </cell>
        </row>
        <row r="2374">
          <cell r="A2374">
            <v>3400004704</v>
          </cell>
          <cell r="B2374">
            <v>0</v>
          </cell>
          <cell r="C2374">
            <v>5801</v>
          </cell>
          <cell r="D2374" t="str">
            <v>01.10.1996</v>
          </cell>
          <cell r="E2374">
            <v>0</v>
          </cell>
          <cell r="F2374">
            <v>6395003383</v>
          </cell>
        </row>
        <row r="2375">
          <cell r="A2375">
            <v>3400004705</v>
          </cell>
          <cell r="B2375">
            <v>0</v>
          </cell>
          <cell r="C2375">
            <v>5801</v>
          </cell>
          <cell r="D2375" t="str">
            <v>01.10.1996</v>
          </cell>
          <cell r="E2375">
            <v>0</v>
          </cell>
          <cell r="F2375">
            <v>6395003395</v>
          </cell>
        </row>
        <row r="2376">
          <cell r="A2376">
            <v>3400004706</v>
          </cell>
          <cell r="B2376">
            <v>0</v>
          </cell>
          <cell r="C2376">
            <v>5801</v>
          </cell>
          <cell r="D2376" t="str">
            <v>01.10.1996</v>
          </cell>
          <cell r="E2376">
            <v>0</v>
          </cell>
          <cell r="F2376">
            <v>6395003401</v>
          </cell>
        </row>
        <row r="2377">
          <cell r="A2377">
            <v>3400004707</v>
          </cell>
          <cell r="B2377">
            <v>0</v>
          </cell>
          <cell r="C2377">
            <v>5801</v>
          </cell>
          <cell r="D2377" t="str">
            <v>01.10.1996</v>
          </cell>
          <cell r="E2377">
            <v>0</v>
          </cell>
          <cell r="F2377">
            <v>6395003413</v>
          </cell>
        </row>
        <row r="2378">
          <cell r="A2378">
            <v>3400004708</v>
          </cell>
          <cell r="B2378">
            <v>0</v>
          </cell>
          <cell r="C2378">
            <v>5801</v>
          </cell>
          <cell r="D2378" t="str">
            <v>01.10.1996</v>
          </cell>
          <cell r="E2378">
            <v>0</v>
          </cell>
          <cell r="F2378">
            <v>6395003425</v>
          </cell>
        </row>
        <row r="2379">
          <cell r="A2379">
            <v>3400004709</v>
          </cell>
          <cell r="B2379">
            <v>0</v>
          </cell>
          <cell r="C2379">
            <v>5801</v>
          </cell>
          <cell r="D2379" t="str">
            <v>01.10.1996</v>
          </cell>
          <cell r="E2379">
            <v>0</v>
          </cell>
          <cell r="F2379">
            <v>6395003437</v>
          </cell>
        </row>
        <row r="2380">
          <cell r="A2380">
            <v>3400004710</v>
          </cell>
          <cell r="B2380">
            <v>0</v>
          </cell>
          <cell r="C2380">
            <v>6500</v>
          </cell>
          <cell r="D2380" t="str">
            <v>01.10.1996</v>
          </cell>
          <cell r="E2380">
            <v>0</v>
          </cell>
          <cell r="F2380">
            <v>6395003449</v>
          </cell>
        </row>
        <row r="2381">
          <cell r="A2381">
            <v>3400004711</v>
          </cell>
          <cell r="B2381">
            <v>0</v>
          </cell>
          <cell r="C2381">
            <v>6500</v>
          </cell>
          <cell r="D2381" t="str">
            <v>01.10.1996</v>
          </cell>
          <cell r="E2381">
            <v>0</v>
          </cell>
          <cell r="F2381">
            <v>6395003450</v>
          </cell>
        </row>
        <row r="2382">
          <cell r="A2382">
            <v>3400004712</v>
          </cell>
          <cell r="B2382">
            <v>0</v>
          </cell>
          <cell r="C2382">
            <v>6500</v>
          </cell>
          <cell r="D2382" t="str">
            <v>01.10.1996</v>
          </cell>
          <cell r="E2382">
            <v>0</v>
          </cell>
          <cell r="F2382">
            <v>6395003462</v>
          </cell>
        </row>
        <row r="2383">
          <cell r="A2383">
            <v>3400004713</v>
          </cell>
          <cell r="B2383">
            <v>0</v>
          </cell>
          <cell r="C2383">
            <v>6500</v>
          </cell>
          <cell r="D2383" t="str">
            <v>01.10.1996</v>
          </cell>
          <cell r="E2383">
            <v>0</v>
          </cell>
          <cell r="F2383">
            <v>6395003474</v>
          </cell>
        </row>
        <row r="2384">
          <cell r="A2384">
            <v>3400004714</v>
          </cell>
          <cell r="B2384">
            <v>0</v>
          </cell>
          <cell r="C2384">
            <v>6500</v>
          </cell>
          <cell r="D2384" t="str">
            <v>01.10.1996</v>
          </cell>
          <cell r="E2384">
            <v>0</v>
          </cell>
          <cell r="F2384">
            <v>6395003486</v>
          </cell>
        </row>
        <row r="2385">
          <cell r="A2385">
            <v>3400004715</v>
          </cell>
          <cell r="B2385">
            <v>0</v>
          </cell>
          <cell r="C2385">
            <v>6500</v>
          </cell>
          <cell r="D2385" t="str">
            <v>01.10.1996</v>
          </cell>
          <cell r="E2385">
            <v>0</v>
          </cell>
          <cell r="F2385">
            <v>6395003498</v>
          </cell>
        </row>
        <row r="2386">
          <cell r="A2386">
            <v>3400004716</v>
          </cell>
          <cell r="B2386">
            <v>0</v>
          </cell>
          <cell r="C2386">
            <v>6602</v>
          </cell>
          <cell r="D2386" t="str">
            <v>01.08.1995</v>
          </cell>
          <cell r="E2386">
            <v>68</v>
          </cell>
          <cell r="F2386">
            <v>6395003504</v>
          </cell>
        </row>
        <row r="2387">
          <cell r="A2387">
            <v>3400004717</v>
          </cell>
          <cell r="B2387">
            <v>0</v>
          </cell>
          <cell r="C2387">
            <v>6602</v>
          </cell>
          <cell r="D2387" t="str">
            <v>01.08.1995</v>
          </cell>
          <cell r="E2387">
            <v>4</v>
          </cell>
          <cell r="F2387">
            <v>6395003539</v>
          </cell>
        </row>
        <row r="2388">
          <cell r="A2388">
            <v>3400004718</v>
          </cell>
          <cell r="B2388">
            <v>0</v>
          </cell>
          <cell r="C2388">
            <v>6500</v>
          </cell>
          <cell r="D2388" t="str">
            <v>01.10.1996</v>
          </cell>
          <cell r="E2388">
            <v>1</v>
          </cell>
          <cell r="F2388">
            <v>6395003553</v>
          </cell>
        </row>
        <row r="2389">
          <cell r="A2389">
            <v>3400004719</v>
          </cell>
          <cell r="B2389">
            <v>0</v>
          </cell>
          <cell r="C2389">
            <v>6500</v>
          </cell>
          <cell r="D2389" t="str">
            <v>01.10.1996</v>
          </cell>
          <cell r="E2389">
            <v>0</v>
          </cell>
          <cell r="F2389">
            <v>6395003565</v>
          </cell>
        </row>
        <row r="2390">
          <cell r="A2390">
            <v>3400004720</v>
          </cell>
          <cell r="B2390">
            <v>0</v>
          </cell>
          <cell r="C2390">
            <v>6500</v>
          </cell>
          <cell r="D2390" t="str">
            <v>01.10.1996</v>
          </cell>
          <cell r="E2390">
            <v>0</v>
          </cell>
          <cell r="F2390">
            <v>6395003577</v>
          </cell>
        </row>
        <row r="2391">
          <cell r="A2391">
            <v>3400004721</v>
          </cell>
          <cell r="B2391">
            <v>0</v>
          </cell>
          <cell r="C2391">
            <v>6500</v>
          </cell>
          <cell r="D2391" t="str">
            <v>01.10.1996</v>
          </cell>
          <cell r="E2391">
            <v>1</v>
          </cell>
          <cell r="F2391">
            <v>6395003589</v>
          </cell>
        </row>
        <row r="2392">
          <cell r="A2392">
            <v>3400004722</v>
          </cell>
          <cell r="B2392">
            <v>0</v>
          </cell>
          <cell r="C2392">
            <v>6500</v>
          </cell>
          <cell r="D2392" t="str">
            <v>01.10.1996</v>
          </cell>
          <cell r="E2392">
            <v>1</v>
          </cell>
          <cell r="F2392">
            <v>6395003590</v>
          </cell>
        </row>
        <row r="2393">
          <cell r="A2393">
            <v>3400004723</v>
          </cell>
          <cell r="B2393">
            <v>0</v>
          </cell>
          <cell r="C2393">
            <v>6500</v>
          </cell>
          <cell r="D2393" t="str">
            <v>01.10.1996</v>
          </cell>
          <cell r="E2393">
            <v>1</v>
          </cell>
          <cell r="F2393">
            <v>6395003607</v>
          </cell>
        </row>
        <row r="2394">
          <cell r="A2394">
            <v>3400004724</v>
          </cell>
          <cell r="B2394">
            <v>0</v>
          </cell>
          <cell r="C2394">
            <v>6500</v>
          </cell>
          <cell r="D2394" t="str">
            <v>01.10.1996</v>
          </cell>
          <cell r="E2394">
            <v>1</v>
          </cell>
          <cell r="F2394">
            <v>6395003619</v>
          </cell>
        </row>
        <row r="2395">
          <cell r="A2395">
            <v>3400004725</v>
          </cell>
          <cell r="B2395">
            <v>0</v>
          </cell>
          <cell r="C2395">
            <v>6500</v>
          </cell>
          <cell r="D2395" t="str">
            <v>01.10.1996</v>
          </cell>
          <cell r="E2395">
            <v>0</v>
          </cell>
          <cell r="F2395">
            <v>6395003620</v>
          </cell>
        </row>
        <row r="2396">
          <cell r="A2396">
            <v>3400004726</v>
          </cell>
          <cell r="B2396">
            <v>0</v>
          </cell>
          <cell r="C2396">
            <v>6500</v>
          </cell>
          <cell r="D2396" t="str">
            <v>01.10.1996</v>
          </cell>
          <cell r="E2396">
            <v>1</v>
          </cell>
          <cell r="F2396">
            <v>6395003632</v>
          </cell>
        </row>
        <row r="2397">
          <cell r="A2397">
            <v>3400004727</v>
          </cell>
          <cell r="B2397">
            <v>0</v>
          </cell>
          <cell r="C2397">
            <v>6500</v>
          </cell>
          <cell r="D2397" t="str">
            <v>01.10.1996</v>
          </cell>
          <cell r="E2397">
            <v>1</v>
          </cell>
          <cell r="F2397">
            <v>6395003644</v>
          </cell>
        </row>
        <row r="2398">
          <cell r="A2398">
            <v>3400004728</v>
          </cell>
          <cell r="B2398">
            <v>0</v>
          </cell>
          <cell r="C2398">
            <v>6500</v>
          </cell>
          <cell r="D2398" t="str">
            <v>01.10.1996</v>
          </cell>
          <cell r="E2398">
            <v>1</v>
          </cell>
          <cell r="F2398">
            <v>6395003656</v>
          </cell>
        </row>
        <row r="2399">
          <cell r="A2399">
            <v>3400004729</v>
          </cell>
          <cell r="B2399">
            <v>0</v>
          </cell>
          <cell r="C2399">
            <v>6500</v>
          </cell>
          <cell r="D2399" t="str">
            <v>01.10.1996</v>
          </cell>
          <cell r="E2399">
            <v>1</v>
          </cell>
          <cell r="F2399">
            <v>6395003668</v>
          </cell>
        </row>
        <row r="2400">
          <cell r="A2400">
            <v>3400004730</v>
          </cell>
          <cell r="B2400">
            <v>0</v>
          </cell>
          <cell r="C2400">
            <v>6500</v>
          </cell>
          <cell r="D2400" t="str">
            <v>01.10.1996</v>
          </cell>
          <cell r="E2400">
            <v>1</v>
          </cell>
          <cell r="F2400">
            <v>6395003679</v>
          </cell>
        </row>
        <row r="2401">
          <cell r="A2401">
            <v>3400004731</v>
          </cell>
          <cell r="B2401">
            <v>0</v>
          </cell>
          <cell r="C2401">
            <v>6500</v>
          </cell>
          <cell r="D2401" t="str">
            <v>01.10.1996</v>
          </cell>
          <cell r="E2401">
            <v>0</v>
          </cell>
          <cell r="F2401">
            <v>6395003681</v>
          </cell>
        </row>
        <row r="2402">
          <cell r="A2402">
            <v>3400004732</v>
          </cell>
          <cell r="B2402">
            <v>0</v>
          </cell>
          <cell r="C2402">
            <v>6500</v>
          </cell>
          <cell r="D2402" t="str">
            <v>01.10.1996</v>
          </cell>
          <cell r="E2402">
            <v>0</v>
          </cell>
          <cell r="F2402">
            <v>6395003693</v>
          </cell>
        </row>
        <row r="2403">
          <cell r="A2403">
            <v>3400004733</v>
          </cell>
          <cell r="B2403">
            <v>0</v>
          </cell>
          <cell r="C2403">
            <v>6500</v>
          </cell>
          <cell r="D2403" t="str">
            <v>01.10.1996</v>
          </cell>
          <cell r="E2403">
            <v>0</v>
          </cell>
          <cell r="F2403">
            <v>6395003709</v>
          </cell>
        </row>
        <row r="2404">
          <cell r="A2404">
            <v>3400004734</v>
          </cell>
          <cell r="B2404">
            <v>0</v>
          </cell>
          <cell r="C2404">
            <v>6500</v>
          </cell>
          <cell r="D2404" t="str">
            <v>01.10.1996</v>
          </cell>
          <cell r="E2404">
            <v>1</v>
          </cell>
          <cell r="F2404">
            <v>6395003711</v>
          </cell>
        </row>
        <row r="2405">
          <cell r="A2405">
            <v>3400004735</v>
          </cell>
          <cell r="B2405">
            <v>0</v>
          </cell>
          <cell r="C2405">
            <v>6500</v>
          </cell>
          <cell r="D2405" t="str">
            <v>01.10.1996</v>
          </cell>
          <cell r="E2405">
            <v>1</v>
          </cell>
          <cell r="F2405">
            <v>6395003723</v>
          </cell>
        </row>
        <row r="2406">
          <cell r="A2406">
            <v>3400004736</v>
          </cell>
          <cell r="B2406">
            <v>0</v>
          </cell>
          <cell r="C2406">
            <v>6500</v>
          </cell>
          <cell r="D2406" t="str">
            <v>01.10.1996</v>
          </cell>
          <cell r="E2406">
            <v>1</v>
          </cell>
          <cell r="F2406">
            <v>6395003735</v>
          </cell>
        </row>
        <row r="2407">
          <cell r="A2407">
            <v>3400004737</v>
          </cell>
          <cell r="B2407">
            <v>0</v>
          </cell>
          <cell r="C2407">
            <v>6500</v>
          </cell>
          <cell r="D2407" t="str">
            <v>01.10.1996</v>
          </cell>
          <cell r="E2407">
            <v>1</v>
          </cell>
          <cell r="F2407">
            <v>6395003747</v>
          </cell>
        </row>
        <row r="2408">
          <cell r="A2408">
            <v>3400004738</v>
          </cell>
          <cell r="B2408">
            <v>0</v>
          </cell>
          <cell r="C2408">
            <v>6500</v>
          </cell>
          <cell r="D2408" t="str">
            <v>01.10.1996</v>
          </cell>
          <cell r="E2408">
            <v>1</v>
          </cell>
          <cell r="F2408">
            <v>6395003759</v>
          </cell>
        </row>
        <row r="2409">
          <cell r="A2409">
            <v>3400004739</v>
          </cell>
          <cell r="B2409">
            <v>0</v>
          </cell>
          <cell r="C2409">
            <v>6500</v>
          </cell>
          <cell r="D2409" t="str">
            <v>01.10.1996</v>
          </cell>
          <cell r="E2409">
            <v>1</v>
          </cell>
          <cell r="F2409">
            <v>6395003760</v>
          </cell>
        </row>
        <row r="2410">
          <cell r="A2410">
            <v>3400004740</v>
          </cell>
          <cell r="B2410">
            <v>0</v>
          </cell>
          <cell r="C2410">
            <v>6500</v>
          </cell>
          <cell r="D2410" t="str">
            <v>01.10.1996</v>
          </cell>
          <cell r="E2410">
            <v>1</v>
          </cell>
          <cell r="F2410">
            <v>6395003772</v>
          </cell>
        </row>
        <row r="2411">
          <cell r="A2411">
            <v>3400004741</v>
          </cell>
          <cell r="B2411">
            <v>0</v>
          </cell>
          <cell r="C2411">
            <v>6500</v>
          </cell>
          <cell r="D2411" t="str">
            <v>01.10.1996</v>
          </cell>
          <cell r="E2411">
            <v>1</v>
          </cell>
          <cell r="F2411">
            <v>6395003784</v>
          </cell>
        </row>
        <row r="2412">
          <cell r="A2412">
            <v>3400004742</v>
          </cell>
          <cell r="B2412">
            <v>0</v>
          </cell>
          <cell r="C2412">
            <v>6500</v>
          </cell>
          <cell r="D2412" t="str">
            <v>01.10.1996</v>
          </cell>
          <cell r="E2412">
            <v>1</v>
          </cell>
          <cell r="F2412">
            <v>6395003796</v>
          </cell>
        </row>
        <row r="2413">
          <cell r="A2413">
            <v>3400004743</v>
          </cell>
          <cell r="B2413">
            <v>0</v>
          </cell>
          <cell r="C2413">
            <v>6500</v>
          </cell>
          <cell r="D2413" t="str">
            <v>01.10.1996</v>
          </cell>
          <cell r="E2413">
            <v>1</v>
          </cell>
          <cell r="F2413">
            <v>6395003802</v>
          </cell>
        </row>
        <row r="2414">
          <cell r="A2414">
            <v>3400004744</v>
          </cell>
          <cell r="B2414">
            <v>0</v>
          </cell>
          <cell r="C2414">
            <v>6500</v>
          </cell>
          <cell r="D2414" t="str">
            <v>01.10.1996</v>
          </cell>
          <cell r="E2414">
            <v>1</v>
          </cell>
          <cell r="F2414">
            <v>6395003814</v>
          </cell>
        </row>
        <row r="2415">
          <cell r="A2415">
            <v>3400004745</v>
          </cell>
          <cell r="B2415">
            <v>0</v>
          </cell>
          <cell r="C2415">
            <v>6500</v>
          </cell>
          <cell r="D2415" t="str">
            <v>01.10.1996</v>
          </cell>
          <cell r="E2415">
            <v>1</v>
          </cell>
          <cell r="F2415">
            <v>6395003826</v>
          </cell>
        </row>
        <row r="2416">
          <cell r="A2416">
            <v>3400004746</v>
          </cell>
          <cell r="B2416">
            <v>0</v>
          </cell>
          <cell r="C2416">
            <v>6500</v>
          </cell>
          <cell r="D2416" t="str">
            <v>01.10.1996</v>
          </cell>
          <cell r="E2416">
            <v>1</v>
          </cell>
          <cell r="F2416">
            <v>6395003838</v>
          </cell>
        </row>
        <row r="2417">
          <cell r="A2417">
            <v>3400004747</v>
          </cell>
          <cell r="B2417">
            <v>0</v>
          </cell>
          <cell r="C2417">
            <v>6500</v>
          </cell>
          <cell r="D2417" t="str">
            <v>01.10.1996</v>
          </cell>
          <cell r="E2417">
            <v>1</v>
          </cell>
          <cell r="F2417">
            <v>6395003849</v>
          </cell>
        </row>
        <row r="2418">
          <cell r="A2418">
            <v>3400004748</v>
          </cell>
          <cell r="B2418">
            <v>0</v>
          </cell>
          <cell r="C2418">
            <v>6500</v>
          </cell>
          <cell r="D2418" t="str">
            <v>01.10.1996</v>
          </cell>
          <cell r="E2418">
            <v>1</v>
          </cell>
          <cell r="F2418">
            <v>6395003851</v>
          </cell>
        </row>
        <row r="2419">
          <cell r="A2419">
            <v>3400004749</v>
          </cell>
          <cell r="B2419">
            <v>0</v>
          </cell>
          <cell r="C2419">
            <v>6500</v>
          </cell>
          <cell r="D2419" t="str">
            <v>01.10.1996</v>
          </cell>
          <cell r="E2419">
            <v>1</v>
          </cell>
          <cell r="F2419">
            <v>6395003863</v>
          </cell>
        </row>
        <row r="2420">
          <cell r="A2420">
            <v>3400004750</v>
          </cell>
          <cell r="B2420">
            <v>0</v>
          </cell>
          <cell r="C2420">
            <v>6500</v>
          </cell>
          <cell r="D2420" t="str">
            <v>01.10.1996</v>
          </cell>
          <cell r="E2420">
            <v>1</v>
          </cell>
          <cell r="F2420">
            <v>6395003875</v>
          </cell>
        </row>
        <row r="2421">
          <cell r="A2421">
            <v>3400004751</v>
          </cell>
          <cell r="B2421">
            <v>0</v>
          </cell>
          <cell r="C2421">
            <v>6500</v>
          </cell>
          <cell r="D2421" t="str">
            <v>01.10.1996</v>
          </cell>
          <cell r="E2421">
            <v>1</v>
          </cell>
          <cell r="F2421">
            <v>6395003887</v>
          </cell>
        </row>
        <row r="2422">
          <cell r="A2422">
            <v>3400004752</v>
          </cell>
          <cell r="B2422">
            <v>0</v>
          </cell>
          <cell r="C2422">
            <v>6500</v>
          </cell>
          <cell r="D2422" t="str">
            <v>01.10.1996</v>
          </cell>
          <cell r="E2422">
            <v>1</v>
          </cell>
          <cell r="F2422">
            <v>6395003899</v>
          </cell>
        </row>
        <row r="2423">
          <cell r="A2423">
            <v>3400004753</v>
          </cell>
          <cell r="B2423">
            <v>0</v>
          </cell>
          <cell r="C2423">
            <v>6500</v>
          </cell>
          <cell r="D2423" t="str">
            <v>01.10.1996</v>
          </cell>
          <cell r="E2423">
            <v>1</v>
          </cell>
          <cell r="F2423">
            <v>6395003905</v>
          </cell>
        </row>
        <row r="2424">
          <cell r="A2424">
            <v>3400004754</v>
          </cell>
          <cell r="B2424">
            <v>0</v>
          </cell>
          <cell r="C2424">
            <v>6500</v>
          </cell>
          <cell r="D2424" t="str">
            <v>01.10.1996</v>
          </cell>
          <cell r="E2424">
            <v>1</v>
          </cell>
          <cell r="F2424">
            <v>6395003917</v>
          </cell>
        </row>
        <row r="2425">
          <cell r="A2425">
            <v>3400004755</v>
          </cell>
          <cell r="B2425">
            <v>0</v>
          </cell>
          <cell r="C2425">
            <v>6500</v>
          </cell>
          <cell r="D2425" t="str">
            <v>01.10.1996</v>
          </cell>
          <cell r="E2425">
            <v>1</v>
          </cell>
          <cell r="F2425">
            <v>6395003929</v>
          </cell>
        </row>
        <row r="2426">
          <cell r="A2426">
            <v>3400004756</v>
          </cell>
          <cell r="B2426">
            <v>0</v>
          </cell>
          <cell r="C2426">
            <v>6500</v>
          </cell>
          <cell r="D2426" t="str">
            <v>01.10.1996</v>
          </cell>
          <cell r="E2426">
            <v>1</v>
          </cell>
          <cell r="F2426">
            <v>6395003930</v>
          </cell>
        </row>
        <row r="2427">
          <cell r="A2427">
            <v>3400004757</v>
          </cell>
          <cell r="B2427">
            <v>0</v>
          </cell>
          <cell r="C2427">
            <v>6500</v>
          </cell>
          <cell r="D2427" t="str">
            <v>01.10.1996</v>
          </cell>
          <cell r="E2427">
            <v>1</v>
          </cell>
          <cell r="F2427">
            <v>6395003942</v>
          </cell>
        </row>
        <row r="2428">
          <cell r="A2428">
            <v>3400004758</v>
          </cell>
          <cell r="B2428">
            <v>0</v>
          </cell>
          <cell r="C2428">
            <v>6500</v>
          </cell>
          <cell r="D2428" t="str">
            <v>01.10.1996</v>
          </cell>
          <cell r="E2428">
            <v>1</v>
          </cell>
          <cell r="F2428">
            <v>6395003954</v>
          </cell>
        </row>
        <row r="2429">
          <cell r="A2429">
            <v>3400004759</v>
          </cell>
          <cell r="B2429">
            <v>0</v>
          </cell>
          <cell r="C2429">
            <v>6500</v>
          </cell>
          <cell r="D2429" t="str">
            <v>01.10.1996</v>
          </cell>
          <cell r="E2429">
            <v>1</v>
          </cell>
          <cell r="F2429">
            <v>6395003966</v>
          </cell>
        </row>
        <row r="2430">
          <cell r="A2430">
            <v>3400004760</v>
          </cell>
          <cell r="B2430">
            <v>0</v>
          </cell>
          <cell r="C2430">
            <v>6500</v>
          </cell>
          <cell r="D2430" t="str">
            <v>01.10.1996</v>
          </cell>
          <cell r="E2430">
            <v>1</v>
          </cell>
          <cell r="F2430">
            <v>6395003978</v>
          </cell>
        </row>
        <row r="2431">
          <cell r="A2431">
            <v>3400004761</v>
          </cell>
          <cell r="B2431">
            <v>0</v>
          </cell>
          <cell r="C2431">
            <v>6500</v>
          </cell>
          <cell r="D2431" t="str">
            <v>01.10.1996</v>
          </cell>
          <cell r="E2431">
            <v>1</v>
          </cell>
          <cell r="F2431">
            <v>6395003989</v>
          </cell>
        </row>
        <row r="2432">
          <cell r="A2432">
            <v>3400004762</v>
          </cell>
          <cell r="B2432">
            <v>0</v>
          </cell>
          <cell r="C2432">
            <v>6500</v>
          </cell>
          <cell r="D2432" t="str">
            <v>01.10.1996</v>
          </cell>
          <cell r="E2432">
            <v>1</v>
          </cell>
          <cell r="F2432">
            <v>6395003991</v>
          </cell>
        </row>
        <row r="2433">
          <cell r="A2433">
            <v>3400004763</v>
          </cell>
          <cell r="B2433">
            <v>0</v>
          </cell>
          <cell r="C2433">
            <v>6500</v>
          </cell>
          <cell r="D2433" t="str">
            <v>01.10.1996</v>
          </cell>
          <cell r="E2433">
            <v>1</v>
          </cell>
          <cell r="F2433">
            <v>6395004004</v>
          </cell>
        </row>
        <row r="2434">
          <cell r="A2434">
            <v>3400004764</v>
          </cell>
          <cell r="B2434">
            <v>0</v>
          </cell>
          <cell r="C2434">
            <v>6500</v>
          </cell>
          <cell r="D2434" t="str">
            <v>01.10.1996</v>
          </cell>
          <cell r="E2434">
            <v>1</v>
          </cell>
          <cell r="F2434">
            <v>6395004016</v>
          </cell>
        </row>
        <row r="2435">
          <cell r="A2435">
            <v>3400004765</v>
          </cell>
          <cell r="B2435">
            <v>0</v>
          </cell>
          <cell r="C2435">
            <v>6500</v>
          </cell>
          <cell r="D2435" t="str">
            <v>01.10.1996</v>
          </cell>
          <cell r="E2435">
            <v>1</v>
          </cell>
          <cell r="F2435">
            <v>6395004028</v>
          </cell>
        </row>
        <row r="2436">
          <cell r="A2436">
            <v>3400004766</v>
          </cell>
          <cell r="B2436">
            <v>0</v>
          </cell>
          <cell r="C2436">
            <v>6500</v>
          </cell>
          <cell r="D2436" t="str">
            <v>01.10.1996</v>
          </cell>
          <cell r="E2436">
            <v>1</v>
          </cell>
          <cell r="F2436">
            <v>6395004039</v>
          </cell>
        </row>
        <row r="2437">
          <cell r="A2437">
            <v>3400004767</v>
          </cell>
          <cell r="B2437">
            <v>0</v>
          </cell>
          <cell r="C2437">
            <v>6500</v>
          </cell>
          <cell r="D2437" t="str">
            <v>01.10.1996</v>
          </cell>
          <cell r="E2437">
            <v>1</v>
          </cell>
          <cell r="F2437">
            <v>6395004041</v>
          </cell>
        </row>
        <row r="2438">
          <cell r="A2438">
            <v>3400004768</v>
          </cell>
          <cell r="B2438">
            <v>0</v>
          </cell>
          <cell r="C2438">
            <v>6500</v>
          </cell>
          <cell r="D2438" t="str">
            <v>01.10.1996</v>
          </cell>
          <cell r="E2438">
            <v>0</v>
          </cell>
          <cell r="F2438">
            <v>6395004053</v>
          </cell>
        </row>
        <row r="2439">
          <cell r="A2439">
            <v>3400004769</v>
          </cell>
          <cell r="B2439">
            <v>0</v>
          </cell>
          <cell r="C2439">
            <v>6500</v>
          </cell>
          <cell r="D2439" t="str">
            <v>01.10.1996</v>
          </cell>
          <cell r="E2439">
            <v>0</v>
          </cell>
          <cell r="F2439">
            <v>6395004065</v>
          </cell>
        </row>
        <row r="2440">
          <cell r="A2440">
            <v>3400004770</v>
          </cell>
          <cell r="B2440">
            <v>0</v>
          </cell>
          <cell r="C2440">
            <v>6500</v>
          </cell>
          <cell r="D2440" t="str">
            <v>01.10.1996</v>
          </cell>
          <cell r="E2440">
            <v>0</v>
          </cell>
          <cell r="F2440">
            <v>6395004077</v>
          </cell>
        </row>
        <row r="2441">
          <cell r="A2441">
            <v>3400004771</v>
          </cell>
          <cell r="B2441">
            <v>0</v>
          </cell>
          <cell r="C2441">
            <v>6500</v>
          </cell>
          <cell r="D2441" t="str">
            <v>01.10.1996</v>
          </cell>
          <cell r="E2441">
            <v>0</v>
          </cell>
          <cell r="F2441">
            <v>6395004089</v>
          </cell>
        </row>
        <row r="2442">
          <cell r="A2442">
            <v>3400004772</v>
          </cell>
          <cell r="B2442">
            <v>0</v>
          </cell>
          <cell r="C2442">
            <v>6500</v>
          </cell>
          <cell r="D2442" t="str">
            <v>01.10.1996</v>
          </cell>
          <cell r="E2442">
            <v>0</v>
          </cell>
          <cell r="F2442">
            <v>6395004090</v>
          </cell>
        </row>
        <row r="2443">
          <cell r="A2443">
            <v>3400004773</v>
          </cell>
          <cell r="B2443">
            <v>0</v>
          </cell>
          <cell r="C2443">
            <v>6500</v>
          </cell>
          <cell r="D2443" t="str">
            <v>01.10.1996</v>
          </cell>
          <cell r="E2443">
            <v>0</v>
          </cell>
          <cell r="F2443">
            <v>6395004107</v>
          </cell>
        </row>
        <row r="2444">
          <cell r="A2444">
            <v>3400004774</v>
          </cell>
          <cell r="B2444">
            <v>0</v>
          </cell>
          <cell r="C2444">
            <v>6500</v>
          </cell>
          <cell r="D2444" t="str">
            <v>01.10.1996</v>
          </cell>
          <cell r="E2444">
            <v>0</v>
          </cell>
          <cell r="F2444">
            <v>6395004119</v>
          </cell>
        </row>
        <row r="2445">
          <cell r="A2445">
            <v>3400004775</v>
          </cell>
          <cell r="B2445">
            <v>0</v>
          </cell>
          <cell r="C2445">
            <v>6500</v>
          </cell>
          <cell r="D2445" t="str">
            <v>01.10.1996</v>
          </cell>
          <cell r="E2445">
            <v>0</v>
          </cell>
          <cell r="F2445">
            <v>6395004120</v>
          </cell>
        </row>
        <row r="2446">
          <cell r="A2446">
            <v>3400004776</v>
          </cell>
          <cell r="B2446">
            <v>0</v>
          </cell>
          <cell r="C2446">
            <v>6500</v>
          </cell>
          <cell r="D2446" t="str">
            <v>01.10.1996</v>
          </cell>
          <cell r="E2446">
            <v>0</v>
          </cell>
          <cell r="F2446">
            <v>6395004132</v>
          </cell>
        </row>
        <row r="2447">
          <cell r="A2447">
            <v>3400004777</v>
          </cell>
          <cell r="B2447">
            <v>0</v>
          </cell>
          <cell r="C2447">
            <v>6500</v>
          </cell>
          <cell r="D2447" t="str">
            <v>01.10.1996</v>
          </cell>
          <cell r="E2447">
            <v>0</v>
          </cell>
          <cell r="F2447">
            <v>6395004144</v>
          </cell>
        </row>
        <row r="2448">
          <cell r="A2448">
            <v>3400004778</v>
          </cell>
          <cell r="B2448">
            <v>0</v>
          </cell>
          <cell r="C2448">
            <v>6500</v>
          </cell>
          <cell r="D2448" t="str">
            <v>01.10.1996</v>
          </cell>
          <cell r="E2448">
            <v>0</v>
          </cell>
          <cell r="F2448">
            <v>6395004156</v>
          </cell>
        </row>
        <row r="2449">
          <cell r="A2449">
            <v>3400004779</v>
          </cell>
          <cell r="B2449">
            <v>0</v>
          </cell>
          <cell r="C2449">
            <v>6500</v>
          </cell>
          <cell r="D2449" t="str">
            <v>01.10.1996</v>
          </cell>
          <cell r="E2449">
            <v>0</v>
          </cell>
          <cell r="F2449">
            <v>6395004168</v>
          </cell>
        </row>
        <row r="2450">
          <cell r="A2450">
            <v>3400004780</v>
          </cell>
          <cell r="B2450">
            <v>0</v>
          </cell>
          <cell r="C2450">
            <v>6600</v>
          </cell>
          <cell r="D2450" t="str">
            <v>01.10.1996</v>
          </cell>
          <cell r="E2450">
            <v>1</v>
          </cell>
          <cell r="F2450">
            <v>6395004179</v>
          </cell>
        </row>
        <row r="2451">
          <cell r="A2451">
            <v>3400005111</v>
          </cell>
          <cell r="B2451">
            <v>0</v>
          </cell>
          <cell r="C2451">
            <v>6901</v>
          </cell>
          <cell r="D2451" t="str">
            <v>01.04.1998</v>
          </cell>
          <cell r="E2451">
            <v>2</v>
          </cell>
          <cell r="F2451">
            <v>802258</v>
          </cell>
        </row>
        <row r="2452">
          <cell r="A2452">
            <v>3400005083</v>
          </cell>
          <cell r="B2452">
            <v>0</v>
          </cell>
          <cell r="C2452">
            <v>6600</v>
          </cell>
          <cell r="D2452" t="str">
            <v>21.03.1998</v>
          </cell>
          <cell r="E2452">
            <v>1</v>
          </cell>
          <cell r="F2452">
            <v>96020581</v>
          </cell>
        </row>
        <row r="2453">
          <cell r="A2453">
            <v>3400005082</v>
          </cell>
          <cell r="B2453">
            <v>0</v>
          </cell>
          <cell r="C2453">
            <v>6600</v>
          </cell>
          <cell r="D2453" t="str">
            <v>21.03.1998</v>
          </cell>
          <cell r="E2453">
            <v>1</v>
          </cell>
          <cell r="F2453">
            <v>96020581</v>
          </cell>
        </row>
        <row r="2454">
          <cell r="A2454">
            <v>3400005066</v>
          </cell>
          <cell r="B2454">
            <v>0</v>
          </cell>
          <cell r="C2454">
            <v>6601</v>
          </cell>
          <cell r="D2454" t="str">
            <v>04.04.1998</v>
          </cell>
          <cell r="E2454">
            <v>2</v>
          </cell>
          <cell r="F2454">
            <v>97020298</v>
          </cell>
        </row>
        <row r="2455">
          <cell r="A2455">
            <v>3400005072</v>
          </cell>
          <cell r="B2455">
            <v>0</v>
          </cell>
          <cell r="C2455">
            <v>6601</v>
          </cell>
          <cell r="D2455" t="str">
            <v>04.04.1998</v>
          </cell>
          <cell r="E2455">
            <v>2</v>
          </cell>
          <cell r="F2455">
            <v>97020298</v>
          </cell>
        </row>
        <row r="2456">
          <cell r="A2456">
            <v>3400005073</v>
          </cell>
          <cell r="B2456">
            <v>0</v>
          </cell>
          <cell r="C2456">
            <v>6601</v>
          </cell>
          <cell r="D2456" t="str">
            <v>04.04.1998</v>
          </cell>
          <cell r="E2456">
            <v>2</v>
          </cell>
          <cell r="F2456">
            <v>97020298</v>
          </cell>
        </row>
        <row r="2457">
          <cell r="A2457">
            <v>3400005076</v>
          </cell>
          <cell r="B2457">
            <v>0</v>
          </cell>
          <cell r="C2457">
            <v>6601</v>
          </cell>
          <cell r="D2457" t="str">
            <v>04.04.1998</v>
          </cell>
          <cell r="E2457">
            <v>2</v>
          </cell>
          <cell r="F2457">
            <v>97020298</v>
          </cell>
        </row>
        <row r="2458">
          <cell r="A2458">
            <v>3400005074</v>
          </cell>
          <cell r="B2458">
            <v>0</v>
          </cell>
          <cell r="C2458">
            <v>6601</v>
          </cell>
          <cell r="D2458" t="str">
            <v>04.04.1998</v>
          </cell>
          <cell r="E2458">
            <v>2</v>
          </cell>
          <cell r="F2458">
            <v>97020298</v>
          </cell>
        </row>
        <row r="2459">
          <cell r="A2459">
            <v>3400005069</v>
          </cell>
          <cell r="B2459">
            <v>0</v>
          </cell>
          <cell r="C2459">
            <v>6601</v>
          </cell>
          <cell r="D2459" t="str">
            <v>04.04.1998</v>
          </cell>
          <cell r="E2459">
            <v>2</v>
          </cell>
          <cell r="F2459">
            <v>97020298</v>
          </cell>
        </row>
        <row r="2460">
          <cell r="A2460">
            <v>3400005075</v>
          </cell>
          <cell r="B2460">
            <v>0</v>
          </cell>
          <cell r="C2460">
            <v>6601</v>
          </cell>
          <cell r="D2460" t="str">
            <v>04.04.1998</v>
          </cell>
          <cell r="E2460">
            <v>2</v>
          </cell>
          <cell r="F2460">
            <v>97020298</v>
          </cell>
        </row>
        <row r="2461">
          <cell r="A2461">
            <v>3400005067</v>
          </cell>
          <cell r="B2461">
            <v>0</v>
          </cell>
          <cell r="C2461">
            <v>6601</v>
          </cell>
          <cell r="D2461" t="str">
            <v>04.04.1998</v>
          </cell>
          <cell r="E2461">
            <v>2</v>
          </cell>
          <cell r="F2461">
            <v>97020298</v>
          </cell>
        </row>
        <row r="2462">
          <cell r="A2462">
            <v>3400005070</v>
          </cell>
          <cell r="B2462">
            <v>0</v>
          </cell>
          <cell r="C2462">
            <v>6601</v>
          </cell>
          <cell r="D2462" t="str">
            <v>04.04.1998</v>
          </cell>
          <cell r="E2462">
            <v>2</v>
          </cell>
          <cell r="F2462">
            <v>97020298</v>
          </cell>
        </row>
        <row r="2463">
          <cell r="A2463">
            <v>3400005068</v>
          </cell>
          <cell r="B2463">
            <v>0</v>
          </cell>
          <cell r="C2463">
            <v>6601</v>
          </cell>
          <cell r="D2463" t="str">
            <v>04.04.1998</v>
          </cell>
          <cell r="E2463">
            <v>2</v>
          </cell>
          <cell r="F2463">
            <v>97020298</v>
          </cell>
        </row>
        <row r="2464">
          <cell r="A2464">
            <v>3400005071</v>
          </cell>
          <cell r="B2464">
            <v>0</v>
          </cell>
          <cell r="C2464">
            <v>6601</v>
          </cell>
          <cell r="D2464" t="str">
            <v>04.04.1998</v>
          </cell>
          <cell r="E2464">
            <v>2</v>
          </cell>
          <cell r="F2464">
            <v>97020298</v>
          </cell>
        </row>
        <row r="2465">
          <cell r="A2465">
            <v>3400005118</v>
          </cell>
          <cell r="B2465">
            <v>0</v>
          </cell>
          <cell r="C2465">
            <v>5801</v>
          </cell>
          <cell r="D2465" t="str">
            <v>28.06.1998</v>
          </cell>
          <cell r="E2465">
            <v>1</v>
          </cell>
          <cell r="F2465">
            <v>97050024</v>
          </cell>
        </row>
        <row r="2466">
          <cell r="A2466">
            <v>3400005049</v>
          </cell>
          <cell r="B2466">
            <v>0</v>
          </cell>
          <cell r="C2466">
            <v>6600</v>
          </cell>
          <cell r="D2466" t="str">
            <v>03.03.1998</v>
          </cell>
          <cell r="E2466">
            <v>1</v>
          </cell>
          <cell r="F2466">
            <v>97050030</v>
          </cell>
        </row>
        <row r="2467">
          <cell r="A2467">
            <v>3400005057</v>
          </cell>
          <cell r="B2467">
            <v>0</v>
          </cell>
          <cell r="C2467">
            <v>5800</v>
          </cell>
          <cell r="D2467" t="str">
            <v>19.03.1998</v>
          </cell>
          <cell r="E2467">
            <v>40</v>
          </cell>
          <cell r="F2467">
            <v>97050033</v>
          </cell>
        </row>
        <row r="2468">
          <cell r="A2468">
            <v>3400005058</v>
          </cell>
          <cell r="B2468">
            <v>0</v>
          </cell>
          <cell r="C2468">
            <v>5800</v>
          </cell>
          <cell r="D2468" t="str">
            <v>19.03.1998</v>
          </cell>
          <cell r="E2468">
            <v>2</v>
          </cell>
          <cell r="F2468">
            <v>97050033</v>
          </cell>
        </row>
        <row r="2469">
          <cell r="A2469">
            <v>3400005143</v>
          </cell>
          <cell r="B2469">
            <v>0</v>
          </cell>
          <cell r="C2469">
            <v>5800</v>
          </cell>
          <cell r="D2469" t="str">
            <v>12.08.1998</v>
          </cell>
          <cell r="E2469">
            <v>8</v>
          </cell>
          <cell r="F2469">
            <v>97050057</v>
          </cell>
        </row>
        <row r="2470">
          <cell r="A2470">
            <v>3400005143</v>
          </cell>
          <cell r="B2470">
            <v>1</v>
          </cell>
          <cell r="C2470">
            <v>5800</v>
          </cell>
          <cell r="D2470" t="str">
            <v>12.08.1998</v>
          </cell>
          <cell r="E2470">
            <v>4</v>
          </cell>
          <cell r="F2470">
            <v>97050057</v>
          </cell>
        </row>
        <row r="2471">
          <cell r="A2471">
            <v>3400005110</v>
          </cell>
          <cell r="B2471">
            <v>0</v>
          </cell>
          <cell r="C2471">
            <v>5900</v>
          </cell>
          <cell r="D2471" t="str">
            <v>04.04.1998</v>
          </cell>
          <cell r="E2471">
            <v>10</v>
          </cell>
          <cell r="F2471">
            <v>97050060</v>
          </cell>
        </row>
        <row r="2472">
          <cell r="A2472">
            <v>3400005050</v>
          </cell>
          <cell r="B2472">
            <v>0</v>
          </cell>
          <cell r="C2472">
            <v>6600</v>
          </cell>
          <cell r="D2472" t="str">
            <v>20.05.1998</v>
          </cell>
          <cell r="E2472">
            <v>1</v>
          </cell>
          <cell r="F2472">
            <v>97050142</v>
          </cell>
        </row>
        <row r="2473">
          <cell r="A2473">
            <v>3400005077</v>
          </cell>
          <cell r="B2473">
            <v>0</v>
          </cell>
          <cell r="C2473">
            <v>6230</v>
          </cell>
          <cell r="D2473" t="str">
            <v>04.05.1998</v>
          </cell>
          <cell r="E2473">
            <v>0</v>
          </cell>
          <cell r="F2473">
            <v>98020024</v>
          </cell>
        </row>
        <row r="2474">
          <cell r="A2474">
            <v>3400005085</v>
          </cell>
          <cell r="B2474">
            <v>0</v>
          </cell>
          <cell r="C2474">
            <v>6230</v>
          </cell>
          <cell r="D2474" t="str">
            <v>10.03.1998</v>
          </cell>
          <cell r="E2474">
            <v>0</v>
          </cell>
          <cell r="F2474">
            <v>98020038</v>
          </cell>
        </row>
        <row r="2475">
          <cell r="A2475">
            <v>3400005084</v>
          </cell>
          <cell r="B2475">
            <v>0</v>
          </cell>
          <cell r="C2475">
            <v>6800</v>
          </cell>
          <cell r="D2475" t="str">
            <v>02.04.1998</v>
          </cell>
          <cell r="E2475">
            <v>1</v>
          </cell>
          <cell r="F2475">
            <v>98020039</v>
          </cell>
        </row>
        <row r="2476">
          <cell r="A2476">
            <v>3400005086</v>
          </cell>
          <cell r="B2476">
            <v>0</v>
          </cell>
          <cell r="C2476">
            <v>6230</v>
          </cell>
          <cell r="D2476" t="str">
            <v>20.03.1998</v>
          </cell>
          <cell r="E2476">
            <v>0</v>
          </cell>
          <cell r="F2476">
            <v>98020044</v>
          </cell>
        </row>
        <row r="2477">
          <cell r="A2477">
            <v>3400005087</v>
          </cell>
          <cell r="B2477">
            <v>0</v>
          </cell>
          <cell r="C2477">
            <v>6230</v>
          </cell>
          <cell r="D2477" t="str">
            <v>20.03.1998</v>
          </cell>
          <cell r="E2477">
            <v>0</v>
          </cell>
          <cell r="F2477">
            <v>98020044</v>
          </cell>
        </row>
        <row r="2478">
          <cell r="A2478">
            <v>3400005088</v>
          </cell>
          <cell r="B2478">
            <v>0</v>
          </cell>
          <cell r="C2478">
            <v>6230</v>
          </cell>
          <cell r="D2478" t="str">
            <v>20.03.1998</v>
          </cell>
          <cell r="E2478">
            <v>0</v>
          </cell>
          <cell r="F2478">
            <v>98020044</v>
          </cell>
        </row>
        <row r="2479">
          <cell r="A2479">
            <v>3400005089</v>
          </cell>
          <cell r="B2479">
            <v>0</v>
          </cell>
          <cell r="C2479">
            <v>6230</v>
          </cell>
          <cell r="D2479" t="str">
            <v>20.03.1998</v>
          </cell>
          <cell r="E2479">
            <v>0</v>
          </cell>
          <cell r="F2479">
            <v>98020044</v>
          </cell>
        </row>
        <row r="2480">
          <cell r="A2480">
            <v>3400005079</v>
          </cell>
          <cell r="B2480">
            <v>0</v>
          </cell>
          <cell r="C2480">
            <v>4410</v>
          </cell>
          <cell r="D2480" t="str">
            <v>06.05.1998</v>
          </cell>
          <cell r="E2480">
            <v>54.84</v>
          </cell>
          <cell r="F2480">
            <v>98020060</v>
          </cell>
        </row>
        <row r="2481">
          <cell r="A2481">
            <v>3400005589</v>
          </cell>
          <cell r="B2481">
            <v>0</v>
          </cell>
          <cell r="C2481">
            <v>6230</v>
          </cell>
          <cell r="D2481" t="str">
            <v>04.05.1998</v>
          </cell>
          <cell r="E2481">
            <v>2</v>
          </cell>
          <cell r="F2481">
            <v>98020065</v>
          </cell>
        </row>
        <row r="2482">
          <cell r="A2482">
            <v>3400005078</v>
          </cell>
          <cell r="B2482">
            <v>0</v>
          </cell>
          <cell r="C2482">
            <v>6800</v>
          </cell>
          <cell r="D2482" t="str">
            <v>04.05.1998</v>
          </cell>
          <cell r="E2482">
            <v>0</v>
          </cell>
          <cell r="F2482">
            <v>98020065</v>
          </cell>
        </row>
        <row r="2483">
          <cell r="A2483">
            <v>3400005185</v>
          </cell>
          <cell r="B2483">
            <v>0</v>
          </cell>
          <cell r="C2483">
            <v>5800</v>
          </cell>
          <cell r="D2483" t="str">
            <v>23.09.1998</v>
          </cell>
          <cell r="E2483">
            <v>2</v>
          </cell>
          <cell r="F2483">
            <v>98020069</v>
          </cell>
        </row>
        <row r="2484">
          <cell r="A2484">
            <v>3400005105</v>
          </cell>
          <cell r="B2484">
            <v>0</v>
          </cell>
          <cell r="C2484">
            <v>6801</v>
          </cell>
          <cell r="D2484" t="str">
            <v>29.06.1998</v>
          </cell>
          <cell r="E2484">
            <v>28</v>
          </cell>
          <cell r="F2484">
            <v>98020070</v>
          </cell>
        </row>
        <row r="2485">
          <cell r="A2485">
            <v>3400005106</v>
          </cell>
          <cell r="B2485">
            <v>0</v>
          </cell>
          <cell r="C2485">
            <v>6901</v>
          </cell>
          <cell r="D2485" t="str">
            <v>29.06.1998</v>
          </cell>
          <cell r="E2485">
            <v>168</v>
          </cell>
          <cell r="F2485">
            <v>98020070</v>
          </cell>
        </row>
        <row r="2486">
          <cell r="A2486">
            <v>3400005080</v>
          </cell>
          <cell r="B2486">
            <v>0</v>
          </cell>
          <cell r="C2486">
            <v>6801</v>
          </cell>
          <cell r="D2486" t="str">
            <v>02.05.1998</v>
          </cell>
          <cell r="E2486">
            <v>2</v>
          </cell>
          <cell r="F2486">
            <v>98020078</v>
          </cell>
        </row>
        <row r="2487">
          <cell r="A2487">
            <v>3400005100</v>
          </cell>
          <cell r="B2487">
            <v>0</v>
          </cell>
          <cell r="C2487">
            <v>6801</v>
          </cell>
          <cell r="D2487" t="str">
            <v>16.06.1998</v>
          </cell>
          <cell r="E2487">
            <v>2</v>
          </cell>
          <cell r="F2487">
            <v>98020103</v>
          </cell>
        </row>
        <row r="2488">
          <cell r="A2488">
            <v>3400005101</v>
          </cell>
          <cell r="B2488">
            <v>0</v>
          </cell>
          <cell r="C2488">
            <v>6801</v>
          </cell>
          <cell r="D2488" t="str">
            <v>16.06.1998</v>
          </cell>
          <cell r="E2488">
            <v>2</v>
          </cell>
          <cell r="F2488">
            <v>98020103</v>
          </cell>
        </row>
        <row r="2489">
          <cell r="A2489">
            <v>3400005102</v>
          </cell>
          <cell r="B2489">
            <v>0</v>
          </cell>
          <cell r="C2489">
            <v>6801</v>
          </cell>
          <cell r="D2489" t="str">
            <v>16.06.1998</v>
          </cell>
          <cell r="E2489">
            <v>2</v>
          </cell>
          <cell r="F2489">
            <v>98020103</v>
          </cell>
        </row>
        <row r="2490">
          <cell r="A2490">
            <v>3400005180</v>
          </cell>
          <cell r="B2490">
            <v>0</v>
          </cell>
          <cell r="C2490">
            <v>6801</v>
          </cell>
          <cell r="D2490" t="str">
            <v>20.08.1998</v>
          </cell>
          <cell r="E2490">
            <v>2</v>
          </cell>
          <cell r="F2490">
            <v>98020108</v>
          </cell>
        </row>
        <row r="2491">
          <cell r="A2491">
            <v>3400005178</v>
          </cell>
          <cell r="B2491">
            <v>0</v>
          </cell>
          <cell r="C2491">
            <v>5800</v>
          </cell>
          <cell r="D2491" t="str">
            <v>17.08.1998</v>
          </cell>
          <cell r="E2491">
            <v>2</v>
          </cell>
          <cell r="F2491">
            <v>98020109</v>
          </cell>
        </row>
        <row r="2492">
          <cell r="A2492">
            <v>3400005177</v>
          </cell>
          <cell r="B2492">
            <v>0</v>
          </cell>
          <cell r="C2492">
            <v>5800</v>
          </cell>
          <cell r="D2492" t="str">
            <v>17.08.1998</v>
          </cell>
          <cell r="E2492">
            <v>2</v>
          </cell>
          <cell r="F2492">
            <v>98020109</v>
          </cell>
        </row>
        <row r="2493">
          <cell r="A2493">
            <v>3400005179</v>
          </cell>
          <cell r="B2493">
            <v>0</v>
          </cell>
          <cell r="C2493">
            <v>6601</v>
          </cell>
          <cell r="D2493" t="str">
            <v>01.09.1998</v>
          </cell>
          <cell r="E2493">
            <v>2</v>
          </cell>
          <cell r="F2493">
            <v>98020148</v>
          </cell>
        </row>
        <row r="2494">
          <cell r="A2494">
            <v>3400005183</v>
          </cell>
          <cell r="B2494">
            <v>0</v>
          </cell>
          <cell r="C2494">
            <v>6801</v>
          </cell>
          <cell r="D2494" t="str">
            <v>08.09.1998</v>
          </cell>
          <cell r="E2494">
            <v>2</v>
          </cell>
          <cell r="F2494">
            <v>98020157</v>
          </cell>
        </row>
        <row r="2495">
          <cell r="A2495">
            <v>3400005121</v>
          </cell>
          <cell r="B2495">
            <v>0</v>
          </cell>
          <cell r="C2495">
            <v>5900</v>
          </cell>
          <cell r="D2495" t="str">
            <v>17.06.1998</v>
          </cell>
          <cell r="E2495">
            <v>20</v>
          </cell>
          <cell r="F2495">
            <v>98050018</v>
          </cell>
        </row>
        <row r="2496">
          <cell r="A2496">
            <v>3400005122</v>
          </cell>
          <cell r="B2496">
            <v>0</v>
          </cell>
          <cell r="C2496">
            <v>6601</v>
          </cell>
          <cell r="D2496" t="str">
            <v>17.06.1998</v>
          </cell>
          <cell r="E2496">
            <v>1</v>
          </cell>
          <cell r="F2496">
            <v>98050018</v>
          </cell>
        </row>
        <row r="2497">
          <cell r="A2497">
            <v>3400005117</v>
          </cell>
          <cell r="B2497">
            <v>0</v>
          </cell>
          <cell r="C2497">
            <v>5900</v>
          </cell>
          <cell r="D2497" t="str">
            <v>27.03.1998</v>
          </cell>
          <cell r="E2497">
            <v>1</v>
          </cell>
          <cell r="F2497">
            <v>98050025</v>
          </cell>
        </row>
        <row r="2498">
          <cell r="A2498">
            <v>3400005119</v>
          </cell>
          <cell r="B2498">
            <v>0</v>
          </cell>
          <cell r="C2498">
            <v>6501</v>
          </cell>
          <cell r="D2498" t="str">
            <v>27.03.1998</v>
          </cell>
          <cell r="E2498">
            <v>1</v>
          </cell>
          <cell r="F2498">
            <v>98050025</v>
          </cell>
        </row>
        <row r="2499">
          <cell r="A2499">
            <v>3400005120</v>
          </cell>
          <cell r="B2499">
            <v>0</v>
          </cell>
          <cell r="C2499">
            <v>6501</v>
          </cell>
          <cell r="D2499" t="str">
            <v>27.03.1998</v>
          </cell>
          <cell r="E2499">
            <v>1</v>
          </cell>
          <cell r="F2499">
            <v>98050025</v>
          </cell>
        </row>
        <row r="2500">
          <cell r="A2500">
            <v>3400005065</v>
          </cell>
          <cell r="B2500">
            <v>0</v>
          </cell>
          <cell r="C2500">
            <v>5400</v>
          </cell>
          <cell r="D2500" t="str">
            <v>12.02.1998</v>
          </cell>
          <cell r="E2500">
            <v>0</v>
          </cell>
          <cell r="F2500">
            <v>98050030</v>
          </cell>
        </row>
        <row r="2501">
          <cell r="A2501">
            <v>3400005062</v>
          </cell>
          <cell r="B2501">
            <v>0</v>
          </cell>
          <cell r="C2501">
            <v>6601</v>
          </cell>
          <cell r="D2501" t="str">
            <v>23.04.1998</v>
          </cell>
          <cell r="E2501">
            <v>2</v>
          </cell>
          <cell r="F2501">
            <v>98050034</v>
          </cell>
        </row>
        <row r="2502">
          <cell r="A2502">
            <v>3400005059</v>
          </cell>
          <cell r="B2502">
            <v>0</v>
          </cell>
          <cell r="C2502">
            <v>6602</v>
          </cell>
          <cell r="D2502" t="str">
            <v>15.03.1998</v>
          </cell>
          <cell r="E2502">
            <v>1</v>
          </cell>
          <cell r="F2502">
            <v>98050063</v>
          </cell>
        </row>
        <row r="2503">
          <cell r="A2503">
            <v>3400005104</v>
          </cell>
          <cell r="B2503">
            <v>0</v>
          </cell>
          <cell r="C2503">
            <v>6600</v>
          </cell>
          <cell r="D2503" t="str">
            <v>07.04.1998</v>
          </cell>
          <cell r="E2503">
            <v>1</v>
          </cell>
          <cell r="F2503">
            <v>98050074</v>
          </cell>
        </row>
        <row r="2504">
          <cell r="A2504">
            <v>3400005103</v>
          </cell>
          <cell r="B2504">
            <v>0</v>
          </cell>
          <cell r="C2504">
            <v>6600</v>
          </cell>
          <cell r="D2504" t="str">
            <v>05.06.1998</v>
          </cell>
          <cell r="E2504">
            <v>2</v>
          </cell>
          <cell r="F2504">
            <v>98050074</v>
          </cell>
        </row>
        <row r="2505">
          <cell r="A2505">
            <v>3400005109</v>
          </cell>
          <cell r="B2505">
            <v>0</v>
          </cell>
          <cell r="C2505">
            <v>5800</v>
          </cell>
          <cell r="D2505" t="str">
            <v>28.06.1998</v>
          </cell>
          <cell r="E2505">
            <v>2</v>
          </cell>
          <cell r="F2505">
            <v>98050075</v>
          </cell>
        </row>
        <row r="2506">
          <cell r="A2506">
            <v>3400005060</v>
          </cell>
          <cell r="B2506">
            <v>0</v>
          </cell>
          <cell r="C2506">
            <v>5800</v>
          </cell>
          <cell r="D2506" t="str">
            <v>25.03.1998</v>
          </cell>
          <cell r="E2506">
            <v>20</v>
          </cell>
          <cell r="F2506">
            <v>98050076</v>
          </cell>
        </row>
        <row r="2507">
          <cell r="A2507">
            <v>3400005061</v>
          </cell>
          <cell r="B2507">
            <v>0</v>
          </cell>
          <cell r="C2507">
            <v>5800</v>
          </cell>
          <cell r="D2507" t="str">
            <v>27.03.1998</v>
          </cell>
          <cell r="E2507">
            <v>1</v>
          </cell>
          <cell r="F2507">
            <v>98050077</v>
          </cell>
        </row>
        <row r="2508">
          <cell r="A2508">
            <v>3400005064</v>
          </cell>
          <cell r="B2508">
            <v>0</v>
          </cell>
          <cell r="C2508">
            <v>5800</v>
          </cell>
          <cell r="D2508" t="str">
            <v>02.05.1998</v>
          </cell>
          <cell r="E2508">
            <v>1</v>
          </cell>
          <cell r="F2508">
            <v>98050084</v>
          </cell>
        </row>
        <row r="2509">
          <cell r="A2509">
            <v>3400005063</v>
          </cell>
          <cell r="B2509">
            <v>0</v>
          </cell>
          <cell r="C2509">
            <v>5800</v>
          </cell>
          <cell r="D2509" t="str">
            <v>02.05.1998</v>
          </cell>
          <cell r="E2509">
            <v>4</v>
          </cell>
          <cell r="F2509">
            <v>98050090</v>
          </cell>
        </row>
        <row r="2510">
          <cell r="A2510">
            <v>3400005108</v>
          </cell>
          <cell r="B2510">
            <v>0</v>
          </cell>
          <cell r="C2510">
            <v>6601</v>
          </cell>
          <cell r="D2510" t="str">
            <v>17.06.1998</v>
          </cell>
          <cell r="E2510">
            <v>1</v>
          </cell>
          <cell r="F2510">
            <v>98050092</v>
          </cell>
        </row>
        <row r="2511">
          <cell r="A2511">
            <v>3400004939</v>
          </cell>
          <cell r="B2511">
            <v>1</v>
          </cell>
          <cell r="C2511">
            <v>5800</v>
          </cell>
          <cell r="D2511" t="str">
            <v>17.06.1998</v>
          </cell>
          <cell r="E2511">
            <v>10</v>
          </cell>
          <cell r="F2511">
            <v>98050135</v>
          </cell>
        </row>
        <row r="2512">
          <cell r="A2512">
            <v>3400005053</v>
          </cell>
          <cell r="B2512">
            <v>0</v>
          </cell>
          <cell r="C2512">
            <v>6600</v>
          </cell>
          <cell r="D2512" t="str">
            <v>20.05.1998</v>
          </cell>
          <cell r="E2512">
            <v>4</v>
          </cell>
          <cell r="F2512">
            <v>98050142</v>
          </cell>
        </row>
        <row r="2513">
          <cell r="A2513">
            <v>3400005052</v>
          </cell>
          <cell r="B2513">
            <v>0</v>
          </cell>
          <cell r="C2513">
            <v>5800</v>
          </cell>
          <cell r="D2513" t="str">
            <v>20.05.1998</v>
          </cell>
          <cell r="E2513">
            <v>20</v>
          </cell>
          <cell r="F2513">
            <v>98050142</v>
          </cell>
        </row>
        <row r="2514">
          <cell r="A2514">
            <v>3400005051</v>
          </cell>
          <cell r="B2514">
            <v>0</v>
          </cell>
          <cell r="C2514">
            <v>6600</v>
          </cell>
          <cell r="D2514" t="str">
            <v>20.05.1998</v>
          </cell>
          <cell r="E2514">
            <v>3</v>
          </cell>
          <cell r="F2514">
            <v>98050142</v>
          </cell>
        </row>
        <row r="2515">
          <cell r="A2515">
            <v>3400005054</v>
          </cell>
          <cell r="B2515">
            <v>0</v>
          </cell>
          <cell r="C2515">
            <v>6600</v>
          </cell>
          <cell r="D2515" t="str">
            <v>20.05.1998</v>
          </cell>
          <cell r="E2515">
            <v>1</v>
          </cell>
          <cell r="F2515">
            <v>98050142</v>
          </cell>
        </row>
        <row r="2516">
          <cell r="A2516">
            <v>3400005055</v>
          </cell>
          <cell r="B2516">
            <v>0</v>
          </cell>
          <cell r="C2516">
            <v>6600</v>
          </cell>
          <cell r="D2516" t="str">
            <v>20.05.1998</v>
          </cell>
          <cell r="E2516">
            <v>1</v>
          </cell>
          <cell r="F2516">
            <v>98050142</v>
          </cell>
        </row>
        <row r="2517">
          <cell r="A2517">
            <v>3400005107</v>
          </cell>
          <cell r="B2517">
            <v>0</v>
          </cell>
          <cell r="C2517">
            <v>5800</v>
          </cell>
          <cell r="D2517" t="str">
            <v>28.06.1998</v>
          </cell>
          <cell r="E2517">
            <v>51</v>
          </cell>
          <cell r="F2517">
            <v>98050172</v>
          </cell>
        </row>
        <row r="2518">
          <cell r="A2518">
            <v>3400005057</v>
          </cell>
          <cell r="B2518">
            <v>1</v>
          </cell>
          <cell r="C2518">
            <v>5800</v>
          </cell>
          <cell r="D2518" t="str">
            <v>28.06.1998</v>
          </cell>
          <cell r="E2518">
            <v>10</v>
          </cell>
          <cell r="F2518">
            <v>98050190</v>
          </cell>
        </row>
        <row r="2519">
          <cell r="A2519">
            <v>3400005063</v>
          </cell>
          <cell r="B2519">
            <v>1</v>
          </cell>
          <cell r="C2519">
            <v>5800</v>
          </cell>
          <cell r="D2519" t="str">
            <v>28.06.1998</v>
          </cell>
          <cell r="E2519">
            <v>0</v>
          </cell>
          <cell r="F2519">
            <v>98050190</v>
          </cell>
        </row>
        <row r="2520">
          <cell r="A2520">
            <v>3400005107</v>
          </cell>
          <cell r="B2520">
            <v>1</v>
          </cell>
          <cell r="C2520">
            <v>5800</v>
          </cell>
          <cell r="D2520" t="str">
            <v>16.07.1998</v>
          </cell>
          <cell r="E2520">
            <v>1</v>
          </cell>
          <cell r="F2520">
            <v>98050211</v>
          </cell>
        </row>
      </sheetData>
      <sheetData sheetId="1" refreshError="1">
        <row r="1">
          <cell r="A1" t="str">
            <v>asset_serial</v>
          </cell>
          <cell r="B1" t="str">
            <v>cc</v>
          </cell>
          <cell r="C1" t="str">
            <v>number</v>
          </cell>
        </row>
        <row r="2">
          <cell r="A2">
            <v>3400002472</v>
          </cell>
          <cell r="B2">
            <v>61203</v>
          </cell>
          <cell r="C2">
            <v>1</v>
          </cell>
        </row>
        <row r="3">
          <cell r="A3">
            <v>3400002473</v>
          </cell>
          <cell r="B3">
            <v>61203</v>
          </cell>
          <cell r="C3">
            <v>1</v>
          </cell>
        </row>
        <row r="4">
          <cell r="A4">
            <v>3400002474</v>
          </cell>
          <cell r="B4">
            <v>61161</v>
          </cell>
          <cell r="C4">
            <v>1</v>
          </cell>
        </row>
        <row r="5">
          <cell r="A5">
            <v>3400002475</v>
          </cell>
          <cell r="B5">
            <v>61161</v>
          </cell>
          <cell r="C5">
            <v>1</v>
          </cell>
        </row>
        <row r="6">
          <cell r="A6">
            <v>3400002476</v>
          </cell>
          <cell r="B6">
            <v>61161</v>
          </cell>
          <cell r="C6">
            <v>2</v>
          </cell>
        </row>
        <row r="7">
          <cell r="A7">
            <v>3400002477</v>
          </cell>
          <cell r="B7">
            <v>61206</v>
          </cell>
          <cell r="C7">
            <v>36</v>
          </cell>
        </row>
        <row r="8">
          <cell r="A8">
            <v>3400002478</v>
          </cell>
          <cell r="B8">
            <v>61203</v>
          </cell>
          <cell r="C8">
            <v>1</v>
          </cell>
        </row>
        <row r="9">
          <cell r="A9">
            <v>3400002479</v>
          </cell>
          <cell r="B9">
            <v>61161</v>
          </cell>
          <cell r="C9">
            <v>1</v>
          </cell>
        </row>
        <row r="10">
          <cell r="A10">
            <v>3400002480</v>
          </cell>
          <cell r="B10">
            <v>61206</v>
          </cell>
          <cell r="C10">
            <v>1</v>
          </cell>
        </row>
        <row r="11">
          <cell r="A11">
            <v>3400002481</v>
          </cell>
          <cell r="B11">
            <v>61206</v>
          </cell>
          <cell r="C11">
            <v>14</v>
          </cell>
        </row>
        <row r="12">
          <cell r="A12">
            <v>3400002482</v>
          </cell>
          <cell r="B12">
            <v>61206</v>
          </cell>
          <cell r="C12">
            <v>1</v>
          </cell>
        </row>
        <row r="13">
          <cell r="A13">
            <v>3400002483</v>
          </cell>
          <cell r="B13">
            <v>61162</v>
          </cell>
          <cell r="C13">
            <v>1</v>
          </cell>
        </row>
        <row r="14">
          <cell r="A14">
            <v>3400002484</v>
          </cell>
          <cell r="B14">
            <v>61206</v>
          </cell>
          <cell r="C14">
            <v>1</v>
          </cell>
        </row>
        <row r="15">
          <cell r="A15">
            <v>3400002485</v>
          </cell>
          <cell r="B15">
            <v>61161</v>
          </cell>
          <cell r="C15">
            <v>1</v>
          </cell>
        </row>
        <row r="16">
          <cell r="A16">
            <v>3400002486</v>
          </cell>
          <cell r="B16">
            <v>61206</v>
          </cell>
          <cell r="C16">
            <v>1</v>
          </cell>
        </row>
        <row r="17">
          <cell r="A17">
            <v>3400002487</v>
          </cell>
          <cell r="B17">
            <v>61200</v>
          </cell>
          <cell r="C17">
            <v>1</v>
          </cell>
        </row>
        <row r="18">
          <cell r="A18">
            <v>3400002488</v>
          </cell>
          <cell r="B18">
            <v>61206</v>
          </cell>
          <cell r="C18">
            <v>1</v>
          </cell>
        </row>
        <row r="19">
          <cell r="A19">
            <v>3400002489</v>
          </cell>
          <cell r="B19">
            <v>61206</v>
          </cell>
          <cell r="C19">
            <v>1</v>
          </cell>
        </row>
        <row r="20">
          <cell r="A20">
            <v>3400002490</v>
          </cell>
          <cell r="B20">
            <v>61206</v>
          </cell>
          <cell r="C20">
            <v>1</v>
          </cell>
        </row>
        <row r="21">
          <cell r="A21">
            <v>3400002491</v>
          </cell>
          <cell r="B21">
            <v>61206</v>
          </cell>
          <cell r="C21">
            <v>1</v>
          </cell>
        </row>
        <row r="22">
          <cell r="A22">
            <v>3400002492</v>
          </cell>
          <cell r="B22">
            <v>61206</v>
          </cell>
          <cell r="C22">
            <v>58</v>
          </cell>
        </row>
        <row r="23">
          <cell r="A23">
            <v>3400002493</v>
          </cell>
          <cell r="B23">
            <v>61161</v>
          </cell>
          <cell r="C23">
            <v>25</v>
          </cell>
        </row>
        <row r="24">
          <cell r="A24">
            <v>3400002494</v>
          </cell>
          <cell r="B24">
            <v>61206</v>
          </cell>
          <cell r="C24">
            <v>1</v>
          </cell>
        </row>
        <row r="25">
          <cell r="A25">
            <v>3400002495</v>
          </cell>
          <cell r="B25">
            <v>61162</v>
          </cell>
          <cell r="C25">
            <v>1</v>
          </cell>
        </row>
        <row r="26">
          <cell r="A26">
            <v>3400002496</v>
          </cell>
          <cell r="B26">
            <v>61206</v>
          </cell>
          <cell r="C26">
            <v>36</v>
          </cell>
        </row>
        <row r="27">
          <cell r="A27">
            <v>3400002497</v>
          </cell>
          <cell r="B27">
            <v>61203</v>
          </cell>
          <cell r="C27">
            <v>1</v>
          </cell>
        </row>
        <row r="28">
          <cell r="A28">
            <v>3400002498</v>
          </cell>
          <cell r="B28">
            <v>61203</v>
          </cell>
          <cell r="C28">
            <v>1</v>
          </cell>
        </row>
        <row r="29">
          <cell r="A29">
            <v>3400002499</v>
          </cell>
          <cell r="B29">
            <v>61201</v>
          </cell>
          <cell r="C29">
            <v>1</v>
          </cell>
        </row>
        <row r="30">
          <cell r="A30">
            <v>3400002500</v>
          </cell>
          <cell r="B30">
            <v>61159</v>
          </cell>
          <cell r="C30">
            <v>1</v>
          </cell>
        </row>
        <row r="31">
          <cell r="A31">
            <v>3400002501</v>
          </cell>
          <cell r="B31">
            <v>61206</v>
          </cell>
          <cell r="C31">
            <v>1</v>
          </cell>
        </row>
        <row r="32">
          <cell r="A32">
            <v>3400002502</v>
          </cell>
          <cell r="B32">
            <v>61206</v>
          </cell>
          <cell r="C32">
            <v>1</v>
          </cell>
        </row>
        <row r="33">
          <cell r="A33">
            <v>3400002503</v>
          </cell>
          <cell r="B33">
            <v>61161</v>
          </cell>
          <cell r="C33">
            <v>1</v>
          </cell>
        </row>
        <row r="34">
          <cell r="A34">
            <v>3400002504</v>
          </cell>
          <cell r="B34">
            <v>61161</v>
          </cell>
          <cell r="C34">
            <v>1</v>
          </cell>
        </row>
        <row r="35">
          <cell r="A35">
            <v>3400002505</v>
          </cell>
          <cell r="B35">
            <v>61206</v>
          </cell>
          <cell r="C35">
            <v>3</v>
          </cell>
        </row>
        <row r="36">
          <cell r="A36">
            <v>3400002506</v>
          </cell>
          <cell r="B36">
            <v>61206</v>
          </cell>
          <cell r="C36">
            <v>38</v>
          </cell>
        </row>
        <row r="37">
          <cell r="A37">
            <v>3400002507</v>
          </cell>
          <cell r="B37">
            <v>61161</v>
          </cell>
          <cell r="C37">
            <v>1</v>
          </cell>
        </row>
        <row r="38">
          <cell r="A38">
            <v>3400002508</v>
          </cell>
          <cell r="B38">
            <v>61206</v>
          </cell>
          <cell r="C38">
            <v>11</v>
          </cell>
        </row>
        <row r="39">
          <cell r="A39">
            <v>3400002509</v>
          </cell>
          <cell r="B39">
            <v>61157</v>
          </cell>
          <cell r="C39">
            <v>16</v>
          </cell>
        </row>
        <row r="40">
          <cell r="A40">
            <v>3400002510</v>
          </cell>
          <cell r="B40">
            <v>61206</v>
          </cell>
          <cell r="C40">
            <v>5</v>
          </cell>
        </row>
        <row r="41">
          <cell r="A41">
            <v>3400002511</v>
          </cell>
          <cell r="B41">
            <v>61203</v>
          </cell>
          <cell r="C41">
            <v>1</v>
          </cell>
        </row>
        <row r="42">
          <cell r="A42">
            <v>3400002512</v>
          </cell>
          <cell r="B42">
            <v>61206</v>
          </cell>
          <cell r="C42">
            <v>20</v>
          </cell>
        </row>
        <row r="43">
          <cell r="A43">
            <v>3400002513</v>
          </cell>
          <cell r="B43">
            <v>61206</v>
          </cell>
          <cell r="C43">
            <v>1</v>
          </cell>
        </row>
        <row r="44">
          <cell r="A44">
            <v>3400002514</v>
          </cell>
          <cell r="B44">
            <v>61159</v>
          </cell>
          <cell r="C44">
            <v>1</v>
          </cell>
        </row>
        <row r="45">
          <cell r="A45">
            <v>3400002515</v>
          </cell>
          <cell r="B45">
            <v>61104</v>
          </cell>
          <cell r="C45">
            <v>6</v>
          </cell>
        </row>
        <row r="46">
          <cell r="A46">
            <v>3400002516</v>
          </cell>
          <cell r="B46">
            <v>61157</v>
          </cell>
          <cell r="C46">
            <v>2</v>
          </cell>
        </row>
        <row r="47">
          <cell r="A47">
            <v>3400002517</v>
          </cell>
          <cell r="B47">
            <v>61161</v>
          </cell>
          <cell r="C47">
            <v>1</v>
          </cell>
        </row>
        <row r="48">
          <cell r="A48">
            <v>3400002518</v>
          </cell>
          <cell r="B48">
            <v>61161</v>
          </cell>
          <cell r="C48">
            <v>2</v>
          </cell>
        </row>
        <row r="49">
          <cell r="A49">
            <v>3400002519</v>
          </cell>
          <cell r="B49">
            <v>61206</v>
          </cell>
          <cell r="C49">
            <v>2</v>
          </cell>
        </row>
        <row r="50">
          <cell r="A50">
            <v>3400002520</v>
          </cell>
          <cell r="B50">
            <v>61206</v>
          </cell>
          <cell r="C50">
            <v>1</v>
          </cell>
        </row>
        <row r="51">
          <cell r="A51">
            <v>3400002521</v>
          </cell>
          <cell r="B51">
            <v>61206</v>
          </cell>
          <cell r="C51">
            <v>1</v>
          </cell>
        </row>
        <row r="52">
          <cell r="A52">
            <v>3400002522</v>
          </cell>
          <cell r="B52">
            <v>61162</v>
          </cell>
          <cell r="C52">
            <v>1</v>
          </cell>
        </row>
        <row r="53">
          <cell r="A53">
            <v>3400002523</v>
          </cell>
          <cell r="B53">
            <v>61206</v>
          </cell>
          <cell r="C53">
            <v>1</v>
          </cell>
        </row>
        <row r="54">
          <cell r="A54">
            <v>3400002524</v>
          </cell>
          <cell r="B54">
            <v>61161</v>
          </cell>
          <cell r="C54">
            <v>1</v>
          </cell>
        </row>
        <row r="55">
          <cell r="A55">
            <v>3400002525</v>
          </cell>
          <cell r="B55">
            <v>61161</v>
          </cell>
          <cell r="C55">
            <v>1</v>
          </cell>
        </row>
        <row r="56">
          <cell r="A56">
            <v>3400002526</v>
          </cell>
          <cell r="B56">
            <v>61206</v>
          </cell>
          <cell r="C56">
            <v>1</v>
          </cell>
        </row>
        <row r="57">
          <cell r="A57">
            <v>3400002527</v>
          </cell>
          <cell r="B57">
            <v>61206</v>
          </cell>
          <cell r="C57">
            <v>1</v>
          </cell>
        </row>
        <row r="58">
          <cell r="A58">
            <v>3400002528</v>
          </cell>
          <cell r="B58">
            <v>61151</v>
          </cell>
          <cell r="C58">
            <v>1</v>
          </cell>
        </row>
        <row r="59">
          <cell r="A59">
            <v>3400002529</v>
          </cell>
          <cell r="B59">
            <v>61206</v>
          </cell>
          <cell r="C59">
            <v>1</v>
          </cell>
        </row>
        <row r="60">
          <cell r="A60">
            <v>3400002530</v>
          </cell>
          <cell r="B60">
            <v>61157</v>
          </cell>
          <cell r="C60">
            <v>1</v>
          </cell>
        </row>
        <row r="61">
          <cell r="A61">
            <v>3400002531</v>
          </cell>
          <cell r="B61">
            <v>61162</v>
          </cell>
          <cell r="C61">
            <v>2</v>
          </cell>
        </row>
        <row r="62">
          <cell r="A62">
            <v>3400002532</v>
          </cell>
          <cell r="B62">
            <v>61206</v>
          </cell>
          <cell r="C62">
            <v>1</v>
          </cell>
        </row>
        <row r="63">
          <cell r="A63">
            <v>3400002533</v>
          </cell>
          <cell r="B63">
            <v>61206</v>
          </cell>
          <cell r="C63">
            <v>2</v>
          </cell>
        </row>
        <row r="64">
          <cell r="A64">
            <v>3400002534</v>
          </cell>
          <cell r="B64">
            <v>61150</v>
          </cell>
          <cell r="C64">
            <v>37</v>
          </cell>
        </row>
        <row r="65">
          <cell r="A65">
            <v>3400002535</v>
          </cell>
          <cell r="B65">
            <v>61206</v>
          </cell>
          <cell r="C65">
            <v>1</v>
          </cell>
        </row>
        <row r="66">
          <cell r="A66">
            <v>3400002536</v>
          </cell>
          <cell r="B66">
            <v>61206</v>
          </cell>
          <cell r="C66">
            <v>1</v>
          </cell>
        </row>
        <row r="67">
          <cell r="A67">
            <v>3400002537</v>
          </cell>
          <cell r="B67">
            <v>61206</v>
          </cell>
          <cell r="C67">
            <v>9</v>
          </cell>
        </row>
        <row r="68">
          <cell r="A68">
            <v>3400002538</v>
          </cell>
          <cell r="B68">
            <v>61206</v>
          </cell>
          <cell r="C68">
            <v>2</v>
          </cell>
        </row>
        <row r="69">
          <cell r="A69">
            <v>3400002539</v>
          </cell>
          <cell r="B69">
            <v>61206</v>
          </cell>
          <cell r="C69">
            <v>29</v>
          </cell>
        </row>
        <row r="70">
          <cell r="A70">
            <v>3400002540</v>
          </cell>
          <cell r="B70">
            <v>61101</v>
          </cell>
          <cell r="C70">
            <v>1</v>
          </cell>
        </row>
        <row r="71">
          <cell r="A71">
            <v>3400002541</v>
          </cell>
          <cell r="B71">
            <v>61206</v>
          </cell>
          <cell r="C71">
            <v>1</v>
          </cell>
        </row>
        <row r="72">
          <cell r="A72">
            <v>3400002542</v>
          </cell>
          <cell r="B72">
            <v>61101</v>
          </cell>
          <cell r="C72">
            <v>1</v>
          </cell>
        </row>
        <row r="73">
          <cell r="A73">
            <v>3400002543</v>
          </cell>
          <cell r="B73">
            <v>61112</v>
          </cell>
          <cell r="C73">
            <v>1</v>
          </cell>
        </row>
        <row r="74">
          <cell r="A74">
            <v>3400002544</v>
          </cell>
          <cell r="B74">
            <v>61112</v>
          </cell>
          <cell r="C74">
            <v>1</v>
          </cell>
        </row>
        <row r="75">
          <cell r="A75">
            <v>3400002545</v>
          </cell>
          <cell r="B75">
            <v>61112</v>
          </cell>
          <cell r="C75">
            <v>1</v>
          </cell>
        </row>
        <row r="76">
          <cell r="A76">
            <v>3400002546</v>
          </cell>
          <cell r="B76">
            <v>61112</v>
          </cell>
          <cell r="C76">
            <v>1</v>
          </cell>
        </row>
        <row r="77">
          <cell r="A77">
            <v>3400002547</v>
          </cell>
          <cell r="B77">
            <v>61206</v>
          </cell>
          <cell r="C77">
            <v>1</v>
          </cell>
        </row>
        <row r="78">
          <cell r="A78">
            <v>3400002548</v>
          </cell>
          <cell r="B78">
            <v>61161</v>
          </cell>
          <cell r="C78">
            <v>1</v>
          </cell>
        </row>
        <row r="79">
          <cell r="A79">
            <v>3400002549</v>
          </cell>
          <cell r="B79">
            <v>61161</v>
          </cell>
          <cell r="C79">
            <v>1</v>
          </cell>
        </row>
        <row r="80">
          <cell r="A80">
            <v>3400002550</v>
          </cell>
          <cell r="B80">
            <v>61100</v>
          </cell>
          <cell r="C80">
            <v>1</v>
          </cell>
        </row>
        <row r="81">
          <cell r="A81">
            <v>3400002551</v>
          </cell>
          <cell r="B81">
            <v>61161</v>
          </cell>
          <cell r="C81">
            <v>1</v>
          </cell>
        </row>
        <row r="82">
          <cell r="A82">
            <v>3400002552</v>
          </cell>
          <cell r="B82">
            <v>61161</v>
          </cell>
          <cell r="C82">
            <v>1</v>
          </cell>
        </row>
        <row r="83">
          <cell r="A83">
            <v>3400002553</v>
          </cell>
          <cell r="B83">
            <v>61161</v>
          </cell>
          <cell r="C83">
            <v>1</v>
          </cell>
        </row>
        <row r="84">
          <cell r="A84">
            <v>3400002554</v>
          </cell>
          <cell r="B84">
            <v>61161</v>
          </cell>
          <cell r="C84">
            <v>1</v>
          </cell>
        </row>
        <row r="85">
          <cell r="A85">
            <v>3400002555</v>
          </cell>
          <cell r="B85">
            <v>61161</v>
          </cell>
          <cell r="C85">
            <v>1</v>
          </cell>
        </row>
        <row r="86">
          <cell r="A86">
            <v>3400002556</v>
          </cell>
          <cell r="B86">
            <v>61206</v>
          </cell>
          <cell r="C86">
            <v>3</v>
          </cell>
        </row>
        <row r="87">
          <cell r="A87">
            <v>3400002557</v>
          </cell>
          <cell r="B87">
            <v>61206</v>
          </cell>
          <cell r="C87">
            <v>3</v>
          </cell>
        </row>
        <row r="88">
          <cell r="A88">
            <v>3400002558</v>
          </cell>
          <cell r="B88">
            <v>61206</v>
          </cell>
          <cell r="C88">
            <v>1</v>
          </cell>
        </row>
        <row r="89">
          <cell r="A89">
            <v>3400002559</v>
          </cell>
          <cell r="B89">
            <v>61161</v>
          </cell>
          <cell r="C89">
            <v>2</v>
          </cell>
        </row>
        <row r="90">
          <cell r="A90">
            <v>3400002560</v>
          </cell>
          <cell r="B90">
            <v>61206</v>
          </cell>
          <cell r="C90">
            <v>11</v>
          </cell>
        </row>
        <row r="91">
          <cell r="A91">
            <v>3400002561</v>
          </cell>
          <cell r="B91">
            <v>61104</v>
          </cell>
          <cell r="C91">
            <v>33</v>
          </cell>
        </row>
        <row r="92">
          <cell r="A92">
            <v>3400002562</v>
          </cell>
          <cell r="B92">
            <v>61206</v>
          </cell>
          <cell r="C92">
            <v>21</v>
          </cell>
        </row>
        <row r="93">
          <cell r="A93">
            <v>3400002563</v>
          </cell>
          <cell r="B93">
            <v>61104</v>
          </cell>
          <cell r="C93">
            <v>4</v>
          </cell>
        </row>
        <row r="94">
          <cell r="A94">
            <v>3400002564</v>
          </cell>
          <cell r="B94">
            <v>61206</v>
          </cell>
          <cell r="C94">
            <v>1</v>
          </cell>
        </row>
        <row r="95">
          <cell r="A95">
            <v>3400002565</v>
          </cell>
          <cell r="B95">
            <v>61162</v>
          </cell>
          <cell r="C95">
            <v>1</v>
          </cell>
        </row>
        <row r="96">
          <cell r="A96">
            <v>3400002566</v>
          </cell>
          <cell r="B96">
            <v>61206</v>
          </cell>
          <cell r="C96">
            <v>1</v>
          </cell>
        </row>
        <row r="97">
          <cell r="A97">
            <v>3400002567</v>
          </cell>
          <cell r="B97">
            <v>61200</v>
          </cell>
          <cell r="C97">
            <v>58</v>
          </cell>
        </row>
        <row r="98">
          <cell r="A98">
            <v>3400002568</v>
          </cell>
          <cell r="B98">
            <v>61155</v>
          </cell>
          <cell r="C98">
            <v>1</v>
          </cell>
        </row>
        <row r="99">
          <cell r="A99">
            <v>3400002569</v>
          </cell>
          <cell r="B99">
            <v>61208</v>
          </cell>
          <cell r="C99">
            <v>1</v>
          </cell>
        </row>
        <row r="100">
          <cell r="A100">
            <v>3400002570</v>
          </cell>
          <cell r="B100">
            <v>61159</v>
          </cell>
          <cell r="C100">
            <v>1</v>
          </cell>
        </row>
        <row r="101">
          <cell r="A101">
            <v>3400002571</v>
          </cell>
          <cell r="B101">
            <v>61160</v>
          </cell>
          <cell r="C101">
            <v>1</v>
          </cell>
        </row>
        <row r="102">
          <cell r="A102">
            <v>3400002572</v>
          </cell>
          <cell r="B102">
            <v>61100</v>
          </cell>
          <cell r="C102">
            <v>1</v>
          </cell>
        </row>
        <row r="103">
          <cell r="A103">
            <v>3400002573</v>
          </cell>
          <cell r="B103">
            <v>61155</v>
          </cell>
          <cell r="C103">
            <v>1</v>
          </cell>
        </row>
        <row r="104">
          <cell r="A104">
            <v>3400002574</v>
          </cell>
          <cell r="B104">
            <v>61154</v>
          </cell>
          <cell r="C104">
            <v>1</v>
          </cell>
        </row>
        <row r="105">
          <cell r="A105">
            <v>3400002575</v>
          </cell>
          <cell r="B105">
            <v>61160</v>
          </cell>
          <cell r="C105">
            <v>1</v>
          </cell>
        </row>
        <row r="106">
          <cell r="A106">
            <v>3400002576</v>
          </cell>
          <cell r="B106">
            <v>61155</v>
          </cell>
          <cell r="C106">
            <v>1</v>
          </cell>
        </row>
        <row r="107">
          <cell r="A107">
            <v>3400002577</v>
          </cell>
          <cell r="B107">
            <v>61155</v>
          </cell>
          <cell r="C107">
            <v>1</v>
          </cell>
        </row>
        <row r="108">
          <cell r="A108">
            <v>3400002578</v>
          </cell>
          <cell r="B108">
            <v>61155</v>
          </cell>
          <cell r="C108">
            <v>1</v>
          </cell>
        </row>
        <row r="109">
          <cell r="A109">
            <v>3400002579</v>
          </cell>
          <cell r="B109">
            <v>61155</v>
          </cell>
          <cell r="C109">
            <v>1</v>
          </cell>
        </row>
        <row r="110">
          <cell r="A110">
            <v>3400002580</v>
          </cell>
          <cell r="B110">
            <v>61206</v>
          </cell>
          <cell r="C110">
            <v>86</v>
          </cell>
        </row>
        <row r="111">
          <cell r="A111">
            <v>3400002581</v>
          </cell>
          <cell r="B111">
            <v>61206</v>
          </cell>
          <cell r="C111">
            <v>3</v>
          </cell>
        </row>
        <row r="112">
          <cell r="A112">
            <v>3400002582</v>
          </cell>
          <cell r="B112">
            <v>61161</v>
          </cell>
          <cell r="C112">
            <v>1</v>
          </cell>
        </row>
        <row r="113">
          <cell r="A113">
            <v>3400002583</v>
          </cell>
          <cell r="B113">
            <v>61206</v>
          </cell>
          <cell r="C113">
            <v>1</v>
          </cell>
        </row>
        <row r="114">
          <cell r="A114">
            <v>3400002584</v>
          </cell>
          <cell r="B114">
            <v>61150</v>
          </cell>
          <cell r="C114">
            <v>1</v>
          </cell>
        </row>
        <row r="115">
          <cell r="A115">
            <v>3400002585</v>
          </cell>
          <cell r="B115">
            <v>61150</v>
          </cell>
          <cell r="C115">
            <v>1</v>
          </cell>
        </row>
        <row r="116">
          <cell r="A116">
            <v>3400002586</v>
          </cell>
          <cell r="B116">
            <v>61150</v>
          </cell>
          <cell r="C116">
            <v>1</v>
          </cell>
        </row>
        <row r="117">
          <cell r="A117">
            <v>3400002587</v>
          </cell>
          <cell r="B117">
            <v>61150</v>
          </cell>
          <cell r="C117">
            <v>1</v>
          </cell>
        </row>
        <row r="118">
          <cell r="A118">
            <v>3400002588</v>
          </cell>
          <cell r="B118">
            <v>61206</v>
          </cell>
          <cell r="C118">
            <v>1</v>
          </cell>
        </row>
        <row r="119">
          <cell r="A119">
            <v>3400002589</v>
          </cell>
          <cell r="B119">
            <v>61206</v>
          </cell>
          <cell r="C119">
            <v>10</v>
          </cell>
        </row>
        <row r="120">
          <cell r="A120">
            <v>3400002590</v>
          </cell>
          <cell r="B120">
            <v>61203</v>
          </cell>
          <cell r="C120">
            <v>1</v>
          </cell>
        </row>
        <row r="121">
          <cell r="A121">
            <v>3400002591</v>
          </cell>
          <cell r="B121">
            <v>61200</v>
          </cell>
          <cell r="C121">
            <v>3</v>
          </cell>
        </row>
        <row r="122">
          <cell r="A122">
            <v>3400002592</v>
          </cell>
          <cell r="B122">
            <v>61203</v>
          </cell>
          <cell r="C122">
            <v>1</v>
          </cell>
        </row>
        <row r="123">
          <cell r="A123">
            <v>3400002593</v>
          </cell>
          <cell r="B123">
            <v>61206</v>
          </cell>
          <cell r="C123">
            <v>1</v>
          </cell>
        </row>
        <row r="124">
          <cell r="A124">
            <v>3400002594</v>
          </cell>
          <cell r="B124">
            <v>61161</v>
          </cell>
          <cell r="C124">
            <v>1</v>
          </cell>
        </row>
        <row r="125">
          <cell r="A125">
            <v>3400002595</v>
          </cell>
          <cell r="B125">
            <v>61206</v>
          </cell>
          <cell r="C125">
            <v>9</v>
          </cell>
        </row>
        <row r="126">
          <cell r="A126">
            <v>3400002596</v>
          </cell>
          <cell r="B126">
            <v>61161</v>
          </cell>
          <cell r="C126">
            <v>1</v>
          </cell>
        </row>
        <row r="127">
          <cell r="A127">
            <v>3400002597</v>
          </cell>
          <cell r="B127">
            <v>61206</v>
          </cell>
          <cell r="C127">
            <v>19</v>
          </cell>
        </row>
        <row r="128">
          <cell r="A128">
            <v>3400002598</v>
          </cell>
          <cell r="B128">
            <v>61159</v>
          </cell>
          <cell r="C128">
            <v>1</v>
          </cell>
        </row>
        <row r="129">
          <cell r="A129">
            <v>3400002599</v>
          </cell>
          <cell r="B129">
            <v>61206</v>
          </cell>
          <cell r="C129">
            <v>1</v>
          </cell>
        </row>
        <row r="130">
          <cell r="A130">
            <v>3400002600</v>
          </cell>
          <cell r="B130">
            <v>61161</v>
          </cell>
          <cell r="C130">
            <v>1</v>
          </cell>
        </row>
        <row r="131">
          <cell r="A131">
            <v>3400002601</v>
          </cell>
          <cell r="B131">
            <v>61200</v>
          </cell>
          <cell r="C131">
            <v>1</v>
          </cell>
        </row>
        <row r="132">
          <cell r="A132">
            <v>3400002602</v>
          </cell>
          <cell r="B132">
            <v>61162</v>
          </cell>
          <cell r="C132">
            <v>1</v>
          </cell>
        </row>
        <row r="133">
          <cell r="A133">
            <v>3400002603</v>
          </cell>
          <cell r="B133">
            <v>61162</v>
          </cell>
          <cell r="C133">
            <v>1</v>
          </cell>
        </row>
        <row r="134">
          <cell r="A134">
            <v>3400002604</v>
          </cell>
          <cell r="B134">
            <v>61162</v>
          </cell>
          <cell r="C134">
            <v>1</v>
          </cell>
        </row>
        <row r="135">
          <cell r="A135">
            <v>3400002605</v>
          </cell>
          <cell r="B135">
            <v>61162</v>
          </cell>
          <cell r="C135">
            <v>1</v>
          </cell>
        </row>
        <row r="136">
          <cell r="A136">
            <v>3400002606</v>
          </cell>
          <cell r="B136">
            <v>61162</v>
          </cell>
          <cell r="C136">
            <v>1</v>
          </cell>
        </row>
        <row r="137">
          <cell r="A137">
            <v>3400002607</v>
          </cell>
          <cell r="B137">
            <v>61162</v>
          </cell>
          <cell r="C137">
            <v>1</v>
          </cell>
        </row>
        <row r="138">
          <cell r="A138">
            <v>3400002608</v>
          </cell>
          <cell r="B138">
            <v>61206</v>
          </cell>
          <cell r="C138">
            <v>1</v>
          </cell>
        </row>
        <row r="139">
          <cell r="A139">
            <v>3400002609</v>
          </cell>
          <cell r="B139">
            <v>61159</v>
          </cell>
          <cell r="C139">
            <v>1</v>
          </cell>
        </row>
        <row r="140">
          <cell r="A140">
            <v>3400002610</v>
          </cell>
          <cell r="B140">
            <v>61161</v>
          </cell>
          <cell r="C140">
            <v>1</v>
          </cell>
        </row>
        <row r="141">
          <cell r="A141">
            <v>3400002611</v>
          </cell>
          <cell r="B141">
            <v>61161</v>
          </cell>
          <cell r="C141">
            <v>1</v>
          </cell>
        </row>
        <row r="142">
          <cell r="A142">
            <v>3400002612</v>
          </cell>
          <cell r="B142">
            <v>61162</v>
          </cell>
          <cell r="C142">
            <v>16</v>
          </cell>
        </row>
        <row r="143">
          <cell r="A143">
            <v>3400002613</v>
          </cell>
          <cell r="B143">
            <v>61151</v>
          </cell>
          <cell r="C143">
            <v>1</v>
          </cell>
        </row>
        <row r="144">
          <cell r="A144">
            <v>3400002614</v>
          </cell>
          <cell r="B144">
            <v>61206</v>
          </cell>
          <cell r="C144">
            <v>46</v>
          </cell>
        </row>
        <row r="145">
          <cell r="A145">
            <v>3400002615</v>
          </cell>
          <cell r="B145">
            <v>61206</v>
          </cell>
          <cell r="C145">
            <v>6</v>
          </cell>
        </row>
        <row r="146">
          <cell r="A146">
            <v>3400002616</v>
          </cell>
          <cell r="B146">
            <v>61206</v>
          </cell>
          <cell r="C146">
            <v>6</v>
          </cell>
        </row>
        <row r="147">
          <cell r="A147">
            <v>3400002617</v>
          </cell>
          <cell r="B147">
            <v>61150</v>
          </cell>
          <cell r="C147">
            <v>5</v>
          </cell>
        </row>
        <row r="148">
          <cell r="A148">
            <v>3400002618</v>
          </cell>
          <cell r="B148">
            <v>61206</v>
          </cell>
          <cell r="C148">
            <v>1</v>
          </cell>
        </row>
        <row r="149">
          <cell r="A149">
            <v>3400002619</v>
          </cell>
          <cell r="B149">
            <v>61206</v>
          </cell>
          <cell r="C149">
            <v>1</v>
          </cell>
        </row>
        <row r="150">
          <cell r="A150">
            <v>3400002620</v>
          </cell>
          <cell r="B150">
            <v>61206</v>
          </cell>
          <cell r="C150">
            <v>3</v>
          </cell>
        </row>
        <row r="151">
          <cell r="A151">
            <v>3400002621</v>
          </cell>
          <cell r="B151">
            <v>61206</v>
          </cell>
          <cell r="C151">
            <v>32</v>
          </cell>
        </row>
        <row r="152">
          <cell r="A152">
            <v>3400002622</v>
          </cell>
          <cell r="B152">
            <v>61206</v>
          </cell>
          <cell r="C152">
            <v>1</v>
          </cell>
        </row>
        <row r="153">
          <cell r="A153">
            <v>3400002623</v>
          </cell>
          <cell r="B153">
            <v>61206</v>
          </cell>
          <cell r="C153">
            <v>1</v>
          </cell>
        </row>
        <row r="154">
          <cell r="A154">
            <v>3400002624</v>
          </cell>
          <cell r="B154">
            <v>61206</v>
          </cell>
          <cell r="C154">
            <v>1</v>
          </cell>
        </row>
        <row r="155">
          <cell r="A155">
            <v>3400002625</v>
          </cell>
          <cell r="B155">
            <v>61206</v>
          </cell>
          <cell r="C155">
            <v>1</v>
          </cell>
        </row>
        <row r="156">
          <cell r="A156">
            <v>3400002626</v>
          </cell>
          <cell r="B156">
            <v>61206</v>
          </cell>
          <cell r="C156">
            <v>5</v>
          </cell>
        </row>
        <row r="157">
          <cell r="A157">
            <v>3400002627</v>
          </cell>
          <cell r="B157">
            <v>61108</v>
          </cell>
          <cell r="C157">
            <v>1</v>
          </cell>
        </row>
        <row r="158">
          <cell r="A158">
            <v>3400002628</v>
          </cell>
          <cell r="B158">
            <v>61115</v>
          </cell>
          <cell r="C158">
            <v>1</v>
          </cell>
        </row>
        <row r="159">
          <cell r="A159">
            <v>3400002629</v>
          </cell>
          <cell r="B159">
            <v>61206</v>
          </cell>
          <cell r="C159">
            <v>7</v>
          </cell>
        </row>
        <row r="160">
          <cell r="A160">
            <v>3400002630</v>
          </cell>
          <cell r="B160">
            <v>61206</v>
          </cell>
          <cell r="C160">
            <v>152</v>
          </cell>
        </row>
        <row r="161">
          <cell r="A161">
            <v>3400002631</v>
          </cell>
          <cell r="B161">
            <v>61206</v>
          </cell>
          <cell r="C161">
            <v>1</v>
          </cell>
        </row>
        <row r="162">
          <cell r="A162">
            <v>3400002632</v>
          </cell>
          <cell r="B162">
            <v>61154</v>
          </cell>
          <cell r="C162">
            <v>1</v>
          </cell>
        </row>
        <row r="163">
          <cell r="A163">
            <v>3400002633</v>
          </cell>
          <cell r="B163">
            <v>61159</v>
          </cell>
          <cell r="C163">
            <v>1</v>
          </cell>
        </row>
        <row r="164">
          <cell r="A164">
            <v>3400002634</v>
          </cell>
          <cell r="B164">
            <v>61161</v>
          </cell>
          <cell r="C164">
            <v>1</v>
          </cell>
        </row>
        <row r="165">
          <cell r="A165">
            <v>3400002635</v>
          </cell>
          <cell r="B165">
            <v>61155</v>
          </cell>
          <cell r="C165">
            <v>1</v>
          </cell>
        </row>
        <row r="166">
          <cell r="A166">
            <v>3400002636</v>
          </cell>
          <cell r="B166">
            <v>61155</v>
          </cell>
          <cell r="C166">
            <v>1</v>
          </cell>
        </row>
        <row r="167">
          <cell r="A167">
            <v>3400002637</v>
          </cell>
          <cell r="B167">
            <v>61155</v>
          </cell>
          <cell r="C167">
            <v>1</v>
          </cell>
        </row>
        <row r="168">
          <cell r="A168">
            <v>3400002638</v>
          </cell>
          <cell r="B168">
            <v>61201</v>
          </cell>
          <cell r="C168">
            <v>1</v>
          </cell>
        </row>
        <row r="169">
          <cell r="A169">
            <v>3400002639</v>
          </cell>
          <cell r="B169">
            <v>61161</v>
          </cell>
          <cell r="C169">
            <v>1</v>
          </cell>
        </row>
        <row r="170">
          <cell r="A170">
            <v>3400002640</v>
          </cell>
          <cell r="B170">
            <v>61206</v>
          </cell>
          <cell r="C170">
            <v>1</v>
          </cell>
        </row>
        <row r="171">
          <cell r="A171">
            <v>3400002641</v>
          </cell>
          <cell r="B171">
            <v>61157</v>
          </cell>
          <cell r="C171">
            <v>13</v>
          </cell>
        </row>
        <row r="172">
          <cell r="A172">
            <v>3400002642</v>
          </cell>
          <cell r="B172">
            <v>61203</v>
          </cell>
          <cell r="C172">
            <v>1</v>
          </cell>
        </row>
        <row r="173">
          <cell r="A173">
            <v>3400002643</v>
          </cell>
          <cell r="B173">
            <v>61206</v>
          </cell>
          <cell r="C173">
            <v>1</v>
          </cell>
        </row>
        <row r="174">
          <cell r="A174">
            <v>3400002644</v>
          </cell>
          <cell r="B174">
            <v>61206</v>
          </cell>
          <cell r="C174">
            <v>81</v>
          </cell>
        </row>
        <row r="175">
          <cell r="A175">
            <v>3400002645</v>
          </cell>
          <cell r="B175">
            <v>61206</v>
          </cell>
          <cell r="C175">
            <v>1</v>
          </cell>
        </row>
        <row r="176">
          <cell r="A176">
            <v>3400002646</v>
          </cell>
          <cell r="B176">
            <v>61206</v>
          </cell>
          <cell r="C176">
            <v>1</v>
          </cell>
        </row>
        <row r="177">
          <cell r="A177">
            <v>3400002647</v>
          </cell>
          <cell r="B177">
            <v>61206</v>
          </cell>
          <cell r="C177">
            <v>1</v>
          </cell>
        </row>
        <row r="178">
          <cell r="A178">
            <v>3400002648</v>
          </cell>
          <cell r="B178">
            <v>61206</v>
          </cell>
          <cell r="C178">
            <v>1</v>
          </cell>
        </row>
        <row r="179">
          <cell r="A179">
            <v>3400002649</v>
          </cell>
          <cell r="B179">
            <v>61206</v>
          </cell>
          <cell r="C179">
            <v>1</v>
          </cell>
        </row>
        <row r="180">
          <cell r="A180">
            <v>3400002650</v>
          </cell>
          <cell r="B180">
            <v>61206</v>
          </cell>
          <cell r="C180">
            <v>1</v>
          </cell>
        </row>
        <row r="181">
          <cell r="A181">
            <v>3400002651</v>
          </cell>
          <cell r="B181">
            <v>61162</v>
          </cell>
          <cell r="C181">
            <v>1</v>
          </cell>
        </row>
        <row r="182">
          <cell r="A182">
            <v>3400002652</v>
          </cell>
          <cell r="B182">
            <v>61206</v>
          </cell>
          <cell r="C182">
            <v>1</v>
          </cell>
        </row>
        <row r="183">
          <cell r="A183">
            <v>3400002653</v>
          </cell>
          <cell r="B183">
            <v>61206</v>
          </cell>
          <cell r="C183">
            <v>14</v>
          </cell>
        </row>
        <row r="184">
          <cell r="A184">
            <v>3400002654</v>
          </cell>
          <cell r="B184">
            <v>61157</v>
          </cell>
          <cell r="C184">
            <v>1</v>
          </cell>
        </row>
        <row r="185">
          <cell r="A185">
            <v>3400002655</v>
          </cell>
          <cell r="B185">
            <v>61161</v>
          </cell>
          <cell r="C185">
            <v>1</v>
          </cell>
        </row>
        <row r="186">
          <cell r="A186">
            <v>3400002656</v>
          </cell>
          <cell r="B186">
            <v>61203</v>
          </cell>
          <cell r="C186">
            <v>1</v>
          </cell>
        </row>
        <row r="187">
          <cell r="A187">
            <v>3400002657</v>
          </cell>
          <cell r="B187">
            <v>61200</v>
          </cell>
          <cell r="C187">
            <v>1</v>
          </cell>
        </row>
        <row r="188">
          <cell r="A188">
            <v>3400002658</v>
          </cell>
          <cell r="B188">
            <v>61206</v>
          </cell>
          <cell r="C188">
            <v>4</v>
          </cell>
        </row>
        <row r="189">
          <cell r="A189">
            <v>3400002659</v>
          </cell>
          <cell r="B189">
            <v>61150</v>
          </cell>
          <cell r="C189">
            <v>2</v>
          </cell>
        </row>
        <row r="190">
          <cell r="A190">
            <v>3400002660</v>
          </cell>
          <cell r="B190">
            <v>61206</v>
          </cell>
          <cell r="C190">
            <v>2</v>
          </cell>
        </row>
        <row r="191">
          <cell r="A191">
            <v>3400002661</v>
          </cell>
          <cell r="B191">
            <v>61161</v>
          </cell>
          <cell r="C191">
            <v>2</v>
          </cell>
        </row>
        <row r="192">
          <cell r="A192">
            <v>3400002662</v>
          </cell>
          <cell r="B192">
            <v>61161</v>
          </cell>
          <cell r="C192">
            <v>1</v>
          </cell>
        </row>
        <row r="193">
          <cell r="A193">
            <v>3400002663</v>
          </cell>
          <cell r="B193">
            <v>61161</v>
          </cell>
          <cell r="C193">
            <v>1</v>
          </cell>
        </row>
        <row r="194">
          <cell r="A194">
            <v>3400002664</v>
          </cell>
          <cell r="B194">
            <v>61206</v>
          </cell>
          <cell r="C194">
            <v>1</v>
          </cell>
        </row>
        <row r="195">
          <cell r="A195">
            <v>3400002665</v>
          </cell>
          <cell r="B195">
            <v>61206</v>
          </cell>
          <cell r="C195">
            <v>1</v>
          </cell>
        </row>
        <row r="196">
          <cell r="A196">
            <v>3400002666</v>
          </cell>
          <cell r="B196">
            <v>61206</v>
          </cell>
          <cell r="C196">
            <v>1</v>
          </cell>
        </row>
        <row r="197">
          <cell r="A197">
            <v>3400002667</v>
          </cell>
          <cell r="B197">
            <v>61206</v>
          </cell>
          <cell r="C197">
            <v>1</v>
          </cell>
        </row>
        <row r="198">
          <cell r="A198">
            <v>3400002668</v>
          </cell>
          <cell r="B198">
            <v>61161</v>
          </cell>
          <cell r="C198">
            <v>1</v>
          </cell>
        </row>
        <row r="199">
          <cell r="A199">
            <v>3400002669</v>
          </cell>
          <cell r="B199">
            <v>61161</v>
          </cell>
          <cell r="C199">
            <v>1</v>
          </cell>
        </row>
        <row r="200">
          <cell r="A200">
            <v>3400002670</v>
          </cell>
          <cell r="B200">
            <v>61159</v>
          </cell>
          <cell r="C200">
            <v>2</v>
          </cell>
        </row>
        <row r="201">
          <cell r="A201">
            <v>3400002671</v>
          </cell>
          <cell r="B201">
            <v>61206</v>
          </cell>
          <cell r="C201">
            <v>2</v>
          </cell>
        </row>
        <row r="202">
          <cell r="A202">
            <v>3400002672</v>
          </cell>
          <cell r="B202">
            <v>61206</v>
          </cell>
          <cell r="C202">
            <v>199</v>
          </cell>
        </row>
        <row r="203">
          <cell r="A203">
            <v>3400002673</v>
          </cell>
          <cell r="B203">
            <v>61157</v>
          </cell>
          <cell r="C203">
            <v>7</v>
          </cell>
        </row>
        <row r="204">
          <cell r="A204">
            <v>3400002674</v>
          </cell>
          <cell r="B204">
            <v>61155</v>
          </cell>
          <cell r="C204">
            <v>1</v>
          </cell>
        </row>
        <row r="205">
          <cell r="A205">
            <v>3400002675</v>
          </cell>
          <cell r="B205">
            <v>61157</v>
          </cell>
          <cell r="C205">
            <v>1</v>
          </cell>
        </row>
        <row r="206">
          <cell r="A206">
            <v>3400002676</v>
          </cell>
          <cell r="B206">
            <v>61206</v>
          </cell>
          <cell r="C206">
            <v>69</v>
          </cell>
        </row>
        <row r="207">
          <cell r="A207">
            <v>3400002677</v>
          </cell>
          <cell r="B207">
            <v>61161</v>
          </cell>
          <cell r="C207">
            <v>4</v>
          </cell>
        </row>
        <row r="208">
          <cell r="A208">
            <v>3400002678</v>
          </cell>
          <cell r="B208">
            <v>61150</v>
          </cell>
          <cell r="C208">
            <v>362</v>
          </cell>
        </row>
        <row r="209">
          <cell r="A209">
            <v>3400002679</v>
          </cell>
          <cell r="B209">
            <v>61206</v>
          </cell>
          <cell r="C209">
            <v>125</v>
          </cell>
        </row>
        <row r="210">
          <cell r="A210">
            <v>3400002680</v>
          </cell>
          <cell r="B210">
            <v>61200</v>
          </cell>
          <cell r="C210">
            <v>12</v>
          </cell>
        </row>
        <row r="211">
          <cell r="A211">
            <v>3400002681</v>
          </cell>
          <cell r="B211">
            <v>61200</v>
          </cell>
          <cell r="C211">
            <v>3</v>
          </cell>
        </row>
        <row r="212">
          <cell r="A212">
            <v>3400002682</v>
          </cell>
          <cell r="B212">
            <v>61162</v>
          </cell>
          <cell r="C212">
            <v>1</v>
          </cell>
        </row>
        <row r="213">
          <cell r="A213">
            <v>3400002683</v>
          </cell>
          <cell r="B213">
            <v>61206</v>
          </cell>
          <cell r="C213">
            <v>1</v>
          </cell>
        </row>
        <row r="214">
          <cell r="A214">
            <v>3400002684</v>
          </cell>
          <cell r="B214">
            <v>61158</v>
          </cell>
          <cell r="C214">
            <v>1</v>
          </cell>
        </row>
        <row r="215">
          <cell r="A215">
            <v>3400002685</v>
          </cell>
          <cell r="B215">
            <v>61160</v>
          </cell>
          <cell r="C215">
            <v>1</v>
          </cell>
        </row>
        <row r="216">
          <cell r="A216">
            <v>3400002686</v>
          </cell>
          <cell r="B216">
            <v>61160</v>
          </cell>
          <cell r="C216">
            <v>1</v>
          </cell>
        </row>
        <row r="217">
          <cell r="A217">
            <v>3400002687</v>
          </cell>
          <cell r="B217">
            <v>61100</v>
          </cell>
          <cell r="C217">
            <v>1</v>
          </cell>
        </row>
        <row r="218">
          <cell r="A218">
            <v>3400002688</v>
          </cell>
          <cell r="B218">
            <v>61200</v>
          </cell>
          <cell r="C218">
            <v>5</v>
          </cell>
        </row>
        <row r="219">
          <cell r="A219">
            <v>3400002689</v>
          </cell>
          <cell r="B219">
            <v>61161</v>
          </cell>
          <cell r="C219">
            <v>1</v>
          </cell>
        </row>
        <row r="220">
          <cell r="A220">
            <v>3400002690</v>
          </cell>
          <cell r="B220">
            <v>61161</v>
          </cell>
          <cell r="C220">
            <v>2</v>
          </cell>
        </row>
        <row r="221">
          <cell r="A221">
            <v>3400002691</v>
          </cell>
          <cell r="B221">
            <v>61206</v>
          </cell>
          <cell r="C221">
            <v>1</v>
          </cell>
        </row>
        <row r="222">
          <cell r="A222">
            <v>3400002692</v>
          </cell>
          <cell r="B222">
            <v>61150</v>
          </cell>
          <cell r="C222">
            <v>1</v>
          </cell>
        </row>
        <row r="223">
          <cell r="A223">
            <v>3400002693</v>
          </cell>
          <cell r="B223">
            <v>61200</v>
          </cell>
          <cell r="C223">
            <v>1</v>
          </cell>
        </row>
        <row r="224">
          <cell r="A224">
            <v>3400002694</v>
          </cell>
          <cell r="B224">
            <v>61161</v>
          </cell>
          <cell r="C224">
            <v>1</v>
          </cell>
        </row>
        <row r="225">
          <cell r="A225">
            <v>3400002695</v>
          </cell>
          <cell r="B225">
            <v>61153</v>
          </cell>
          <cell r="C225">
            <v>1</v>
          </cell>
        </row>
        <row r="226">
          <cell r="A226">
            <v>3400002696</v>
          </cell>
          <cell r="B226">
            <v>61150</v>
          </cell>
          <cell r="C226">
            <v>275</v>
          </cell>
        </row>
        <row r="227">
          <cell r="A227">
            <v>3400002697</v>
          </cell>
          <cell r="B227">
            <v>61150</v>
          </cell>
          <cell r="C227">
            <v>260</v>
          </cell>
        </row>
        <row r="228">
          <cell r="A228">
            <v>3400002698</v>
          </cell>
          <cell r="B228">
            <v>61206</v>
          </cell>
          <cell r="C228">
            <v>30</v>
          </cell>
        </row>
        <row r="229">
          <cell r="A229">
            <v>3400002699</v>
          </cell>
          <cell r="B229">
            <v>61161</v>
          </cell>
          <cell r="C229">
            <v>4</v>
          </cell>
        </row>
        <row r="230">
          <cell r="A230">
            <v>3400002700</v>
          </cell>
          <cell r="B230">
            <v>61203</v>
          </cell>
          <cell r="C230">
            <v>1</v>
          </cell>
        </row>
        <row r="231">
          <cell r="A231">
            <v>3400002701</v>
          </cell>
          <cell r="B231">
            <v>61206</v>
          </cell>
          <cell r="C231">
            <v>8</v>
          </cell>
        </row>
        <row r="232">
          <cell r="A232">
            <v>3400002702</v>
          </cell>
          <cell r="B232">
            <v>61206</v>
          </cell>
          <cell r="C232">
            <v>3</v>
          </cell>
        </row>
        <row r="233">
          <cell r="A233">
            <v>3400002703</v>
          </cell>
          <cell r="B233">
            <v>61161</v>
          </cell>
          <cell r="C233">
            <v>2</v>
          </cell>
        </row>
        <row r="234">
          <cell r="A234">
            <v>3400002704</v>
          </cell>
          <cell r="B234">
            <v>61161</v>
          </cell>
          <cell r="C234">
            <v>1</v>
          </cell>
        </row>
        <row r="235">
          <cell r="A235">
            <v>3400002705</v>
          </cell>
          <cell r="B235">
            <v>61157</v>
          </cell>
          <cell r="C235">
            <v>1</v>
          </cell>
        </row>
        <row r="236">
          <cell r="A236">
            <v>3400002706</v>
          </cell>
          <cell r="B236">
            <v>61206</v>
          </cell>
          <cell r="C236">
            <v>1</v>
          </cell>
        </row>
        <row r="237">
          <cell r="A237">
            <v>3400002707</v>
          </cell>
          <cell r="B237">
            <v>61206</v>
          </cell>
          <cell r="C237">
            <v>6</v>
          </cell>
        </row>
        <row r="238">
          <cell r="A238">
            <v>3400002708</v>
          </cell>
          <cell r="B238">
            <v>61206</v>
          </cell>
          <cell r="C238">
            <v>39</v>
          </cell>
        </row>
        <row r="239">
          <cell r="A239">
            <v>3400002709</v>
          </cell>
          <cell r="B239">
            <v>61157</v>
          </cell>
          <cell r="C239">
            <v>1</v>
          </cell>
        </row>
        <row r="240">
          <cell r="A240">
            <v>3400002710</v>
          </cell>
          <cell r="B240">
            <v>61200</v>
          </cell>
          <cell r="C240">
            <v>1</v>
          </cell>
        </row>
        <row r="241">
          <cell r="A241">
            <v>3400002711</v>
          </cell>
          <cell r="B241">
            <v>61200</v>
          </cell>
          <cell r="C241">
            <v>1</v>
          </cell>
        </row>
        <row r="242">
          <cell r="A242">
            <v>3400002712</v>
          </cell>
          <cell r="B242">
            <v>61200</v>
          </cell>
          <cell r="C242">
            <v>1</v>
          </cell>
        </row>
        <row r="243">
          <cell r="A243">
            <v>3400002713</v>
          </cell>
          <cell r="B243">
            <v>61200</v>
          </cell>
          <cell r="C243">
            <v>1</v>
          </cell>
        </row>
        <row r="244">
          <cell r="A244">
            <v>3400002713</v>
          </cell>
          <cell r="B244">
            <v>61200</v>
          </cell>
          <cell r="C244">
            <v>1</v>
          </cell>
        </row>
        <row r="245">
          <cell r="A245">
            <v>3400002714</v>
          </cell>
          <cell r="B245">
            <v>61200</v>
          </cell>
          <cell r="C245">
            <v>1</v>
          </cell>
        </row>
        <row r="246">
          <cell r="A246">
            <v>3400002715</v>
          </cell>
          <cell r="B246">
            <v>61208</v>
          </cell>
          <cell r="C246">
            <v>1</v>
          </cell>
        </row>
        <row r="247">
          <cell r="A247">
            <v>3400002716</v>
          </cell>
          <cell r="B247">
            <v>61206</v>
          </cell>
          <cell r="C247">
            <v>1</v>
          </cell>
        </row>
        <row r="248">
          <cell r="A248">
            <v>3400002717</v>
          </cell>
          <cell r="B248">
            <v>61206</v>
          </cell>
          <cell r="C248">
            <v>1</v>
          </cell>
        </row>
        <row r="249">
          <cell r="A249">
            <v>3400002718</v>
          </cell>
          <cell r="B249">
            <v>61157</v>
          </cell>
          <cell r="C249">
            <v>1</v>
          </cell>
        </row>
        <row r="250">
          <cell r="A250">
            <v>3400002719</v>
          </cell>
          <cell r="B250">
            <v>61206</v>
          </cell>
          <cell r="C250">
            <v>1</v>
          </cell>
        </row>
        <row r="251">
          <cell r="A251">
            <v>3400002720</v>
          </cell>
          <cell r="B251">
            <v>61200</v>
          </cell>
          <cell r="C251">
            <v>1</v>
          </cell>
        </row>
        <row r="252">
          <cell r="A252">
            <v>3400002721</v>
          </cell>
          <cell r="B252">
            <v>61200</v>
          </cell>
          <cell r="C252">
            <v>1</v>
          </cell>
        </row>
        <row r="253">
          <cell r="A253">
            <v>3400002722</v>
          </cell>
          <cell r="B253">
            <v>61200</v>
          </cell>
          <cell r="C253">
            <v>1</v>
          </cell>
        </row>
        <row r="254">
          <cell r="A254">
            <v>3400002723</v>
          </cell>
          <cell r="B254">
            <v>61200</v>
          </cell>
          <cell r="C254">
            <v>1</v>
          </cell>
        </row>
        <row r="255">
          <cell r="A255">
            <v>3400002724</v>
          </cell>
          <cell r="B255">
            <v>61200</v>
          </cell>
          <cell r="C255">
            <v>1</v>
          </cell>
        </row>
        <row r="256">
          <cell r="A256">
            <v>3400002725</v>
          </cell>
          <cell r="B256">
            <v>61200</v>
          </cell>
          <cell r="C256">
            <v>1</v>
          </cell>
        </row>
        <row r="257">
          <cell r="A257">
            <v>3400002726</v>
          </cell>
          <cell r="B257">
            <v>61200</v>
          </cell>
          <cell r="C257">
            <v>1</v>
          </cell>
        </row>
        <row r="258">
          <cell r="A258">
            <v>3400002727</v>
          </cell>
          <cell r="B258">
            <v>61200</v>
          </cell>
          <cell r="C258">
            <v>1</v>
          </cell>
        </row>
        <row r="259">
          <cell r="A259">
            <v>3400002728</v>
          </cell>
          <cell r="B259">
            <v>61206</v>
          </cell>
          <cell r="C259">
            <v>1</v>
          </cell>
        </row>
        <row r="260">
          <cell r="A260">
            <v>3400002729</v>
          </cell>
          <cell r="B260">
            <v>61206</v>
          </cell>
          <cell r="C260">
            <v>1</v>
          </cell>
        </row>
        <row r="261">
          <cell r="A261">
            <v>3400002730</v>
          </cell>
          <cell r="B261">
            <v>61206</v>
          </cell>
          <cell r="C261">
            <v>1</v>
          </cell>
        </row>
        <row r="262">
          <cell r="A262">
            <v>3400002731</v>
          </cell>
          <cell r="B262">
            <v>61206</v>
          </cell>
          <cell r="C262">
            <v>1</v>
          </cell>
        </row>
        <row r="263">
          <cell r="A263">
            <v>3400002732</v>
          </cell>
          <cell r="B263">
            <v>61206</v>
          </cell>
          <cell r="C263">
            <v>1</v>
          </cell>
        </row>
        <row r="264">
          <cell r="A264">
            <v>3400002733</v>
          </cell>
          <cell r="B264">
            <v>61206</v>
          </cell>
          <cell r="C264">
            <v>1</v>
          </cell>
        </row>
        <row r="265">
          <cell r="A265">
            <v>3400002734</v>
          </cell>
          <cell r="B265">
            <v>61206</v>
          </cell>
          <cell r="C265">
            <v>2</v>
          </cell>
        </row>
        <row r="266">
          <cell r="A266">
            <v>3400002735</v>
          </cell>
          <cell r="B266">
            <v>61206</v>
          </cell>
          <cell r="C266">
            <v>1</v>
          </cell>
        </row>
        <row r="267">
          <cell r="A267">
            <v>3400002736</v>
          </cell>
          <cell r="B267">
            <v>61200</v>
          </cell>
          <cell r="C267">
            <v>1</v>
          </cell>
        </row>
        <row r="268">
          <cell r="A268">
            <v>3400002737</v>
          </cell>
          <cell r="B268">
            <v>61200</v>
          </cell>
          <cell r="C268">
            <v>1</v>
          </cell>
        </row>
        <row r="269">
          <cell r="A269">
            <v>3400002738</v>
          </cell>
          <cell r="B269">
            <v>61200</v>
          </cell>
          <cell r="C269">
            <v>1</v>
          </cell>
        </row>
        <row r="270">
          <cell r="A270">
            <v>3400002739</v>
          </cell>
          <cell r="B270">
            <v>61200</v>
          </cell>
          <cell r="C270">
            <v>1</v>
          </cell>
        </row>
        <row r="271">
          <cell r="A271">
            <v>3400002740</v>
          </cell>
          <cell r="B271">
            <v>61157</v>
          </cell>
          <cell r="C271">
            <v>1</v>
          </cell>
        </row>
        <row r="272">
          <cell r="A272">
            <v>3400002741</v>
          </cell>
          <cell r="B272">
            <v>61206</v>
          </cell>
          <cell r="C272">
            <v>1</v>
          </cell>
        </row>
        <row r="273">
          <cell r="A273">
            <v>3400002742</v>
          </cell>
          <cell r="B273">
            <v>61151</v>
          </cell>
          <cell r="C273">
            <v>1</v>
          </cell>
        </row>
        <row r="274">
          <cell r="A274">
            <v>3400002743</v>
          </cell>
          <cell r="B274">
            <v>61151</v>
          </cell>
          <cell r="C274">
            <v>1</v>
          </cell>
        </row>
        <row r="275">
          <cell r="A275">
            <v>3400002744</v>
          </cell>
          <cell r="B275">
            <v>61157</v>
          </cell>
          <cell r="C275">
            <v>1</v>
          </cell>
        </row>
        <row r="276">
          <cell r="A276">
            <v>3400002745</v>
          </cell>
          <cell r="B276">
            <v>61115</v>
          </cell>
          <cell r="C276">
            <v>2</v>
          </cell>
        </row>
        <row r="277">
          <cell r="A277">
            <v>3400002746</v>
          </cell>
          <cell r="B277">
            <v>61206</v>
          </cell>
          <cell r="C277">
            <v>3</v>
          </cell>
        </row>
        <row r="278">
          <cell r="A278">
            <v>3400002747</v>
          </cell>
          <cell r="B278">
            <v>61102</v>
          </cell>
          <cell r="C278">
            <v>1</v>
          </cell>
        </row>
        <row r="279">
          <cell r="A279">
            <v>3400002748</v>
          </cell>
          <cell r="B279">
            <v>61206</v>
          </cell>
          <cell r="C279">
            <v>1</v>
          </cell>
        </row>
        <row r="280">
          <cell r="A280">
            <v>3400002749</v>
          </cell>
          <cell r="B280">
            <v>61103</v>
          </cell>
          <cell r="C280">
            <v>1</v>
          </cell>
        </row>
        <row r="281">
          <cell r="A281">
            <v>3400002750</v>
          </cell>
          <cell r="B281">
            <v>61115</v>
          </cell>
          <cell r="C281">
            <v>4</v>
          </cell>
        </row>
        <row r="282">
          <cell r="A282">
            <v>3400002751</v>
          </cell>
          <cell r="B282">
            <v>61206</v>
          </cell>
          <cell r="C282">
            <v>1</v>
          </cell>
        </row>
        <row r="283">
          <cell r="A283">
            <v>3400002752</v>
          </cell>
          <cell r="B283">
            <v>61161</v>
          </cell>
          <cell r="C283">
            <v>2</v>
          </cell>
        </row>
        <row r="284">
          <cell r="A284">
            <v>3400002753</v>
          </cell>
          <cell r="B284">
            <v>61206</v>
          </cell>
          <cell r="C284">
            <v>1</v>
          </cell>
        </row>
        <row r="285">
          <cell r="A285">
            <v>3400002754</v>
          </cell>
          <cell r="B285">
            <v>61206</v>
          </cell>
          <cell r="C285">
            <v>1</v>
          </cell>
        </row>
        <row r="286">
          <cell r="A286">
            <v>3400002755</v>
          </cell>
          <cell r="B286">
            <v>61206</v>
          </cell>
          <cell r="C286">
            <v>3</v>
          </cell>
        </row>
        <row r="287">
          <cell r="A287">
            <v>3400002756</v>
          </cell>
          <cell r="B287">
            <v>61208</v>
          </cell>
          <cell r="C287">
            <v>1</v>
          </cell>
        </row>
        <row r="288">
          <cell r="A288">
            <v>3400002757</v>
          </cell>
          <cell r="B288">
            <v>61206</v>
          </cell>
          <cell r="C288">
            <v>1</v>
          </cell>
        </row>
        <row r="289">
          <cell r="A289">
            <v>3400002758</v>
          </cell>
          <cell r="B289">
            <v>61206</v>
          </cell>
          <cell r="C289">
            <v>1</v>
          </cell>
        </row>
        <row r="290">
          <cell r="A290">
            <v>3400002759</v>
          </cell>
          <cell r="B290">
            <v>61208</v>
          </cell>
          <cell r="C290">
            <v>1</v>
          </cell>
        </row>
        <row r="291">
          <cell r="A291">
            <v>3400002760</v>
          </cell>
          <cell r="B291">
            <v>61151</v>
          </cell>
          <cell r="C291">
            <v>1</v>
          </cell>
        </row>
        <row r="292">
          <cell r="A292">
            <v>3400002761</v>
          </cell>
          <cell r="B292">
            <v>61206</v>
          </cell>
          <cell r="C292">
            <v>1</v>
          </cell>
        </row>
        <row r="293">
          <cell r="A293">
            <v>3400002762</v>
          </cell>
          <cell r="B293">
            <v>61151</v>
          </cell>
          <cell r="C293">
            <v>1</v>
          </cell>
        </row>
        <row r="294">
          <cell r="A294">
            <v>3400002763</v>
          </cell>
          <cell r="B294">
            <v>61151</v>
          </cell>
          <cell r="C294">
            <v>1</v>
          </cell>
        </row>
        <row r="295">
          <cell r="A295">
            <v>3400002764</v>
          </cell>
          <cell r="B295">
            <v>61156</v>
          </cell>
          <cell r="C295">
            <v>6</v>
          </cell>
        </row>
        <row r="296">
          <cell r="A296">
            <v>3400002765</v>
          </cell>
          <cell r="B296">
            <v>61151</v>
          </cell>
          <cell r="C296">
            <v>1</v>
          </cell>
        </row>
        <row r="297">
          <cell r="A297">
            <v>3400002766</v>
          </cell>
          <cell r="B297">
            <v>61151</v>
          </cell>
          <cell r="C297">
            <v>1</v>
          </cell>
        </row>
        <row r="298">
          <cell r="A298">
            <v>3400002767</v>
          </cell>
          <cell r="B298">
            <v>61151</v>
          </cell>
          <cell r="C298">
            <v>1</v>
          </cell>
        </row>
        <row r="299">
          <cell r="A299">
            <v>3400002768</v>
          </cell>
          <cell r="B299">
            <v>61151</v>
          </cell>
          <cell r="C299">
            <v>2</v>
          </cell>
        </row>
        <row r="300">
          <cell r="A300">
            <v>3400002769</v>
          </cell>
          <cell r="B300">
            <v>61151</v>
          </cell>
          <cell r="C300">
            <v>1</v>
          </cell>
        </row>
        <row r="301">
          <cell r="A301">
            <v>3400002770</v>
          </cell>
          <cell r="B301">
            <v>61206</v>
          </cell>
          <cell r="C301">
            <v>1</v>
          </cell>
        </row>
        <row r="302">
          <cell r="A302">
            <v>3400002771</v>
          </cell>
          <cell r="B302">
            <v>61206</v>
          </cell>
          <cell r="C302">
            <v>1</v>
          </cell>
        </row>
        <row r="303">
          <cell r="A303">
            <v>3400002772</v>
          </cell>
          <cell r="B303">
            <v>61208</v>
          </cell>
          <cell r="C303">
            <v>1</v>
          </cell>
        </row>
        <row r="304">
          <cell r="A304">
            <v>3400002773</v>
          </cell>
          <cell r="B304">
            <v>61206</v>
          </cell>
          <cell r="C304">
            <v>1</v>
          </cell>
        </row>
        <row r="305">
          <cell r="A305">
            <v>3400002774</v>
          </cell>
          <cell r="B305">
            <v>61206</v>
          </cell>
          <cell r="C305">
            <v>14</v>
          </cell>
        </row>
        <row r="306">
          <cell r="A306">
            <v>3400002775</v>
          </cell>
          <cell r="B306">
            <v>61157</v>
          </cell>
          <cell r="C306">
            <v>1</v>
          </cell>
        </row>
        <row r="307">
          <cell r="A307">
            <v>3400002776</v>
          </cell>
          <cell r="B307">
            <v>61206</v>
          </cell>
          <cell r="C307">
            <v>1</v>
          </cell>
        </row>
        <row r="308">
          <cell r="A308">
            <v>3400002777</v>
          </cell>
          <cell r="B308">
            <v>61161</v>
          </cell>
          <cell r="C308">
            <v>1</v>
          </cell>
        </row>
        <row r="309">
          <cell r="A309">
            <v>3400002778</v>
          </cell>
          <cell r="B309">
            <v>61161</v>
          </cell>
          <cell r="C309">
            <v>1</v>
          </cell>
        </row>
        <row r="310">
          <cell r="A310">
            <v>3400002779</v>
          </cell>
          <cell r="B310">
            <v>61161</v>
          </cell>
          <cell r="C310">
            <v>1</v>
          </cell>
        </row>
        <row r="311">
          <cell r="A311">
            <v>3400002780</v>
          </cell>
          <cell r="B311">
            <v>61206</v>
          </cell>
          <cell r="C311">
            <v>1</v>
          </cell>
        </row>
        <row r="312">
          <cell r="A312">
            <v>3400002781</v>
          </cell>
          <cell r="B312">
            <v>61206</v>
          </cell>
          <cell r="C312">
            <v>1</v>
          </cell>
        </row>
        <row r="313">
          <cell r="A313">
            <v>3400002782</v>
          </cell>
          <cell r="B313">
            <v>61206</v>
          </cell>
          <cell r="C313">
            <v>1</v>
          </cell>
        </row>
        <row r="314">
          <cell r="A314">
            <v>3400002783</v>
          </cell>
          <cell r="B314">
            <v>61162</v>
          </cell>
          <cell r="C314">
            <v>1</v>
          </cell>
        </row>
        <row r="315">
          <cell r="A315">
            <v>3400002784</v>
          </cell>
          <cell r="B315">
            <v>61200</v>
          </cell>
          <cell r="C315">
            <v>1</v>
          </cell>
        </row>
        <row r="316">
          <cell r="A316">
            <v>3400002785</v>
          </cell>
          <cell r="B316">
            <v>61151</v>
          </cell>
          <cell r="C316">
            <v>1</v>
          </cell>
        </row>
        <row r="317">
          <cell r="A317">
            <v>3400002786</v>
          </cell>
          <cell r="B317">
            <v>61100</v>
          </cell>
          <cell r="C317">
            <v>1</v>
          </cell>
        </row>
        <row r="318">
          <cell r="A318">
            <v>3400002787</v>
          </cell>
          <cell r="B318">
            <v>61206</v>
          </cell>
          <cell r="C318">
            <v>1</v>
          </cell>
        </row>
        <row r="319">
          <cell r="A319">
            <v>3400002788</v>
          </cell>
          <cell r="B319">
            <v>61206</v>
          </cell>
          <cell r="C319">
            <v>1</v>
          </cell>
        </row>
        <row r="320">
          <cell r="A320">
            <v>3400002789</v>
          </cell>
          <cell r="B320">
            <v>61206</v>
          </cell>
          <cell r="C320">
            <v>1</v>
          </cell>
        </row>
        <row r="321">
          <cell r="A321">
            <v>3400002790</v>
          </cell>
          <cell r="B321">
            <v>61206</v>
          </cell>
          <cell r="C321">
            <v>1</v>
          </cell>
        </row>
        <row r="322">
          <cell r="A322">
            <v>3400002791</v>
          </cell>
          <cell r="B322">
            <v>61206</v>
          </cell>
          <cell r="C322">
            <v>1</v>
          </cell>
        </row>
        <row r="323">
          <cell r="A323">
            <v>3400002792</v>
          </cell>
          <cell r="B323">
            <v>61206</v>
          </cell>
          <cell r="C323">
            <v>1</v>
          </cell>
        </row>
        <row r="324">
          <cell r="A324">
            <v>3400002793</v>
          </cell>
          <cell r="B324">
            <v>61206</v>
          </cell>
          <cell r="C324">
            <v>3</v>
          </cell>
        </row>
        <row r="325">
          <cell r="A325">
            <v>3400002794</v>
          </cell>
          <cell r="B325">
            <v>61206</v>
          </cell>
          <cell r="C325">
            <v>1</v>
          </cell>
        </row>
        <row r="326">
          <cell r="A326">
            <v>3400002795</v>
          </cell>
          <cell r="B326">
            <v>61151</v>
          </cell>
          <cell r="C326">
            <v>1</v>
          </cell>
        </row>
        <row r="327">
          <cell r="A327">
            <v>3400002796</v>
          </cell>
          <cell r="B327">
            <v>61206</v>
          </cell>
          <cell r="C327">
            <v>1</v>
          </cell>
        </row>
        <row r="328">
          <cell r="A328">
            <v>3400002797</v>
          </cell>
          <cell r="B328">
            <v>61206</v>
          </cell>
          <cell r="C328">
            <v>2</v>
          </cell>
        </row>
        <row r="329">
          <cell r="A329">
            <v>3400002798</v>
          </cell>
          <cell r="B329">
            <v>61151</v>
          </cell>
          <cell r="C329">
            <v>1</v>
          </cell>
        </row>
        <row r="330">
          <cell r="A330">
            <v>3400002799</v>
          </cell>
          <cell r="B330">
            <v>61206</v>
          </cell>
          <cell r="C330">
            <v>1</v>
          </cell>
        </row>
        <row r="331">
          <cell r="A331">
            <v>3400002800</v>
          </cell>
          <cell r="B331">
            <v>61206</v>
          </cell>
          <cell r="C331">
            <v>2</v>
          </cell>
        </row>
        <row r="332">
          <cell r="A332">
            <v>3400002801</v>
          </cell>
          <cell r="B332">
            <v>61206</v>
          </cell>
          <cell r="C332">
            <v>1</v>
          </cell>
        </row>
        <row r="333">
          <cell r="A333">
            <v>3400002802</v>
          </cell>
          <cell r="B333">
            <v>61206</v>
          </cell>
          <cell r="C333">
            <v>1</v>
          </cell>
        </row>
        <row r="334">
          <cell r="A334">
            <v>3400002803</v>
          </cell>
          <cell r="B334">
            <v>61153</v>
          </cell>
          <cell r="C334">
            <v>1</v>
          </cell>
        </row>
        <row r="335">
          <cell r="A335">
            <v>3400002804</v>
          </cell>
          <cell r="B335">
            <v>61157</v>
          </cell>
          <cell r="C335">
            <v>15</v>
          </cell>
        </row>
        <row r="336">
          <cell r="A336">
            <v>3400002805</v>
          </cell>
          <cell r="B336">
            <v>61206</v>
          </cell>
          <cell r="C336">
            <v>1</v>
          </cell>
        </row>
        <row r="337">
          <cell r="A337">
            <v>3400002806</v>
          </cell>
          <cell r="B337">
            <v>61206</v>
          </cell>
          <cell r="C337">
            <v>10</v>
          </cell>
        </row>
        <row r="338">
          <cell r="A338">
            <v>3400002807</v>
          </cell>
          <cell r="B338">
            <v>61151</v>
          </cell>
          <cell r="C338">
            <v>1</v>
          </cell>
        </row>
        <row r="339">
          <cell r="A339">
            <v>3400002808</v>
          </cell>
          <cell r="B339">
            <v>61206</v>
          </cell>
          <cell r="C339">
            <v>1</v>
          </cell>
        </row>
        <row r="340">
          <cell r="A340">
            <v>3400002809</v>
          </cell>
          <cell r="B340">
            <v>61155</v>
          </cell>
          <cell r="C340">
            <v>1</v>
          </cell>
        </row>
        <row r="341">
          <cell r="A341">
            <v>3400002810</v>
          </cell>
          <cell r="B341">
            <v>61151</v>
          </cell>
          <cell r="C341">
            <v>1</v>
          </cell>
        </row>
        <row r="342">
          <cell r="A342">
            <v>3400002811</v>
          </cell>
          <cell r="B342">
            <v>61112</v>
          </cell>
          <cell r="C342">
            <v>1</v>
          </cell>
        </row>
        <row r="343">
          <cell r="A343">
            <v>3400002812</v>
          </cell>
          <cell r="B343">
            <v>61206</v>
          </cell>
          <cell r="C343">
            <v>1</v>
          </cell>
        </row>
        <row r="344">
          <cell r="A344">
            <v>3400002813</v>
          </cell>
          <cell r="B344">
            <v>61206</v>
          </cell>
          <cell r="C344">
            <v>1</v>
          </cell>
        </row>
        <row r="345">
          <cell r="A345">
            <v>3400002814</v>
          </cell>
          <cell r="B345">
            <v>61206</v>
          </cell>
          <cell r="C345">
            <v>3</v>
          </cell>
        </row>
        <row r="346">
          <cell r="A346">
            <v>3400002815</v>
          </cell>
          <cell r="B346">
            <v>61100</v>
          </cell>
          <cell r="C346">
            <v>1</v>
          </cell>
        </row>
        <row r="347">
          <cell r="A347">
            <v>3400002816</v>
          </cell>
          <cell r="B347">
            <v>61103</v>
          </cell>
          <cell r="C347">
            <v>1</v>
          </cell>
        </row>
        <row r="348">
          <cell r="A348">
            <v>3400002817</v>
          </cell>
          <cell r="B348">
            <v>61103</v>
          </cell>
          <cell r="C348">
            <v>1</v>
          </cell>
        </row>
        <row r="349">
          <cell r="A349">
            <v>3400002818</v>
          </cell>
          <cell r="B349">
            <v>61103</v>
          </cell>
          <cell r="C349">
            <v>1</v>
          </cell>
        </row>
        <row r="350">
          <cell r="A350">
            <v>3400002819</v>
          </cell>
          <cell r="B350">
            <v>61157</v>
          </cell>
          <cell r="C350">
            <v>1</v>
          </cell>
        </row>
        <row r="351">
          <cell r="A351">
            <v>3400002820</v>
          </cell>
          <cell r="B351">
            <v>61157</v>
          </cell>
          <cell r="C351">
            <v>1</v>
          </cell>
        </row>
        <row r="352">
          <cell r="A352">
            <v>3400002821</v>
          </cell>
          <cell r="B352">
            <v>61157</v>
          </cell>
          <cell r="C352">
            <v>1</v>
          </cell>
        </row>
        <row r="353">
          <cell r="A353">
            <v>3400002822</v>
          </cell>
          <cell r="B353">
            <v>61115</v>
          </cell>
          <cell r="C353">
            <v>1</v>
          </cell>
        </row>
        <row r="354">
          <cell r="A354">
            <v>3400002823</v>
          </cell>
          <cell r="B354">
            <v>61115</v>
          </cell>
          <cell r="C354">
            <v>1</v>
          </cell>
        </row>
        <row r="355">
          <cell r="A355">
            <v>3400002824</v>
          </cell>
          <cell r="B355">
            <v>61157</v>
          </cell>
          <cell r="C355">
            <v>1</v>
          </cell>
        </row>
        <row r="356">
          <cell r="A356">
            <v>3400002825</v>
          </cell>
          <cell r="B356">
            <v>61206</v>
          </cell>
          <cell r="C356">
            <v>1</v>
          </cell>
        </row>
        <row r="357">
          <cell r="A357">
            <v>3400002826</v>
          </cell>
          <cell r="B357">
            <v>61206</v>
          </cell>
          <cell r="C357">
            <v>1</v>
          </cell>
        </row>
        <row r="358">
          <cell r="A358">
            <v>3400002827</v>
          </cell>
          <cell r="B358">
            <v>61157</v>
          </cell>
          <cell r="C358">
            <v>1</v>
          </cell>
        </row>
        <row r="359">
          <cell r="A359">
            <v>3400002828</v>
          </cell>
          <cell r="B359">
            <v>61158</v>
          </cell>
          <cell r="C359">
            <v>1</v>
          </cell>
        </row>
        <row r="360">
          <cell r="A360">
            <v>3400002829</v>
          </cell>
          <cell r="B360">
            <v>61154</v>
          </cell>
          <cell r="C360">
            <v>35</v>
          </cell>
        </row>
        <row r="361">
          <cell r="A361">
            <v>3400002830</v>
          </cell>
          <cell r="B361">
            <v>61157</v>
          </cell>
          <cell r="C361">
            <v>1</v>
          </cell>
        </row>
        <row r="362">
          <cell r="A362">
            <v>3400002831</v>
          </cell>
          <cell r="B362">
            <v>61208</v>
          </cell>
          <cell r="C362">
            <v>1</v>
          </cell>
        </row>
        <row r="363">
          <cell r="A363">
            <v>3400002832</v>
          </cell>
          <cell r="B363">
            <v>61151</v>
          </cell>
          <cell r="C363">
            <v>1</v>
          </cell>
        </row>
        <row r="364">
          <cell r="A364">
            <v>3400002833</v>
          </cell>
          <cell r="B364">
            <v>61150</v>
          </cell>
          <cell r="C364">
            <v>1</v>
          </cell>
        </row>
        <row r="365">
          <cell r="A365">
            <v>3400002834</v>
          </cell>
          <cell r="B365">
            <v>61150</v>
          </cell>
          <cell r="C365">
            <v>1</v>
          </cell>
        </row>
        <row r="366">
          <cell r="A366">
            <v>3400002835</v>
          </cell>
          <cell r="B366">
            <v>61157</v>
          </cell>
          <cell r="C366">
            <v>1</v>
          </cell>
        </row>
        <row r="367">
          <cell r="A367">
            <v>3400002836</v>
          </cell>
          <cell r="B367">
            <v>61208</v>
          </cell>
          <cell r="C367">
            <v>1</v>
          </cell>
        </row>
        <row r="368">
          <cell r="A368">
            <v>3400002837</v>
          </cell>
          <cell r="B368">
            <v>61150</v>
          </cell>
          <cell r="C368">
            <v>1</v>
          </cell>
        </row>
        <row r="369">
          <cell r="A369">
            <v>3400002838</v>
          </cell>
          <cell r="B369">
            <v>61118</v>
          </cell>
          <cell r="C369">
            <v>1</v>
          </cell>
        </row>
        <row r="370">
          <cell r="A370">
            <v>3400002839</v>
          </cell>
          <cell r="B370">
            <v>61157</v>
          </cell>
          <cell r="C370">
            <v>1</v>
          </cell>
        </row>
        <row r="371">
          <cell r="A371">
            <v>3400002840</v>
          </cell>
          <cell r="B371">
            <v>61206</v>
          </cell>
          <cell r="C371">
            <v>1</v>
          </cell>
        </row>
        <row r="372">
          <cell r="A372">
            <v>3400002841</v>
          </cell>
          <cell r="B372">
            <v>61206</v>
          </cell>
          <cell r="C372">
            <v>1</v>
          </cell>
        </row>
        <row r="373">
          <cell r="A373">
            <v>3400002842</v>
          </cell>
          <cell r="B373">
            <v>61206</v>
          </cell>
          <cell r="C373">
            <v>1</v>
          </cell>
        </row>
        <row r="374">
          <cell r="A374">
            <v>3400002843</v>
          </cell>
          <cell r="B374">
            <v>61206</v>
          </cell>
          <cell r="C374">
            <v>1</v>
          </cell>
        </row>
        <row r="375">
          <cell r="A375">
            <v>3400002844</v>
          </cell>
          <cell r="B375">
            <v>61206</v>
          </cell>
          <cell r="C375">
            <v>1</v>
          </cell>
        </row>
        <row r="376">
          <cell r="A376">
            <v>3400002845</v>
          </cell>
          <cell r="B376">
            <v>61101</v>
          </cell>
          <cell r="C376">
            <v>1</v>
          </cell>
        </row>
        <row r="377">
          <cell r="A377">
            <v>3400002846</v>
          </cell>
          <cell r="B377">
            <v>61100</v>
          </cell>
          <cell r="C377">
            <v>1</v>
          </cell>
        </row>
        <row r="378">
          <cell r="A378">
            <v>3400002847</v>
          </cell>
          <cell r="B378">
            <v>61100</v>
          </cell>
          <cell r="C378">
            <v>1</v>
          </cell>
        </row>
        <row r="379">
          <cell r="A379">
            <v>3400002848</v>
          </cell>
          <cell r="B379">
            <v>61206</v>
          </cell>
          <cell r="C379">
            <v>1</v>
          </cell>
        </row>
        <row r="380">
          <cell r="A380">
            <v>3400002849</v>
          </cell>
          <cell r="B380">
            <v>61157</v>
          </cell>
          <cell r="C380">
            <v>1</v>
          </cell>
        </row>
        <row r="381">
          <cell r="A381">
            <v>3400002850</v>
          </cell>
          <cell r="B381">
            <v>61151</v>
          </cell>
          <cell r="C381">
            <v>1</v>
          </cell>
        </row>
        <row r="382">
          <cell r="A382">
            <v>3400002851</v>
          </cell>
          <cell r="B382">
            <v>61151</v>
          </cell>
          <cell r="C382">
            <v>2</v>
          </cell>
        </row>
        <row r="383">
          <cell r="A383">
            <v>3400002852</v>
          </cell>
          <cell r="B383">
            <v>61206</v>
          </cell>
          <cell r="C383">
            <v>3</v>
          </cell>
        </row>
        <row r="384">
          <cell r="A384">
            <v>3400002853</v>
          </cell>
          <cell r="B384">
            <v>61206</v>
          </cell>
          <cell r="C384">
            <v>1</v>
          </cell>
        </row>
        <row r="385">
          <cell r="A385">
            <v>3400002854</v>
          </cell>
          <cell r="B385">
            <v>61206</v>
          </cell>
          <cell r="C385">
            <v>2</v>
          </cell>
        </row>
        <row r="386">
          <cell r="A386">
            <v>3400002855</v>
          </cell>
          <cell r="B386">
            <v>61206</v>
          </cell>
          <cell r="C386">
            <v>3</v>
          </cell>
        </row>
        <row r="387">
          <cell r="A387">
            <v>3400002856</v>
          </cell>
          <cell r="B387">
            <v>61206</v>
          </cell>
          <cell r="C387">
            <v>1</v>
          </cell>
        </row>
        <row r="388">
          <cell r="A388">
            <v>3400002857</v>
          </cell>
          <cell r="B388">
            <v>61206</v>
          </cell>
          <cell r="C388">
            <v>1</v>
          </cell>
        </row>
        <row r="389">
          <cell r="A389">
            <v>3400002858</v>
          </cell>
          <cell r="B389">
            <v>61101</v>
          </cell>
          <cell r="C389">
            <v>1</v>
          </cell>
        </row>
        <row r="390">
          <cell r="A390">
            <v>3400002859</v>
          </cell>
          <cell r="B390">
            <v>61150</v>
          </cell>
          <cell r="C390">
            <v>1</v>
          </cell>
        </row>
        <row r="391">
          <cell r="A391">
            <v>3400002860</v>
          </cell>
          <cell r="B391">
            <v>61206</v>
          </cell>
          <cell r="C391">
            <v>2</v>
          </cell>
        </row>
        <row r="392">
          <cell r="A392">
            <v>3400002861</v>
          </cell>
          <cell r="B392">
            <v>61206</v>
          </cell>
          <cell r="C392">
            <v>1</v>
          </cell>
        </row>
        <row r="393">
          <cell r="A393">
            <v>3400002862</v>
          </cell>
          <cell r="B393">
            <v>61206</v>
          </cell>
          <cell r="C393">
            <v>1</v>
          </cell>
        </row>
        <row r="394">
          <cell r="A394">
            <v>3400002863</v>
          </cell>
          <cell r="B394">
            <v>61208</v>
          </cell>
          <cell r="C394">
            <v>1</v>
          </cell>
        </row>
        <row r="395">
          <cell r="A395">
            <v>3400002864</v>
          </cell>
          <cell r="B395">
            <v>61206</v>
          </cell>
          <cell r="C395">
            <v>1</v>
          </cell>
        </row>
        <row r="396">
          <cell r="A396">
            <v>3400002865</v>
          </cell>
          <cell r="B396">
            <v>61206</v>
          </cell>
          <cell r="C396">
            <v>1</v>
          </cell>
        </row>
        <row r="397">
          <cell r="A397">
            <v>3400002866</v>
          </cell>
          <cell r="B397">
            <v>61112</v>
          </cell>
          <cell r="C397">
            <v>1</v>
          </cell>
        </row>
        <row r="398">
          <cell r="A398">
            <v>3400002867</v>
          </cell>
          <cell r="B398">
            <v>61206</v>
          </cell>
          <cell r="C398">
            <v>1</v>
          </cell>
        </row>
        <row r="399">
          <cell r="A399">
            <v>3400002868</v>
          </cell>
          <cell r="B399">
            <v>61206</v>
          </cell>
          <cell r="C399">
            <v>1</v>
          </cell>
        </row>
        <row r="400">
          <cell r="A400">
            <v>3400002869</v>
          </cell>
          <cell r="B400">
            <v>61206</v>
          </cell>
          <cell r="C400">
            <v>1</v>
          </cell>
        </row>
        <row r="401">
          <cell r="A401">
            <v>3400002870</v>
          </cell>
          <cell r="B401">
            <v>61208</v>
          </cell>
          <cell r="C401">
            <v>1</v>
          </cell>
        </row>
        <row r="402">
          <cell r="A402">
            <v>3400002871</v>
          </cell>
          <cell r="B402">
            <v>61208</v>
          </cell>
          <cell r="C402">
            <v>1</v>
          </cell>
        </row>
        <row r="403">
          <cell r="A403">
            <v>3400002872</v>
          </cell>
          <cell r="B403">
            <v>61100</v>
          </cell>
          <cell r="C403">
            <v>1</v>
          </cell>
        </row>
        <row r="404">
          <cell r="A404">
            <v>3400002873</v>
          </cell>
          <cell r="B404">
            <v>61203</v>
          </cell>
          <cell r="C404">
            <v>1</v>
          </cell>
        </row>
        <row r="405">
          <cell r="A405">
            <v>3400002874</v>
          </cell>
          <cell r="B405">
            <v>61162</v>
          </cell>
          <cell r="C405">
            <v>1</v>
          </cell>
        </row>
        <row r="406">
          <cell r="A406">
            <v>3400002875</v>
          </cell>
          <cell r="B406">
            <v>61156</v>
          </cell>
          <cell r="C406">
            <v>1</v>
          </cell>
        </row>
        <row r="407">
          <cell r="A407">
            <v>3400002876</v>
          </cell>
          <cell r="B407">
            <v>61100</v>
          </cell>
          <cell r="C407">
            <v>1</v>
          </cell>
        </row>
        <row r="408">
          <cell r="A408">
            <v>3400002877</v>
          </cell>
          <cell r="B408">
            <v>61101</v>
          </cell>
          <cell r="C408">
            <v>1</v>
          </cell>
        </row>
        <row r="409">
          <cell r="A409">
            <v>3400002878</v>
          </cell>
          <cell r="B409">
            <v>61102</v>
          </cell>
          <cell r="C409">
            <v>1</v>
          </cell>
        </row>
        <row r="410">
          <cell r="A410">
            <v>3400002879</v>
          </cell>
          <cell r="B410">
            <v>61208</v>
          </cell>
          <cell r="C410">
            <v>1</v>
          </cell>
        </row>
        <row r="411">
          <cell r="A411">
            <v>3400002880</v>
          </cell>
          <cell r="B411">
            <v>61206</v>
          </cell>
          <cell r="C411">
            <v>2</v>
          </cell>
        </row>
        <row r="412">
          <cell r="A412">
            <v>3400002881</v>
          </cell>
          <cell r="B412">
            <v>61206</v>
          </cell>
          <cell r="C412">
            <v>1</v>
          </cell>
        </row>
        <row r="413">
          <cell r="A413">
            <v>3400002882</v>
          </cell>
          <cell r="B413">
            <v>61200</v>
          </cell>
          <cell r="C413">
            <v>1</v>
          </cell>
        </row>
        <row r="414">
          <cell r="A414">
            <v>3400002883</v>
          </cell>
          <cell r="B414">
            <v>61161</v>
          </cell>
          <cell r="C414">
            <v>2</v>
          </cell>
        </row>
        <row r="415">
          <cell r="A415">
            <v>3400002884</v>
          </cell>
          <cell r="B415">
            <v>61206</v>
          </cell>
          <cell r="C415">
            <v>4</v>
          </cell>
        </row>
        <row r="416">
          <cell r="A416">
            <v>3400002885</v>
          </cell>
          <cell r="B416">
            <v>61206</v>
          </cell>
          <cell r="C416">
            <v>1</v>
          </cell>
        </row>
        <row r="417">
          <cell r="A417">
            <v>3400002886</v>
          </cell>
          <cell r="B417">
            <v>61206</v>
          </cell>
          <cell r="C417">
            <v>1</v>
          </cell>
        </row>
        <row r="418">
          <cell r="A418">
            <v>3400002887</v>
          </cell>
          <cell r="B418">
            <v>61206</v>
          </cell>
          <cell r="C418">
            <v>1</v>
          </cell>
        </row>
        <row r="419">
          <cell r="A419">
            <v>3400002888</v>
          </cell>
          <cell r="B419">
            <v>61155</v>
          </cell>
          <cell r="C419">
            <v>1</v>
          </cell>
        </row>
        <row r="420">
          <cell r="A420">
            <v>3400002889</v>
          </cell>
          <cell r="B420">
            <v>61155</v>
          </cell>
          <cell r="C420">
            <v>1</v>
          </cell>
        </row>
        <row r="421">
          <cell r="A421">
            <v>3400002890</v>
          </cell>
          <cell r="B421">
            <v>61200</v>
          </cell>
          <cell r="C421">
            <v>1</v>
          </cell>
        </row>
        <row r="422">
          <cell r="A422">
            <v>3400002891</v>
          </cell>
          <cell r="B422">
            <v>61159</v>
          </cell>
          <cell r="C422">
            <v>1</v>
          </cell>
        </row>
        <row r="423">
          <cell r="A423">
            <v>3400002892</v>
          </cell>
          <cell r="B423">
            <v>61162</v>
          </cell>
          <cell r="C423">
            <v>1</v>
          </cell>
        </row>
        <row r="424">
          <cell r="A424">
            <v>3400002893</v>
          </cell>
          <cell r="B424">
            <v>61206</v>
          </cell>
          <cell r="C424">
            <v>1</v>
          </cell>
        </row>
        <row r="425">
          <cell r="A425">
            <v>3400002894</v>
          </cell>
          <cell r="B425">
            <v>61203</v>
          </cell>
          <cell r="C425">
            <v>1</v>
          </cell>
        </row>
        <row r="426">
          <cell r="A426">
            <v>3400002895</v>
          </cell>
          <cell r="B426">
            <v>61161</v>
          </cell>
          <cell r="C426">
            <v>1</v>
          </cell>
        </row>
        <row r="427">
          <cell r="A427">
            <v>3400002896</v>
          </cell>
          <cell r="B427">
            <v>61159</v>
          </cell>
          <cell r="C427">
            <v>1</v>
          </cell>
        </row>
        <row r="428">
          <cell r="A428">
            <v>3400002897</v>
          </cell>
          <cell r="B428">
            <v>61200</v>
          </cell>
          <cell r="C428">
            <v>2</v>
          </cell>
        </row>
        <row r="429">
          <cell r="A429">
            <v>3400002898</v>
          </cell>
          <cell r="B429">
            <v>61161</v>
          </cell>
          <cell r="C429">
            <v>1</v>
          </cell>
        </row>
        <row r="430">
          <cell r="A430">
            <v>3400002899</v>
          </cell>
          <cell r="B430">
            <v>61157</v>
          </cell>
          <cell r="C430">
            <v>1</v>
          </cell>
        </row>
        <row r="431">
          <cell r="A431">
            <v>3400002900</v>
          </cell>
          <cell r="B431">
            <v>61160</v>
          </cell>
          <cell r="C431">
            <v>1</v>
          </cell>
        </row>
        <row r="432">
          <cell r="A432">
            <v>3400002901</v>
          </cell>
          <cell r="B432">
            <v>61206</v>
          </cell>
          <cell r="C432">
            <v>30</v>
          </cell>
        </row>
        <row r="433">
          <cell r="A433">
            <v>3400002902</v>
          </cell>
          <cell r="B433">
            <v>61206</v>
          </cell>
          <cell r="C433">
            <v>3</v>
          </cell>
        </row>
        <row r="434">
          <cell r="A434">
            <v>3400002903</v>
          </cell>
          <cell r="B434">
            <v>61206</v>
          </cell>
          <cell r="C434">
            <v>1</v>
          </cell>
        </row>
        <row r="435">
          <cell r="A435">
            <v>3400002904</v>
          </cell>
          <cell r="B435">
            <v>61104</v>
          </cell>
          <cell r="C435">
            <v>1</v>
          </cell>
        </row>
        <row r="436">
          <cell r="A436">
            <v>3400002905</v>
          </cell>
          <cell r="B436">
            <v>61157</v>
          </cell>
          <cell r="C436">
            <v>1</v>
          </cell>
        </row>
        <row r="437">
          <cell r="A437">
            <v>3400002906</v>
          </cell>
          <cell r="B437">
            <v>61201</v>
          </cell>
          <cell r="C437">
            <v>1</v>
          </cell>
        </row>
        <row r="438">
          <cell r="A438">
            <v>3400002907</v>
          </cell>
          <cell r="B438">
            <v>61162</v>
          </cell>
          <cell r="C438">
            <v>1</v>
          </cell>
        </row>
        <row r="439">
          <cell r="A439">
            <v>3400002908</v>
          </cell>
          <cell r="B439">
            <v>61158</v>
          </cell>
          <cell r="C439">
            <v>1</v>
          </cell>
        </row>
        <row r="440">
          <cell r="A440">
            <v>3400002909</v>
          </cell>
          <cell r="B440">
            <v>61155</v>
          </cell>
          <cell r="C440">
            <v>1</v>
          </cell>
        </row>
        <row r="441">
          <cell r="A441">
            <v>3400002910</v>
          </cell>
          <cell r="B441">
            <v>61201</v>
          </cell>
          <cell r="C441">
            <v>1</v>
          </cell>
        </row>
        <row r="442">
          <cell r="A442">
            <v>3400002911</v>
          </cell>
          <cell r="B442">
            <v>61200</v>
          </cell>
          <cell r="C442">
            <v>1</v>
          </cell>
        </row>
        <row r="443">
          <cell r="A443">
            <v>3400002912</v>
          </cell>
          <cell r="B443">
            <v>61158</v>
          </cell>
          <cell r="C443">
            <v>1</v>
          </cell>
        </row>
        <row r="444">
          <cell r="A444">
            <v>3400002913</v>
          </cell>
          <cell r="B444">
            <v>61115</v>
          </cell>
          <cell r="C444">
            <v>1</v>
          </cell>
        </row>
        <row r="445">
          <cell r="A445">
            <v>3400002913</v>
          </cell>
          <cell r="B445">
            <v>61115</v>
          </cell>
          <cell r="C445">
            <v>1</v>
          </cell>
        </row>
        <row r="446">
          <cell r="A446">
            <v>3400002914</v>
          </cell>
          <cell r="B446">
            <v>61109</v>
          </cell>
          <cell r="C446">
            <v>1</v>
          </cell>
        </row>
        <row r="447">
          <cell r="A447">
            <v>3400002915</v>
          </cell>
          <cell r="B447">
            <v>61157</v>
          </cell>
          <cell r="C447">
            <v>1</v>
          </cell>
        </row>
        <row r="448">
          <cell r="A448">
            <v>3400002916</v>
          </cell>
          <cell r="B448">
            <v>61162</v>
          </cell>
          <cell r="C448">
            <v>1</v>
          </cell>
        </row>
        <row r="449">
          <cell r="A449">
            <v>3400002917</v>
          </cell>
          <cell r="B449">
            <v>61162</v>
          </cell>
          <cell r="C449">
            <v>1</v>
          </cell>
        </row>
        <row r="450">
          <cell r="A450">
            <v>3400002918</v>
          </cell>
          <cell r="B450">
            <v>61162</v>
          </cell>
          <cell r="C450">
            <v>1</v>
          </cell>
        </row>
        <row r="451">
          <cell r="A451">
            <v>3400002919</v>
          </cell>
          <cell r="B451">
            <v>61162</v>
          </cell>
          <cell r="C451">
            <v>1</v>
          </cell>
        </row>
        <row r="452">
          <cell r="A452">
            <v>3400002920</v>
          </cell>
          <cell r="B452">
            <v>61162</v>
          </cell>
          <cell r="C452">
            <v>1</v>
          </cell>
        </row>
        <row r="453">
          <cell r="A453">
            <v>3400002921</v>
          </cell>
          <cell r="B453">
            <v>61102</v>
          </cell>
          <cell r="C453">
            <v>1</v>
          </cell>
        </row>
        <row r="454">
          <cell r="A454">
            <v>3400002922</v>
          </cell>
          <cell r="B454">
            <v>61158</v>
          </cell>
          <cell r="C454">
            <v>1</v>
          </cell>
        </row>
        <row r="455">
          <cell r="A455">
            <v>3400002923</v>
          </cell>
          <cell r="B455">
            <v>61200</v>
          </cell>
          <cell r="C455">
            <v>1</v>
          </cell>
        </row>
        <row r="456">
          <cell r="A456">
            <v>3400002924</v>
          </cell>
          <cell r="B456">
            <v>61200</v>
          </cell>
          <cell r="C456">
            <v>1</v>
          </cell>
        </row>
        <row r="457">
          <cell r="A457">
            <v>3400002925</v>
          </cell>
          <cell r="B457">
            <v>61159</v>
          </cell>
          <cell r="C457">
            <v>1</v>
          </cell>
        </row>
        <row r="458">
          <cell r="A458">
            <v>3400002926</v>
          </cell>
          <cell r="B458">
            <v>61119</v>
          </cell>
          <cell r="C458">
            <v>1</v>
          </cell>
        </row>
        <row r="459">
          <cell r="A459">
            <v>3400002927</v>
          </cell>
          <cell r="B459">
            <v>61108</v>
          </cell>
          <cell r="C459">
            <v>25</v>
          </cell>
        </row>
        <row r="460">
          <cell r="A460">
            <v>3400002928</v>
          </cell>
          <cell r="B460">
            <v>61160</v>
          </cell>
          <cell r="C460">
            <v>1</v>
          </cell>
        </row>
        <row r="461">
          <cell r="A461">
            <v>3400002929</v>
          </cell>
          <cell r="B461">
            <v>61160</v>
          </cell>
          <cell r="C461">
            <v>1</v>
          </cell>
        </row>
        <row r="462">
          <cell r="A462">
            <v>3400002930</v>
          </cell>
          <cell r="B462">
            <v>61156</v>
          </cell>
          <cell r="C462">
            <v>1</v>
          </cell>
        </row>
        <row r="463">
          <cell r="A463">
            <v>3400002931</v>
          </cell>
          <cell r="B463">
            <v>61158</v>
          </cell>
          <cell r="C463">
            <v>1</v>
          </cell>
        </row>
        <row r="464">
          <cell r="A464">
            <v>3400002931</v>
          </cell>
          <cell r="B464">
            <v>61158</v>
          </cell>
          <cell r="C464">
            <v>1</v>
          </cell>
        </row>
        <row r="465">
          <cell r="A465">
            <v>3400002932</v>
          </cell>
          <cell r="B465">
            <v>61108</v>
          </cell>
          <cell r="C465">
            <v>1</v>
          </cell>
        </row>
        <row r="466">
          <cell r="A466">
            <v>3400002933</v>
          </cell>
          <cell r="B466">
            <v>61115</v>
          </cell>
          <cell r="C466">
            <v>2</v>
          </cell>
        </row>
        <row r="467">
          <cell r="A467">
            <v>3400002934</v>
          </cell>
          <cell r="B467">
            <v>61162</v>
          </cell>
          <cell r="C467">
            <v>1</v>
          </cell>
        </row>
        <row r="468">
          <cell r="A468">
            <v>3400002935</v>
          </cell>
          <cell r="B468">
            <v>61162</v>
          </cell>
          <cell r="C468">
            <v>1</v>
          </cell>
        </row>
        <row r="469">
          <cell r="A469">
            <v>3400002936</v>
          </cell>
          <cell r="B469">
            <v>61101</v>
          </cell>
          <cell r="C469">
            <v>1</v>
          </cell>
        </row>
        <row r="470">
          <cell r="A470">
            <v>3400002937</v>
          </cell>
          <cell r="B470">
            <v>61107</v>
          </cell>
          <cell r="C470">
            <v>7</v>
          </cell>
        </row>
        <row r="471">
          <cell r="A471">
            <v>3400002938</v>
          </cell>
          <cell r="B471">
            <v>61104</v>
          </cell>
          <cell r="C471">
            <v>1</v>
          </cell>
        </row>
        <row r="472">
          <cell r="A472">
            <v>3400002939</v>
          </cell>
          <cell r="B472">
            <v>61160</v>
          </cell>
          <cell r="C472">
            <v>1</v>
          </cell>
        </row>
        <row r="473">
          <cell r="A473">
            <v>3400002940</v>
          </cell>
          <cell r="B473">
            <v>61118</v>
          </cell>
          <cell r="C473">
            <v>1</v>
          </cell>
        </row>
        <row r="474">
          <cell r="A474">
            <v>3400002941</v>
          </cell>
          <cell r="B474">
            <v>61157</v>
          </cell>
          <cell r="C474">
            <v>6</v>
          </cell>
        </row>
        <row r="475">
          <cell r="A475">
            <v>3400002942</v>
          </cell>
          <cell r="B475">
            <v>61159</v>
          </cell>
          <cell r="C475">
            <v>5</v>
          </cell>
        </row>
        <row r="476">
          <cell r="A476">
            <v>3400002943</v>
          </cell>
          <cell r="B476">
            <v>61159</v>
          </cell>
          <cell r="C476">
            <v>3</v>
          </cell>
        </row>
        <row r="477">
          <cell r="A477">
            <v>3400002944</v>
          </cell>
          <cell r="B477">
            <v>61159</v>
          </cell>
          <cell r="C477">
            <v>2</v>
          </cell>
        </row>
        <row r="478">
          <cell r="A478">
            <v>3400002945</v>
          </cell>
          <cell r="B478">
            <v>61157</v>
          </cell>
          <cell r="C478">
            <v>1</v>
          </cell>
        </row>
        <row r="479">
          <cell r="A479">
            <v>3400002946</v>
          </cell>
          <cell r="B479">
            <v>61161</v>
          </cell>
          <cell r="C479">
            <v>1</v>
          </cell>
        </row>
        <row r="480">
          <cell r="A480">
            <v>3400002947</v>
          </cell>
          <cell r="B480">
            <v>61161</v>
          </cell>
          <cell r="C480">
            <v>2</v>
          </cell>
        </row>
        <row r="481">
          <cell r="A481">
            <v>3400002948</v>
          </cell>
          <cell r="B481">
            <v>61109</v>
          </cell>
          <cell r="C481">
            <v>1</v>
          </cell>
        </row>
        <row r="482">
          <cell r="A482">
            <v>3400002949</v>
          </cell>
          <cell r="B482">
            <v>61203</v>
          </cell>
          <cell r="C482">
            <v>8</v>
          </cell>
        </row>
        <row r="483">
          <cell r="A483">
            <v>3400002950</v>
          </cell>
          <cell r="B483">
            <v>61112</v>
          </cell>
          <cell r="C483">
            <v>1</v>
          </cell>
        </row>
        <row r="484">
          <cell r="A484">
            <v>3400002951</v>
          </cell>
          <cell r="B484">
            <v>61112</v>
          </cell>
          <cell r="C484">
            <v>1</v>
          </cell>
        </row>
        <row r="485">
          <cell r="A485">
            <v>3400002952</v>
          </cell>
          <cell r="B485">
            <v>61115</v>
          </cell>
          <cell r="C485">
            <v>1</v>
          </cell>
        </row>
        <row r="486">
          <cell r="A486">
            <v>3400002953</v>
          </cell>
          <cell r="B486">
            <v>61108</v>
          </cell>
          <cell r="C486">
            <v>10</v>
          </cell>
        </row>
        <row r="487">
          <cell r="A487">
            <v>3400002954</v>
          </cell>
          <cell r="B487">
            <v>61158</v>
          </cell>
          <cell r="C487">
            <v>3</v>
          </cell>
        </row>
        <row r="488">
          <cell r="A488">
            <v>3400002955</v>
          </cell>
          <cell r="B488">
            <v>61116</v>
          </cell>
          <cell r="C488">
            <v>1</v>
          </cell>
        </row>
        <row r="489">
          <cell r="A489">
            <v>3400002956</v>
          </cell>
          <cell r="B489">
            <v>61104</v>
          </cell>
          <cell r="C489">
            <v>1</v>
          </cell>
        </row>
        <row r="490">
          <cell r="A490">
            <v>3400002957</v>
          </cell>
          <cell r="B490">
            <v>61200</v>
          </cell>
          <cell r="C490">
            <v>1</v>
          </cell>
        </row>
        <row r="491">
          <cell r="A491">
            <v>3400002958</v>
          </cell>
          <cell r="B491">
            <v>61157</v>
          </cell>
          <cell r="C491">
            <v>1</v>
          </cell>
        </row>
        <row r="492">
          <cell r="A492">
            <v>3400002959</v>
          </cell>
          <cell r="B492">
            <v>61157</v>
          </cell>
          <cell r="C492">
            <v>1</v>
          </cell>
        </row>
        <row r="493">
          <cell r="A493">
            <v>3400002960</v>
          </cell>
          <cell r="B493">
            <v>61200</v>
          </cell>
          <cell r="C493">
            <v>1</v>
          </cell>
        </row>
        <row r="494">
          <cell r="A494">
            <v>3400002961</v>
          </cell>
          <cell r="B494">
            <v>61107</v>
          </cell>
          <cell r="C494">
            <v>2</v>
          </cell>
        </row>
        <row r="495">
          <cell r="A495">
            <v>3400002962</v>
          </cell>
          <cell r="B495">
            <v>61203</v>
          </cell>
          <cell r="C495">
            <v>1</v>
          </cell>
        </row>
        <row r="496">
          <cell r="A496">
            <v>3400002963</v>
          </cell>
          <cell r="B496">
            <v>61203</v>
          </cell>
          <cell r="C496">
            <v>1</v>
          </cell>
        </row>
        <row r="497">
          <cell r="A497">
            <v>3400002964</v>
          </cell>
          <cell r="B497">
            <v>61203</v>
          </cell>
          <cell r="C497">
            <v>1</v>
          </cell>
        </row>
        <row r="498">
          <cell r="A498">
            <v>3400002965</v>
          </cell>
          <cell r="B498">
            <v>61203</v>
          </cell>
          <cell r="C498">
            <v>1</v>
          </cell>
        </row>
        <row r="499">
          <cell r="A499">
            <v>3400002966</v>
          </cell>
          <cell r="B499">
            <v>61158</v>
          </cell>
          <cell r="C499">
            <v>1</v>
          </cell>
        </row>
        <row r="500">
          <cell r="A500">
            <v>3400002967</v>
          </cell>
          <cell r="B500">
            <v>61156</v>
          </cell>
          <cell r="C500">
            <v>2</v>
          </cell>
        </row>
        <row r="501">
          <cell r="A501">
            <v>3400002968</v>
          </cell>
          <cell r="B501">
            <v>61109</v>
          </cell>
          <cell r="C501">
            <v>1</v>
          </cell>
        </row>
        <row r="502">
          <cell r="A502">
            <v>3400002969</v>
          </cell>
          <cell r="B502">
            <v>61109</v>
          </cell>
          <cell r="C502">
            <v>1</v>
          </cell>
        </row>
        <row r="503">
          <cell r="A503">
            <v>3400002970</v>
          </cell>
          <cell r="B503">
            <v>61109</v>
          </cell>
          <cell r="C503">
            <v>1</v>
          </cell>
        </row>
        <row r="504">
          <cell r="A504">
            <v>3400002971</v>
          </cell>
          <cell r="B504">
            <v>61109</v>
          </cell>
          <cell r="C504">
            <v>1</v>
          </cell>
        </row>
        <row r="505">
          <cell r="A505">
            <v>3400002972</v>
          </cell>
          <cell r="B505">
            <v>61157</v>
          </cell>
          <cell r="C505">
            <v>1</v>
          </cell>
        </row>
        <row r="506">
          <cell r="A506">
            <v>3400002973</v>
          </cell>
          <cell r="B506">
            <v>61108</v>
          </cell>
          <cell r="C506">
            <v>4</v>
          </cell>
        </row>
        <row r="507">
          <cell r="A507">
            <v>3400002974</v>
          </cell>
          <cell r="B507">
            <v>61200</v>
          </cell>
          <cell r="C507">
            <v>1</v>
          </cell>
        </row>
        <row r="508">
          <cell r="A508">
            <v>3400002975</v>
          </cell>
          <cell r="B508">
            <v>61200</v>
          </cell>
          <cell r="C508">
            <v>1</v>
          </cell>
        </row>
        <row r="509">
          <cell r="A509">
            <v>3400002976</v>
          </cell>
          <cell r="B509">
            <v>61200</v>
          </cell>
          <cell r="C509">
            <v>1</v>
          </cell>
        </row>
        <row r="510">
          <cell r="A510">
            <v>3400002977</v>
          </cell>
          <cell r="B510">
            <v>61200</v>
          </cell>
          <cell r="C510">
            <v>1</v>
          </cell>
        </row>
        <row r="511">
          <cell r="A511">
            <v>3400002978</v>
          </cell>
          <cell r="B511">
            <v>61200</v>
          </cell>
          <cell r="C511">
            <v>1</v>
          </cell>
        </row>
        <row r="512">
          <cell r="A512">
            <v>3400002979</v>
          </cell>
          <cell r="B512">
            <v>61200</v>
          </cell>
          <cell r="C512">
            <v>1</v>
          </cell>
        </row>
        <row r="513">
          <cell r="A513">
            <v>3400002980</v>
          </cell>
          <cell r="B513">
            <v>61200</v>
          </cell>
          <cell r="C513">
            <v>1</v>
          </cell>
        </row>
        <row r="514">
          <cell r="A514">
            <v>3400002981</v>
          </cell>
          <cell r="B514">
            <v>61203</v>
          </cell>
          <cell r="C514">
            <v>1</v>
          </cell>
        </row>
        <row r="515">
          <cell r="A515">
            <v>3400002982</v>
          </cell>
          <cell r="B515">
            <v>61157</v>
          </cell>
          <cell r="C515">
            <v>1</v>
          </cell>
        </row>
        <row r="516">
          <cell r="A516">
            <v>3400002983</v>
          </cell>
          <cell r="B516">
            <v>61109</v>
          </cell>
          <cell r="C516">
            <v>1</v>
          </cell>
        </row>
        <row r="517">
          <cell r="A517">
            <v>3400002984</v>
          </cell>
          <cell r="B517">
            <v>61116</v>
          </cell>
          <cell r="C517">
            <v>1</v>
          </cell>
        </row>
        <row r="518">
          <cell r="A518">
            <v>3400002985</v>
          </cell>
          <cell r="B518">
            <v>61116</v>
          </cell>
          <cell r="C518">
            <v>1</v>
          </cell>
        </row>
        <row r="519">
          <cell r="A519">
            <v>3400002986</v>
          </cell>
          <cell r="B519">
            <v>61116</v>
          </cell>
          <cell r="C519">
            <v>1</v>
          </cell>
        </row>
        <row r="520">
          <cell r="A520">
            <v>3400002987</v>
          </cell>
          <cell r="B520">
            <v>61203</v>
          </cell>
          <cell r="C520">
            <v>1</v>
          </cell>
        </row>
        <row r="521">
          <cell r="A521">
            <v>3400002988</v>
          </cell>
          <cell r="B521">
            <v>61203</v>
          </cell>
          <cell r="C521">
            <v>1</v>
          </cell>
        </row>
        <row r="522">
          <cell r="A522">
            <v>3400002989</v>
          </cell>
          <cell r="B522">
            <v>61104</v>
          </cell>
          <cell r="C522">
            <v>2</v>
          </cell>
        </row>
        <row r="523">
          <cell r="A523">
            <v>3400002990</v>
          </cell>
          <cell r="B523">
            <v>61104</v>
          </cell>
          <cell r="C523">
            <v>1</v>
          </cell>
        </row>
        <row r="524">
          <cell r="A524">
            <v>3400002991</v>
          </cell>
          <cell r="B524">
            <v>61101</v>
          </cell>
          <cell r="C524">
            <v>1</v>
          </cell>
        </row>
        <row r="525">
          <cell r="A525">
            <v>3400002992</v>
          </cell>
          <cell r="B525">
            <v>61201</v>
          </cell>
          <cell r="C525">
            <v>1</v>
          </cell>
        </row>
        <row r="526">
          <cell r="A526">
            <v>3400002993</v>
          </cell>
          <cell r="B526">
            <v>61159</v>
          </cell>
          <cell r="C526">
            <v>1</v>
          </cell>
        </row>
        <row r="527">
          <cell r="A527">
            <v>3400002994</v>
          </cell>
          <cell r="B527">
            <v>61108</v>
          </cell>
          <cell r="C527">
            <v>30</v>
          </cell>
        </row>
        <row r="528">
          <cell r="A528">
            <v>3400002995</v>
          </cell>
          <cell r="B528">
            <v>61150</v>
          </cell>
          <cell r="C528">
            <v>1</v>
          </cell>
        </row>
        <row r="529">
          <cell r="A529">
            <v>3400002996</v>
          </cell>
          <cell r="B529">
            <v>61208</v>
          </cell>
          <cell r="C529">
            <v>1</v>
          </cell>
        </row>
        <row r="530">
          <cell r="A530">
            <v>3400002997</v>
          </cell>
          <cell r="B530">
            <v>61108</v>
          </cell>
          <cell r="C530">
            <v>35</v>
          </cell>
        </row>
        <row r="531">
          <cell r="A531">
            <v>3400002998</v>
          </cell>
          <cell r="B531">
            <v>61107</v>
          </cell>
          <cell r="C531">
            <v>2</v>
          </cell>
        </row>
        <row r="532">
          <cell r="A532">
            <v>3400002999</v>
          </cell>
          <cell r="B532">
            <v>61155</v>
          </cell>
          <cell r="C532">
            <v>1</v>
          </cell>
        </row>
        <row r="533">
          <cell r="A533">
            <v>3400003000</v>
          </cell>
          <cell r="B533">
            <v>61108</v>
          </cell>
          <cell r="C533">
            <v>1</v>
          </cell>
        </row>
        <row r="534">
          <cell r="A534">
            <v>3400003001</v>
          </cell>
          <cell r="B534">
            <v>61155</v>
          </cell>
          <cell r="C534">
            <v>1</v>
          </cell>
        </row>
        <row r="535">
          <cell r="A535">
            <v>3400003002</v>
          </cell>
          <cell r="B535">
            <v>61155</v>
          </cell>
          <cell r="C535">
            <v>1</v>
          </cell>
        </row>
        <row r="536">
          <cell r="A536">
            <v>3400003003</v>
          </cell>
          <cell r="B536">
            <v>61100</v>
          </cell>
          <cell r="C536">
            <v>1</v>
          </cell>
        </row>
        <row r="537">
          <cell r="A537">
            <v>3400003004</v>
          </cell>
          <cell r="B537">
            <v>61100</v>
          </cell>
          <cell r="C537">
            <v>1</v>
          </cell>
        </row>
        <row r="538">
          <cell r="A538">
            <v>3400003005</v>
          </cell>
          <cell r="B538">
            <v>61201</v>
          </cell>
          <cell r="C538">
            <v>100</v>
          </cell>
        </row>
        <row r="539">
          <cell r="A539">
            <v>3400003006</v>
          </cell>
          <cell r="B539">
            <v>61208</v>
          </cell>
          <cell r="C539">
            <v>1</v>
          </cell>
        </row>
        <row r="540">
          <cell r="A540">
            <v>3400003007</v>
          </cell>
          <cell r="B540">
            <v>61100</v>
          </cell>
          <cell r="C540">
            <v>1</v>
          </cell>
        </row>
        <row r="541">
          <cell r="A541">
            <v>3400003008</v>
          </cell>
          <cell r="B541">
            <v>61107</v>
          </cell>
          <cell r="C541">
            <v>1</v>
          </cell>
        </row>
        <row r="542">
          <cell r="A542">
            <v>3400003009</v>
          </cell>
          <cell r="B542">
            <v>61118</v>
          </cell>
          <cell r="C542">
            <v>1</v>
          </cell>
        </row>
        <row r="543">
          <cell r="A543">
            <v>3400003010</v>
          </cell>
          <cell r="B543">
            <v>61118</v>
          </cell>
          <cell r="C543">
            <v>1</v>
          </cell>
        </row>
        <row r="544">
          <cell r="A544">
            <v>3400003011</v>
          </cell>
          <cell r="B544">
            <v>61118</v>
          </cell>
          <cell r="C544">
            <v>1</v>
          </cell>
        </row>
        <row r="545">
          <cell r="A545">
            <v>3400003012</v>
          </cell>
          <cell r="B545">
            <v>61102</v>
          </cell>
          <cell r="C545">
            <v>1</v>
          </cell>
        </row>
        <row r="546">
          <cell r="A546">
            <v>3400003013</v>
          </cell>
          <cell r="B546">
            <v>61158</v>
          </cell>
          <cell r="C546">
            <v>1</v>
          </cell>
        </row>
        <row r="547">
          <cell r="A547">
            <v>3400003014</v>
          </cell>
          <cell r="B547">
            <v>61108</v>
          </cell>
          <cell r="C547">
            <v>15</v>
          </cell>
        </row>
        <row r="548">
          <cell r="A548">
            <v>3400003015</v>
          </cell>
          <cell r="B548">
            <v>61115</v>
          </cell>
          <cell r="C548">
            <v>1</v>
          </cell>
        </row>
        <row r="549">
          <cell r="A549">
            <v>3400003016</v>
          </cell>
          <cell r="B549">
            <v>61108</v>
          </cell>
          <cell r="C549">
            <v>20</v>
          </cell>
        </row>
        <row r="550">
          <cell r="A550">
            <v>3400003017</v>
          </cell>
          <cell r="B550">
            <v>61102</v>
          </cell>
          <cell r="C550">
            <v>1</v>
          </cell>
        </row>
        <row r="551">
          <cell r="A551">
            <v>3400003018</v>
          </cell>
          <cell r="B551">
            <v>61150</v>
          </cell>
          <cell r="C551">
            <v>1</v>
          </cell>
        </row>
        <row r="552">
          <cell r="A552">
            <v>3400003019</v>
          </cell>
          <cell r="B552">
            <v>61203</v>
          </cell>
          <cell r="C552">
            <v>1</v>
          </cell>
        </row>
        <row r="553">
          <cell r="A553">
            <v>3400003020</v>
          </cell>
          <cell r="B553">
            <v>61203</v>
          </cell>
          <cell r="C553">
            <v>1</v>
          </cell>
        </row>
        <row r="554">
          <cell r="A554">
            <v>3400003021</v>
          </cell>
          <cell r="B554">
            <v>61203</v>
          </cell>
          <cell r="C554">
            <v>1</v>
          </cell>
        </row>
        <row r="555">
          <cell r="A555">
            <v>3400003022</v>
          </cell>
          <cell r="B555">
            <v>61203</v>
          </cell>
          <cell r="C555">
            <v>1</v>
          </cell>
        </row>
        <row r="556">
          <cell r="A556">
            <v>3400003023</v>
          </cell>
          <cell r="B556">
            <v>61200</v>
          </cell>
          <cell r="C556">
            <v>1</v>
          </cell>
        </row>
        <row r="557">
          <cell r="A557">
            <v>3400003024</v>
          </cell>
          <cell r="B557">
            <v>61108</v>
          </cell>
          <cell r="C557">
            <v>3</v>
          </cell>
        </row>
        <row r="558">
          <cell r="A558">
            <v>3400003025</v>
          </cell>
          <cell r="B558">
            <v>61154</v>
          </cell>
          <cell r="C558">
            <v>2</v>
          </cell>
        </row>
        <row r="559">
          <cell r="A559">
            <v>3400003026</v>
          </cell>
          <cell r="B559">
            <v>61201</v>
          </cell>
          <cell r="C559">
            <v>1</v>
          </cell>
        </row>
        <row r="560">
          <cell r="A560">
            <v>3400003027</v>
          </cell>
          <cell r="B560">
            <v>61155</v>
          </cell>
          <cell r="C560">
            <v>1</v>
          </cell>
        </row>
        <row r="561">
          <cell r="A561">
            <v>3400003028</v>
          </cell>
          <cell r="B561">
            <v>61201</v>
          </cell>
          <cell r="C561">
            <v>1</v>
          </cell>
        </row>
        <row r="562">
          <cell r="A562">
            <v>3400003029</v>
          </cell>
          <cell r="B562">
            <v>61162</v>
          </cell>
          <cell r="C562">
            <v>1</v>
          </cell>
        </row>
        <row r="563">
          <cell r="A563">
            <v>3400003030</v>
          </cell>
          <cell r="B563">
            <v>61200</v>
          </cell>
          <cell r="C563">
            <v>1</v>
          </cell>
        </row>
        <row r="564">
          <cell r="A564">
            <v>3400003031</v>
          </cell>
          <cell r="B564">
            <v>61102</v>
          </cell>
          <cell r="C564">
            <v>1</v>
          </cell>
        </row>
        <row r="565">
          <cell r="A565">
            <v>3400003032</v>
          </cell>
          <cell r="B565">
            <v>61109</v>
          </cell>
          <cell r="C565">
            <v>1</v>
          </cell>
        </row>
        <row r="566">
          <cell r="A566">
            <v>3400003033</v>
          </cell>
          <cell r="B566">
            <v>61200</v>
          </cell>
          <cell r="C566">
            <v>1</v>
          </cell>
        </row>
        <row r="567">
          <cell r="A567">
            <v>3400003034</v>
          </cell>
          <cell r="B567">
            <v>61157</v>
          </cell>
          <cell r="C567">
            <v>1</v>
          </cell>
        </row>
        <row r="568">
          <cell r="A568">
            <v>3400003035</v>
          </cell>
          <cell r="B568">
            <v>61108</v>
          </cell>
          <cell r="C568">
            <v>25</v>
          </cell>
        </row>
        <row r="569">
          <cell r="A569">
            <v>3400003036</v>
          </cell>
          <cell r="B569">
            <v>61118</v>
          </cell>
          <cell r="C569">
            <v>1</v>
          </cell>
        </row>
        <row r="570">
          <cell r="A570">
            <v>3400003037</v>
          </cell>
          <cell r="B570">
            <v>61115</v>
          </cell>
          <cell r="C570">
            <v>2</v>
          </cell>
        </row>
        <row r="571">
          <cell r="A571">
            <v>3400003038</v>
          </cell>
          <cell r="B571">
            <v>61116</v>
          </cell>
          <cell r="C571">
            <v>1</v>
          </cell>
        </row>
        <row r="572">
          <cell r="A572">
            <v>3400003039</v>
          </cell>
          <cell r="B572">
            <v>61116</v>
          </cell>
          <cell r="C572">
            <v>1</v>
          </cell>
        </row>
        <row r="573">
          <cell r="A573">
            <v>3400003040</v>
          </cell>
          <cell r="B573">
            <v>61116</v>
          </cell>
          <cell r="C573">
            <v>1</v>
          </cell>
        </row>
        <row r="574">
          <cell r="A574">
            <v>3400003041</v>
          </cell>
          <cell r="B574">
            <v>61104</v>
          </cell>
          <cell r="C574">
            <v>1</v>
          </cell>
        </row>
        <row r="575">
          <cell r="A575">
            <v>3400003042</v>
          </cell>
          <cell r="B575">
            <v>61102</v>
          </cell>
          <cell r="C575">
            <v>1</v>
          </cell>
        </row>
        <row r="576">
          <cell r="A576">
            <v>3400003043</v>
          </cell>
          <cell r="B576">
            <v>61102</v>
          </cell>
          <cell r="C576">
            <v>1</v>
          </cell>
        </row>
        <row r="577">
          <cell r="A577">
            <v>3400003044</v>
          </cell>
          <cell r="B577">
            <v>61102</v>
          </cell>
          <cell r="C577">
            <v>1</v>
          </cell>
        </row>
        <row r="578">
          <cell r="A578">
            <v>3400003045</v>
          </cell>
          <cell r="B578">
            <v>61102</v>
          </cell>
          <cell r="C578">
            <v>1</v>
          </cell>
        </row>
        <row r="579">
          <cell r="A579">
            <v>3400003046</v>
          </cell>
          <cell r="B579">
            <v>61155</v>
          </cell>
          <cell r="C579">
            <v>1</v>
          </cell>
        </row>
        <row r="580">
          <cell r="A580">
            <v>3400003047</v>
          </cell>
          <cell r="B580">
            <v>61155</v>
          </cell>
          <cell r="C580">
            <v>1</v>
          </cell>
        </row>
        <row r="581">
          <cell r="A581">
            <v>3400003048</v>
          </cell>
          <cell r="B581">
            <v>61155</v>
          </cell>
          <cell r="C581">
            <v>1</v>
          </cell>
        </row>
        <row r="582">
          <cell r="A582">
            <v>3400003049</v>
          </cell>
          <cell r="B582">
            <v>61155</v>
          </cell>
          <cell r="C582">
            <v>1</v>
          </cell>
        </row>
        <row r="583">
          <cell r="A583">
            <v>3400003050</v>
          </cell>
          <cell r="B583">
            <v>61102</v>
          </cell>
          <cell r="C583">
            <v>1</v>
          </cell>
        </row>
        <row r="584">
          <cell r="A584">
            <v>3400003051</v>
          </cell>
          <cell r="B584">
            <v>61102</v>
          </cell>
          <cell r="C584">
            <v>1</v>
          </cell>
        </row>
        <row r="585">
          <cell r="A585">
            <v>3400003052</v>
          </cell>
          <cell r="B585">
            <v>61102</v>
          </cell>
          <cell r="C585">
            <v>1</v>
          </cell>
        </row>
        <row r="586">
          <cell r="A586">
            <v>3400003053</v>
          </cell>
          <cell r="B586">
            <v>61102</v>
          </cell>
          <cell r="C586">
            <v>1</v>
          </cell>
        </row>
        <row r="587">
          <cell r="A587">
            <v>3400003054</v>
          </cell>
          <cell r="B587">
            <v>61102</v>
          </cell>
          <cell r="C587">
            <v>1</v>
          </cell>
        </row>
        <row r="588">
          <cell r="A588">
            <v>3400003055</v>
          </cell>
          <cell r="B588">
            <v>61102</v>
          </cell>
          <cell r="C588">
            <v>1</v>
          </cell>
        </row>
        <row r="589">
          <cell r="A589">
            <v>3400003056</v>
          </cell>
          <cell r="B589">
            <v>61102</v>
          </cell>
          <cell r="C589">
            <v>1</v>
          </cell>
        </row>
        <row r="590">
          <cell r="A590">
            <v>3400003057</v>
          </cell>
          <cell r="B590">
            <v>61102</v>
          </cell>
          <cell r="C590">
            <v>1</v>
          </cell>
        </row>
        <row r="591">
          <cell r="A591">
            <v>3400003058</v>
          </cell>
          <cell r="B591">
            <v>61102</v>
          </cell>
          <cell r="C591">
            <v>1</v>
          </cell>
        </row>
        <row r="592">
          <cell r="A592">
            <v>3400003059</v>
          </cell>
          <cell r="B592">
            <v>61102</v>
          </cell>
          <cell r="C592">
            <v>1</v>
          </cell>
        </row>
        <row r="593">
          <cell r="A593">
            <v>3400003060</v>
          </cell>
          <cell r="B593">
            <v>61102</v>
          </cell>
          <cell r="C593">
            <v>1</v>
          </cell>
        </row>
        <row r="594">
          <cell r="A594">
            <v>3400003061</v>
          </cell>
          <cell r="B594">
            <v>61102</v>
          </cell>
          <cell r="C594">
            <v>1</v>
          </cell>
        </row>
        <row r="595">
          <cell r="A595">
            <v>3400003062</v>
          </cell>
          <cell r="B595">
            <v>61102</v>
          </cell>
          <cell r="C595">
            <v>1</v>
          </cell>
        </row>
        <row r="596">
          <cell r="A596">
            <v>3400003063</v>
          </cell>
          <cell r="B596">
            <v>61102</v>
          </cell>
          <cell r="C596">
            <v>1</v>
          </cell>
        </row>
        <row r="597">
          <cell r="A597">
            <v>3400003064</v>
          </cell>
          <cell r="B597">
            <v>61102</v>
          </cell>
          <cell r="C597">
            <v>1</v>
          </cell>
        </row>
        <row r="598">
          <cell r="A598">
            <v>3400003065</v>
          </cell>
          <cell r="B598">
            <v>61102</v>
          </cell>
          <cell r="C598">
            <v>1</v>
          </cell>
        </row>
        <row r="599">
          <cell r="A599">
            <v>3400003066</v>
          </cell>
          <cell r="B599">
            <v>61102</v>
          </cell>
          <cell r="C599">
            <v>1</v>
          </cell>
        </row>
        <row r="600">
          <cell r="A600">
            <v>3400003067</v>
          </cell>
          <cell r="B600">
            <v>61102</v>
          </cell>
          <cell r="C600">
            <v>1</v>
          </cell>
        </row>
        <row r="601">
          <cell r="A601">
            <v>3400003068</v>
          </cell>
          <cell r="B601">
            <v>61102</v>
          </cell>
          <cell r="C601">
            <v>1</v>
          </cell>
        </row>
        <row r="602">
          <cell r="A602">
            <v>3400003069</v>
          </cell>
          <cell r="B602">
            <v>61102</v>
          </cell>
          <cell r="C602">
            <v>1</v>
          </cell>
        </row>
        <row r="603">
          <cell r="A603">
            <v>3400003070</v>
          </cell>
          <cell r="B603">
            <v>61102</v>
          </cell>
          <cell r="C603">
            <v>1</v>
          </cell>
        </row>
        <row r="604">
          <cell r="A604">
            <v>3400003071</v>
          </cell>
          <cell r="B604">
            <v>61102</v>
          </cell>
          <cell r="C604">
            <v>1</v>
          </cell>
        </row>
        <row r="605">
          <cell r="A605">
            <v>3400003072</v>
          </cell>
          <cell r="B605">
            <v>61102</v>
          </cell>
          <cell r="C605">
            <v>1</v>
          </cell>
        </row>
        <row r="606">
          <cell r="A606">
            <v>3400003073</v>
          </cell>
          <cell r="B606">
            <v>61102</v>
          </cell>
          <cell r="C606">
            <v>1</v>
          </cell>
        </row>
        <row r="607">
          <cell r="A607">
            <v>3400003074</v>
          </cell>
          <cell r="B607">
            <v>61102</v>
          </cell>
          <cell r="C607">
            <v>1</v>
          </cell>
        </row>
        <row r="608">
          <cell r="A608">
            <v>3400003075</v>
          </cell>
          <cell r="B608">
            <v>61102</v>
          </cell>
          <cell r="C608">
            <v>1</v>
          </cell>
        </row>
        <row r="609">
          <cell r="A609">
            <v>3400003076</v>
          </cell>
          <cell r="B609">
            <v>61102</v>
          </cell>
          <cell r="C609">
            <v>1</v>
          </cell>
        </row>
        <row r="610">
          <cell r="A610">
            <v>3400003077</v>
          </cell>
          <cell r="B610">
            <v>61102</v>
          </cell>
          <cell r="C610">
            <v>1</v>
          </cell>
        </row>
        <row r="611">
          <cell r="A611">
            <v>3400003078</v>
          </cell>
          <cell r="B611">
            <v>61102</v>
          </cell>
          <cell r="C611">
            <v>1</v>
          </cell>
        </row>
        <row r="612">
          <cell r="A612">
            <v>3400003079</v>
          </cell>
          <cell r="B612">
            <v>61102</v>
          </cell>
          <cell r="C612">
            <v>1</v>
          </cell>
        </row>
        <row r="613">
          <cell r="A613">
            <v>3400003080</v>
          </cell>
          <cell r="B613">
            <v>61102</v>
          </cell>
          <cell r="C613">
            <v>1</v>
          </cell>
        </row>
        <row r="614">
          <cell r="A614">
            <v>3400003081</v>
          </cell>
          <cell r="B614">
            <v>61102</v>
          </cell>
          <cell r="C614">
            <v>1</v>
          </cell>
        </row>
        <row r="615">
          <cell r="A615">
            <v>3400003082</v>
          </cell>
          <cell r="B615">
            <v>61102</v>
          </cell>
          <cell r="C615">
            <v>1</v>
          </cell>
        </row>
        <row r="616">
          <cell r="A616">
            <v>3400003083</v>
          </cell>
          <cell r="B616">
            <v>61102</v>
          </cell>
          <cell r="C616">
            <v>1</v>
          </cell>
        </row>
        <row r="617">
          <cell r="A617">
            <v>3400003084</v>
          </cell>
          <cell r="B617">
            <v>61102</v>
          </cell>
          <cell r="C617">
            <v>1</v>
          </cell>
        </row>
        <row r="618">
          <cell r="A618">
            <v>3400003085</v>
          </cell>
          <cell r="B618">
            <v>61102</v>
          </cell>
          <cell r="C618">
            <v>1</v>
          </cell>
        </row>
        <row r="619">
          <cell r="A619">
            <v>3400003086</v>
          </cell>
          <cell r="B619">
            <v>61102</v>
          </cell>
          <cell r="C619">
            <v>1</v>
          </cell>
        </row>
        <row r="620">
          <cell r="A620">
            <v>3400003087</v>
          </cell>
          <cell r="B620">
            <v>61102</v>
          </cell>
          <cell r="C620">
            <v>1</v>
          </cell>
        </row>
        <row r="621">
          <cell r="A621">
            <v>3400003088</v>
          </cell>
          <cell r="B621">
            <v>61102</v>
          </cell>
          <cell r="C621">
            <v>1</v>
          </cell>
        </row>
        <row r="622">
          <cell r="A622">
            <v>3400003089</v>
          </cell>
          <cell r="B622">
            <v>61102</v>
          </cell>
          <cell r="C622">
            <v>1</v>
          </cell>
        </row>
        <row r="623">
          <cell r="A623">
            <v>3400003090</v>
          </cell>
          <cell r="B623">
            <v>61102</v>
          </cell>
          <cell r="C623">
            <v>1</v>
          </cell>
        </row>
        <row r="624">
          <cell r="A624">
            <v>3400003091</v>
          </cell>
          <cell r="B624">
            <v>61102</v>
          </cell>
          <cell r="C624">
            <v>1</v>
          </cell>
        </row>
        <row r="625">
          <cell r="A625">
            <v>3400003092</v>
          </cell>
          <cell r="B625">
            <v>61102</v>
          </cell>
          <cell r="C625">
            <v>1</v>
          </cell>
        </row>
        <row r="626">
          <cell r="A626">
            <v>3400003093</v>
          </cell>
          <cell r="B626">
            <v>61102</v>
          </cell>
          <cell r="C626">
            <v>1</v>
          </cell>
        </row>
        <row r="627">
          <cell r="A627">
            <v>3400003094</v>
          </cell>
          <cell r="B627">
            <v>61102</v>
          </cell>
          <cell r="C627">
            <v>1</v>
          </cell>
        </row>
        <row r="628">
          <cell r="A628">
            <v>3400003095</v>
          </cell>
          <cell r="B628">
            <v>61102</v>
          </cell>
          <cell r="C628">
            <v>1</v>
          </cell>
        </row>
        <row r="629">
          <cell r="A629">
            <v>3400003096</v>
          </cell>
          <cell r="B629">
            <v>61102</v>
          </cell>
          <cell r="C629">
            <v>1</v>
          </cell>
        </row>
        <row r="630">
          <cell r="A630">
            <v>3400003097</v>
          </cell>
          <cell r="B630">
            <v>61102</v>
          </cell>
          <cell r="C630">
            <v>1</v>
          </cell>
        </row>
        <row r="631">
          <cell r="A631">
            <v>3400003098</v>
          </cell>
          <cell r="B631">
            <v>61102</v>
          </cell>
          <cell r="C631">
            <v>1</v>
          </cell>
        </row>
        <row r="632">
          <cell r="A632">
            <v>3400003099</v>
          </cell>
          <cell r="B632">
            <v>61102</v>
          </cell>
          <cell r="C632">
            <v>1</v>
          </cell>
        </row>
        <row r="633">
          <cell r="A633">
            <v>3400003100</v>
          </cell>
          <cell r="B633">
            <v>61102</v>
          </cell>
          <cell r="C633">
            <v>1</v>
          </cell>
        </row>
        <row r="634">
          <cell r="A634">
            <v>3400003101</v>
          </cell>
          <cell r="B634">
            <v>61102</v>
          </cell>
          <cell r="C634">
            <v>1</v>
          </cell>
        </row>
        <row r="635">
          <cell r="A635">
            <v>3400003102</v>
          </cell>
          <cell r="B635">
            <v>61102</v>
          </cell>
          <cell r="C635">
            <v>1</v>
          </cell>
        </row>
        <row r="636">
          <cell r="A636">
            <v>3400003103</v>
          </cell>
          <cell r="B636">
            <v>61102</v>
          </cell>
          <cell r="C636">
            <v>1</v>
          </cell>
        </row>
        <row r="637">
          <cell r="A637">
            <v>3400003104</v>
          </cell>
          <cell r="B637">
            <v>61102</v>
          </cell>
          <cell r="C637">
            <v>1</v>
          </cell>
        </row>
        <row r="638">
          <cell r="A638">
            <v>3400003105</v>
          </cell>
          <cell r="B638">
            <v>61102</v>
          </cell>
          <cell r="C638">
            <v>1</v>
          </cell>
        </row>
        <row r="639">
          <cell r="A639">
            <v>3400003106</v>
          </cell>
          <cell r="B639">
            <v>61102</v>
          </cell>
          <cell r="C639">
            <v>1</v>
          </cell>
        </row>
        <row r="640">
          <cell r="A640">
            <v>3400003107</v>
          </cell>
          <cell r="B640">
            <v>61102</v>
          </cell>
          <cell r="C640">
            <v>1</v>
          </cell>
        </row>
        <row r="641">
          <cell r="A641">
            <v>3400003108</v>
          </cell>
          <cell r="B641">
            <v>61102</v>
          </cell>
          <cell r="C641">
            <v>1</v>
          </cell>
        </row>
        <row r="642">
          <cell r="A642">
            <v>3400003109</v>
          </cell>
          <cell r="B642">
            <v>61102</v>
          </cell>
          <cell r="C642">
            <v>1</v>
          </cell>
        </row>
        <row r="643">
          <cell r="A643">
            <v>3400003110</v>
          </cell>
          <cell r="B643">
            <v>61102</v>
          </cell>
          <cell r="C643">
            <v>1</v>
          </cell>
        </row>
        <row r="644">
          <cell r="A644">
            <v>3400003111</v>
          </cell>
          <cell r="B644">
            <v>61102</v>
          </cell>
          <cell r="C644">
            <v>1</v>
          </cell>
        </row>
        <row r="645">
          <cell r="A645">
            <v>3400003112</v>
          </cell>
          <cell r="B645">
            <v>61102</v>
          </cell>
          <cell r="C645">
            <v>1</v>
          </cell>
        </row>
        <row r="646">
          <cell r="A646">
            <v>3400003113</v>
          </cell>
          <cell r="B646">
            <v>61102</v>
          </cell>
          <cell r="C646">
            <v>1</v>
          </cell>
        </row>
        <row r="647">
          <cell r="A647">
            <v>3400003114</v>
          </cell>
          <cell r="B647">
            <v>61102</v>
          </cell>
          <cell r="C647">
            <v>1</v>
          </cell>
        </row>
        <row r="648">
          <cell r="A648">
            <v>3400003115</v>
          </cell>
          <cell r="B648">
            <v>61102</v>
          </cell>
          <cell r="C648">
            <v>1</v>
          </cell>
        </row>
        <row r="649">
          <cell r="A649">
            <v>3400003116</v>
          </cell>
          <cell r="B649">
            <v>61102</v>
          </cell>
          <cell r="C649">
            <v>1</v>
          </cell>
        </row>
        <row r="650">
          <cell r="A650">
            <v>3400003117</v>
          </cell>
          <cell r="B650">
            <v>61102</v>
          </cell>
          <cell r="C650">
            <v>1</v>
          </cell>
        </row>
        <row r="651">
          <cell r="A651">
            <v>3400003118</v>
          </cell>
          <cell r="B651">
            <v>61102</v>
          </cell>
          <cell r="C651">
            <v>1</v>
          </cell>
        </row>
        <row r="652">
          <cell r="A652">
            <v>3400003119</v>
          </cell>
          <cell r="B652">
            <v>61102</v>
          </cell>
          <cell r="C652">
            <v>1</v>
          </cell>
        </row>
        <row r="653">
          <cell r="A653">
            <v>3400003120</v>
          </cell>
          <cell r="B653">
            <v>61102</v>
          </cell>
          <cell r="C653">
            <v>1</v>
          </cell>
        </row>
        <row r="654">
          <cell r="A654">
            <v>3400003121</v>
          </cell>
          <cell r="B654">
            <v>61102</v>
          </cell>
          <cell r="C654">
            <v>1</v>
          </cell>
        </row>
        <row r="655">
          <cell r="A655">
            <v>3400003122</v>
          </cell>
          <cell r="B655">
            <v>61102</v>
          </cell>
          <cell r="C655">
            <v>1</v>
          </cell>
        </row>
        <row r="656">
          <cell r="A656">
            <v>3400003123</v>
          </cell>
          <cell r="B656">
            <v>61102</v>
          </cell>
          <cell r="C656">
            <v>1</v>
          </cell>
        </row>
        <row r="657">
          <cell r="A657">
            <v>3400003124</v>
          </cell>
          <cell r="B657">
            <v>61102</v>
          </cell>
          <cell r="C657">
            <v>1</v>
          </cell>
        </row>
        <row r="658">
          <cell r="A658">
            <v>3400003125</v>
          </cell>
          <cell r="B658">
            <v>61102</v>
          </cell>
          <cell r="C658">
            <v>1</v>
          </cell>
        </row>
        <row r="659">
          <cell r="A659">
            <v>3400003126</v>
          </cell>
          <cell r="B659">
            <v>61102</v>
          </cell>
          <cell r="C659">
            <v>1</v>
          </cell>
        </row>
        <row r="660">
          <cell r="A660">
            <v>3400003127</v>
          </cell>
          <cell r="B660">
            <v>61102</v>
          </cell>
          <cell r="C660">
            <v>1</v>
          </cell>
        </row>
        <row r="661">
          <cell r="A661">
            <v>3400003128</v>
          </cell>
          <cell r="B661">
            <v>61102</v>
          </cell>
          <cell r="C661">
            <v>1</v>
          </cell>
        </row>
        <row r="662">
          <cell r="A662">
            <v>3400003129</v>
          </cell>
          <cell r="B662">
            <v>61102</v>
          </cell>
          <cell r="C662">
            <v>1</v>
          </cell>
        </row>
        <row r="663">
          <cell r="A663">
            <v>3400003130</v>
          </cell>
          <cell r="B663">
            <v>61102</v>
          </cell>
          <cell r="C663">
            <v>1</v>
          </cell>
        </row>
        <row r="664">
          <cell r="A664">
            <v>3400003131</v>
          </cell>
          <cell r="B664">
            <v>61102</v>
          </cell>
          <cell r="C664">
            <v>1</v>
          </cell>
        </row>
        <row r="665">
          <cell r="A665">
            <v>3400003132</v>
          </cell>
          <cell r="B665">
            <v>61102</v>
          </cell>
          <cell r="C665">
            <v>1</v>
          </cell>
        </row>
        <row r="666">
          <cell r="A666">
            <v>3400003133</v>
          </cell>
          <cell r="B666">
            <v>61102</v>
          </cell>
          <cell r="C666">
            <v>1</v>
          </cell>
        </row>
        <row r="667">
          <cell r="A667">
            <v>3400003134</v>
          </cell>
          <cell r="B667">
            <v>61102</v>
          </cell>
          <cell r="C667">
            <v>1</v>
          </cell>
        </row>
        <row r="668">
          <cell r="A668">
            <v>3400003135</v>
          </cell>
          <cell r="B668">
            <v>61102</v>
          </cell>
          <cell r="C668">
            <v>1</v>
          </cell>
        </row>
        <row r="669">
          <cell r="A669">
            <v>3400003136</v>
          </cell>
          <cell r="B669">
            <v>61102</v>
          </cell>
          <cell r="C669">
            <v>1</v>
          </cell>
        </row>
        <row r="670">
          <cell r="A670">
            <v>3400003137</v>
          </cell>
          <cell r="B670">
            <v>61102</v>
          </cell>
          <cell r="C670">
            <v>1</v>
          </cell>
        </row>
        <row r="671">
          <cell r="A671">
            <v>3400003138</v>
          </cell>
          <cell r="B671">
            <v>61102</v>
          </cell>
          <cell r="C671">
            <v>1</v>
          </cell>
        </row>
        <row r="672">
          <cell r="A672">
            <v>3400003139</v>
          </cell>
          <cell r="B672">
            <v>61102</v>
          </cell>
          <cell r="C672">
            <v>1</v>
          </cell>
        </row>
        <row r="673">
          <cell r="A673">
            <v>3400003140</v>
          </cell>
          <cell r="B673">
            <v>61102</v>
          </cell>
          <cell r="C673">
            <v>1</v>
          </cell>
        </row>
        <row r="674">
          <cell r="A674">
            <v>3400003141</v>
          </cell>
          <cell r="B674">
            <v>61102</v>
          </cell>
          <cell r="C674">
            <v>1</v>
          </cell>
        </row>
        <row r="675">
          <cell r="A675">
            <v>3400003142</v>
          </cell>
          <cell r="B675">
            <v>61102</v>
          </cell>
          <cell r="C675">
            <v>1</v>
          </cell>
        </row>
        <row r="676">
          <cell r="A676">
            <v>3400003143</v>
          </cell>
          <cell r="B676">
            <v>61102</v>
          </cell>
          <cell r="C676">
            <v>1</v>
          </cell>
        </row>
        <row r="677">
          <cell r="A677">
            <v>3400003144</v>
          </cell>
          <cell r="B677">
            <v>61102</v>
          </cell>
          <cell r="C677">
            <v>1</v>
          </cell>
        </row>
        <row r="678">
          <cell r="A678">
            <v>3400003145</v>
          </cell>
          <cell r="B678">
            <v>61102</v>
          </cell>
          <cell r="C678">
            <v>1</v>
          </cell>
        </row>
        <row r="679">
          <cell r="A679">
            <v>3400003146</v>
          </cell>
          <cell r="B679">
            <v>61102</v>
          </cell>
          <cell r="C679">
            <v>1</v>
          </cell>
        </row>
        <row r="680">
          <cell r="A680">
            <v>3400003147</v>
          </cell>
          <cell r="B680">
            <v>61102</v>
          </cell>
          <cell r="C680">
            <v>1</v>
          </cell>
        </row>
        <row r="681">
          <cell r="A681">
            <v>3400003148</v>
          </cell>
          <cell r="B681">
            <v>61102</v>
          </cell>
          <cell r="C681">
            <v>1</v>
          </cell>
        </row>
        <row r="682">
          <cell r="A682">
            <v>3400003149</v>
          </cell>
          <cell r="B682">
            <v>61102</v>
          </cell>
          <cell r="C682">
            <v>1</v>
          </cell>
        </row>
        <row r="683">
          <cell r="A683">
            <v>3400003150</v>
          </cell>
          <cell r="B683">
            <v>61102</v>
          </cell>
          <cell r="C683">
            <v>1</v>
          </cell>
        </row>
        <row r="684">
          <cell r="A684">
            <v>3400003151</v>
          </cell>
          <cell r="B684">
            <v>61102</v>
          </cell>
          <cell r="C684">
            <v>1</v>
          </cell>
        </row>
        <row r="685">
          <cell r="A685">
            <v>3400003152</v>
          </cell>
          <cell r="B685">
            <v>61102</v>
          </cell>
          <cell r="C685">
            <v>1</v>
          </cell>
        </row>
        <row r="686">
          <cell r="A686">
            <v>3400003153</v>
          </cell>
          <cell r="B686">
            <v>61102</v>
          </cell>
          <cell r="C686">
            <v>1</v>
          </cell>
        </row>
        <row r="687">
          <cell r="A687">
            <v>3400003154</v>
          </cell>
          <cell r="B687">
            <v>61102</v>
          </cell>
          <cell r="C687">
            <v>1</v>
          </cell>
        </row>
        <row r="688">
          <cell r="A688">
            <v>3400003155</v>
          </cell>
          <cell r="B688">
            <v>61102</v>
          </cell>
          <cell r="C688">
            <v>1</v>
          </cell>
        </row>
        <row r="689">
          <cell r="A689">
            <v>3400003156</v>
          </cell>
          <cell r="B689">
            <v>61102</v>
          </cell>
          <cell r="C689">
            <v>1</v>
          </cell>
        </row>
        <row r="690">
          <cell r="A690">
            <v>3400003157</v>
          </cell>
          <cell r="B690">
            <v>61102</v>
          </cell>
          <cell r="C690">
            <v>1</v>
          </cell>
        </row>
        <row r="691">
          <cell r="A691">
            <v>3400003158</v>
          </cell>
          <cell r="B691">
            <v>61102</v>
          </cell>
          <cell r="C691">
            <v>1</v>
          </cell>
        </row>
        <row r="692">
          <cell r="A692">
            <v>3400003159</v>
          </cell>
          <cell r="B692">
            <v>61102</v>
          </cell>
          <cell r="C692">
            <v>1</v>
          </cell>
        </row>
        <row r="693">
          <cell r="A693">
            <v>3400003160</v>
          </cell>
          <cell r="B693">
            <v>61102</v>
          </cell>
          <cell r="C693">
            <v>1</v>
          </cell>
        </row>
        <row r="694">
          <cell r="A694">
            <v>3400003161</v>
          </cell>
          <cell r="B694">
            <v>61102</v>
          </cell>
          <cell r="C694">
            <v>1</v>
          </cell>
        </row>
        <row r="695">
          <cell r="A695">
            <v>3400003162</v>
          </cell>
          <cell r="B695">
            <v>61102</v>
          </cell>
          <cell r="C695">
            <v>1</v>
          </cell>
        </row>
        <row r="696">
          <cell r="A696">
            <v>3400003163</v>
          </cell>
          <cell r="B696">
            <v>61102</v>
          </cell>
          <cell r="C696">
            <v>1</v>
          </cell>
        </row>
        <row r="697">
          <cell r="A697">
            <v>3400003164</v>
          </cell>
          <cell r="B697">
            <v>61102</v>
          </cell>
          <cell r="C697">
            <v>1</v>
          </cell>
        </row>
        <row r="698">
          <cell r="A698">
            <v>3400003165</v>
          </cell>
          <cell r="B698">
            <v>61102</v>
          </cell>
          <cell r="C698">
            <v>1</v>
          </cell>
        </row>
        <row r="699">
          <cell r="A699">
            <v>3400003165</v>
          </cell>
          <cell r="B699">
            <v>61102</v>
          </cell>
          <cell r="C699">
            <v>1</v>
          </cell>
        </row>
        <row r="700">
          <cell r="A700">
            <v>3400003166</v>
          </cell>
          <cell r="B700">
            <v>61102</v>
          </cell>
          <cell r="C700">
            <v>1</v>
          </cell>
        </row>
        <row r="701">
          <cell r="A701">
            <v>3400003167</v>
          </cell>
          <cell r="B701">
            <v>61102</v>
          </cell>
          <cell r="C701">
            <v>1</v>
          </cell>
        </row>
        <row r="702">
          <cell r="A702">
            <v>3400003168</v>
          </cell>
          <cell r="B702">
            <v>61102</v>
          </cell>
          <cell r="C702">
            <v>1</v>
          </cell>
        </row>
        <row r="703">
          <cell r="A703">
            <v>3400003168</v>
          </cell>
          <cell r="B703">
            <v>61102</v>
          </cell>
          <cell r="C703">
            <v>1</v>
          </cell>
        </row>
        <row r="704">
          <cell r="A704">
            <v>3400003169</v>
          </cell>
          <cell r="B704">
            <v>61102</v>
          </cell>
          <cell r="C704">
            <v>1</v>
          </cell>
        </row>
        <row r="705">
          <cell r="A705">
            <v>3400003170</v>
          </cell>
          <cell r="B705">
            <v>61102</v>
          </cell>
          <cell r="C705">
            <v>1</v>
          </cell>
        </row>
        <row r="706">
          <cell r="A706">
            <v>3400003171</v>
          </cell>
          <cell r="B706">
            <v>61102</v>
          </cell>
          <cell r="C706">
            <v>1</v>
          </cell>
        </row>
        <row r="707">
          <cell r="A707">
            <v>3400003172</v>
          </cell>
          <cell r="B707">
            <v>61102</v>
          </cell>
          <cell r="C707">
            <v>1</v>
          </cell>
        </row>
        <row r="708">
          <cell r="A708">
            <v>3400003173</v>
          </cell>
          <cell r="B708">
            <v>61102</v>
          </cell>
          <cell r="C708">
            <v>1</v>
          </cell>
        </row>
        <row r="709">
          <cell r="A709">
            <v>3400003174</v>
          </cell>
          <cell r="B709">
            <v>61102</v>
          </cell>
          <cell r="C709">
            <v>1</v>
          </cell>
        </row>
        <row r="710">
          <cell r="A710">
            <v>3400003175</v>
          </cell>
          <cell r="B710">
            <v>61102</v>
          </cell>
          <cell r="C710">
            <v>1</v>
          </cell>
        </row>
        <row r="711">
          <cell r="A711">
            <v>3400003176</v>
          </cell>
          <cell r="B711">
            <v>61162</v>
          </cell>
          <cell r="C711">
            <v>1</v>
          </cell>
        </row>
        <row r="712">
          <cell r="A712">
            <v>3400003177</v>
          </cell>
          <cell r="B712">
            <v>61162</v>
          </cell>
          <cell r="C712">
            <v>1</v>
          </cell>
        </row>
        <row r="713">
          <cell r="A713">
            <v>3400003178</v>
          </cell>
          <cell r="B713">
            <v>61201</v>
          </cell>
          <cell r="C713">
            <v>7</v>
          </cell>
        </row>
        <row r="714">
          <cell r="A714">
            <v>3400003179</v>
          </cell>
          <cell r="B714">
            <v>61162</v>
          </cell>
          <cell r="C714">
            <v>1</v>
          </cell>
        </row>
        <row r="715">
          <cell r="A715">
            <v>3400003180</v>
          </cell>
          <cell r="B715">
            <v>61162</v>
          </cell>
          <cell r="C715">
            <v>1</v>
          </cell>
        </row>
        <row r="716">
          <cell r="A716">
            <v>3400003181</v>
          </cell>
          <cell r="B716">
            <v>61162</v>
          </cell>
          <cell r="C716">
            <v>1</v>
          </cell>
        </row>
        <row r="717">
          <cell r="A717">
            <v>3400003182</v>
          </cell>
          <cell r="B717">
            <v>61162</v>
          </cell>
          <cell r="C717">
            <v>1</v>
          </cell>
        </row>
        <row r="718">
          <cell r="A718">
            <v>3400003183</v>
          </cell>
          <cell r="B718">
            <v>61162</v>
          </cell>
          <cell r="C718">
            <v>1</v>
          </cell>
        </row>
        <row r="719">
          <cell r="A719">
            <v>3400003184</v>
          </cell>
          <cell r="B719">
            <v>61162</v>
          </cell>
          <cell r="C719">
            <v>1</v>
          </cell>
        </row>
        <row r="720">
          <cell r="A720">
            <v>3400003185</v>
          </cell>
          <cell r="B720">
            <v>61162</v>
          </cell>
          <cell r="C720">
            <v>1</v>
          </cell>
        </row>
        <row r="721">
          <cell r="A721">
            <v>3400003186</v>
          </cell>
          <cell r="B721">
            <v>61162</v>
          </cell>
          <cell r="C721">
            <v>1</v>
          </cell>
        </row>
        <row r="722">
          <cell r="A722">
            <v>3400003187</v>
          </cell>
          <cell r="B722">
            <v>61162</v>
          </cell>
          <cell r="C722">
            <v>1</v>
          </cell>
        </row>
        <row r="723">
          <cell r="A723">
            <v>3400003188</v>
          </cell>
          <cell r="B723">
            <v>61162</v>
          </cell>
          <cell r="C723">
            <v>1</v>
          </cell>
        </row>
        <row r="724">
          <cell r="A724">
            <v>3400003189</v>
          </cell>
          <cell r="B724">
            <v>61162</v>
          </cell>
          <cell r="C724">
            <v>1</v>
          </cell>
        </row>
        <row r="725">
          <cell r="A725">
            <v>3400003190</v>
          </cell>
          <cell r="B725">
            <v>61162</v>
          </cell>
          <cell r="C725">
            <v>1</v>
          </cell>
        </row>
        <row r="726">
          <cell r="A726">
            <v>3400003191</v>
          </cell>
          <cell r="B726">
            <v>61162</v>
          </cell>
          <cell r="C726">
            <v>1</v>
          </cell>
        </row>
        <row r="727">
          <cell r="A727">
            <v>3400003192</v>
          </cell>
          <cell r="B727">
            <v>61162</v>
          </cell>
          <cell r="C727">
            <v>1</v>
          </cell>
        </row>
        <row r="728">
          <cell r="A728">
            <v>3400003193</v>
          </cell>
          <cell r="B728">
            <v>61162</v>
          </cell>
          <cell r="C728">
            <v>2</v>
          </cell>
        </row>
        <row r="729">
          <cell r="A729">
            <v>3400003194</v>
          </cell>
          <cell r="B729">
            <v>61162</v>
          </cell>
          <cell r="C729">
            <v>1</v>
          </cell>
        </row>
        <row r="730">
          <cell r="A730">
            <v>3400003195</v>
          </cell>
          <cell r="B730">
            <v>61162</v>
          </cell>
          <cell r="C730">
            <v>1</v>
          </cell>
        </row>
        <row r="731">
          <cell r="A731">
            <v>3400003196</v>
          </cell>
          <cell r="B731">
            <v>61162</v>
          </cell>
          <cell r="C731">
            <v>1</v>
          </cell>
        </row>
        <row r="732">
          <cell r="A732">
            <v>3400003197</v>
          </cell>
          <cell r="B732">
            <v>61162</v>
          </cell>
          <cell r="C732">
            <v>1</v>
          </cell>
        </row>
        <row r="733">
          <cell r="A733">
            <v>3400003198</v>
          </cell>
          <cell r="B733">
            <v>61162</v>
          </cell>
          <cell r="C733">
            <v>1</v>
          </cell>
        </row>
        <row r="734">
          <cell r="A734">
            <v>3400003199</v>
          </cell>
          <cell r="B734">
            <v>61102</v>
          </cell>
          <cell r="C734">
            <v>1</v>
          </cell>
        </row>
        <row r="735">
          <cell r="A735">
            <v>3400003200</v>
          </cell>
          <cell r="B735">
            <v>61155</v>
          </cell>
          <cell r="C735">
            <v>1</v>
          </cell>
        </row>
        <row r="736">
          <cell r="A736">
            <v>3400003201</v>
          </cell>
          <cell r="B736">
            <v>61158</v>
          </cell>
          <cell r="C736">
            <v>1</v>
          </cell>
        </row>
        <row r="737">
          <cell r="A737">
            <v>3400003202</v>
          </cell>
          <cell r="B737">
            <v>61108</v>
          </cell>
          <cell r="C737">
            <v>1</v>
          </cell>
        </row>
        <row r="738">
          <cell r="A738">
            <v>3400003203</v>
          </cell>
          <cell r="B738">
            <v>61200</v>
          </cell>
          <cell r="C738">
            <v>1</v>
          </cell>
        </row>
        <row r="739">
          <cell r="A739">
            <v>3400003204</v>
          </cell>
          <cell r="B739">
            <v>61109</v>
          </cell>
          <cell r="C739">
            <v>1</v>
          </cell>
        </row>
        <row r="740">
          <cell r="A740">
            <v>3400003205</v>
          </cell>
          <cell r="B740">
            <v>61116</v>
          </cell>
          <cell r="C740">
            <v>1</v>
          </cell>
        </row>
        <row r="741">
          <cell r="A741">
            <v>3400003206</v>
          </cell>
          <cell r="B741">
            <v>61116</v>
          </cell>
          <cell r="C741">
            <v>1</v>
          </cell>
        </row>
        <row r="742">
          <cell r="A742">
            <v>3400003207</v>
          </cell>
          <cell r="B742">
            <v>61158</v>
          </cell>
          <cell r="C742">
            <v>1</v>
          </cell>
        </row>
        <row r="743">
          <cell r="A743">
            <v>3400003208</v>
          </cell>
          <cell r="B743">
            <v>61103</v>
          </cell>
          <cell r="C743">
            <v>1</v>
          </cell>
        </row>
        <row r="744">
          <cell r="A744">
            <v>3400003209</v>
          </cell>
          <cell r="B744">
            <v>61206</v>
          </cell>
          <cell r="C744">
            <v>1</v>
          </cell>
        </row>
        <row r="745">
          <cell r="A745">
            <v>3400003210</v>
          </cell>
          <cell r="B745">
            <v>61162</v>
          </cell>
          <cell r="C745">
            <v>1</v>
          </cell>
        </row>
        <row r="746">
          <cell r="A746">
            <v>3400003211</v>
          </cell>
          <cell r="B746">
            <v>61116</v>
          </cell>
          <cell r="C746">
            <v>1</v>
          </cell>
        </row>
        <row r="747">
          <cell r="A747">
            <v>3400003212</v>
          </cell>
          <cell r="B747">
            <v>61158</v>
          </cell>
          <cell r="C747">
            <v>1</v>
          </cell>
        </row>
        <row r="748">
          <cell r="A748">
            <v>3400003213</v>
          </cell>
          <cell r="B748">
            <v>61158</v>
          </cell>
          <cell r="C748">
            <v>1</v>
          </cell>
        </row>
        <row r="749">
          <cell r="A749">
            <v>3400003214</v>
          </cell>
          <cell r="B749">
            <v>61103</v>
          </cell>
          <cell r="C749">
            <v>1</v>
          </cell>
        </row>
        <row r="750">
          <cell r="A750">
            <v>3400003215</v>
          </cell>
          <cell r="B750">
            <v>61116</v>
          </cell>
          <cell r="C750">
            <v>1</v>
          </cell>
        </row>
        <row r="751">
          <cell r="A751">
            <v>3400003216</v>
          </cell>
          <cell r="B751">
            <v>61102</v>
          </cell>
          <cell r="C751">
            <v>1</v>
          </cell>
        </row>
        <row r="752">
          <cell r="A752">
            <v>3400003217</v>
          </cell>
          <cell r="B752">
            <v>61102</v>
          </cell>
          <cell r="C752">
            <v>1</v>
          </cell>
        </row>
        <row r="753">
          <cell r="A753">
            <v>3400003218</v>
          </cell>
          <cell r="B753">
            <v>61107</v>
          </cell>
          <cell r="C753">
            <v>1</v>
          </cell>
        </row>
        <row r="754">
          <cell r="A754">
            <v>3400003219</v>
          </cell>
          <cell r="B754">
            <v>61102</v>
          </cell>
          <cell r="C754">
            <v>1</v>
          </cell>
        </row>
        <row r="755">
          <cell r="A755">
            <v>3400003220</v>
          </cell>
          <cell r="B755">
            <v>61112</v>
          </cell>
          <cell r="C755">
            <v>1</v>
          </cell>
        </row>
        <row r="756">
          <cell r="A756">
            <v>3400003221</v>
          </cell>
          <cell r="B756">
            <v>61153</v>
          </cell>
          <cell r="C756">
            <v>1</v>
          </cell>
        </row>
        <row r="757">
          <cell r="A757">
            <v>3400003222</v>
          </cell>
          <cell r="B757">
            <v>61153</v>
          </cell>
          <cell r="C757">
            <v>1</v>
          </cell>
        </row>
        <row r="758">
          <cell r="A758">
            <v>3400003223</v>
          </cell>
          <cell r="B758">
            <v>61112</v>
          </cell>
          <cell r="C758">
            <v>1</v>
          </cell>
        </row>
        <row r="759">
          <cell r="A759">
            <v>3400003224</v>
          </cell>
          <cell r="B759">
            <v>61112</v>
          </cell>
          <cell r="C759">
            <v>1</v>
          </cell>
        </row>
        <row r="760">
          <cell r="A760">
            <v>3400003225</v>
          </cell>
          <cell r="B760">
            <v>61112</v>
          </cell>
          <cell r="C760">
            <v>1</v>
          </cell>
        </row>
        <row r="761">
          <cell r="A761">
            <v>3400003226</v>
          </cell>
          <cell r="B761">
            <v>61112</v>
          </cell>
          <cell r="C761">
            <v>1</v>
          </cell>
        </row>
        <row r="762">
          <cell r="A762">
            <v>3400003227</v>
          </cell>
          <cell r="B762">
            <v>61112</v>
          </cell>
          <cell r="C762">
            <v>1</v>
          </cell>
        </row>
        <row r="763">
          <cell r="A763">
            <v>3400003228</v>
          </cell>
          <cell r="B763">
            <v>61112</v>
          </cell>
          <cell r="C763">
            <v>1</v>
          </cell>
        </row>
        <row r="764">
          <cell r="A764">
            <v>3400003229</v>
          </cell>
          <cell r="B764">
            <v>61112</v>
          </cell>
          <cell r="C764">
            <v>1</v>
          </cell>
        </row>
        <row r="765">
          <cell r="A765">
            <v>3400003230</v>
          </cell>
          <cell r="B765">
            <v>61112</v>
          </cell>
          <cell r="C765">
            <v>1</v>
          </cell>
        </row>
        <row r="766">
          <cell r="A766">
            <v>3400003231</v>
          </cell>
          <cell r="B766">
            <v>61112</v>
          </cell>
          <cell r="C766">
            <v>1</v>
          </cell>
        </row>
        <row r="767">
          <cell r="A767">
            <v>3400003232</v>
          </cell>
          <cell r="B767">
            <v>61112</v>
          </cell>
          <cell r="C767">
            <v>1</v>
          </cell>
        </row>
        <row r="768">
          <cell r="A768">
            <v>3400003233</v>
          </cell>
          <cell r="B768">
            <v>61115</v>
          </cell>
          <cell r="C768">
            <v>1</v>
          </cell>
        </row>
        <row r="769">
          <cell r="A769">
            <v>3400003234</v>
          </cell>
          <cell r="B769">
            <v>61115</v>
          </cell>
          <cell r="C769">
            <v>1</v>
          </cell>
        </row>
        <row r="770">
          <cell r="A770">
            <v>3400003235</v>
          </cell>
          <cell r="B770">
            <v>61115</v>
          </cell>
          <cell r="C770">
            <v>1</v>
          </cell>
        </row>
        <row r="771">
          <cell r="A771">
            <v>3400003236</v>
          </cell>
          <cell r="B771">
            <v>61115</v>
          </cell>
          <cell r="C771">
            <v>1</v>
          </cell>
        </row>
        <row r="772">
          <cell r="A772">
            <v>3400003237</v>
          </cell>
          <cell r="B772">
            <v>61115</v>
          </cell>
          <cell r="C772">
            <v>1</v>
          </cell>
        </row>
        <row r="773">
          <cell r="A773">
            <v>3400003238</v>
          </cell>
          <cell r="B773">
            <v>61115</v>
          </cell>
          <cell r="C773">
            <v>1</v>
          </cell>
        </row>
        <row r="774">
          <cell r="A774">
            <v>3400003239</v>
          </cell>
          <cell r="B774">
            <v>61115</v>
          </cell>
          <cell r="C774">
            <v>1</v>
          </cell>
        </row>
        <row r="775">
          <cell r="A775">
            <v>3400003240</v>
          </cell>
          <cell r="B775">
            <v>61115</v>
          </cell>
          <cell r="C775">
            <v>1</v>
          </cell>
        </row>
        <row r="776">
          <cell r="A776">
            <v>3400003241</v>
          </cell>
          <cell r="B776">
            <v>61115</v>
          </cell>
          <cell r="C776">
            <v>1</v>
          </cell>
        </row>
        <row r="777">
          <cell r="A777">
            <v>3400003242</v>
          </cell>
          <cell r="B777">
            <v>61115</v>
          </cell>
          <cell r="C777">
            <v>1</v>
          </cell>
        </row>
        <row r="778">
          <cell r="A778">
            <v>3400003243</v>
          </cell>
          <cell r="B778">
            <v>61115</v>
          </cell>
          <cell r="C778">
            <v>1</v>
          </cell>
        </row>
        <row r="779">
          <cell r="A779">
            <v>3400003244</v>
          </cell>
          <cell r="B779">
            <v>61115</v>
          </cell>
          <cell r="C779">
            <v>1</v>
          </cell>
        </row>
        <row r="780">
          <cell r="A780">
            <v>3400003245</v>
          </cell>
          <cell r="B780">
            <v>61115</v>
          </cell>
          <cell r="C780">
            <v>1</v>
          </cell>
        </row>
        <row r="781">
          <cell r="A781">
            <v>3400003246</v>
          </cell>
          <cell r="B781">
            <v>61115</v>
          </cell>
          <cell r="C781">
            <v>1</v>
          </cell>
        </row>
        <row r="782">
          <cell r="A782">
            <v>3400003247</v>
          </cell>
          <cell r="B782">
            <v>61115</v>
          </cell>
          <cell r="C782">
            <v>1</v>
          </cell>
        </row>
        <row r="783">
          <cell r="A783">
            <v>3400003248</v>
          </cell>
          <cell r="B783">
            <v>61115</v>
          </cell>
          <cell r="C783">
            <v>1</v>
          </cell>
        </row>
        <row r="784">
          <cell r="A784">
            <v>3400003249</v>
          </cell>
          <cell r="B784">
            <v>61115</v>
          </cell>
          <cell r="C784">
            <v>1</v>
          </cell>
        </row>
        <row r="785">
          <cell r="A785">
            <v>3400003250</v>
          </cell>
          <cell r="B785">
            <v>61115</v>
          </cell>
          <cell r="C785">
            <v>1</v>
          </cell>
        </row>
        <row r="786">
          <cell r="A786">
            <v>3400003251</v>
          </cell>
          <cell r="B786">
            <v>61115</v>
          </cell>
          <cell r="C786">
            <v>1</v>
          </cell>
        </row>
        <row r="787">
          <cell r="A787">
            <v>3400003252</v>
          </cell>
          <cell r="B787">
            <v>61115</v>
          </cell>
          <cell r="C787">
            <v>1</v>
          </cell>
        </row>
        <row r="788">
          <cell r="A788">
            <v>3400003253</v>
          </cell>
          <cell r="B788">
            <v>61115</v>
          </cell>
          <cell r="C788">
            <v>1</v>
          </cell>
        </row>
        <row r="789">
          <cell r="A789">
            <v>3400003254</v>
          </cell>
          <cell r="B789">
            <v>61115</v>
          </cell>
          <cell r="C789">
            <v>1</v>
          </cell>
        </row>
        <row r="790">
          <cell r="A790">
            <v>3400003255</v>
          </cell>
          <cell r="B790">
            <v>61115</v>
          </cell>
          <cell r="C790">
            <v>1</v>
          </cell>
        </row>
        <row r="791">
          <cell r="A791">
            <v>3400003256</v>
          </cell>
          <cell r="B791">
            <v>61115</v>
          </cell>
          <cell r="C791">
            <v>1</v>
          </cell>
        </row>
        <row r="792">
          <cell r="A792">
            <v>3400003257</v>
          </cell>
          <cell r="B792">
            <v>61115</v>
          </cell>
          <cell r="C792">
            <v>1</v>
          </cell>
        </row>
        <row r="793">
          <cell r="A793">
            <v>3400003258</v>
          </cell>
          <cell r="B793">
            <v>61115</v>
          </cell>
          <cell r="C793">
            <v>1</v>
          </cell>
        </row>
        <row r="794">
          <cell r="A794">
            <v>3400003259</v>
          </cell>
          <cell r="B794">
            <v>61115</v>
          </cell>
          <cell r="C794">
            <v>1</v>
          </cell>
        </row>
        <row r="795">
          <cell r="A795">
            <v>3400003260</v>
          </cell>
          <cell r="B795">
            <v>61115</v>
          </cell>
          <cell r="C795">
            <v>1</v>
          </cell>
        </row>
        <row r="796">
          <cell r="A796">
            <v>3400003261</v>
          </cell>
          <cell r="B796">
            <v>61115</v>
          </cell>
          <cell r="C796">
            <v>1</v>
          </cell>
        </row>
        <row r="797">
          <cell r="A797">
            <v>3400003262</v>
          </cell>
          <cell r="B797">
            <v>61115</v>
          </cell>
          <cell r="C797">
            <v>1</v>
          </cell>
        </row>
        <row r="798">
          <cell r="A798">
            <v>3400003263</v>
          </cell>
          <cell r="B798">
            <v>61115</v>
          </cell>
          <cell r="C798">
            <v>1</v>
          </cell>
        </row>
        <row r="799">
          <cell r="A799">
            <v>3400003264</v>
          </cell>
          <cell r="B799">
            <v>61115</v>
          </cell>
          <cell r="C799">
            <v>1</v>
          </cell>
        </row>
        <row r="800">
          <cell r="A800">
            <v>3400003265</v>
          </cell>
          <cell r="B800">
            <v>61115</v>
          </cell>
          <cell r="C800">
            <v>1</v>
          </cell>
        </row>
        <row r="801">
          <cell r="A801">
            <v>3400003266</v>
          </cell>
          <cell r="B801">
            <v>61115</v>
          </cell>
          <cell r="C801">
            <v>1</v>
          </cell>
        </row>
        <row r="802">
          <cell r="A802">
            <v>3400003267</v>
          </cell>
          <cell r="B802">
            <v>61115</v>
          </cell>
          <cell r="C802">
            <v>1</v>
          </cell>
        </row>
        <row r="803">
          <cell r="A803">
            <v>3400003268</v>
          </cell>
          <cell r="B803">
            <v>61115</v>
          </cell>
          <cell r="C803">
            <v>1</v>
          </cell>
        </row>
        <row r="804">
          <cell r="A804">
            <v>3400003269</v>
          </cell>
          <cell r="B804">
            <v>61115</v>
          </cell>
          <cell r="C804">
            <v>1</v>
          </cell>
        </row>
        <row r="805">
          <cell r="A805">
            <v>3400003270</v>
          </cell>
          <cell r="B805">
            <v>61115</v>
          </cell>
          <cell r="C805">
            <v>1</v>
          </cell>
        </row>
        <row r="806">
          <cell r="A806">
            <v>3400003271</v>
          </cell>
          <cell r="B806">
            <v>61115</v>
          </cell>
          <cell r="C806">
            <v>1</v>
          </cell>
        </row>
        <row r="807">
          <cell r="A807">
            <v>3400003272</v>
          </cell>
          <cell r="B807">
            <v>61115</v>
          </cell>
          <cell r="C807">
            <v>1</v>
          </cell>
        </row>
        <row r="808">
          <cell r="A808">
            <v>3400003273</v>
          </cell>
          <cell r="B808">
            <v>61115</v>
          </cell>
          <cell r="C808">
            <v>1</v>
          </cell>
        </row>
        <row r="809">
          <cell r="A809">
            <v>3400003274</v>
          </cell>
          <cell r="B809">
            <v>61115</v>
          </cell>
          <cell r="C809">
            <v>1</v>
          </cell>
        </row>
        <row r="810">
          <cell r="A810">
            <v>3400003275</v>
          </cell>
          <cell r="B810">
            <v>61115</v>
          </cell>
          <cell r="C810">
            <v>1</v>
          </cell>
        </row>
        <row r="811">
          <cell r="A811">
            <v>3400003276</v>
          </cell>
          <cell r="B811">
            <v>61115</v>
          </cell>
          <cell r="C811">
            <v>1</v>
          </cell>
        </row>
        <row r="812">
          <cell r="A812">
            <v>3400003277</v>
          </cell>
          <cell r="B812">
            <v>61115</v>
          </cell>
          <cell r="C812">
            <v>1</v>
          </cell>
        </row>
        <row r="813">
          <cell r="A813">
            <v>3400003278</v>
          </cell>
          <cell r="B813">
            <v>61115</v>
          </cell>
          <cell r="C813">
            <v>1</v>
          </cell>
        </row>
        <row r="814">
          <cell r="A814">
            <v>3400003279</v>
          </cell>
          <cell r="B814">
            <v>61115</v>
          </cell>
          <cell r="C814">
            <v>1</v>
          </cell>
        </row>
        <row r="815">
          <cell r="A815">
            <v>3400003280</v>
          </cell>
          <cell r="B815">
            <v>61115</v>
          </cell>
          <cell r="C815">
            <v>1</v>
          </cell>
        </row>
        <row r="816">
          <cell r="A816">
            <v>3400003281</v>
          </cell>
          <cell r="B816">
            <v>61115</v>
          </cell>
          <cell r="C816">
            <v>2</v>
          </cell>
        </row>
        <row r="817">
          <cell r="A817">
            <v>3400003282</v>
          </cell>
          <cell r="B817">
            <v>61153</v>
          </cell>
          <cell r="C817">
            <v>1</v>
          </cell>
        </row>
        <row r="818">
          <cell r="A818">
            <v>3400003283</v>
          </cell>
          <cell r="B818">
            <v>61115</v>
          </cell>
          <cell r="C818">
            <v>6</v>
          </cell>
        </row>
        <row r="819">
          <cell r="A819">
            <v>3400003284</v>
          </cell>
          <cell r="B819">
            <v>61115</v>
          </cell>
          <cell r="C819">
            <v>2</v>
          </cell>
        </row>
        <row r="820">
          <cell r="A820">
            <v>3400003285</v>
          </cell>
          <cell r="B820">
            <v>61115</v>
          </cell>
          <cell r="C820">
            <v>12</v>
          </cell>
        </row>
        <row r="821">
          <cell r="A821">
            <v>3400003286</v>
          </cell>
          <cell r="B821">
            <v>61115</v>
          </cell>
          <cell r="C821">
            <v>2</v>
          </cell>
        </row>
        <row r="822">
          <cell r="A822">
            <v>3400003287</v>
          </cell>
          <cell r="B822">
            <v>61115</v>
          </cell>
          <cell r="C822">
            <v>1</v>
          </cell>
        </row>
        <row r="823">
          <cell r="A823">
            <v>3400003288</v>
          </cell>
          <cell r="B823">
            <v>61158</v>
          </cell>
          <cell r="C823">
            <v>1</v>
          </cell>
        </row>
        <row r="824">
          <cell r="A824">
            <v>3400003289</v>
          </cell>
          <cell r="B824">
            <v>61158</v>
          </cell>
          <cell r="C824">
            <v>1</v>
          </cell>
        </row>
        <row r="825">
          <cell r="A825">
            <v>3400003289</v>
          </cell>
          <cell r="B825">
            <v>61158</v>
          </cell>
          <cell r="C825">
            <v>1</v>
          </cell>
        </row>
        <row r="826">
          <cell r="A826">
            <v>3400003290</v>
          </cell>
          <cell r="B826">
            <v>61155</v>
          </cell>
          <cell r="C826">
            <v>1</v>
          </cell>
        </row>
        <row r="827">
          <cell r="A827">
            <v>3400003291</v>
          </cell>
          <cell r="B827">
            <v>61159</v>
          </cell>
          <cell r="C827">
            <v>1</v>
          </cell>
        </row>
        <row r="828">
          <cell r="A828">
            <v>3400003292</v>
          </cell>
          <cell r="B828">
            <v>61162</v>
          </cell>
          <cell r="C828">
            <v>1</v>
          </cell>
        </row>
        <row r="829">
          <cell r="A829">
            <v>3400003293</v>
          </cell>
          <cell r="B829">
            <v>61157</v>
          </cell>
          <cell r="C829">
            <v>1</v>
          </cell>
        </row>
        <row r="830">
          <cell r="A830">
            <v>3400003294</v>
          </cell>
          <cell r="B830">
            <v>61162</v>
          </cell>
          <cell r="C830">
            <v>1</v>
          </cell>
        </row>
        <row r="831">
          <cell r="A831">
            <v>3400003295</v>
          </cell>
          <cell r="B831">
            <v>61158</v>
          </cell>
          <cell r="C831">
            <v>1</v>
          </cell>
        </row>
        <row r="832">
          <cell r="A832">
            <v>3400003296</v>
          </cell>
          <cell r="B832">
            <v>61108</v>
          </cell>
          <cell r="C832">
            <v>25</v>
          </cell>
        </row>
        <row r="833">
          <cell r="A833">
            <v>3400003297</v>
          </cell>
          <cell r="B833">
            <v>61119</v>
          </cell>
          <cell r="C833">
            <v>1</v>
          </cell>
        </row>
        <row r="834">
          <cell r="A834">
            <v>3400003298</v>
          </cell>
          <cell r="B834">
            <v>61150</v>
          </cell>
          <cell r="C834">
            <v>8</v>
          </cell>
        </row>
        <row r="835">
          <cell r="A835">
            <v>3400003299</v>
          </cell>
          <cell r="B835">
            <v>61107</v>
          </cell>
          <cell r="C835">
            <v>23</v>
          </cell>
        </row>
        <row r="836">
          <cell r="A836">
            <v>3400003300</v>
          </cell>
          <cell r="B836">
            <v>61101</v>
          </cell>
          <cell r="C836">
            <v>1</v>
          </cell>
        </row>
        <row r="837">
          <cell r="A837">
            <v>3400003301</v>
          </cell>
          <cell r="B837">
            <v>61155</v>
          </cell>
          <cell r="C837">
            <v>6</v>
          </cell>
        </row>
        <row r="838">
          <cell r="A838">
            <v>3400003302</v>
          </cell>
          <cell r="B838">
            <v>61159</v>
          </cell>
          <cell r="C838">
            <v>4</v>
          </cell>
        </row>
        <row r="839">
          <cell r="A839">
            <v>3400003303</v>
          </cell>
          <cell r="B839">
            <v>61108</v>
          </cell>
          <cell r="C839">
            <v>1</v>
          </cell>
        </row>
        <row r="840">
          <cell r="A840">
            <v>3400003304</v>
          </cell>
          <cell r="B840">
            <v>61203</v>
          </cell>
          <cell r="C840">
            <v>1</v>
          </cell>
        </row>
        <row r="841">
          <cell r="A841">
            <v>3400003305</v>
          </cell>
          <cell r="B841">
            <v>61203</v>
          </cell>
          <cell r="C841">
            <v>1</v>
          </cell>
        </row>
        <row r="842">
          <cell r="A842">
            <v>3400003306</v>
          </cell>
          <cell r="B842">
            <v>61203</v>
          </cell>
          <cell r="C842">
            <v>1</v>
          </cell>
        </row>
        <row r="843">
          <cell r="A843">
            <v>3400003307</v>
          </cell>
          <cell r="B843">
            <v>61203</v>
          </cell>
          <cell r="C843">
            <v>1</v>
          </cell>
        </row>
        <row r="844">
          <cell r="A844">
            <v>3400003308</v>
          </cell>
          <cell r="B844">
            <v>61203</v>
          </cell>
          <cell r="C844">
            <v>1</v>
          </cell>
        </row>
        <row r="845">
          <cell r="A845">
            <v>3400003309</v>
          </cell>
          <cell r="B845">
            <v>61203</v>
          </cell>
          <cell r="C845">
            <v>1</v>
          </cell>
        </row>
        <row r="846">
          <cell r="A846">
            <v>3400003310</v>
          </cell>
          <cell r="B846">
            <v>61203</v>
          </cell>
          <cell r="C846">
            <v>1</v>
          </cell>
        </row>
        <row r="847">
          <cell r="A847">
            <v>3400003311</v>
          </cell>
          <cell r="B847">
            <v>61203</v>
          </cell>
          <cell r="C847">
            <v>1</v>
          </cell>
        </row>
        <row r="848">
          <cell r="A848">
            <v>3400003312</v>
          </cell>
          <cell r="B848">
            <v>61116</v>
          </cell>
          <cell r="C848">
            <v>1</v>
          </cell>
        </row>
        <row r="849">
          <cell r="A849">
            <v>3400003313</v>
          </cell>
          <cell r="B849">
            <v>61116</v>
          </cell>
          <cell r="C849">
            <v>1</v>
          </cell>
        </row>
        <row r="850">
          <cell r="A850">
            <v>3400003314</v>
          </cell>
          <cell r="B850">
            <v>61116</v>
          </cell>
          <cell r="C850">
            <v>1</v>
          </cell>
        </row>
        <row r="851">
          <cell r="A851">
            <v>3400003315</v>
          </cell>
          <cell r="B851">
            <v>61200</v>
          </cell>
          <cell r="C851">
            <v>13</v>
          </cell>
        </row>
        <row r="852">
          <cell r="A852">
            <v>3400003316</v>
          </cell>
          <cell r="B852">
            <v>61161</v>
          </cell>
          <cell r="C852">
            <v>1</v>
          </cell>
        </row>
        <row r="853">
          <cell r="A853">
            <v>3400003317</v>
          </cell>
          <cell r="B853">
            <v>61108</v>
          </cell>
          <cell r="C853">
            <v>1</v>
          </cell>
        </row>
        <row r="854">
          <cell r="A854">
            <v>3400003318</v>
          </cell>
          <cell r="B854">
            <v>61101</v>
          </cell>
          <cell r="C854">
            <v>1</v>
          </cell>
        </row>
        <row r="855">
          <cell r="A855">
            <v>3400003319</v>
          </cell>
          <cell r="B855">
            <v>61101</v>
          </cell>
          <cell r="C855">
            <v>1</v>
          </cell>
        </row>
        <row r="856">
          <cell r="A856">
            <v>3400003320</v>
          </cell>
          <cell r="B856">
            <v>61101</v>
          </cell>
          <cell r="C856">
            <v>1</v>
          </cell>
        </row>
        <row r="857">
          <cell r="A857">
            <v>3400003321</v>
          </cell>
          <cell r="B857">
            <v>61101</v>
          </cell>
          <cell r="C857">
            <v>1</v>
          </cell>
        </row>
        <row r="858">
          <cell r="A858">
            <v>3400003322</v>
          </cell>
          <cell r="B858">
            <v>61158</v>
          </cell>
          <cell r="C858">
            <v>1</v>
          </cell>
        </row>
        <row r="859">
          <cell r="A859">
            <v>3400003323</v>
          </cell>
          <cell r="B859">
            <v>61161</v>
          </cell>
          <cell r="C859">
            <v>1</v>
          </cell>
        </row>
        <row r="860">
          <cell r="A860">
            <v>3400003324</v>
          </cell>
          <cell r="B860">
            <v>61161</v>
          </cell>
          <cell r="C860">
            <v>1</v>
          </cell>
        </row>
        <row r="861">
          <cell r="A861">
            <v>3400003325</v>
          </cell>
          <cell r="B861">
            <v>61162</v>
          </cell>
          <cell r="C861">
            <v>1</v>
          </cell>
        </row>
        <row r="862">
          <cell r="A862">
            <v>3400003326</v>
          </cell>
          <cell r="B862">
            <v>61162</v>
          </cell>
          <cell r="C862">
            <v>1</v>
          </cell>
        </row>
        <row r="863">
          <cell r="A863">
            <v>3400003327</v>
          </cell>
          <cell r="B863">
            <v>61158</v>
          </cell>
          <cell r="C863">
            <v>1</v>
          </cell>
        </row>
        <row r="864">
          <cell r="A864">
            <v>3400003328</v>
          </cell>
          <cell r="B864">
            <v>61118</v>
          </cell>
          <cell r="C864">
            <v>1</v>
          </cell>
        </row>
        <row r="865">
          <cell r="A865">
            <v>3400003329</v>
          </cell>
          <cell r="B865">
            <v>61109</v>
          </cell>
          <cell r="C865">
            <v>1</v>
          </cell>
        </row>
        <row r="866">
          <cell r="A866">
            <v>3400003330</v>
          </cell>
          <cell r="B866">
            <v>61109</v>
          </cell>
          <cell r="C866">
            <v>1</v>
          </cell>
        </row>
        <row r="867">
          <cell r="A867">
            <v>3400003331</v>
          </cell>
          <cell r="B867">
            <v>61155</v>
          </cell>
          <cell r="C867">
            <v>1</v>
          </cell>
        </row>
        <row r="868">
          <cell r="A868">
            <v>3400003332</v>
          </cell>
          <cell r="B868">
            <v>61102</v>
          </cell>
          <cell r="C868">
            <v>1</v>
          </cell>
        </row>
        <row r="869">
          <cell r="A869">
            <v>3400003333</v>
          </cell>
          <cell r="B869">
            <v>61104</v>
          </cell>
          <cell r="C869">
            <v>2</v>
          </cell>
        </row>
        <row r="870">
          <cell r="A870">
            <v>3400003334</v>
          </cell>
          <cell r="B870">
            <v>61112</v>
          </cell>
          <cell r="C870">
            <v>1</v>
          </cell>
        </row>
        <row r="871">
          <cell r="A871">
            <v>3400003335</v>
          </cell>
          <cell r="B871">
            <v>61150</v>
          </cell>
          <cell r="C871">
            <v>3</v>
          </cell>
        </row>
        <row r="872">
          <cell r="A872">
            <v>3400003336</v>
          </cell>
          <cell r="B872">
            <v>61102</v>
          </cell>
          <cell r="C872">
            <v>1</v>
          </cell>
        </row>
        <row r="873">
          <cell r="A873">
            <v>3400003337</v>
          </cell>
          <cell r="B873">
            <v>61159</v>
          </cell>
          <cell r="C873">
            <v>1</v>
          </cell>
        </row>
        <row r="874">
          <cell r="A874">
            <v>3400003338</v>
          </cell>
          <cell r="B874">
            <v>61155</v>
          </cell>
          <cell r="C874">
            <v>1</v>
          </cell>
        </row>
        <row r="875">
          <cell r="A875">
            <v>3400003339</v>
          </cell>
          <cell r="B875">
            <v>61155</v>
          </cell>
          <cell r="C875">
            <v>1</v>
          </cell>
        </row>
        <row r="876">
          <cell r="A876">
            <v>3400003340</v>
          </cell>
          <cell r="B876">
            <v>61116</v>
          </cell>
          <cell r="C876">
            <v>1</v>
          </cell>
        </row>
        <row r="877">
          <cell r="A877">
            <v>3400003340</v>
          </cell>
          <cell r="B877">
            <v>61116</v>
          </cell>
          <cell r="C877">
            <v>1</v>
          </cell>
        </row>
        <row r="878">
          <cell r="A878">
            <v>3400003341</v>
          </cell>
          <cell r="B878">
            <v>61108</v>
          </cell>
          <cell r="C878">
            <v>1</v>
          </cell>
        </row>
        <row r="879">
          <cell r="A879">
            <v>3400003342</v>
          </cell>
          <cell r="B879">
            <v>61116</v>
          </cell>
          <cell r="C879">
            <v>1</v>
          </cell>
        </row>
        <row r="880">
          <cell r="A880">
            <v>3400003343</v>
          </cell>
          <cell r="B880">
            <v>61158</v>
          </cell>
          <cell r="C880">
            <v>1</v>
          </cell>
        </row>
        <row r="881">
          <cell r="A881">
            <v>3400003344</v>
          </cell>
          <cell r="B881">
            <v>61158</v>
          </cell>
          <cell r="C881">
            <v>1</v>
          </cell>
        </row>
        <row r="882">
          <cell r="A882">
            <v>3400003345</v>
          </cell>
          <cell r="B882">
            <v>61200</v>
          </cell>
          <cell r="C882">
            <v>140</v>
          </cell>
        </row>
        <row r="883">
          <cell r="A883">
            <v>3400003346</v>
          </cell>
          <cell r="B883">
            <v>61200</v>
          </cell>
          <cell r="C883">
            <v>280</v>
          </cell>
        </row>
        <row r="884">
          <cell r="A884">
            <v>3400003347</v>
          </cell>
          <cell r="B884">
            <v>61155</v>
          </cell>
          <cell r="C884">
            <v>1</v>
          </cell>
        </row>
        <row r="885">
          <cell r="A885">
            <v>3400003347</v>
          </cell>
          <cell r="B885">
            <v>61155</v>
          </cell>
          <cell r="C885">
            <v>1</v>
          </cell>
        </row>
        <row r="886">
          <cell r="A886">
            <v>3400003348</v>
          </cell>
          <cell r="B886">
            <v>61102</v>
          </cell>
          <cell r="C886">
            <v>1</v>
          </cell>
        </row>
        <row r="887">
          <cell r="A887">
            <v>3400003349</v>
          </cell>
          <cell r="B887">
            <v>61102</v>
          </cell>
          <cell r="C887">
            <v>1</v>
          </cell>
        </row>
        <row r="888">
          <cell r="A888">
            <v>3400003350</v>
          </cell>
          <cell r="B888">
            <v>61160</v>
          </cell>
          <cell r="C888">
            <v>1</v>
          </cell>
        </row>
        <row r="889">
          <cell r="A889">
            <v>3400003351</v>
          </cell>
          <cell r="B889">
            <v>61161</v>
          </cell>
          <cell r="C889">
            <v>1</v>
          </cell>
        </row>
        <row r="890">
          <cell r="A890">
            <v>3400003352</v>
          </cell>
          <cell r="B890">
            <v>61157</v>
          </cell>
          <cell r="C890">
            <v>1</v>
          </cell>
        </row>
        <row r="891">
          <cell r="A891">
            <v>3400003353</v>
          </cell>
          <cell r="B891">
            <v>61102</v>
          </cell>
          <cell r="C891">
            <v>1</v>
          </cell>
        </row>
        <row r="892">
          <cell r="A892">
            <v>3400003354</v>
          </cell>
          <cell r="B892">
            <v>61101</v>
          </cell>
          <cell r="C892">
            <v>1</v>
          </cell>
        </row>
        <row r="893">
          <cell r="A893">
            <v>3400003355</v>
          </cell>
          <cell r="B893">
            <v>61102</v>
          </cell>
          <cell r="C893">
            <v>1</v>
          </cell>
        </row>
        <row r="894">
          <cell r="A894">
            <v>3400003356</v>
          </cell>
          <cell r="B894">
            <v>61200</v>
          </cell>
          <cell r="C894">
            <v>6</v>
          </cell>
        </row>
        <row r="895">
          <cell r="A895">
            <v>3400003357</v>
          </cell>
          <cell r="B895">
            <v>61115</v>
          </cell>
          <cell r="C895">
            <v>1</v>
          </cell>
        </row>
        <row r="896">
          <cell r="A896">
            <v>3400003358</v>
          </cell>
          <cell r="B896">
            <v>61107</v>
          </cell>
          <cell r="C896">
            <v>53</v>
          </cell>
        </row>
        <row r="897">
          <cell r="A897">
            <v>3400003359</v>
          </cell>
          <cell r="B897">
            <v>61115</v>
          </cell>
          <cell r="C897">
            <v>1</v>
          </cell>
        </row>
        <row r="898">
          <cell r="A898">
            <v>3400003360</v>
          </cell>
          <cell r="B898">
            <v>61109</v>
          </cell>
          <cell r="C898">
            <v>1</v>
          </cell>
        </row>
        <row r="899">
          <cell r="A899">
            <v>3400003361</v>
          </cell>
          <cell r="B899">
            <v>61155</v>
          </cell>
          <cell r="C899">
            <v>1</v>
          </cell>
        </row>
        <row r="900">
          <cell r="A900">
            <v>3400003362</v>
          </cell>
          <cell r="B900">
            <v>61102</v>
          </cell>
          <cell r="C900">
            <v>1</v>
          </cell>
        </row>
        <row r="901">
          <cell r="A901">
            <v>3400003363</v>
          </cell>
          <cell r="B901">
            <v>61160</v>
          </cell>
          <cell r="C901">
            <v>1</v>
          </cell>
        </row>
        <row r="902">
          <cell r="A902">
            <v>3400003364</v>
          </cell>
          <cell r="B902">
            <v>61116</v>
          </cell>
          <cell r="C902">
            <v>1</v>
          </cell>
        </row>
        <row r="903">
          <cell r="A903">
            <v>3400003365</v>
          </cell>
          <cell r="B903">
            <v>61108</v>
          </cell>
          <cell r="C903">
            <v>2</v>
          </cell>
        </row>
        <row r="904">
          <cell r="A904">
            <v>3400003366</v>
          </cell>
          <cell r="B904">
            <v>61150</v>
          </cell>
          <cell r="C904">
            <v>27</v>
          </cell>
        </row>
        <row r="905">
          <cell r="A905">
            <v>3400003367</v>
          </cell>
          <cell r="B905">
            <v>61150</v>
          </cell>
          <cell r="C905">
            <v>1350</v>
          </cell>
        </row>
        <row r="906">
          <cell r="A906">
            <v>3400003368</v>
          </cell>
          <cell r="B906">
            <v>61156</v>
          </cell>
          <cell r="C906">
            <v>84</v>
          </cell>
        </row>
        <row r="907">
          <cell r="A907">
            <v>3400003368</v>
          </cell>
          <cell r="B907">
            <v>61156</v>
          </cell>
          <cell r="C907">
            <v>84</v>
          </cell>
        </row>
        <row r="908">
          <cell r="A908">
            <v>3400003369</v>
          </cell>
          <cell r="B908">
            <v>61150</v>
          </cell>
          <cell r="C908">
            <v>1</v>
          </cell>
        </row>
        <row r="909">
          <cell r="A909">
            <v>3400003370</v>
          </cell>
          <cell r="B909">
            <v>61155</v>
          </cell>
          <cell r="C909">
            <v>1</v>
          </cell>
        </row>
        <row r="910">
          <cell r="A910">
            <v>3400003371</v>
          </cell>
          <cell r="B910">
            <v>61155</v>
          </cell>
          <cell r="C910">
            <v>1</v>
          </cell>
        </row>
        <row r="911">
          <cell r="A911">
            <v>3400003372</v>
          </cell>
          <cell r="B911">
            <v>61206</v>
          </cell>
          <cell r="C911">
            <v>1</v>
          </cell>
        </row>
        <row r="912">
          <cell r="A912">
            <v>3400003373</v>
          </cell>
          <cell r="B912">
            <v>61119</v>
          </cell>
          <cell r="C912">
            <v>1</v>
          </cell>
        </row>
        <row r="913">
          <cell r="A913">
            <v>3400003374</v>
          </cell>
          <cell r="B913">
            <v>61102</v>
          </cell>
          <cell r="C913">
            <v>1</v>
          </cell>
        </row>
        <row r="914">
          <cell r="A914">
            <v>3400003375</v>
          </cell>
          <cell r="B914">
            <v>61102</v>
          </cell>
          <cell r="C914">
            <v>1</v>
          </cell>
        </row>
        <row r="915">
          <cell r="A915">
            <v>3400003376</v>
          </cell>
          <cell r="B915">
            <v>61102</v>
          </cell>
          <cell r="C915">
            <v>1</v>
          </cell>
        </row>
        <row r="916">
          <cell r="A916">
            <v>3400003377</v>
          </cell>
          <cell r="B916">
            <v>61102</v>
          </cell>
          <cell r="C916">
            <v>1</v>
          </cell>
        </row>
        <row r="917">
          <cell r="A917">
            <v>3400003378</v>
          </cell>
          <cell r="B917">
            <v>61102</v>
          </cell>
          <cell r="C917">
            <v>1</v>
          </cell>
        </row>
        <row r="918">
          <cell r="A918">
            <v>3400003379</v>
          </cell>
          <cell r="B918">
            <v>61102</v>
          </cell>
          <cell r="C918">
            <v>1</v>
          </cell>
        </row>
        <row r="919">
          <cell r="A919">
            <v>3400003380</v>
          </cell>
          <cell r="B919">
            <v>61102</v>
          </cell>
          <cell r="C919">
            <v>1</v>
          </cell>
        </row>
        <row r="920">
          <cell r="A920">
            <v>3400003381</v>
          </cell>
          <cell r="B920">
            <v>61103</v>
          </cell>
          <cell r="C920">
            <v>1</v>
          </cell>
        </row>
        <row r="921">
          <cell r="A921">
            <v>3400003382</v>
          </cell>
          <cell r="B921">
            <v>61103</v>
          </cell>
          <cell r="C921">
            <v>1</v>
          </cell>
        </row>
        <row r="922">
          <cell r="A922">
            <v>3400003383</v>
          </cell>
          <cell r="B922">
            <v>61103</v>
          </cell>
          <cell r="C922">
            <v>1</v>
          </cell>
        </row>
        <row r="923">
          <cell r="A923">
            <v>3400003384</v>
          </cell>
          <cell r="B923">
            <v>61103</v>
          </cell>
          <cell r="C923">
            <v>1</v>
          </cell>
        </row>
        <row r="924">
          <cell r="A924">
            <v>3400003385</v>
          </cell>
          <cell r="B924">
            <v>61103</v>
          </cell>
          <cell r="C924">
            <v>1</v>
          </cell>
        </row>
        <row r="925">
          <cell r="A925">
            <v>3400003386</v>
          </cell>
          <cell r="B925">
            <v>61103</v>
          </cell>
          <cell r="C925">
            <v>1</v>
          </cell>
        </row>
        <row r="926">
          <cell r="A926">
            <v>3400003387</v>
          </cell>
          <cell r="B926">
            <v>61103</v>
          </cell>
          <cell r="C926">
            <v>1</v>
          </cell>
        </row>
        <row r="927">
          <cell r="A927">
            <v>3400003388</v>
          </cell>
          <cell r="B927">
            <v>61103</v>
          </cell>
          <cell r="C927">
            <v>1</v>
          </cell>
        </row>
        <row r="928">
          <cell r="A928">
            <v>3400003389</v>
          </cell>
          <cell r="B928">
            <v>61102</v>
          </cell>
          <cell r="C928">
            <v>1</v>
          </cell>
        </row>
        <row r="929">
          <cell r="A929">
            <v>3400003390</v>
          </cell>
          <cell r="B929">
            <v>61102</v>
          </cell>
          <cell r="C929">
            <v>1</v>
          </cell>
        </row>
        <row r="930">
          <cell r="A930">
            <v>3400003391</v>
          </cell>
          <cell r="B930">
            <v>61102</v>
          </cell>
          <cell r="C930">
            <v>1</v>
          </cell>
        </row>
        <row r="931">
          <cell r="A931">
            <v>3400003392</v>
          </cell>
          <cell r="B931">
            <v>61102</v>
          </cell>
          <cell r="C931">
            <v>1</v>
          </cell>
        </row>
        <row r="932">
          <cell r="A932">
            <v>3400003393</v>
          </cell>
          <cell r="B932">
            <v>61102</v>
          </cell>
          <cell r="C932">
            <v>1</v>
          </cell>
        </row>
        <row r="933">
          <cell r="A933">
            <v>3400003394</v>
          </cell>
          <cell r="B933">
            <v>61102</v>
          </cell>
          <cell r="C933">
            <v>1</v>
          </cell>
        </row>
        <row r="934">
          <cell r="A934">
            <v>3400003395</v>
          </cell>
          <cell r="B934">
            <v>61102</v>
          </cell>
          <cell r="C934">
            <v>1</v>
          </cell>
        </row>
        <row r="935">
          <cell r="A935">
            <v>3400003396</v>
          </cell>
          <cell r="B935">
            <v>61102</v>
          </cell>
          <cell r="C935">
            <v>1</v>
          </cell>
        </row>
        <row r="936">
          <cell r="A936">
            <v>3400003397</v>
          </cell>
          <cell r="B936">
            <v>61102</v>
          </cell>
          <cell r="C936">
            <v>1</v>
          </cell>
        </row>
        <row r="937">
          <cell r="A937">
            <v>3400003398</v>
          </cell>
          <cell r="B937">
            <v>61102</v>
          </cell>
          <cell r="C937">
            <v>1</v>
          </cell>
        </row>
        <row r="938">
          <cell r="A938">
            <v>3400003399</v>
          </cell>
          <cell r="B938">
            <v>61102</v>
          </cell>
          <cell r="C938">
            <v>1</v>
          </cell>
        </row>
        <row r="939">
          <cell r="A939">
            <v>3400003400</v>
          </cell>
          <cell r="B939">
            <v>61102</v>
          </cell>
          <cell r="C939">
            <v>1</v>
          </cell>
        </row>
        <row r="940">
          <cell r="A940">
            <v>3400003401</v>
          </cell>
          <cell r="B940">
            <v>61102</v>
          </cell>
          <cell r="C940">
            <v>1</v>
          </cell>
        </row>
        <row r="941">
          <cell r="A941">
            <v>3400003402</v>
          </cell>
          <cell r="B941">
            <v>61102</v>
          </cell>
          <cell r="C941">
            <v>1</v>
          </cell>
        </row>
        <row r="942">
          <cell r="A942">
            <v>3400003403</v>
          </cell>
          <cell r="B942">
            <v>61102</v>
          </cell>
          <cell r="C942">
            <v>1</v>
          </cell>
        </row>
        <row r="943">
          <cell r="A943">
            <v>3400003404</v>
          </cell>
          <cell r="B943">
            <v>61102</v>
          </cell>
          <cell r="C943">
            <v>1</v>
          </cell>
        </row>
        <row r="944">
          <cell r="A944">
            <v>3400003405</v>
          </cell>
          <cell r="B944">
            <v>61102</v>
          </cell>
          <cell r="C944">
            <v>1</v>
          </cell>
        </row>
        <row r="945">
          <cell r="A945">
            <v>3400003406</v>
          </cell>
          <cell r="B945">
            <v>61102</v>
          </cell>
          <cell r="C945">
            <v>1</v>
          </cell>
        </row>
        <row r="946">
          <cell r="A946">
            <v>3400003407</v>
          </cell>
          <cell r="B946">
            <v>61102</v>
          </cell>
          <cell r="C946">
            <v>1</v>
          </cell>
        </row>
        <row r="947">
          <cell r="A947">
            <v>3400003408</v>
          </cell>
          <cell r="B947">
            <v>61102</v>
          </cell>
          <cell r="C947">
            <v>1</v>
          </cell>
        </row>
        <row r="948">
          <cell r="A948">
            <v>3400003409</v>
          </cell>
          <cell r="B948">
            <v>61102</v>
          </cell>
          <cell r="C948">
            <v>1</v>
          </cell>
        </row>
        <row r="949">
          <cell r="A949">
            <v>3400003410</v>
          </cell>
          <cell r="B949">
            <v>61102</v>
          </cell>
          <cell r="C949">
            <v>1</v>
          </cell>
        </row>
        <row r="950">
          <cell r="A950">
            <v>3400003411</v>
          </cell>
          <cell r="B950">
            <v>61102</v>
          </cell>
          <cell r="C950">
            <v>1</v>
          </cell>
        </row>
        <row r="951">
          <cell r="A951">
            <v>3400003412</v>
          </cell>
          <cell r="B951">
            <v>61102</v>
          </cell>
          <cell r="C951">
            <v>1</v>
          </cell>
        </row>
        <row r="952">
          <cell r="A952">
            <v>3400003413</v>
          </cell>
          <cell r="B952">
            <v>61102</v>
          </cell>
          <cell r="C952">
            <v>1</v>
          </cell>
        </row>
        <row r="953">
          <cell r="A953">
            <v>3400003414</v>
          </cell>
          <cell r="B953">
            <v>61102</v>
          </cell>
          <cell r="C953">
            <v>1</v>
          </cell>
        </row>
        <row r="954">
          <cell r="A954">
            <v>3400003415</v>
          </cell>
          <cell r="B954">
            <v>61102</v>
          </cell>
          <cell r="C954">
            <v>1</v>
          </cell>
        </row>
        <row r="955">
          <cell r="A955">
            <v>3400003416</v>
          </cell>
          <cell r="B955">
            <v>61116</v>
          </cell>
          <cell r="C955">
            <v>1</v>
          </cell>
        </row>
        <row r="956">
          <cell r="A956">
            <v>3400003417</v>
          </cell>
          <cell r="B956">
            <v>61116</v>
          </cell>
          <cell r="C956">
            <v>1</v>
          </cell>
        </row>
        <row r="957">
          <cell r="A957">
            <v>3400003418</v>
          </cell>
          <cell r="B957">
            <v>61116</v>
          </cell>
          <cell r="C957">
            <v>1</v>
          </cell>
        </row>
        <row r="958">
          <cell r="A958">
            <v>3400003419</v>
          </cell>
          <cell r="B958">
            <v>61116</v>
          </cell>
          <cell r="C958">
            <v>1</v>
          </cell>
        </row>
        <row r="959">
          <cell r="A959">
            <v>3400003420</v>
          </cell>
          <cell r="B959">
            <v>61116</v>
          </cell>
          <cell r="C959">
            <v>1</v>
          </cell>
        </row>
        <row r="960">
          <cell r="A960">
            <v>3400003421</v>
          </cell>
          <cell r="B960">
            <v>61116</v>
          </cell>
          <cell r="C960">
            <v>1</v>
          </cell>
        </row>
        <row r="961">
          <cell r="A961">
            <v>3400003422</v>
          </cell>
          <cell r="B961">
            <v>61116</v>
          </cell>
          <cell r="C961">
            <v>1</v>
          </cell>
        </row>
        <row r="962">
          <cell r="A962">
            <v>3400003423</v>
          </cell>
          <cell r="B962">
            <v>61116</v>
          </cell>
          <cell r="C962">
            <v>1</v>
          </cell>
        </row>
        <row r="963">
          <cell r="A963">
            <v>3400003424</v>
          </cell>
          <cell r="B963">
            <v>61116</v>
          </cell>
          <cell r="C963">
            <v>1</v>
          </cell>
        </row>
        <row r="964">
          <cell r="A964">
            <v>3400003425</v>
          </cell>
          <cell r="B964">
            <v>61116</v>
          </cell>
          <cell r="C964">
            <v>1</v>
          </cell>
        </row>
        <row r="965">
          <cell r="A965">
            <v>3400003426</v>
          </cell>
          <cell r="B965">
            <v>61116</v>
          </cell>
          <cell r="C965">
            <v>1</v>
          </cell>
        </row>
        <row r="966">
          <cell r="A966">
            <v>3400003427</v>
          </cell>
          <cell r="B966">
            <v>61116</v>
          </cell>
          <cell r="C966">
            <v>1</v>
          </cell>
        </row>
        <row r="967">
          <cell r="A967">
            <v>3400003428</v>
          </cell>
          <cell r="B967">
            <v>61116</v>
          </cell>
          <cell r="C967">
            <v>1</v>
          </cell>
        </row>
        <row r="968">
          <cell r="A968">
            <v>3400003429</v>
          </cell>
          <cell r="B968">
            <v>61116</v>
          </cell>
          <cell r="C968">
            <v>1</v>
          </cell>
        </row>
        <row r="969">
          <cell r="A969">
            <v>3400003430</v>
          </cell>
          <cell r="B969">
            <v>61116</v>
          </cell>
          <cell r="C969">
            <v>1</v>
          </cell>
        </row>
        <row r="970">
          <cell r="A970">
            <v>3400003431</v>
          </cell>
          <cell r="B970">
            <v>61116</v>
          </cell>
          <cell r="C970">
            <v>1</v>
          </cell>
        </row>
        <row r="971">
          <cell r="A971">
            <v>3400003432</v>
          </cell>
          <cell r="B971">
            <v>61116</v>
          </cell>
          <cell r="C971">
            <v>1</v>
          </cell>
        </row>
        <row r="972">
          <cell r="A972">
            <v>3400003433</v>
          </cell>
          <cell r="B972">
            <v>61116</v>
          </cell>
          <cell r="C972">
            <v>1</v>
          </cell>
        </row>
        <row r="973">
          <cell r="A973">
            <v>3400003434</v>
          </cell>
          <cell r="B973">
            <v>61116</v>
          </cell>
          <cell r="C973">
            <v>1</v>
          </cell>
        </row>
        <row r="974">
          <cell r="A974">
            <v>3400003435</v>
          </cell>
          <cell r="B974">
            <v>61116</v>
          </cell>
          <cell r="C974">
            <v>1</v>
          </cell>
        </row>
        <row r="975">
          <cell r="A975">
            <v>3400003436</v>
          </cell>
          <cell r="B975">
            <v>61116</v>
          </cell>
          <cell r="C975">
            <v>1</v>
          </cell>
        </row>
        <row r="976">
          <cell r="A976">
            <v>3400003437</v>
          </cell>
          <cell r="B976">
            <v>61116</v>
          </cell>
          <cell r="C976">
            <v>1</v>
          </cell>
        </row>
        <row r="977">
          <cell r="A977">
            <v>3400003438</v>
          </cell>
          <cell r="B977">
            <v>61116</v>
          </cell>
          <cell r="C977">
            <v>1</v>
          </cell>
        </row>
        <row r="978">
          <cell r="A978">
            <v>3400003439</v>
          </cell>
          <cell r="B978">
            <v>61116</v>
          </cell>
          <cell r="C978">
            <v>1</v>
          </cell>
        </row>
        <row r="979">
          <cell r="A979">
            <v>3400003440</v>
          </cell>
          <cell r="B979">
            <v>61116</v>
          </cell>
          <cell r="C979">
            <v>1</v>
          </cell>
        </row>
        <row r="980">
          <cell r="A980">
            <v>3400003441</v>
          </cell>
          <cell r="B980">
            <v>61116</v>
          </cell>
          <cell r="C980">
            <v>1</v>
          </cell>
        </row>
        <row r="981">
          <cell r="A981">
            <v>3400003442</v>
          </cell>
          <cell r="B981">
            <v>61116</v>
          </cell>
          <cell r="C981">
            <v>1</v>
          </cell>
        </row>
        <row r="982">
          <cell r="A982">
            <v>3400003443</v>
          </cell>
          <cell r="B982">
            <v>61116</v>
          </cell>
          <cell r="C982">
            <v>1</v>
          </cell>
        </row>
        <row r="983">
          <cell r="A983">
            <v>3400003444</v>
          </cell>
          <cell r="B983">
            <v>61116</v>
          </cell>
          <cell r="C983">
            <v>1</v>
          </cell>
        </row>
        <row r="984">
          <cell r="A984">
            <v>3400003445</v>
          </cell>
          <cell r="B984">
            <v>61116</v>
          </cell>
          <cell r="C984">
            <v>1</v>
          </cell>
        </row>
        <row r="985">
          <cell r="A985">
            <v>3400003446</v>
          </cell>
          <cell r="B985">
            <v>61116</v>
          </cell>
          <cell r="C985">
            <v>1</v>
          </cell>
        </row>
        <row r="986">
          <cell r="A986">
            <v>3400003447</v>
          </cell>
          <cell r="B986">
            <v>61116</v>
          </cell>
          <cell r="C986">
            <v>1</v>
          </cell>
        </row>
        <row r="987">
          <cell r="A987">
            <v>3400003448</v>
          </cell>
          <cell r="B987">
            <v>61116</v>
          </cell>
          <cell r="C987">
            <v>1</v>
          </cell>
        </row>
        <row r="988">
          <cell r="A988">
            <v>3400003449</v>
          </cell>
          <cell r="B988">
            <v>61116</v>
          </cell>
          <cell r="C988">
            <v>1</v>
          </cell>
        </row>
        <row r="989">
          <cell r="A989">
            <v>3400003450</v>
          </cell>
          <cell r="B989">
            <v>61116</v>
          </cell>
          <cell r="C989">
            <v>1</v>
          </cell>
        </row>
        <row r="990">
          <cell r="A990">
            <v>3400003451</v>
          </cell>
          <cell r="B990">
            <v>61116</v>
          </cell>
          <cell r="C990">
            <v>1</v>
          </cell>
        </row>
        <row r="991">
          <cell r="A991">
            <v>3400003452</v>
          </cell>
          <cell r="B991">
            <v>61116</v>
          </cell>
          <cell r="C991">
            <v>1</v>
          </cell>
        </row>
        <row r="992">
          <cell r="A992">
            <v>3400003453</v>
          </cell>
          <cell r="B992">
            <v>61116</v>
          </cell>
          <cell r="C992">
            <v>1</v>
          </cell>
        </row>
        <row r="993">
          <cell r="A993">
            <v>3400003454</v>
          </cell>
          <cell r="B993">
            <v>61116</v>
          </cell>
          <cell r="C993">
            <v>1</v>
          </cell>
        </row>
        <row r="994">
          <cell r="A994">
            <v>3400003455</v>
          </cell>
          <cell r="B994">
            <v>61116</v>
          </cell>
          <cell r="C994">
            <v>1</v>
          </cell>
        </row>
        <row r="995">
          <cell r="A995">
            <v>3400003456</v>
          </cell>
          <cell r="B995">
            <v>61116</v>
          </cell>
          <cell r="C995">
            <v>1</v>
          </cell>
        </row>
        <row r="996">
          <cell r="A996">
            <v>3400003457</v>
          </cell>
          <cell r="B996">
            <v>61116</v>
          </cell>
          <cell r="C996">
            <v>1</v>
          </cell>
        </row>
        <row r="997">
          <cell r="A997">
            <v>3400003458</v>
          </cell>
          <cell r="B997">
            <v>61116</v>
          </cell>
          <cell r="C997">
            <v>1</v>
          </cell>
        </row>
        <row r="998">
          <cell r="A998">
            <v>3400003459</v>
          </cell>
          <cell r="B998">
            <v>61116</v>
          </cell>
          <cell r="C998">
            <v>1</v>
          </cell>
        </row>
        <row r="999">
          <cell r="A999">
            <v>3400003460</v>
          </cell>
          <cell r="B999">
            <v>61116</v>
          </cell>
          <cell r="C999">
            <v>1</v>
          </cell>
        </row>
        <row r="1000">
          <cell r="A1000">
            <v>3400003461</v>
          </cell>
          <cell r="B1000">
            <v>61116</v>
          </cell>
          <cell r="C1000">
            <v>1</v>
          </cell>
        </row>
        <row r="1001">
          <cell r="A1001">
            <v>3400003462</v>
          </cell>
          <cell r="B1001">
            <v>61116</v>
          </cell>
          <cell r="C1001">
            <v>1</v>
          </cell>
        </row>
        <row r="1002">
          <cell r="A1002">
            <v>3400003463</v>
          </cell>
          <cell r="B1002">
            <v>61116</v>
          </cell>
          <cell r="C1002">
            <v>1</v>
          </cell>
        </row>
        <row r="1003">
          <cell r="A1003">
            <v>3400003464</v>
          </cell>
          <cell r="B1003">
            <v>61116</v>
          </cell>
          <cell r="C1003">
            <v>1</v>
          </cell>
        </row>
        <row r="1004">
          <cell r="A1004">
            <v>3400003465</v>
          </cell>
          <cell r="B1004">
            <v>61116</v>
          </cell>
          <cell r="C1004">
            <v>1</v>
          </cell>
        </row>
        <row r="1005">
          <cell r="A1005">
            <v>3400003466</v>
          </cell>
          <cell r="B1005">
            <v>61116</v>
          </cell>
          <cell r="C1005">
            <v>1</v>
          </cell>
        </row>
        <row r="1006">
          <cell r="A1006">
            <v>3400003467</v>
          </cell>
          <cell r="B1006">
            <v>61116</v>
          </cell>
          <cell r="C1006">
            <v>1</v>
          </cell>
        </row>
        <row r="1007">
          <cell r="A1007">
            <v>3400003468</v>
          </cell>
          <cell r="B1007">
            <v>61116</v>
          </cell>
          <cell r="C1007">
            <v>1</v>
          </cell>
        </row>
        <row r="1008">
          <cell r="A1008">
            <v>3400003469</v>
          </cell>
          <cell r="B1008">
            <v>61116</v>
          </cell>
          <cell r="C1008">
            <v>1</v>
          </cell>
        </row>
        <row r="1009">
          <cell r="A1009">
            <v>3400003470</v>
          </cell>
          <cell r="B1009">
            <v>61116</v>
          </cell>
          <cell r="C1009">
            <v>1</v>
          </cell>
        </row>
        <row r="1010">
          <cell r="A1010">
            <v>3400003471</v>
          </cell>
          <cell r="B1010">
            <v>61116</v>
          </cell>
          <cell r="C1010">
            <v>1</v>
          </cell>
        </row>
        <row r="1011">
          <cell r="A1011">
            <v>3400003472</v>
          </cell>
          <cell r="B1011">
            <v>61116</v>
          </cell>
          <cell r="C1011">
            <v>1</v>
          </cell>
        </row>
        <row r="1012">
          <cell r="A1012">
            <v>3400003473</v>
          </cell>
          <cell r="B1012">
            <v>61116</v>
          </cell>
          <cell r="C1012">
            <v>1</v>
          </cell>
        </row>
        <row r="1013">
          <cell r="A1013">
            <v>3400003474</v>
          </cell>
          <cell r="B1013">
            <v>61116</v>
          </cell>
          <cell r="C1013">
            <v>1</v>
          </cell>
        </row>
        <row r="1014">
          <cell r="A1014">
            <v>3400003475</v>
          </cell>
          <cell r="B1014">
            <v>61116</v>
          </cell>
          <cell r="C1014">
            <v>1</v>
          </cell>
        </row>
        <row r="1015">
          <cell r="A1015">
            <v>3400003476</v>
          </cell>
          <cell r="B1015">
            <v>61116</v>
          </cell>
          <cell r="C1015">
            <v>1</v>
          </cell>
        </row>
        <row r="1016">
          <cell r="A1016">
            <v>3400003477</v>
          </cell>
          <cell r="B1016">
            <v>61116</v>
          </cell>
          <cell r="C1016">
            <v>1</v>
          </cell>
        </row>
        <row r="1017">
          <cell r="A1017">
            <v>3400003478</v>
          </cell>
          <cell r="B1017">
            <v>61116</v>
          </cell>
          <cell r="C1017">
            <v>1</v>
          </cell>
        </row>
        <row r="1018">
          <cell r="A1018">
            <v>3400003479</v>
          </cell>
          <cell r="B1018">
            <v>61116</v>
          </cell>
          <cell r="C1018">
            <v>1</v>
          </cell>
        </row>
        <row r="1019">
          <cell r="A1019">
            <v>3400003480</v>
          </cell>
          <cell r="B1019">
            <v>61116</v>
          </cell>
          <cell r="C1019">
            <v>1</v>
          </cell>
        </row>
        <row r="1020">
          <cell r="A1020">
            <v>3400003481</v>
          </cell>
          <cell r="B1020">
            <v>61116</v>
          </cell>
          <cell r="C1020">
            <v>1</v>
          </cell>
        </row>
        <row r="1021">
          <cell r="A1021">
            <v>3400003482</v>
          </cell>
          <cell r="B1021">
            <v>61116</v>
          </cell>
          <cell r="C1021">
            <v>1</v>
          </cell>
        </row>
        <row r="1022">
          <cell r="A1022">
            <v>3400003483</v>
          </cell>
          <cell r="B1022">
            <v>61116</v>
          </cell>
          <cell r="C1022">
            <v>1</v>
          </cell>
        </row>
        <row r="1023">
          <cell r="A1023">
            <v>3400003484</v>
          </cell>
          <cell r="B1023">
            <v>61116</v>
          </cell>
          <cell r="C1023">
            <v>1</v>
          </cell>
        </row>
        <row r="1024">
          <cell r="A1024">
            <v>3400003485</v>
          </cell>
          <cell r="B1024">
            <v>61116</v>
          </cell>
          <cell r="C1024">
            <v>1</v>
          </cell>
        </row>
        <row r="1025">
          <cell r="A1025">
            <v>3400003486</v>
          </cell>
          <cell r="B1025">
            <v>61116</v>
          </cell>
          <cell r="C1025">
            <v>1</v>
          </cell>
        </row>
        <row r="1026">
          <cell r="A1026">
            <v>3400003487</v>
          </cell>
          <cell r="B1026">
            <v>61116</v>
          </cell>
          <cell r="C1026">
            <v>1</v>
          </cell>
        </row>
        <row r="1027">
          <cell r="A1027">
            <v>3400003488</v>
          </cell>
          <cell r="B1027">
            <v>61116</v>
          </cell>
          <cell r="C1027">
            <v>1</v>
          </cell>
        </row>
        <row r="1028">
          <cell r="A1028">
            <v>3400003489</v>
          </cell>
          <cell r="B1028">
            <v>61116</v>
          </cell>
          <cell r="C1028">
            <v>1</v>
          </cell>
        </row>
        <row r="1029">
          <cell r="A1029">
            <v>3400003490</v>
          </cell>
          <cell r="B1029">
            <v>61116</v>
          </cell>
          <cell r="C1029">
            <v>1</v>
          </cell>
        </row>
        <row r="1030">
          <cell r="A1030">
            <v>3400003491</v>
          </cell>
          <cell r="B1030">
            <v>61116</v>
          </cell>
          <cell r="C1030">
            <v>1</v>
          </cell>
        </row>
        <row r="1031">
          <cell r="A1031">
            <v>3400003492</v>
          </cell>
          <cell r="B1031">
            <v>61116</v>
          </cell>
          <cell r="C1031">
            <v>1</v>
          </cell>
        </row>
        <row r="1032">
          <cell r="A1032">
            <v>3400003493</v>
          </cell>
          <cell r="B1032">
            <v>61116</v>
          </cell>
          <cell r="C1032">
            <v>1</v>
          </cell>
        </row>
        <row r="1033">
          <cell r="A1033">
            <v>3400003494</v>
          </cell>
          <cell r="B1033">
            <v>61116</v>
          </cell>
          <cell r="C1033">
            <v>1</v>
          </cell>
        </row>
        <row r="1034">
          <cell r="A1034">
            <v>3400003495</v>
          </cell>
          <cell r="B1034">
            <v>61116</v>
          </cell>
          <cell r="C1034">
            <v>1</v>
          </cell>
        </row>
        <row r="1035">
          <cell r="A1035">
            <v>3400003496</v>
          </cell>
          <cell r="B1035">
            <v>61116</v>
          </cell>
          <cell r="C1035">
            <v>1</v>
          </cell>
        </row>
        <row r="1036">
          <cell r="A1036">
            <v>3400003497</v>
          </cell>
          <cell r="B1036">
            <v>61116</v>
          </cell>
          <cell r="C1036">
            <v>1</v>
          </cell>
        </row>
        <row r="1037">
          <cell r="A1037">
            <v>3400003498</v>
          </cell>
          <cell r="B1037">
            <v>61116</v>
          </cell>
          <cell r="C1037">
            <v>1</v>
          </cell>
        </row>
        <row r="1038">
          <cell r="A1038">
            <v>3400003499</v>
          </cell>
          <cell r="B1038">
            <v>61116</v>
          </cell>
          <cell r="C1038">
            <v>1</v>
          </cell>
        </row>
        <row r="1039">
          <cell r="A1039">
            <v>3400003500</v>
          </cell>
          <cell r="B1039">
            <v>61116</v>
          </cell>
          <cell r="C1039">
            <v>1</v>
          </cell>
        </row>
        <row r="1040">
          <cell r="A1040">
            <v>3400003501</v>
          </cell>
          <cell r="B1040">
            <v>61103</v>
          </cell>
          <cell r="C1040">
            <v>1</v>
          </cell>
        </row>
        <row r="1041">
          <cell r="A1041">
            <v>3400003502</v>
          </cell>
          <cell r="B1041">
            <v>61103</v>
          </cell>
          <cell r="C1041">
            <v>1</v>
          </cell>
        </row>
        <row r="1042">
          <cell r="A1042">
            <v>3400003503</v>
          </cell>
          <cell r="B1042">
            <v>61103</v>
          </cell>
          <cell r="C1042">
            <v>1</v>
          </cell>
        </row>
        <row r="1043">
          <cell r="A1043">
            <v>3400003504</v>
          </cell>
          <cell r="B1043">
            <v>61103</v>
          </cell>
          <cell r="C1043">
            <v>1</v>
          </cell>
        </row>
        <row r="1044">
          <cell r="A1044">
            <v>3400003505</v>
          </cell>
          <cell r="B1044">
            <v>61103</v>
          </cell>
          <cell r="C1044">
            <v>1</v>
          </cell>
        </row>
        <row r="1045">
          <cell r="A1045">
            <v>3400003506</v>
          </cell>
          <cell r="B1045">
            <v>61200</v>
          </cell>
          <cell r="C1045">
            <v>1</v>
          </cell>
        </row>
        <row r="1046">
          <cell r="A1046">
            <v>3400003507</v>
          </cell>
          <cell r="B1046">
            <v>61200</v>
          </cell>
          <cell r="C1046">
            <v>1</v>
          </cell>
        </row>
        <row r="1047">
          <cell r="A1047">
            <v>3400003508</v>
          </cell>
          <cell r="B1047">
            <v>61200</v>
          </cell>
          <cell r="C1047">
            <v>1</v>
          </cell>
        </row>
        <row r="1048">
          <cell r="A1048">
            <v>3400003509</v>
          </cell>
          <cell r="B1048">
            <v>61200</v>
          </cell>
          <cell r="C1048">
            <v>1</v>
          </cell>
        </row>
        <row r="1049">
          <cell r="A1049">
            <v>3400003510</v>
          </cell>
          <cell r="B1049">
            <v>61200</v>
          </cell>
          <cell r="C1049">
            <v>1</v>
          </cell>
        </row>
        <row r="1050">
          <cell r="A1050">
            <v>3400003511</v>
          </cell>
          <cell r="B1050">
            <v>61200</v>
          </cell>
          <cell r="C1050">
            <v>1</v>
          </cell>
        </row>
        <row r="1051">
          <cell r="A1051">
            <v>3400003512</v>
          </cell>
          <cell r="B1051">
            <v>61200</v>
          </cell>
          <cell r="C1051">
            <v>1</v>
          </cell>
        </row>
        <row r="1052">
          <cell r="A1052">
            <v>3400003513</v>
          </cell>
          <cell r="B1052">
            <v>61200</v>
          </cell>
          <cell r="C1052">
            <v>1</v>
          </cell>
        </row>
        <row r="1053">
          <cell r="A1053">
            <v>3400003514</v>
          </cell>
          <cell r="B1053">
            <v>61200</v>
          </cell>
          <cell r="C1053">
            <v>1</v>
          </cell>
        </row>
        <row r="1054">
          <cell r="A1054">
            <v>3400003515</v>
          </cell>
          <cell r="B1054">
            <v>61200</v>
          </cell>
          <cell r="C1054">
            <v>1</v>
          </cell>
        </row>
        <row r="1055">
          <cell r="A1055">
            <v>3400003516</v>
          </cell>
          <cell r="B1055">
            <v>61200</v>
          </cell>
          <cell r="C1055">
            <v>1</v>
          </cell>
        </row>
        <row r="1056">
          <cell r="A1056">
            <v>3400003517</v>
          </cell>
          <cell r="B1056">
            <v>61200</v>
          </cell>
          <cell r="C1056">
            <v>1</v>
          </cell>
        </row>
        <row r="1057">
          <cell r="A1057">
            <v>3400003518</v>
          </cell>
          <cell r="B1057">
            <v>61200</v>
          </cell>
          <cell r="C1057">
            <v>1</v>
          </cell>
        </row>
        <row r="1058">
          <cell r="A1058">
            <v>3400003519</v>
          </cell>
          <cell r="B1058">
            <v>61200</v>
          </cell>
          <cell r="C1058">
            <v>1</v>
          </cell>
        </row>
        <row r="1059">
          <cell r="A1059">
            <v>3400003520</v>
          </cell>
          <cell r="B1059">
            <v>61200</v>
          </cell>
          <cell r="C1059">
            <v>1</v>
          </cell>
        </row>
        <row r="1060">
          <cell r="A1060">
            <v>3400003521</v>
          </cell>
          <cell r="B1060">
            <v>61200</v>
          </cell>
          <cell r="C1060">
            <v>1</v>
          </cell>
        </row>
        <row r="1061">
          <cell r="A1061">
            <v>3400003522</v>
          </cell>
          <cell r="B1061">
            <v>61200</v>
          </cell>
          <cell r="C1061">
            <v>1</v>
          </cell>
        </row>
        <row r="1062">
          <cell r="A1062">
            <v>3400003523</v>
          </cell>
          <cell r="B1062">
            <v>61200</v>
          </cell>
          <cell r="C1062">
            <v>1</v>
          </cell>
        </row>
        <row r="1063">
          <cell r="A1063">
            <v>3400003524</v>
          </cell>
          <cell r="B1063">
            <v>61200</v>
          </cell>
          <cell r="C1063">
            <v>1</v>
          </cell>
        </row>
        <row r="1064">
          <cell r="A1064">
            <v>3400003525</v>
          </cell>
          <cell r="B1064">
            <v>61200</v>
          </cell>
          <cell r="C1064">
            <v>1</v>
          </cell>
        </row>
        <row r="1065">
          <cell r="A1065">
            <v>3400003526</v>
          </cell>
          <cell r="B1065">
            <v>61200</v>
          </cell>
          <cell r="C1065">
            <v>1</v>
          </cell>
        </row>
        <row r="1066">
          <cell r="A1066">
            <v>3400003527</v>
          </cell>
          <cell r="B1066">
            <v>61201</v>
          </cell>
          <cell r="C1066">
            <v>1</v>
          </cell>
        </row>
        <row r="1067">
          <cell r="A1067">
            <v>3400003528</v>
          </cell>
          <cell r="B1067">
            <v>61201</v>
          </cell>
          <cell r="C1067">
            <v>1</v>
          </cell>
        </row>
        <row r="1068">
          <cell r="A1068">
            <v>3400003529</v>
          </cell>
          <cell r="B1068">
            <v>61203</v>
          </cell>
          <cell r="C1068">
            <v>1</v>
          </cell>
        </row>
        <row r="1069">
          <cell r="A1069">
            <v>3400003530</v>
          </cell>
          <cell r="B1069">
            <v>61161</v>
          </cell>
          <cell r="C1069">
            <v>1</v>
          </cell>
        </row>
        <row r="1070">
          <cell r="A1070">
            <v>3400003531</v>
          </cell>
          <cell r="B1070">
            <v>61200</v>
          </cell>
          <cell r="C1070">
            <v>1</v>
          </cell>
        </row>
        <row r="1071">
          <cell r="A1071">
            <v>3400003532</v>
          </cell>
          <cell r="B1071">
            <v>61200</v>
          </cell>
          <cell r="C1071">
            <v>1</v>
          </cell>
        </row>
        <row r="1072">
          <cell r="A1072">
            <v>3400003533</v>
          </cell>
          <cell r="B1072">
            <v>61116</v>
          </cell>
          <cell r="C1072">
            <v>1</v>
          </cell>
        </row>
        <row r="1073">
          <cell r="A1073">
            <v>3400003534</v>
          </cell>
          <cell r="B1073">
            <v>61157</v>
          </cell>
          <cell r="C1073">
            <v>11</v>
          </cell>
        </row>
        <row r="1074">
          <cell r="A1074">
            <v>3400003535</v>
          </cell>
          <cell r="B1074">
            <v>61157</v>
          </cell>
          <cell r="C1074">
            <v>2</v>
          </cell>
        </row>
        <row r="1075">
          <cell r="A1075">
            <v>3400003536</v>
          </cell>
          <cell r="B1075">
            <v>61157</v>
          </cell>
          <cell r="C1075">
            <v>1</v>
          </cell>
        </row>
        <row r="1076">
          <cell r="A1076">
            <v>3400003537</v>
          </cell>
          <cell r="B1076">
            <v>61157</v>
          </cell>
          <cell r="C1076">
            <v>1</v>
          </cell>
        </row>
        <row r="1077">
          <cell r="A1077">
            <v>3400003538</v>
          </cell>
          <cell r="B1077">
            <v>61157</v>
          </cell>
          <cell r="C1077">
            <v>32</v>
          </cell>
        </row>
        <row r="1078">
          <cell r="A1078">
            <v>3400003539</v>
          </cell>
          <cell r="B1078">
            <v>61157</v>
          </cell>
          <cell r="C1078">
            <v>8</v>
          </cell>
        </row>
        <row r="1079">
          <cell r="A1079">
            <v>3400003540</v>
          </cell>
          <cell r="B1079">
            <v>61157</v>
          </cell>
          <cell r="C1079">
            <v>2</v>
          </cell>
        </row>
        <row r="1080">
          <cell r="A1080">
            <v>3400003541</v>
          </cell>
          <cell r="B1080">
            <v>61157</v>
          </cell>
          <cell r="C1080">
            <v>20</v>
          </cell>
        </row>
        <row r="1081">
          <cell r="A1081">
            <v>3400003542</v>
          </cell>
          <cell r="B1081">
            <v>61100</v>
          </cell>
          <cell r="C1081">
            <v>1</v>
          </cell>
        </row>
        <row r="1082">
          <cell r="A1082">
            <v>3400003543</v>
          </cell>
          <cell r="B1082">
            <v>61100</v>
          </cell>
          <cell r="C1082">
            <v>1</v>
          </cell>
        </row>
        <row r="1083">
          <cell r="A1083">
            <v>3400003544</v>
          </cell>
          <cell r="B1083">
            <v>61157</v>
          </cell>
          <cell r="C1083">
            <v>1</v>
          </cell>
        </row>
        <row r="1084">
          <cell r="A1084">
            <v>3400003545</v>
          </cell>
          <cell r="B1084">
            <v>61157</v>
          </cell>
          <cell r="C1084">
            <v>1</v>
          </cell>
        </row>
        <row r="1085">
          <cell r="A1085">
            <v>3400003546</v>
          </cell>
          <cell r="B1085">
            <v>61157</v>
          </cell>
          <cell r="C1085">
            <v>1</v>
          </cell>
        </row>
        <row r="1086">
          <cell r="A1086">
            <v>3400003547</v>
          </cell>
          <cell r="B1086">
            <v>61200</v>
          </cell>
          <cell r="C1086">
            <v>1</v>
          </cell>
        </row>
        <row r="1087">
          <cell r="A1087">
            <v>3400003548</v>
          </cell>
          <cell r="B1087">
            <v>61158</v>
          </cell>
          <cell r="C1087">
            <v>1</v>
          </cell>
        </row>
        <row r="1088">
          <cell r="A1088">
            <v>3400003549</v>
          </cell>
          <cell r="B1088">
            <v>61158</v>
          </cell>
          <cell r="C1088">
            <v>1</v>
          </cell>
        </row>
        <row r="1089">
          <cell r="A1089">
            <v>3400003550</v>
          </cell>
          <cell r="B1089">
            <v>61158</v>
          </cell>
          <cell r="C1089">
            <v>1</v>
          </cell>
        </row>
        <row r="1090">
          <cell r="A1090">
            <v>3400003551</v>
          </cell>
          <cell r="B1090">
            <v>61155</v>
          </cell>
          <cell r="C1090">
            <v>1</v>
          </cell>
        </row>
        <row r="1091">
          <cell r="A1091">
            <v>3400003552</v>
          </cell>
          <cell r="B1091">
            <v>61100</v>
          </cell>
          <cell r="C1091">
            <v>1</v>
          </cell>
        </row>
        <row r="1092">
          <cell r="A1092">
            <v>3400003553</v>
          </cell>
          <cell r="B1092">
            <v>61112</v>
          </cell>
          <cell r="C1092">
            <v>1</v>
          </cell>
        </row>
        <row r="1093">
          <cell r="A1093">
            <v>3400003554</v>
          </cell>
          <cell r="B1093">
            <v>61109</v>
          </cell>
          <cell r="C1093">
            <v>1</v>
          </cell>
        </row>
        <row r="1094">
          <cell r="A1094">
            <v>3400003555</v>
          </cell>
          <cell r="B1094">
            <v>61200</v>
          </cell>
          <cell r="C1094">
            <v>17</v>
          </cell>
        </row>
        <row r="1095">
          <cell r="A1095">
            <v>3400003556</v>
          </cell>
          <cell r="B1095">
            <v>61159</v>
          </cell>
          <cell r="C1095">
            <v>2</v>
          </cell>
        </row>
        <row r="1096">
          <cell r="A1096">
            <v>3400003557</v>
          </cell>
          <cell r="B1096">
            <v>61155</v>
          </cell>
          <cell r="C1096">
            <v>12</v>
          </cell>
        </row>
        <row r="1097">
          <cell r="A1097">
            <v>3400003558</v>
          </cell>
          <cell r="B1097">
            <v>61161</v>
          </cell>
          <cell r="C1097">
            <v>2</v>
          </cell>
        </row>
        <row r="1098">
          <cell r="A1098">
            <v>3400003559</v>
          </cell>
          <cell r="B1098">
            <v>61158</v>
          </cell>
          <cell r="C1098">
            <v>1</v>
          </cell>
        </row>
        <row r="1099">
          <cell r="A1099">
            <v>3400003560</v>
          </cell>
          <cell r="B1099">
            <v>61156</v>
          </cell>
          <cell r="C1099">
            <v>3</v>
          </cell>
        </row>
        <row r="1100">
          <cell r="A1100">
            <v>3400003561</v>
          </cell>
          <cell r="B1100">
            <v>61158</v>
          </cell>
          <cell r="C1100">
            <v>1</v>
          </cell>
        </row>
        <row r="1101">
          <cell r="A1101">
            <v>3400003562</v>
          </cell>
          <cell r="B1101">
            <v>61200</v>
          </cell>
          <cell r="C1101">
            <v>1</v>
          </cell>
        </row>
        <row r="1102">
          <cell r="A1102">
            <v>3400003563</v>
          </cell>
          <cell r="B1102">
            <v>61116</v>
          </cell>
          <cell r="C1102">
            <v>1</v>
          </cell>
        </row>
        <row r="1103">
          <cell r="A1103">
            <v>3400003564</v>
          </cell>
          <cell r="B1103">
            <v>61118</v>
          </cell>
          <cell r="C1103">
            <v>1</v>
          </cell>
        </row>
        <row r="1104">
          <cell r="A1104">
            <v>3400003565</v>
          </cell>
          <cell r="B1104">
            <v>61162</v>
          </cell>
          <cell r="C1104">
            <v>1</v>
          </cell>
        </row>
        <row r="1105">
          <cell r="A1105">
            <v>3400003566</v>
          </cell>
          <cell r="B1105">
            <v>61104</v>
          </cell>
          <cell r="C1105">
            <v>1</v>
          </cell>
        </row>
        <row r="1106">
          <cell r="A1106">
            <v>3400003567</v>
          </cell>
          <cell r="B1106">
            <v>61107</v>
          </cell>
          <cell r="C1106">
            <v>1</v>
          </cell>
        </row>
        <row r="1107">
          <cell r="A1107">
            <v>3400003568</v>
          </cell>
          <cell r="B1107">
            <v>61103</v>
          </cell>
          <cell r="C1107">
            <v>1</v>
          </cell>
        </row>
        <row r="1108">
          <cell r="A1108">
            <v>3400003569</v>
          </cell>
          <cell r="B1108">
            <v>61111</v>
          </cell>
          <cell r="C1108">
            <v>1</v>
          </cell>
        </row>
        <row r="1109">
          <cell r="A1109">
            <v>3400003570</v>
          </cell>
          <cell r="B1109">
            <v>61103</v>
          </cell>
          <cell r="C1109">
            <v>1</v>
          </cell>
        </row>
        <row r="1110">
          <cell r="A1110">
            <v>3400003571</v>
          </cell>
          <cell r="B1110">
            <v>61100</v>
          </cell>
          <cell r="C1110">
            <v>1</v>
          </cell>
        </row>
        <row r="1111">
          <cell r="A1111">
            <v>3400003572</v>
          </cell>
          <cell r="B1111">
            <v>61101</v>
          </cell>
          <cell r="C1111">
            <v>1</v>
          </cell>
        </row>
        <row r="1112">
          <cell r="A1112">
            <v>3400003573</v>
          </cell>
          <cell r="B1112">
            <v>61155</v>
          </cell>
          <cell r="C1112">
            <v>1</v>
          </cell>
        </row>
        <row r="1113">
          <cell r="A1113">
            <v>3400003574</v>
          </cell>
          <cell r="B1113">
            <v>61155</v>
          </cell>
          <cell r="C1113">
            <v>1</v>
          </cell>
        </row>
        <row r="1114">
          <cell r="A1114">
            <v>3400003575</v>
          </cell>
          <cell r="B1114">
            <v>61155</v>
          </cell>
          <cell r="C1114">
            <v>1</v>
          </cell>
        </row>
        <row r="1115">
          <cell r="A1115">
            <v>3400003576</v>
          </cell>
          <cell r="B1115">
            <v>61155</v>
          </cell>
          <cell r="C1115">
            <v>1</v>
          </cell>
        </row>
        <row r="1116">
          <cell r="A1116">
            <v>3400003577</v>
          </cell>
          <cell r="B1116">
            <v>61155</v>
          </cell>
          <cell r="C1116">
            <v>1</v>
          </cell>
        </row>
        <row r="1117">
          <cell r="A1117">
            <v>3400003578</v>
          </cell>
          <cell r="B1117">
            <v>61108</v>
          </cell>
          <cell r="C1117">
            <v>1</v>
          </cell>
        </row>
        <row r="1118">
          <cell r="A1118">
            <v>3400003579</v>
          </cell>
          <cell r="B1118">
            <v>61112</v>
          </cell>
          <cell r="C1118">
            <v>1</v>
          </cell>
        </row>
        <row r="1119">
          <cell r="A1119">
            <v>3400003580</v>
          </cell>
          <cell r="B1119">
            <v>61100</v>
          </cell>
          <cell r="C1119">
            <v>1</v>
          </cell>
        </row>
        <row r="1120">
          <cell r="A1120">
            <v>3400003581</v>
          </cell>
          <cell r="B1120">
            <v>61107</v>
          </cell>
          <cell r="C1120">
            <v>1</v>
          </cell>
        </row>
        <row r="1121">
          <cell r="A1121">
            <v>3400003582</v>
          </cell>
          <cell r="B1121">
            <v>61115</v>
          </cell>
          <cell r="C1121">
            <v>1</v>
          </cell>
        </row>
        <row r="1122">
          <cell r="A1122">
            <v>3400003583</v>
          </cell>
          <cell r="B1122">
            <v>61200</v>
          </cell>
          <cell r="C1122">
            <v>4</v>
          </cell>
        </row>
        <row r="1123">
          <cell r="A1123">
            <v>3400003584</v>
          </cell>
          <cell r="B1123">
            <v>61102</v>
          </cell>
          <cell r="C1123">
            <v>1</v>
          </cell>
        </row>
        <row r="1124">
          <cell r="A1124">
            <v>3400003585</v>
          </cell>
          <cell r="B1124">
            <v>61155</v>
          </cell>
          <cell r="C1124">
            <v>8</v>
          </cell>
        </row>
        <row r="1125">
          <cell r="A1125">
            <v>3400003586</v>
          </cell>
          <cell r="B1125">
            <v>61152</v>
          </cell>
          <cell r="C1125">
            <v>1</v>
          </cell>
        </row>
        <row r="1126">
          <cell r="A1126">
            <v>3400003587</v>
          </cell>
          <cell r="B1126">
            <v>61119</v>
          </cell>
          <cell r="C1126">
            <v>1</v>
          </cell>
        </row>
        <row r="1127">
          <cell r="A1127">
            <v>3400003588</v>
          </cell>
          <cell r="B1127">
            <v>61159</v>
          </cell>
          <cell r="C1127">
            <v>5</v>
          </cell>
        </row>
        <row r="1128">
          <cell r="A1128">
            <v>3400003589</v>
          </cell>
          <cell r="B1128">
            <v>61161</v>
          </cell>
          <cell r="C1128">
            <v>2</v>
          </cell>
        </row>
        <row r="1129">
          <cell r="A1129">
            <v>3400003590</v>
          </cell>
          <cell r="B1129">
            <v>61162</v>
          </cell>
          <cell r="C1129">
            <v>1</v>
          </cell>
        </row>
        <row r="1130">
          <cell r="A1130">
            <v>3400003591</v>
          </cell>
          <cell r="B1130">
            <v>61162</v>
          </cell>
          <cell r="C1130">
            <v>1</v>
          </cell>
        </row>
        <row r="1131">
          <cell r="A1131">
            <v>3400003592</v>
          </cell>
          <cell r="B1131">
            <v>61119</v>
          </cell>
          <cell r="C1131">
            <v>2</v>
          </cell>
        </row>
        <row r="1132">
          <cell r="A1132">
            <v>3400003593</v>
          </cell>
          <cell r="B1132">
            <v>61161</v>
          </cell>
          <cell r="C1132">
            <v>2</v>
          </cell>
        </row>
        <row r="1133">
          <cell r="A1133">
            <v>3400003594</v>
          </cell>
          <cell r="B1133">
            <v>61107</v>
          </cell>
          <cell r="C1133">
            <v>2</v>
          </cell>
        </row>
        <row r="1134">
          <cell r="A1134">
            <v>3400003595</v>
          </cell>
          <cell r="B1134">
            <v>61155</v>
          </cell>
          <cell r="C1134">
            <v>6</v>
          </cell>
        </row>
        <row r="1135">
          <cell r="A1135">
            <v>3400003596</v>
          </cell>
          <cell r="B1135">
            <v>61162</v>
          </cell>
          <cell r="C1135">
            <v>24</v>
          </cell>
        </row>
        <row r="1136">
          <cell r="A1136">
            <v>3400003597</v>
          </cell>
          <cell r="B1136">
            <v>61100</v>
          </cell>
          <cell r="C1136">
            <v>1</v>
          </cell>
        </row>
        <row r="1137">
          <cell r="A1137">
            <v>3400003598</v>
          </cell>
          <cell r="B1137">
            <v>61162</v>
          </cell>
          <cell r="C1137">
            <v>2</v>
          </cell>
        </row>
        <row r="1138">
          <cell r="A1138">
            <v>3400003599</v>
          </cell>
          <cell r="B1138">
            <v>61162</v>
          </cell>
          <cell r="C1138">
            <v>2</v>
          </cell>
        </row>
        <row r="1139">
          <cell r="A1139">
            <v>3400003600</v>
          </cell>
          <cell r="B1139">
            <v>61162</v>
          </cell>
          <cell r="C1139">
            <v>1</v>
          </cell>
        </row>
        <row r="1140">
          <cell r="A1140">
            <v>3400003601</v>
          </cell>
          <cell r="B1140">
            <v>61107</v>
          </cell>
          <cell r="C1140">
            <v>1</v>
          </cell>
        </row>
        <row r="1141">
          <cell r="A1141">
            <v>3400003602</v>
          </cell>
          <cell r="B1141">
            <v>61107</v>
          </cell>
          <cell r="C1141">
            <v>1</v>
          </cell>
        </row>
        <row r="1142">
          <cell r="A1142">
            <v>3400003603</v>
          </cell>
          <cell r="B1142">
            <v>61107</v>
          </cell>
          <cell r="C1142">
            <v>1</v>
          </cell>
        </row>
        <row r="1143">
          <cell r="A1143">
            <v>3400003604</v>
          </cell>
          <cell r="B1143">
            <v>61160</v>
          </cell>
          <cell r="C1143">
            <v>1</v>
          </cell>
        </row>
        <row r="1144">
          <cell r="A1144">
            <v>3400003605</v>
          </cell>
          <cell r="B1144">
            <v>61160</v>
          </cell>
          <cell r="C1144">
            <v>1</v>
          </cell>
        </row>
        <row r="1145">
          <cell r="A1145">
            <v>3400003606</v>
          </cell>
          <cell r="B1145">
            <v>61157</v>
          </cell>
          <cell r="C1145">
            <v>1</v>
          </cell>
        </row>
        <row r="1146">
          <cell r="A1146">
            <v>3400003607</v>
          </cell>
          <cell r="B1146">
            <v>61161</v>
          </cell>
          <cell r="C1146">
            <v>1</v>
          </cell>
        </row>
        <row r="1147">
          <cell r="A1147">
            <v>3400003608</v>
          </cell>
          <cell r="B1147">
            <v>61158</v>
          </cell>
          <cell r="C1147">
            <v>1</v>
          </cell>
        </row>
        <row r="1148">
          <cell r="A1148">
            <v>3400003609</v>
          </cell>
          <cell r="B1148">
            <v>61203</v>
          </cell>
          <cell r="C1148">
            <v>1</v>
          </cell>
        </row>
        <row r="1149">
          <cell r="A1149">
            <v>3400003610</v>
          </cell>
          <cell r="B1149">
            <v>61104</v>
          </cell>
          <cell r="C1149">
            <v>1</v>
          </cell>
        </row>
        <row r="1150">
          <cell r="A1150">
            <v>3400003611</v>
          </cell>
          <cell r="B1150">
            <v>61100</v>
          </cell>
          <cell r="C1150">
            <v>1</v>
          </cell>
        </row>
        <row r="1151">
          <cell r="A1151">
            <v>3400003612</v>
          </cell>
          <cell r="B1151">
            <v>61157</v>
          </cell>
          <cell r="C1151">
            <v>4</v>
          </cell>
        </row>
        <row r="1152">
          <cell r="A1152">
            <v>3400003613</v>
          </cell>
          <cell r="B1152">
            <v>61100</v>
          </cell>
          <cell r="C1152">
            <v>1</v>
          </cell>
        </row>
        <row r="1153">
          <cell r="A1153">
            <v>3400003614</v>
          </cell>
          <cell r="B1153">
            <v>61111</v>
          </cell>
          <cell r="C1153">
            <v>1</v>
          </cell>
        </row>
        <row r="1154">
          <cell r="A1154">
            <v>3400003615</v>
          </cell>
          <cell r="B1154">
            <v>61200</v>
          </cell>
          <cell r="C1154">
            <v>1</v>
          </cell>
        </row>
        <row r="1155">
          <cell r="A1155">
            <v>3400003616</v>
          </cell>
          <cell r="B1155">
            <v>61107</v>
          </cell>
          <cell r="C1155">
            <v>1</v>
          </cell>
        </row>
        <row r="1156">
          <cell r="A1156">
            <v>3400003617</v>
          </cell>
          <cell r="B1156">
            <v>61112</v>
          </cell>
          <cell r="C1156">
            <v>1</v>
          </cell>
        </row>
        <row r="1157">
          <cell r="A1157">
            <v>3400003618</v>
          </cell>
          <cell r="B1157">
            <v>61112</v>
          </cell>
          <cell r="C1157">
            <v>1</v>
          </cell>
        </row>
        <row r="1158">
          <cell r="A1158">
            <v>3400003619</v>
          </cell>
          <cell r="B1158">
            <v>61112</v>
          </cell>
          <cell r="C1158">
            <v>1</v>
          </cell>
        </row>
        <row r="1159">
          <cell r="A1159">
            <v>3400003620</v>
          </cell>
          <cell r="B1159">
            <v>61112</v>
          </cell>
          <cell r="C1159">
            <v>1</v>
          </cell>
        </row>
        <row r="1160">
          <cell r="A1160">
            <v>3400003621</v>
          </cell>
          <cell r="B1160">
            <v>61112</v>
          </cell>
          <cell r="C1160">
            <v>1</v>
          </cell>
        </row>
        <row r="1161">
          <cell r="A1161">
            <v>3400003622</v>
          </cell>
          <cell r="B1161">
            <v>61112</v>
          </cell>
          <cell r="C1161">
            <v>1</v>
          </cell>
        </row>
        <row r="1162">
          <cell r="A1162">
            <v>3400003623</v>
          </cell>
          <cell r="B1162">
            <v>61115</v>
          </cell>
          <cell r="C1162">
            <v>1</v>
          </cell>
        </row>
        <row r="1163">
          <cell r="A1163">
            <v>3400003624</v>
          </cell>
          <cell r="B1163">
            <v>61115</v>
          </cell>
          <cell r="C1163">
            <v>30</v>
          </cell>
        </row>
        <row r="1164">
          <cell r="A1164">
            <v>3400003625</v>
          </cell>
          <cell r="B1164">
            <v>61102</v>
          </cell>
          <cell r="C1164">
            <v>1</v>
          </cell>
        </row>
        <row r="1165">
          <cell r="A1165">
            <v>3400003626</v>
          </cell>
          <cell r="B1165">
            <v>61112</v>
          </cell>
          <cell r="C1165">
            <v>1</v>
          </cell>
        </row>
        <row r="1166">
          <cell r="A1166">
            <v>3400003627</v>
          </cell>
          <cell r="B1166">
            <v>61112</v>
          </cell>
          <cell r="C1166">
            <v>500</v>
          </cell>
        </row>
        <row r="1167">
          <cell r="A1167">
            <v>3400003627</v>
          </cell>
          <cell r="B1167">
            <v>61112</v>
          </cell>
          <cell r="C1167">
            <v>1</v>
          </cell>
        </row>
        <row r="1168">
          <cell r="A1168">
            <v>3400003628</v>
          </cell>
          <cell r="B1168">
            <v>61112</v>
          </cell>
          <cell r="C1168">
            <v>1</v>
          </cell>
        </row>
        <row r="1169">
          <cell r="A1169">
            <v>3400003629</v>
          </cell>
          <cell r="B1169">
            <v>61112</v>
          </cell>
          <cell r="C1169">
            <v>1</v>
          </cell>
        </row>
        <row r="1170">
          <cell r="A1170">
            <v>3400003630</v>
          </cell>
          <cell r="B1170">
            <v>61112</v>
          </cell>
          <cell r="C1170">
            <v>1</v>
          </cell>
        </row>
        <row r="1171">
          <cell r="A1171">
            <v>3400003631</v>
          </cell>
          <cell r="B1171">
            <v>61107</v>
          </cell>
          <cell r="C1171">
            <v>1</v>
          </cell>
        </row>
        <row r="1172">
          <cell r="A1172">
            <v>3400003632</v>
          </cell>
          <cell r="B1172">
            <v>61206</v>
          </cell>
          <cell r="C1172">
            <v>1</v>
          </cell>
        </row>
        <row r="1173">
          <cell r="A1173">
            <v>3400003633</v>
          </cell>
          <cell r="B1173">
            <v>61154</v>
          </cell>
          <cell r="C1173">
            <v>1</v>
          </cell>
        </row>
        <row r="1174">
          <cell r="A1174">
            <v>3400003634</v>
          </cell>
          <cell r="B1174">
            <v>61115</v>
          </cell>
          <cell r="C1174">
            <v>1</v>
          </cell>
        </row>
        <row r="1175">
          <cell r="A1175">
            <v>3400003635</v>
          </cell>
          <cell r="B1175">
            <v>61115</v>
          </cell>
          <cell r="C1175">
            <v>1</v>
          </cell>
        </row>
        <row r="1176">
          <cell r="A1176">
            <v>3400003636</v>
          </cell>
          <cell r="B1176">
            <v>61115</v>
          </cell>
          <cell r="C1176">
            <v>1</v>
          </cell>
        </row>
        <row r="1177">
          <cell r="A1177">
            <v>3400003637</v>
          </cell>
          <cell r="B1177">
            <v>61115</v>
          </cell>
          <cell r="C1177">
            <v>1</v>
          </cell>
        </row>
        <row r="1178">
          <cell r="A1178">
            <v>3400003638</v>
          </cell>
          <cell r="B1178">
            <v>61115</v>
          </cell>
          <cell r="C1178">
            <v>1</v>
          </cell>
        </row>
        <row r="1179">
          <cell r="A1179">
            <v>3400003639</v>
          </cell>
          <cell r="B1179">
            <v>61115</v>
          </cell>
          <cell r="C1179">
            <v>1</v>
          </cell>
        </row>
        <row r="1180">
          <cell r="A1180">
            <v>3400003640</v>
          </cell>
          <cell r="B1180">
            <v>61115</v>
          </cell>
          <cell r="C1180">
            <v>1</v>
          </cell>
        </row>
        <row r="1181">
          <cell r="A1181">
            <v>3400003641</v>
          </cell>
          <cell r="B1181">
            <v>61115</v>
          </cell>
          <cell r="C1181">
            <v>1</v>
          </cell>
        </row>
        <row r="1182">
          <cell r="A1182">
            <v>3400003642</v>
          </cell>
          <cell r="B1182">
            <v>61115</v>
          </cell>
          <cell r="C1182">
            <v>1</v>
          </cell>
        </row>
        <row r="1183">
          <cell r="A1183">
            <v>3400003643</v>
          </cell>
          <cell r="B1183">
            <v>61115</v>
          </cell>
          <cell r="C1183">
            <v>1</v>
          </cell>
        </row>
        <row r="1184">
          <cell r="A1184">
            <v>3400003644</v>
          </cell>
          <cell r="B1184">
            <v>61115</v>
          </cell>
          <cell r="C1184">
            <v>1</v>
          </cell>
        </row>
        <row r="1185">
          <cell r="A1185">
            <v>3400003645</v>
          </cell>
          <cell r="B1185">
            <v>61115</v>
          </cell>
          <cell r="C1185">
            <v>1</v>
          </cell>
        </row>
        <row r="1186">
          <cell r="A1186">
            <v>3400003646</v>
          </cell>
          <cell r="B1186">
            <v>61115</v>
          </cell>
          <cell r="C1186">
            <v>1</v>
          </cell>
        </row>
        <row r="1187">
          <cell r="A1187">
            <v>3400003647</v>
          </cell>
          <cell r="B1187">
            <v>61115</v>
          </cell>
          <cell r="C1187">
            <v>1</v>
          </cell>
        </row>
        <row r="1188">
          <cell r="A1188">
            <v>3400003648</v>
          </cell>
          <cell r="B1188">
            <v>61115</v>
          </cell>
          <cell r="C1188">
            <v>1</v>
          </cell>
        </row>
        <row r="1189">
          <cell r="A1189">
            <v>3400003649</v>
          </cell>
          <cell r="B1189">
            <v>61115</v>
          </cell>
          <cell r="C1189">
            <v>1</v>
          </cell>
        </row>
        <row r="1190">
          <cell r="A1190">
            <v>3400003650</v>
          </cell>
          <cell r="B1190">
            <v>61115</v>
          </cell>
          <cell r="C1190">
            <v>1</v>
          </cell>
        </row>
        <row r="1191">
          <cell r="A1191">
            <v>3400003651</v>
          </cell>
          <cell r="B1191">
            <v>61115</v>
          </cell>
          <cell r="C1191">
            <v>1</v>
          </cell>
        </row>
        <row r="1192">
          <cell r="A1192">
            <v>3400003652</v>
          </cell>
          <cell r="B1192">
            <v>61115</v>
          </cell>
          <cell r="C1192">
            <v>1</v>
          </cell>
        </row>
        <row r="1193">
          <cell r="A1193">
            <v>3400003653</v>
          </cell>
          <cell r="B1193">
            <v>61115</v>
          </cell>
          <cell r="C1193">
            <v>1</v>
          </cell>
        </row>
        <row r="1194">
          <cell r="A1194">
            <v>3400003654</v>
          </cell>
          <cell r="B1194">
            <v>61115</v>
          </cell>
          <cell r="C1194">
            <v>1</v>
          </cell>
        </row>
        <row r="1195">
          <cell r="A1195">
            <v>3400003655</v>
          </cell>
          <cell r="B1195">
            <v>61115</v>
          </cell>
          <cell r="C1195">
            <v>1</v>
          </cell>
        </row>
        <row r="1196">
          <cell r="A1196">
            <v>3400003656</v>
          </cell>
          <cell r="B1196">
            <v>61115</v>
          </cell>
          <cell r="C1196">
            <v>1</v>
          </cell>
        </row>
        <row r="1197">
          <cell r="A1197">
            <v>3400003657</v>
          </cell>
          <cell r="B1197">
            <v>61115</v>
          </cell>
          <cell r="C1197">
            <v>1</v>
          </cell>
        </row>
        <row r="1198">
          <cell r="A1198">
            <v>3400003658</v>
          </cell>
          <cell r="B1198">
            <v>61115</v>
          </cell>
          <cell r="C1198">
            <v>1</v>
          </cell>
        </row>
        <row r="1199">
          <cell r="A1199">
            <v>3400003659</v>
          </cell>
          <cell r="B1199">
            <v>61115</v>
          </cell>
          <cell r="C1199">
            <v>1</v>
          </cell>
        </row>
        <row r="1200">
          <cell r="A1200">
            <v>3400003660</v>
          </cell>
          <cell r="B1200">
            <v>61115</v>
          </cell>
          <cell r="C1200">
            <v>1</v>
          </cell>
        </row>
        <row r="1201">
          <cell r="A1201">
            <v>3400003661</v>
          </cell>
          <cell r="B1201">
            <v>61115</v>
          </cell>
          <cell r="C1201">
            <v>1</v>
          </cell>
        </row>
        <row r="1202">
          <cell r="A1202">
            <v>3400003662</v>
          </cell>
          <cell r="B1202">
            <v>61115</v>
          </cell>
          <cell r="C1202">
            <v>1</v>
          </cell>
        </row>
        <row r="1203">
          <cell r="A1203">
            <v>3400003663</v>
          </cell>
          <cell r="B1203">
            <v>61115</v>
          </cell>
          <cell r="C1203">
            <v>1</v>
          </cell>
        </row>
        <row r="1204">
          <cell r="A1204">
            <v>3400003664</v>
          </cell>
          <cell r="B1204">
            <v>61115</v>
          </cell>
          <cell r="C1204">
            <v>1</v>
          </cell>
        </row>
        <row r="1205">
          <cell r="A1205">
            <v>3400003665</v>
          </cell>
          <cell r="B1205">
            <v>61115</v>
          </cell>
          <cell r="C1205">
            <v>1</v>
          </cell>
        </row>
        <row r="1206">
          <cell r="A1206">
            <v>3400003666</v>
          </cell>
          <cell r="B1206">
            <v>61115</v>
          </cell>
          <cell r="C1206">
            <v>1</v>
          </cell>
        </row>
        <row r="1207">
          <cell r="A1207">
            <v>3400003667</v>
          </cell>
          <cell r="B1207">
            <v>61115</v>
          </cell>
          <cell r="C1207">
            <v>1</v>
          </cell>
        </row>
        <row r="1208">
          <cell r="A1208">
            <v>3400003668</v>
          </cell>
          <cell r="B1208">
            <v>61115</v>
          </cell>
          <cell r="C1208">
            <v>1</v>
          </cell>
        </row>
        <row r="1209">
          <cell r="A1209">
            <v>3400003669</v>
          </cell>
          <cell r="B1209">
            <v>61115</v>
          </cell>
          <cell r="C1209">
            <v>1</v>
          </cell>
        </row>
        <row r="1210">
          <cell r="A1210">
            <v>3400003670</v>
          </cell>
          <cell r="B1210">
            <v>61115</v>
          </cell>
          <cell r="C1210">
            <v>1</v>
          </cell>
        </row>
        <row r="1211">
          <cell r="A1211">
            <v>3400003671</v>
          </cell>
          <cell r="B1211">
            <v>61115</v>
          </cell>
          <cell r="C1211">
            <v>1</v>
          </cell>
        </row>
        <row r="1212">
          <cell r="A1212">
            <v>3400003672</v>
          </cell>
          <cell r="B1212">
            <v>61115</v>
          </cell>
          <cell r="C1212">
            <v>1</v>
          </cell>
        </row>
        <row r="1213">
          <cell r="A1213">
            <v>3400003673</v>
          </cell>
          <cell r="B1213">
            <v>61115</v>
          </cell>
          <cell r="C1213">
            <v>1</v>
          </cell>
        </row>
        <row r="1214">
          <cell r="A1214">
            <v>3400003674</v>
          </cell>
          <cell r="B1214">
            <v>61115</v>
          </cell>
          <cell r="C1214">
            <v>1</v>
          </cell>
        </row>
        <row r="1215">
          <cell r="A1215">
            <v>3400003675</v>
          </cell>
          <cell r="B1215">
            <v>61115</v>
          </cell>
          <cell r="C1215">
            <v>1</v>
          </cell>
        </row>
        <row r="1216">
          <cell r="A1216">
            <v>3400003676</v>
          </cell>
          <cell r="B1216">
            <v>61115</v>
          </cell>
          <cell r="C1216">
            <v>1</v>
          </cell>
        </row>
        <row r="1217">
          <cell r="A1217">
            <v>3400003677</v>
          </cell>
          <cell r="B1217">
            <v>61115</v>
          </cell>
          <cell r="C1217">
            <v>1</v>
          </cell>
        </row>
        <row r="1218">
          <cell r="A1218">
            <v>3400003678</v>
          </cell>
          <cell r="B1218">
            <v>61115</v>
          </cell>
          <cell r="C1218">
            <v>1</v>
          </cell>
        </row>
        <row r="1219">
          <cell r="A1219">
            <v>3400003679</v>
          </cell>
          <cell r="B1219">
            <v>61115</v>
          </cell>
          <cell r="C1219">
            <v>1</v>
          </cell>
        </row>
        <row r="1220">
          <cell r="A1220">
            <v>3400003680</v>
          </cell>
          <cell r="B1220">
            <v>61115</v>
          </cell>
          <cell r="C1220">
            <v>1</v>
          </cell>
        </row>
        <row r="1221">
          <cell r="A1221">
            <v>3400003681</v>
          </cell>
          <cell r="B1221">
            <v>61115</v>
          </cell>
          <cell r="C1221">
            <v>1</v>
          </cell>
        </row>
        <row r="1222">
          <cell r="A1222">
            <v>3400003682</v>
          </cell>
          <cell r="B1222">
            <v>61115</v>
          </cell>
          <cell r="C1222">
            <v>1</v>
          </cell>
        </row>
        <row r="1223">
          <cell r="A1223">
            <v>3400003683</v>
          </cell>
          <cell r="B1223">
            <v>61115</v>
          </cell>
          <cell r="C1223">
            <v>1</v>
          </cell>
        </row>
        <row r="1224">
          <cell r="A1224">
            <v>3400003684</v>
          </cell>
          <cell r="B1224">
            <v>61115</v>
          </cell>
          <cell r="C1224">
            <v>1</v>
          </cell>
        </row>
        <row r="1225">
          <cell r="A1225">
            <v>3400003685</v>
          </cell>
          <cell r="B1225">
            <v>61115</v>
          </cell>
          <cell r="C1225">
            <v>1</v>
          </cell>
        </row>
        <row r="1226">
          <cell r="A1226">
            <v>3400003686</v>
          </cell>
          <cell r="B1226">
            <v>61115</v>
          </cell>
          <cell r="C1226">
            <v>1</v>
          </cell>
        </row>
        <row r="1227">
          <cell r="A1227">
            <v>3400003687</v>
          </cell>
          <cell r="B1227">
            <v>61115</v>
          </cell>
          <cell r="C1227">
            <v>1</v>
          </cell>
        </row>
        <row r="1228">
          <cell r="A1228">
            <v>3400003688</v>
          </cell>
          <cell r="B1228">
            <v>61115</v>
          </cell>
          <cell r="C1228">
            <v>1</v>
          </cell>
        </row>
        <row r="1229">
          <cell r="A1229">
            <v>3400003689</v>
          </cell>
          <cell r="B1229">
            <v>61115</v>
          </cell>
          <cell r="C1229">
            <v>1</v>
          </cell>
        </row>
        <row r="1230">
          <cell r="A1230">
            <v>3400003690</v>
          </cell>
          <cell r="B1230">
            <v>61115</v>
          </cell>
          <cell r="C1230">
            <v>1</v>
          </cell>
        </row>
        <row r="1231">
          <cell r="A1231">
            <v>3400003691</v>
          </cell>
          <cell r="B1231">
            <v>61115</v>
          </cell>
          <cell r="C1231">
            <v>1</v>
          </cell>
        </row>
        <row r="1232">
          <cell r="A1232">
            <v>3400003692</v>
          </cell>
          <cell r="B1232">
            <v>61115</v>
          </cell>
          <cell r="C1232">
            <v>1</v>
          </cell>
        </row>
        <row r="1233">
          <cell r="A1233">
            <v>3400003693</v>
          </cell>
          <cell r="B1233">
            <v>61115</v>
          </cell>
          <cell r="C1233">
            <v>1</v>
          </cell>
        </row>
        <row r="1234">
          <cell r="A1234">
            <v>3400003694</v>
          </cell>
          <cell r="B1234">
            <v>61115</v>
          </cell>
          <cell r="C1234">
            <v>1</v>
          </cell>
        </row>
        <row r="1235">
          <cell r="A1235">
            <v>3400003695</v>
          </cell>
          <cell r="B1235">
            <v>61115</v>
          </cell>
          <cell r="C1235">
            <v>1</v>
          </cell>
        </row>
        <row r="1236">
          <cell r="A1236">
            <v>3400003696</v>
          </cell>
          <cell r="B1236">
            <v>61115</v>
          </cell>
          <cell r="C1236">
            <v>1</v>
          </cell>
        </row>
        <row r="1237">
          <cell r="A1237">
            <v>3400003697</v>
          </cell>
          <cell r="B1237">
            <v>61115</v>
          </cell>
          <cell r="C1237">
            <v>1</v>
          </cell>
        </row>
        <row r="1238">
          <cell r="A1238">
            <v>3400003698</v>
          </cell>
          <cell r="B1238">
            <v>61115</v>
          </cell>
          <cell r="C1238">
            <v>1</v>
          </cell>
        </row>
        <row r="1239">
          <cell r="A1239">
            <v>3400003699</v>
          </cell>
          <cell r="B1239">
            <v>61115</v>
          </cell>
          <cell r="C1239">
            <v>1</v>
          </cell>
        </row>
        <row r="1240">
          <cell r="A1240">
            <v>3400003700</v>
          </cell>
          <cell r="B1240">
            <v>61115</v>
          </cell>
          <cell r="C1240">
            <v>1</v>
          </cell>
        </row>
        <row r="1241">
          <cell r="A1241">
            <v>3400003701</v>
          </cell>
          <cell r="B1241">
            <v>61115</v>
          </cell>
          <cell r="C1241">
            <v>1</v>
          </cell>
        </row>
        <row r="1242">
          <cell r="A1242">
            <v>3400003702</v>
          </cell>
          <cell r="B1242">
            <v>61115</v>
          </cell>
          <cell r="C1242">
            <v>1</v>
          </cell>
        </row>
        <row r="1243">
          <cell r="A1243">
            <v>3400003703</v>
          </cell>
          <cell r="B1243">
            <v>61115</v>
          </cell>
          <cell r="C1243">
            <v>1</v>
          </cell>
        </row>
        <row r="1244">
          <cell r="A1244">
            <v>3400003704</v>
          </cell>
          <cell r="B1244">
            <v>61115</v>
          </cell>
          <cell r="C1244">
            <v>1</v>
          </cell>
        </row>
        <row r="1245">
          <cell r="A1245">
            <v>3400003705</v>
          </cell>
          <cell r="B1245">
            <v>61115</v>
          </cell>
          <cell r="C1245">
            <v>1</v>
          </cell>
        </row>
        <row r="1246">
          <cell r="A1246">
            <v>3400003706</v>
          </cell>
          <cell r="B1246">
            <v>61115</v>
          </cell>
          <cell r="C1246">
            <v>1</v>
          </cell>
        </row>
        <row r="1247">
          <cell r="A1247">
            <v>3400003707</v>
          </cell>
          <cell r="B1247">
            <v>61115</v>
          </cell>
          <cell r="C1247">
            <v>1</v>
          </cell>
        </row>
        <row r="1248">
          <cell r="A1248">
            <v>3400003708</v>
          </cell>
          <cell r="B1248">
            <v>61115</v>
          </cell>
          <cell r="C1248">
            <v>1</v>
          </cell>
        </row>
        <row r="1249">
          <cell r="A1249">
            <v>3400003709</v>
          </cell>
          <cell r="B1249">
            <v>61115</v>
          </cell>
          <cell r="C1249">
            <v>1</v>
          </cell>
        </row>
        <row r="1250">
          <cell r="A1250">
            <v>3400003710</v>
          </cell>
          <cell r="B1250">
            <v>61115</v>
          </cell>
          <cell r="C1250">
            <v>1</v>
          </cell>
        </row>
        <row r="1251">
          <cell r="A1251">
            <v>3400003711</v>
          </cell>
          <cell r="B1251">
            <v>61115</v>
          </cell>
          <cell r="C1251">
            <v>1</v>
          </cell>
        </row>
        <row r="1252">
          <cell r="A1252">
            <v>3400003712</v>
          </cell>
          <cell r="B1252">
            <v>61115</v>
          </cell>
          <cell r="C1252">
            <v>1</v>
          </cell>
        </row>
        <row r="1253">
          <cell r="A1253">
            <v>3400003713</v>
          </cell>
          <cell r="B1253">
            <v>61115</v>
          </cell>
          <cell r="C1253">
            <v>1</v>
          </cell>
        </row>
        <row r="1254">
          <cell r="A1254">
            <v>3400003714</v>
          </cell>
          <cell r="B1254">
            <v>61115</v>
          </cell>
          <cell r="C1254">
            <v>1</v>
          </cell>
        </row>
        <row r="1255">
          <cell r="A1255">
            <v>3400003715</v>
          </cell>
          <cell r="B1255">
            <v>61115</v>
          </cell>
          <cell r="C1255">
            <v>1</v>
          </cell>
        </row>
        <row r="1256">
          <cell r="A1256">
            <v>3400003716</v>
          </cell>
          <cell r="B1256">
            <v>61115</v>
          </cell>
          <cell r="C1256">
            <v>1</v>
          </cell>
        </row>
        <row r="1257">
          <cell r="A1257">
            <v>3400003717</v>
          </cell>
          <cell r="B1257">
            <v>61115</v>
          </cell>
          <cell r="C1257">
            <v>1</v>
          </cell>
        </row>
        <row r="1258">
          <cell r="A1258">
            <v>3400003718</v>
          </cell>
          <cell r="B1258">
            <v>61115</v>
          </cell>
          <cell r="C1258">
            <v>1</v>
          </cell>
        </row>
        <row r="1259">
          <cell r="A1259">
            <v>3400003719</v>
          </cell>
          <cell r="B1259">
            <v>61115</v>
          </cell>
          <cell r="C1259">
            <v>1</v>
          </cell>
        </row>
        <row r="1260">
          <cell r="A1260">
            <v>3400003720</v>
          </cell>
          <cell r="B1260">
            <v>61115</v>
          </cell>
          <cell r="C1260">
            <v>1</v>
          </cell>
        </row>
        <row r="1261">
          <cell r="A1261">
            <v>3400003721</v>
          </cell>
          <cell r="B1261">
            <v>61115</v>
          </cell>
          <cell r="C1261">
            <v>1</v>
          </cell>
        </row>
        <row r="1262">
          <cell r="A1262">
            <v>3400003722</v>
          </cell>
          <cell r="B1262">
            <v>61115</v>
          </cell>
          <cell r="C1262">
            <v>1</v>
          </cell>
        </row>
        <row r="1263">
          <cell r="A1263">
            <v>3400003723</v>
          </cell>
          <cell r="B1263">
            <v>61115</v>
          </cell>
          <cell r="C1263">
            <v>1</v>
          </cell>
        </row>
        <row r="1264">
          <cell r="A1264">
            <v>3400003724</v>
          </cell>
          <cell r="B1264">
            <v>61115</v>
          </cell>
          <cell r="C1264">
            <v>1</v>
          </cell>
        </row>
        <row r="1265">
          <cell r="A1265">
            <v>3400003725</v>
          </cell>
          <cell r="B1265">
            <v>61115</v>
          </cell>
          <cell r="C1265">
            <v>1</v>
          </cell>
        </row>
        <row r="1266">
          <cell r="A1266">
            <v>3400003726</v>
          </cell>
          <cell r="B1266">
            <v>61115</v>
          </cell>
          <cell r="C1266">
            <v>1</v>
          </cell>
        </row>
        <row r="1267">
          <cell r="A1267">
            <v>3400003727</v>
          </cell>
          <cell r="B1267">
            <v>61115</v>
          </cell>
          <cell r="C1267">
            <v>1</v>
          </cell>
        </row>
        <row r="1268">
          <cell r="A1268">
            <v>3400003728</v>
          </cell>
          <cell r="B1268">
            <v>61115</v>
          </cell>
          <cell r="C1268">
            <v>1</v>
          </cell>
        </row>
        <row r="1269">
          <cell r="A1269">
            <v>3400003729</v>
          </cell>
          <cell r="B1269">
            <v>61115</v>
          </cell>
          <cell r="C1269">
            <v>1</v>
          </cell>
        </row>
        <row r="1270">
          <cell r="A1270">
            <v>3400003730</v>
          </cell>
          <cell r="B1270">
            <v>61115</v>
          </cell>
          <cell r="C1270">
            <v>1</v>
          </cell>
        </row>
        <row r="1271">
          <cell r="A1271">
            <v>3400003731</v>
          </cell>
          <cell r="B1271">
            <v>61115</v>
          </cell>
          <cell r="C1271">
            <v>1</v>
          </cell>
        </row>
        <row r="1272">
          <cell r="A1272">
            <v>3400003732</v>
          </cell>
          <cell r="B1272">
            <v>61115</v>
          </cell>
          <cell r="C1272">
            <v>1</v>
          </cell>
        </row>
        <row r="1273">
          <cell r="A1273">
            <v>3400003733</v>
          </cell>
          <cell r="B1273">
            <v>61115</v>
          </cell>
          <cell r="C1273">
            <v>1</v>
          </cell>
        </row>
        <row r="1274">
          <cell r="A1274">
            <v>3400003734</v>
          </cell>
          <cell r="B1274">
            <v>61115</v>
          </cell>
          <cell r="C1274">
            <v>1</v>
          </cell>
        </row>
        <row r="1275">
          <cell r="A1275">
            <v>3400003735</v>
          </cell>
          <cell r="B1275">
            <v>61115</v>
          </cell>
          <cell r="C1275">
            <v>1</v>
          </cell>
        </row>
        <row r="1276">
          <cell r="A1276">
            <v>3400003736</v>
          </cell>
          <cell r="B1276">
            <v>61115</v>
          </cell>
          <cell r="C1276">
            <v>1</v>
          </cell>
        </row>
        <row r="1277">
          <cell r="A1277">
            <v>3400003737</v>
          </cell>
          <cell r="B1277">
            <v>61115</v>
          </cell>
          <cell r="C1277">
            <v>1</v>
          </cell>
        </row>
        <row r="1278">
          <cell r="A1278">
            <v>3400003738</v>
          </cell>
          <cell r="B1278">
            <v>61101</v>
          </cell>
          <cell r="C1278">
            <v>1</v>
          </cell>
        </row>
        <row r="1279">
          <cell r="A1279">
            <v>3400003739</v>
          </cell>
          <cell r="B1279">
            <v>61200</v>
          </cell>
          <cell r="C1279">
            <v>1</v>
          </cell>
        </row>
        <row r="1280">
          <cell r="A1280">
            <v>3400003740</v>
          </cell>
          <cell r="B1280">
            <v>61200</v>
          </cell>
          <cell r="C1280">
            <v>1</v>
          </cell>
        </row>
        <row r="1281">
          <cell r="A1281">
            <v>3400003741</v>
          </cell>
          <cell r="B1281">
            <v>61103</v>
          </cell>
          <cell r="C1281">
            <v>1</v>
          </cell>
        </row>
        <row r="1282">
          <cell r="A1282">
            <v>3400003742</v>
          </cell>
          <cell r="B1282">
            <v>61160</v>
          </cell>
          <cell r="C1282">
            <v>1</v>
          </cell>
        </row>
        <row r="1283">
          <cell r="A1283">
            <v>3400003743</v>
          </cell>
          <cell r="B1283">
            <v>61200</v>
          </cell>
          <cell r="C1283">
            <v>1</v>
          </cell>
        </row>
        <row r="1284">
          <cell r="A1284">
            <v>3400003744</v>
          </cell>
          <cell r="B1284">
            <v>61200</v>
          </cell>
          <cell r="C1284">
            <v>1</v>
          </cell>
        </row>
        <row r="1285">
          <cell r="A1285">
            <v>3400003745</v>
          </cell>
          <cell r="B1285">
            <v>61200</v>
          </cell>
          <cell r="C1285">
            <v>1</v>
          </cell>
        </row>
        <row r="1286">
          <cell r="A1286">
            <v>3400003746</v>
          </cell>
          <cell r="B1286">
            <v>61200</v>
          </cell>
          <cell r="C1286">
            <v>1</v>
          </cell>
        </row>
        <row r="1287">
          <cell r="A1287">
            <v>3400003747</v>
          </cell>
          <cell r="B1287">
            <v>61200</v>
          </cell>
          <cell r="C1287">
            <v>1</v>
          </cell>
        </row>
        <row r="1288">
          <cell r="A1288">
            <v>3400003748</v>
          </cell>
          <cell r="B1288">
            <v>61200</v>
          </cell>
          <cell r="C1288">
            <v>1</v>
          </cell>
        </row>
        <row r="1289">
          <cell r="A1289">
            <v>3400003749</v>
          </cell>
          <cell r="B1289">
            <v>61200</v>
          </cell>
          <cell r="C1289">
            <v>1</v>
          </cell>
        </row>
        <row r="1290">
          <cell r="A1290">
            <v>3400003750</v>
          </cell>
          <cell r="B1290">
            <v>61107</v>
          </cell>
          <cell r="C1290">
            <v>1</v>
          </cell>
        </row>
        <row r="1291">
          <cell r="A1291">
            <v>3400003751</v>
          </cell>
          <cell r="B1291">
            <v>61160</v>
          </cell>
          <cell r="C1291">
            <v>1</v>
          </cell>
        </row>
        <row r="1292">
          <cell r="A1292">
            <v>3400003752</v>
          </cell>
          <cell r="B1292">
            <v>61116</v>
          </cell>
          <cell r="C1292">
            <v>1</v>
          </cell>
        </row>
        <row r="1293">
          <cell r="A1293">
            <v>3400003753</v>
          </cell>
          <cell r="B1293">
            <v>61116</v>
          </cell>
          <cell r="C1293">
            <v>1</v>
          </cell>
        </row>
        <row r="1294">
          <cell r="A1294">
            <v>3400003754</v>
          </cell>
          <cell r="B1294">
            <v>61116</v>
          </cell>
          <cell r="C1294">
            <v>1</v>
          </cell>
        </row>
        <row r="1295">
          <cell r="A1295">
            <v>3400003755</v>
          </cell>
          <cell r="B1295">
            <v>61116</v>
          </cell>
          <cell r="C1295">
            <v>1</v>
          </cell>
        </row>
        <row r="1296">
          <cell r="A1296">
            <v>3400003756</v>
          </cell>
          <cell r="B1296">
            <v>61116</v>
          </cell>
          <cell r="C1296">
            <v>1</v>
          </cell>
        </row>
        <row r="1297">
          <cell r="A1297">
            <v>3400003757</v>
          </cell>
          <cell r="B1297">
            <v>61116</v>
          </cell>
          <cell r="C1297">
            <v>1</v>
          </cell>
        </row>
        <row r="1298">
          <cell r="A1298">
            <v>3400003758</v>
          </cell>
          <cell r="B1298">
            <v>61116</v>
          </cell>
          <cell r="C1298">
            <v>1</v>
          </cell>
        </row>
        <row r="1299">
          <cell r="A1299">
            <v>3400003759</v>
          </cell>
          <cell r="B1299">
            <v>61116</v>
          </cell>
          <cell r="C1299">
            <v>1</v>
          </cell>
        </row>
        <row r="1300">
          <cell r="A1300">
            <v>3400003760</v>
          </cell>
          <cell r="B1300">
            <v>61116</v>
          </cell>
          <cell r="C1300">
            <v>1</v>
          </cell>
        </row>
        <row r="1301">
          <cell r="A1301">
            <v>3400003761</v>
          </cell>
          <cell r="B1301">
            <v>61116</v>
          </cell>
          <cell r="C1301">
            <v>1</v>
          </cell>
        </row>
        <row r="1302">
          <cell r="A1302">
            <v>3400003762</v>
          </cell>
          <cell r="B1302">
            <v>61155</v>
          </cell>
          <cell r="C1302">
            <v>1</v>
          </cell>
        </row>
        <row r="1303">
          <cell r="A1303">
            <v>3400003763</v>
          </cell>
          <cell r="B1303">
            <v>61155</v>
          </cell>
          <cell r="C1303">
            <v>1</v>
          </cell>
        </row>
        <row r="1304">
          <cell r="A1304">
            <v>3400003764</v>
          </cell>
          <cell r="B1304">
            <v>61155</v>
          </cell>
          <cell r="C1304">
            <v>1</v>
          </cell>
        </row>
        <row r="1305">
          <cell r="A1305">
            <v>3400003765</v>
          </cell>
          <cell r="B1305">
            <v>61155</v>
          </cell>
          <cell r="C1305">
            <v>1</v>
          </cell>
        </row>
        <row r="1306">
          <cell r="A1306">
            <v>3400003766</v>
          </cell>
          <cell r="B1306">
            <v>61155</v>
          </cell>
          <cell r="C1306">
            <v>1</v>
          </cell>
        </row>
        <row r="1307">
          <cell r="A1307">
            <v>3400003767</v>
          </cell>
          <cell r="B1307">
            <v>61203</v>
          </cell>
          <cell r="C1307">
            <v>1</v>
          </cell>
        </row>
        <row r="1308">
          <cell r="A1308">
            <v>3400003768</v>
          </cell>
          <cell r="B1308">
            <v>61203</v>
          </cell>
          <cell r="C1308">
            <v>1</v>
          </cell>
        </row>
        <row r="1309">
          <cell r="A1309">
            <v>3400003769</v>
          </cell>
          <cell r="B1309">
            <v>61102</v>
          </cell>
          <cell r="C1309">
            <v>1</v>
          </cell>
        </row>
        <row r="1310">
          <cell r="A1310">
            <v>3400003770</v>
          </cell>
          <cell r="B1310">
            <v>61115</v>
          </cell>
          <cell r="C1310">
            <v>1</v>
          </cell>
        </row>
        <row r="1311">
          <cell r="A1311">
            <v>3400003771</v>
          </cell>
          <cell r="B1311">
            <v>61102</v>
          </cell>
          <cell r="C1311">
            <v>1</v>
          </cell>
        </row>
        <row r="1312">
          <cell r="A1312">
            <v>3400003772</v>
          </cell>
          <cell r="B1312">
            <v>61157</v>
          </cell>
          <cell r="C1312">
            <v>1</v>
          </cell>
        </row>
        <row r="1313">
          <cell r="A1313">
            <v>3400003773</v>
          </cell>
          <cell r="B1313">
            <v>61157</v>
          </cell>
          <cell r="C1313">
            <v>1</v>
          </cell>
        </row>
        <row r="1314">
          <cell r="A1314">
            <v>3400003774</v>
          </cell>
          <cell r="B1314">
            <v>61158</v>
          </cell>
          <cell r="C1314">
            <v>1</v>
          </cell>
        </row>
        <row r="1315">
          <cell r="A1315">
            <v>3400003775</v>
          </cell>
          <cell r="B1315">
            <v>61160</v>
          </cell>
          <cell r="C1315">
            <v>1</v>
          </cell>
        </row>
        <row r="1316">
          <cell r="A1316">
            <v>3400003776</v>
          </cell>
          <cell r="B1316">
            <v>61151</v>
          </cell>
          <cell r="C1316">
            <v>1</v>
          </cell>
        </row>
        <row r="1317">
          <cell r="A1317">
            <v>3400003777</v>
          </cell>
          <cell r="B1317">
            <v>61119</v>
          </cell>
          <cell r="C1317">
            <v>1</v>
          </cell>
        </row>
        <row r="1318">
          <cell r="A1318">
            <v>3400003778</v>
          </cell>
          <cell r="B1318">
            <v>61158</v>
          </cell>
          <cell r="C1318">
            <v>1</v>
          </cell>
        </row>
        <row r="1319">
          <cell r="A1319">
            <v>3400003779</v>
          </cell>
          <cell r="B1319">
            <v>61158</v>
          </cell>
          <cell r="C1319">
            <v>1</v>
          </cell>
        </row>
        <row r="1320">
          <cell r="A1320">
            <v>3400003780</v>
          </cell>
          <cell r="B1320">
            <v>61102</v>
          </cell>
          <cell r="C1320">
            <v>1</v>
          </cell>
        </row>
        <row r="1321">
          <cell r="A1321">
            <v>3400003781</v>
          </cell>
          <cell r="B1321">
            <v>61115</v>
          </cell>
          <cell r="C1321">
            <v>1</v>
          </cell>
        </row>
        <row r="1322">
          <cell r="A1322">
            <v>3400003782</v>
          </cell>
          <cell r="B1322">
            <v>61157</v>
          </cell>
          <cell r="C1322">
            <v>1</v>
          </cell>
        </row>
        <row r="1323">
          <cell r="A1323">
            <v>3400003783</v>
          </cell>
          <cell r="B1323">
            <v>61108</v>
          </cell>
          <cell r="C1323">
            <v>1</v>
          </cell>
        </row>
        <row r="1324">
          <cell r="A1324">
            <v>3400003784</v>
          </cell>
          <cell r="B1324">
            <v>61200</v>
          </cell>
          <cell r="C1324">
            <v>1</v>
          </cell>
        </row>
        <row r="1325">
          <cell r="A1325">
            <v>3400003785</v>
          </cell>
          <cell r="B1325">
            <v>61119</v>
          </cell>
          <cell r="C1325">
            <v>1</v>
          </cell>
        </row>
        <row r="1326">
          <cell r="A1326">
            <v>3400003786</v>
          </cell>
          <cell r="B1326">
            <v>61119</v>
          </cell>
          <cell r="C1326">
            <v>1</v>
          </cell>
        </row>
        <row r="1327">
          <cell r="A1327">
            <v>3400003787</v>
          </cell>
          <cell r="B1327">
            <v>61119</v>
          </cell>
          <cell r="C1327">
            <v>1</v>
          </cell>
        </row>
        <row r="1328">
          <cell r="A1328">
            <v>3400003788</v>
          </cell>
          <cell r="B1328">
            <v>61200</v>
          </cell>
          <cell r="C1328">
            <v>1</v>
          </cell>
        </row>
        <row r="1329">
          <cell r="A1329">
            <v>3400003789</v>
          </cell>
          <cell r="B1329">
            <v>61200</v>
          </cell>
          <cell r="C1329">
            <v>1</v>
          </cell>
        </row>
        <row r="1330">
          <cell r="A1330">
            <v>3400003790</v>
          </cell>
          <cell r="B1330">
            <v>61200</v>
          </cell>
          <cell r="C1330">
            <v>1</v>
          </cell>
        </row>
        <row r="1331">
          <cell r="A1331">
            <v>3400003791</v>
          </cell>
          <cell r="B1331">
            <v>61207</v>
          </cell>
          <cell r="C1331">
            <v>1</v>
          </cell>
        </row>
        <row r="1332">
          <cell r="A1332">
            <v>3400003792</v>
          </cell>
          <cell r="B1332">
            <v>61207</v>
          </cell>
          <cell r="C1332">
            <v>1</v>
          </cell>
        </row>
        <row r="1333">
          <cell r="A1333">
            <v>3400003793</v>
          </cell>
          <cell r="B1333">
            <v>61207</v>
          </cell>
          <cell r="C1333">
            <v>1</v>
          </cell>
        </row>
        <row r="1334">
          <cell r="A1334">
            <v>3400003794</v>
          </cell>
          <cell r="B1334">
            <v>61115</v>
          </cell>
          <cell r="C1334">
            <v>12</v>
          </cell>
        </row>
        <row r="1335">
          <cell r="A1335">
            <v>3400003795</v>
          </cell>
          <cell r="B1335">
            <v>61207</v>
          </cell>
          <cell r="C1335">
            <v>1</v>
          </cell>
        </row>
        <row r="1336">
          <cell r="A1336">
            <v>3400003796</v>
          </cell>
          <cell r="B1336">
            <v>61207</v>
          </cell>
          <cell r="C1336">
            <v>1</v>
          </cell>
        </row>
        <row r="1337">
          <cell r="A1337">
            <v>3400003797</v>
          </cell>
          <cell r="B1337">
            <v>61207</v>
          </cell>
          <cell r="C1337">
            <v>1</v>
          </cell>
        </row>
        <row r="1338">
          <cell r="A1338">
            <v>3400003798</v>
          </cell>
          <cell r="B1338">
            <v>61100</v>
          </cell>
          <cell r="C1338">
            <v>1</v>
          </cell>
        </row>
        <row r="1339">
          <cell r="A1339">
            <v>3400003799</v>
          </cell>
          <cell r="B1339">
            <v>61159</v>
          </cell>
          <cell r="C1339">
            <v>1</v>
          </cell>
        </row>
        <row r="1340">
          <cell r="A1340">
            <v>3400003800</v>
          </cell>
          <cell r="B1340">
            <v>61159</v>
          </cell>
          <cell r="C1340">
            <v>1</v>
          </cell>
        </row>
        <row r="1341">
          <cell r="A1341">
            <v>3400003801</v>
          </cell>
          <cell r="B1341">
            <v>61203</v>
          </cell>
          <cell r="C1341">
            <v>1</v>
          </cell>
        </row>
        <row r="1342">
          <cell r="A1342">
            <v>3400003802</v>
          </cell>
          <cell r="B1342">
            <v>61155</v>
          </cell>
          <cell r="C1342">
            <v>1</v>
          </cell>
        </row>
        <row r="1343">
          <cell r="A1343">
            <v>3400003803</v>
          </cell>
          <cell r="B1343">
            <v>61155</v>
          </cell>
          <cell r="C1343">
            <v>1</v>
          </cell>
        </row>
        <row r="1344">
          <cell r="A1344">
            <v>3400003804</v>
          </cell>
          <cell r="B1344">
            <v>61155</v>
          </cell>
          <cell r="C1344">
            <v>1</v>
          </cell>
        </row>
        <row r="1345">
          <cell r="A1345">
            <v>3400003805</v>
          </cell>
          <cell r="B1345">
            <v>61155</v>
          </cell>
          <cell r="C1345">
            <v>1</v>
          </cell>
        </row>
        <row r="1346">
          <cell r="A1346">
            <v>3400003806</v>
          </cell>
          <cell r="B1346">
            <v>61102</v>
          </cell>
          <cell r="C1346">
            <v>1</v>
          </cell>
        </row>
        <row r="1347">
          <cell r="A1347">
            <v>3400003807</v>
          </cell>
          <cell r="B1347">
            <v>61161</v>
          </cell>
          <cell r="C1347">
            <v>1</v>
          </cell>
        </row>
        <row r="1348">
          <cell r="A1348">
            <v>3400003808</v>
          </cell>
          <cell r="B1348">
            <v>61161</v>
          </cell>
          <cell r="C1348">
            <v>1</v>
          </cell>
        </row>
        <row r="1349">
          <cell r="A1349">
            <v>3400003809</v>
          </cell>
          <cell r="B1349">
            <v>61115</v>
          </cell>
          <cell r="C1349">
            <v>1</v>
          </cell>
        </row>
        <row r="1350">
          <cell r="A1350">
            <v>3400003810</v>
          </cell>
          <cell r="B1350">
            <v>61153</v>
          </cell>
          <cell r="C1350">
            <v>1</v>
          </cell>
        </row>
        <row r="1351">
          <cell r="A1351">
            <v>3400003811</v>
          </cell>
          <cell r="B1351">
            <v>61108</v>
          </cell>
          <cell r="C1351">
            <v>1</v>
          </cell>
        </row>
        <row r="1352">
          <cell r="A1352">
            <v>3400003812</v>
          </cell>
          <cell r="B1352">
            <v>61119</v>
          </cell>
          <cell r="C1352">
            <v>1</v>
          </cell>
        </row>
        <row r="1353">
          <cell r="A1353">
            <v>3400003813</v>
          </cell>
          <cell r="B1353">
            <v>61119</v>
          </cell>
          <cell r="C1353">
            <v>1</v>
          </cell>
        </row>
        <row r="1354">
          <cell r="A1354">
            <v>3400003814</v>
          </cell>
          <cell r="B1354">
            <v>61161</v>
          </cell>
          <cell r="C1354">
            <v>1</v>
          </cell>
        </row>
        <row r="1355">
          <cell r="A1355">
            <v>3400003815</v>
          </cell>
          <cell r="B1355">
            <v>61112</v>
          </cell>
          <cell r="C1355">
            <v>1</v>
          </cell>
        </row>
        <row r="1356">
          <cell r="A1356">
            <v>3400003816</v>
          </cell>
          <cell r="B1356">
            <v>61160</v>
          </cell>
          <cell r="C1356">
            <v>1</v>
          </cell>
        </row>
        <row r="1357">
          <cell r="A1357">
            <v>3400003817</v>
          </cell>
          <cell r="B1357">
            <v>61150</v>
          </cell>
          <cell r="C1357">
            <v>1</v>
          </cell>
        </row>
        <row r="1358">
          <cell r="A1358">
            <v>3400003818</v>
          </cell>
          <cell r="B1358">
            <v>61150</v>
          </cell>
          <cell r="C1358">
            <v>1</v>
          </cell>
        </row>
        <row r="1359">
          <cell r="A1359">
            <v>3400003819</v>
          </cell>
          <cell r="B1359">
            <v>61159</v>
          </cell>
          <cell r="C1359">
            <v>1</v>
          </cell>
        </row>
        <row r="1360">
          <cell r="A1360">
            <v>3400003820</v>
          </cell>
          <cell r="B1360">
            <v>61102</v>
          </cell>
          <cell r="C1360">
            <v>1</v>
          </cell>
        </row>
        <row r="1361">
          <cell r="A1361">
            <v>3400003821</v>
          </cell>
          <cell r="B1361">
            <v>61102</v>
          </cell>
          <cell r="C1361">
            <v>1</v>
          </cell>
        </row>
        <row r="1362">
          <cell r="A1362">
            <v>3400003822</v>
          </cell>
          <cell r="B1362">
            <v>61155</v>
          </cell>
          <cell r="C1362">
            <v>1</v>
          </cell>
        </row>
        <row r="1363">
          <cell r="A1363">
            <v>3400003823</v>
          </cell>
          <cell r="B1363">
            <v>61159</v>
          </cell>
          <cell r="C1363">
            <v>1</v>
          </cell>
        </row>
        <row r="1364">
          <cell r="A1364">
            <v>3400003824</v>
          </cell>
          <cell r="B1364">
            <v>61201</v>
          </cell>
          <cell r="C1364">
            <v>1</v>
          </cell>
        </row>
        <row r="1365">
          <cell r="A1365">
            <v>3400003825</v>
          </cell>
          <cell r="B1365">
            <v>61158</v>
          </cell>
          <cell r="C1365">
            <v>1</v>
          </cell>
        </row>
        <row r="1366">
          <cell r="A1366">
            <v>3400003826</v>
          </cell>
          <cell r="B1366">
            <v>61155</v>
          </cell>
          <cell r="C1366">
            <v>1</v>
          </cell>
        </row>
        <row r="1367">
          <cell r="A1367">
            <v>3400003827</v>
          </cell>
          <cell r="B1367">
            <v>61155</v>
          </cell>
          <cell r="C1367">
            <v>1</v>
          </cell>
        </row>
        <row r="1368">
          <cell r="A1368">
            <v>3400003828</v>
          </cell>
          <cell r="B1368">
            <v>61155</v>
          </cell>
          <cell r="C1368">
            <v>1</v>
          </cell>
        </row>
        <row r="1369">
          <cell r="A1369">
            <v>3400003829</v>
          </cell>
          <cell r="B1369">
            <v>61112</v>
          </cell>
          <cell r="C1369">
            <v>1</v>
          </cell>
        </row>
        <row r="1370">
          <cell r="A1370">
            <v>3400003830</v>
          </cell>
          <cell r="B1370">
            <v>61112</v>
          </cell>
          <cell r="C1370">
            <v>1</v>
          </cell>
        </row>
        <row r="1371">
          <cell r="A1371">
            <v>3400003831</v>
          </cell>
          <cell r="B1371">
            <v>61112</v>
          </cell>
          <cell r="C1371">
            <v>1</v>
          </cell>
        </row>
        <row r="1372">
          <cell r="A1372">
            <v>3400003832</v>
          </cell>
          <cell r="B1372">
            <v>61112</v>
          </cell>
          <cell r="C1372">
            <v>1</v>
          </cell>
        </row>
        <row r="1373">
          <cell r="A1373">
            <v>3400003833</v>
          </cell>
          <cell r="B1373">
            <v>61102</v>
          </cell>
          <cell r="C1373">
            <v>1</v>
          </cell>
        </row>
        <row r="1374">
          <cell r="A1374">
            <v>3400003834</v>
          </cell>
          <cell r="B1374">
            <v>61107</v>
          </cell>
          <cell r="C1374">
            <v>1</v>
          </cell>
        </row>
        <row r="1375">
          <cell r="A1375">
            <v>3400003835</v>
          </cell>
          <cell r="B1375">
            <v>61200</v>
          </cell>
          <cell r="C1375">
            <v>1</v>
          </cell>
        </row>
        <row r="1376">
          <cell r="A1376">
            <v>3400003836</v>
          </cell>
          <cell r="B1376">
            <v>61116</v>
          </cell>
          <cell r="C1376">
            <v>1</v>
          </cell>
        </row>
        <row r="1377">
          <cell r="A1377">
            <v>3400003837</v>
          </cell>
          <cell r="B1377">
            <v>61116</v>
          </cell>
          <cell r="C1377">
            <v>1</v>
          </cell>
        </row>
        <row r="1378">
          <cell r="A1378">
            <v>3400003838</v>
          </cell>
          <cell r="B1378">
            <v>61116</v>
          </cell>
          <cell r="C1378">
            <v>1</v>
          </cell>
        </row>
        <row r="1379">
          <cell r="A1379">
            <v>3400003839</v>
          </cell>
          <cell r="B1379">
            <v>61116</v>
          </cell>
          <cell r="C1379">
            <v>1</v>
          </cell>
        </row>
        <row r="1380">
          <cell r="A1380">
            <v>3400003840</v>
          </cell>
          <cell r="B1380">
            <v>61116</v>
          </cell>
          <cell r="C1380">
            <v>1</v>
          </cell>
        </row>
        <row r="1381">
          <cell r="A1381">
            <v>3400003841</v>
          </cell>
          <cell r="B1381">
            <v>61116</v>
          </cell>
          <cell r="C1381">
            <v>1</v>
          </cell>
        </row>
        <row r="1382">
          <cell r="A1382">
            <v>3400003842</v>
          </cell>
          <cell r="B1382">
            <v>61116</v>
          </cell>
          <cell r="C1382">
            <v>1</v>
          </cell>
        </row>
        <row r="1383">
          <cell r="A1383">
            <v>3400003843</v>
          </cell>
          <cell r="B1383">
            <v>61116</v>
          </cell>
          <cell r="C1383">
            <v>1</v>
          </cell>
        </row>
        <row r="1384">
          <cell r="A1384">
            <v>3400003844</v>
          </cell>
          <cell r="B1384">
            <v>61116</v>
          </cell>
          <cell r="C1384">
            <v>1</v>
          </cell>
        </row>
        <row r="1385">
          <cell r="A1385">
            <v>3400003845</v>
          </cell>
          <cell r="B1385">
            <v>61116</v>
          </cell>
          <cell r="C1385">
            <v>1</v>
          </cell>
        </row>
        <row r="1386">
          <cell r="A1386">
            <v>3400003846</v>
          </cell>
          <cell r="B1386">
            <v>61116</v>
          </cell>
          <cell r="C1386">
            <v>1</v>
          </cell>
        </row>
        <row r="1387">
          <cell r="A1387">
            <v>3400003847</v>
          </cell>
          <cell r="B1387">
            <v>61116</v>
          </cell>
          <cell r="C1387">
            <v>1</v>
          </cell>
        </row>
        <row r="1388">
          <cell r="A1388">
            <v>3400003848</v>
          </cell>
          <cell r="B1388">
            <v>61116</v>
          </cell>
          <cell r="C1388">
            <v>1</v>
          </cell>
        </row>
        <row r="1389">
          <cell r="A1389">
            <v>3400003849</v>
          </cell>
          <cell r="B1389">
            <v>61116</v>
          </cell>
          <cell r="C1389">
            <v>1</v>
          </cell>
        </row>
        <row r="1390">
          <cell r="A1390">
            <v>3400003850</v>
          </cell>
          <cell r="B1390">
            <v>61116</v>
          </cell>
          <cell r="C1390">
            <v>1</v>
          </cell>
        </row>
        <row r="1391">
          <cell r="A1391">
            <v>3400003851</v>
          </cell>
          <cell r="B1391">
            <v>61116</v>
          </cell>
          <cell r="C1391">
            <v>1</v>
          </cell>
        </row>
        <row r="1392">
          <cell r="A1392">
            <v>3400003852</v>
          </cell>
          <cell r="B1392">
            <v>61116</v>
          </cell>
          <cell r="C1392">
            <v>1</v>
          </cell>
        </row>
        <row r="1393">
          <cell r="A1393">
            <v>3400003853</v>
          </cell>
          <cell r="B1393">
            <v>61116</v>
          </cell>
          <cell r="C1393">
            <v>1</v>
          </cell>
        </row>
        <row r="1394">
          <cell r="A1394">
            <v>3400003854</v>
          </cell>
          <cell r="B1394">
            <v>61116</v>
          </cell>
          <cell r="C1394">
            <v>1</v>
          </cell>
        </row>
        <row r="1395">
          <cell r="A1395">
            <v>3400003855</v>
          </cell>
          <cell r="B1395">
            <v>61116</v>
          </cell>
          <cell r="C1395">
            <v>1</v>
          </cell>
        </row>
        <row r="1396">
          <cell r="A1396">
            <v>3400003856</v>
          </cell>
          <cell r="B1396">
            <v>61116</v>
          </cell>
          <cell r="C1396">
            <v>1</v>
          </cell>
        </row>
        <row r="1397">
          <cell r="A1397">
            <v>3400003857</v>
          </cell>
          <cell r="B1397">
            <v>61116</v>
          </cell>
          <cell r="C1397">
            <v>1</v>
          </cell>
        </row>
        <row r="1398">
          <cell r="A1398">
            <v>3400003858</v>
          </cell>
          <cell r="B1398">
            <v>61116</v>
          </cell>
          <cell r="C1398">
            <v>1</v>
          </cell>
        </row>
        <row r="1399">
          <cell r="A1399">
            <v>3400003859</v>
          </cell>
          <cell r="B1399">
            <v>61116</v>
          </cell>
          <cell r="C1399">
            <v>1</v>
          </cell>
        </row>
        <row r="1400">
          <cell r="A1400">
            <v>3400003860</v>
          </cell>
          <cell r="B1400">
            <v>61116</v>
          </cell>
          <cell r="C1400">
            <v>1</v>
          </cell>
        </row>
        <row r="1401">
          <cell r="A1401">
            <v>3400003861</v>
          </cell>
          <cell r="B1401">
            <v>61116</v>
          </cell>
          <cell r="C1401">
            <v>1</v>
          </cell>
        </row>
        <row r="1402">
          <cell r="A1402">
            <v>3400003862</v>
          </cell>
          <cell r="B1402">
            <v>61116</v>
          </cell>
          <cell r="C1402">
            <v>1</v>
          </cell>
        </row>
        <row r="1403">
          <cell r="A1403">
            <v>3400003863</v>
          </cell>
          <cell r="B1403">
            <v>61116</v>
          </cell>
          <cell r="C1403">
            <v>1</v>
          </cell>
        </row>
        <row r="1404">
          <cell r="A1404">
            <v>3400003864</v>
          </cell>
          <cell r="B1404">
            <v>61116</v>
          </cell>
          <cell r="C1404">
            <v>1</v>
          </cell>
        </row>
        <row r="1405">
          <cell r="A1405">
            <v>3400003865</v>
          </cell>
          <cell r="B1405">
            <v>61116</v>
          </cell>
          <cell r="C1405">
            <v>1</v>
          </cell>
        </row>
        <row r="1406">
          <cell r="A1406">
            <v>3400003866</v>
          </cell>
          <cell r="B1406">
            <v>61116</v>
          </cell>
          <cell r="C1406">
            <v>1</v>
          </cell>
        </row>
        <row r="1407">
          <cell r="A1407">
            <v>3400003867</v>
          </cell>
          <cell r="B1407">
            <v>61116</v>
          </cell>
          <cell r="C1407">
            <v>1</v>
          </cell>
        </row>
        <row r="1408">
          <cell r="A1408">
            <v>3400003868</v>
          </cell>
          <cell r="B1408">
            <v>61116</v>
          </cell>
          <cell r="C1408">
            <v>1</v>
          </cell>
        </row>
        <row r="1409">
          <cell r="A1409">
            <v>3400003869</v>
          </cell>
          <cell r="B1409">
            <v>61116</v>
          </cell>
          <cell r="C1409">
            <v>1</v>
          </cell>
        </row>
        <row r="1410">
          <cell r="A1410">
            <v>3400003870</v>
          </cell>
          <cell r="B1410">
            <v>61116</v>
          </cell>
          <cell r="C1410">
            <v>1</v>
          </cell>
        </row>
        <row r="1411">
          <cell r="A1411">
            <v>3400003871</v>
          </cell>
          <cell r="B1411">
            <v>61116</v>
          </cell>
          <cell r="C1411">
            <v>1</v>
          </cell>
        </row>
        <row r="1412">
          <cell r="A1412">
            <v>3400003872</v>
          </cell>
          <cell r="B1412">
            <v>61116</v>
          </cell>
          <cell r="C1412">
            <v>1</v>
          </cell>
        </row>
        <row r="1413">
          <cell r="A1413">
            <v>3400003873</v>
          </cell>
          <cell r="B1413">
            <v>61116</v>
          </cell>
          <cell r="C1413">
            <v>1</v>
          </cell>
        </row>
        <row r="1414">
          <cell r="A1414">
            <v>3400003874</v>
          </cell>
          <cell r="B1414">
            <v>61116</v>
          </cell>
          <cell r="C1414">
            <v>1</v>
          </cell>
        </row>
        <row r="1415">
          <cell r="A1415">
            <v>3400003875</v>
          </cell>
          <cell r="B1415">
            <v>61116</v>
          </cell>
          <cell r="C1415">
            <v>1</v>
          </cell>
        </row>
        <row r="1416">
          <cell r="A1416">
            <v>3400003876</v>
          </cell>
          <cell r="B1416">
            <v>61116</v>
          </cell>
          <cell r="C1416">
            <v>1</v>
          </cell>
        </row>
        <row r="1417">
          <cell r="A1417">
            <v>3400003877</v>
          </cell>
          <cell r="B1417">
            <v>61116</v>
          </cell>
          <cell r="C1417">
            <v>1</v>
          </cell>
        </row>
        <row r="1418">
          <cell r="A1418">
            <v>3400003878</v>
          </cell>
          <cell r="B1418">
            <v>61116</v>
          </cell>
          <cell r="C1418">
            <v>1</v>
          </cell>
        </row>
        <row r="1419">
          <cell r="A1419">
            <v>3400003879</v>
          </cell>
          <cell r="B1419">
            <v>61116</v>
          </cell>
          <cell r="C1419">
            <v>1</v>
          </cell>
        </row>
        <row r="1420">
          <cell r="A1420">
            <v>3400003880</v>
          </cell>
          <cell r="B1420">
            <v>61116</v>
          </cell>
          <cell r="C1420">
            <v>1</v>
          </cell>
        </row>
        <row r="1421">
          <cell r="A1421">
            <v>3400003881</v>
          </cell>
          <cell r="B1421">
            <v>61116</v>
          </cell>
          <cell r="C1421">
            <v>1</v>
          </cell>
        </row>
        <row r="1422">
          <cell r="A1422">
            <v>3400003882</v>
          </cell>
          <cell r="B1422">
            <v>61116</v>
          </cell>
          <cell r="C1422">
            <v>1</v>
          </cell>
        </row>
        <row r="1423">
          <cell r="A1423">
            <v>3400003883</v>
          </cell>
          <cell r="B1423">
            <v>61116</v>
          </cell>
          <cell r="C1423">
            <v>1</v>
          </cell>
        </row>
        <row r="1424">
          <cell r="A1424">
            <v>3400003884</v>
          </cell>
          <cell r="B1424">
            <v>61116</v>
          </cell>
          <cell r="C1424">
            <v>1</v>
          </cell>
        </row>
        <row r="1425">
          <cell r="A1425">
            <v>3400003885</v>
          </cell>
          <cell r="B1425">
            <v>61116</v>
          </cell>
          <cell r="C1425">
            <v>1</v>
          </cell>
        </row>
        <row r="1426">
          <cell r="A1426">
            <v>3400003886</v>
          </cell>
          <cell r="B1426">
            <v>61116</v>
          </cell>
          <cell r="C1426">
            <v>1</v>
          </cell>
        </row>
        <row r="1427">
          <cell r="A1427">
            <v>3400003887</v>
          </cell>
          <cell r="B1427">
            <v>61116</v>
          </cell>
          <cell r="C1427">
            <v>1</v>
          </cell>
        </row>
        <row r="1428">
          <cell r="A1428">
            <v>3400003888</v>
          </cell>
          <cell r="B1428">
            <v>61116</v>
          </cell>
          <cell r="C1428">
            <v>1</v>
          </cell>
        </row>
        <row r="1429">
          <cell r="A1429">
            <v>3400003889</v>
          </cell>
          <cell r="B1429">
            <v>61116</v>
          </cell>
          <cell r="C1429">
            <v>1</v>
          </cell>
        </row>
        <row r="1430">
          <cell r="A1430">
            <v>3400003890</v>
          </cell>
          <cell r="B1430">
            <v>61116</v>
          </cell>
          <cell r="C1430">
            <v>1</v>
          </cell>
        </row>
        <row r="1431">
          <cell r="A1431">
            <v>3400003891</v>
          </cell>
          <cell r="B1431">
            <v>61116</v>
          </cell>
          <cell r="C1431">
            <v>1</v>
          </cell>
        </row>
        <row r="1432">
          <cell r="A1432">
            <v>3400003892</v>
          </cell>
          <cell r="B1432">
            <v>61116</v>
          </cell>
          <cell r="C1432">
            <v>1</v>
          </cell>
        </row>
        <row r="1433">
          <cell r="A1433">
            <v>3400003893</v>
          </cell>
          <cell r="B1433">
            <v>61116</v>
          </cell>
          <cell r="C1433">
            <v>1</v>
          </cell>
        </row>
        <row r="1434">
          <cell r="A1434">
            <v>3400003894</v>
          </cell>
          <cell r="B1434">
            <v>61116</v>
          </cell>
          <cell r="C1434">
            <v>1</v>
          </cell>
        </row>
        <row r="1435">
          <cell r="A1435">
            <v>3400003895</v>
          </cell>
          <cell r="B1435">
            <v>61116</v>
          </cell>
          <cell r="C1435">
            <v>1</v>
          </cell>
        </row>
        <row r="1436">
          <cell r="A1436">
            <v>3400003896</v>
          </cell>
          <cell r="B1436">
            <v>61116</v>
          </cell>
          <cell r="C1436">
            <v>1</v>
          </cell>
        </row>
        <row r="1437">
          <cell r="A1437">
            <v>3400003897</v>
          </cell>
          <cell r="B1437">
            <v>61116</v>
          </cell>
          <cell r="C1437">
            <v>1</v>
          </cell>
        </row>
        <row r="1438">
          <cell r="A1438">
            <v>3400003898</v>
          </cell>
          <cell r="B1438">
            <v>61116</v>
          </cell>
          <cell r="C1438">
            <v>1</v>
          </cell>
        </row>
        <row r="1439">
          <cell r="A1439">
            <v>3400003899</v>
          </cell>
          <cell r="B1439">
            <v>61116</v>
          </cell>
          <cell r="C1439">
            <v>1</v>
          </cell>
        </row>
        <row r="1440">
          <cell r="A1440">
            <v>3400003900</v>
          </cell>
          <cell r="B1440">
            <v>61116</v>
          </cell>
          <cell r="C1440">
            <v>1</v>
          </cell>
        </row>
        <row r="1441">
          <cell r="A1441">
            <v>3400003901</v>
          </cell>
          <cell r="B1441">
            <v>61116</v>
          </cell>
          <cell r="C1441">
            <v>1</v>
          </cell>
        </row>
        <row r="1442">
          <cell r="A1442">
            <v>3400003902</v>
          </cell>
          <cell r="B1442">
            <v>61116</v>
          </cell>
          <cell r="C1442">
            <v>1</v>
          </cell>
        </row>
        <row r="1443">
          <cell r="A1443">
            <v>3400003903</v>
          </cell>
          <cell r="B1443">
            <v>61116</v>
          </cell>
          <cell r="C1443">
            <v>1</v>
          </cell>
        </row>
        <row r="1444">
          <cell r="A1444">
            <v>3400003904</v>
          </cell>
          <cell r="B1444">
            <v>61116</v>
          </cell>
          <cell r="C1444">
            <v>1</v>
          </cell>
        </row>
        <row r="1445">
          <cell r="A1445">
            <v>3400003905</v>
          </cell>
          <cell r="B1445">
            <v>61116</v>
          </cell>
          <cell r="C1445">
            <v>1</v>
          </cell>
        </row>
        <row r="1446">
          <cell r="A1446">
            <v>3400003906</v>
          </cell>
          <cell r="B1446">
            <v>61116</v>
          </cell>
          <cell r="C1446">
            <v>1</v>
          </cell>
        </row>
        <row r="1447">
          <cell r="A1447">
            <v>3400003907</v>
          </cell>
          <cell r="B1447">
            <v>61116</v>
          </cell>
          <cell r="C1447">
            <v>4</v>
          </cell>
        </row>
        <row r="1448">
          <cell r="A1448">
            <v>3400003908</v>
          </cell>
          <cell r="B1448">
            <v>61116</v>
          </cell>
          <cell r="C1448">
            <v>1</v>
          </cell>
        </row>
        <row r="1449">
          <cell r="A1449">
            <v>3400003909</v>
          </cell>
          <cell r="B1449">
            <v>61116</v>
          </cell>
          <cell r="C1449">
            <v>1</v>
          </cell>
        </row>
        <row r="1450">
          <cell r="A1450">
            <v>3400003910</v>
          </cell>
          <cell r="B1450">
            <v>61116</v>
          </cell>
          <cell r="C1450">
            <v>1</v>
          </cell>
        </row>
        <row r="1451">
          <cell r="A1451">
            <v>3400003911</v>
          </cell>
          <cell r="B1451">
            <v>61116</v>
          </cell>
          <cell r="C1451">
            <v>1</v>
          </cell>
        </row>
        <row r="1452">
          <cell r="A1452">
            <v>3400003912</v>
          </cell>
          <cell r="B1452">
            <v>61116</v>
          </cell>
          <cell r="C1452">
            <v>1</v>
          </cell>
        </row>
        <row r="1453">
          <cell r="A1453">
            <v>3400003913</v>
          </cell>
          <cell r="B1453">
            <v>61116</v>
          </cell>
          <cell r="C1453">
            <v>1</v>
          </cell>
        </row>
        <row r="1454">
          <cell r="A1454">
            <v>3400003914</v>
          </cell>
          <cell r="B1454">
            <v>61206</v>
          </cell>
          <cell r="C1454">
            <v>1</v>
          </cell>
        </row>
        <row r="1455">
          <cell r="A1455">
            <v>3400003915</v>
          </cell>
          <cell r="B1455">
            <v>61116</v>
          </cell>
          <cell r="C1455">
            <v>1</v>
          </cell>
        </row>
        <row r="1456">
          <cell r="A1456">
            <v>3400003916</v>
          </cell>
          <cell r="B1456">
            <v>61116</v>
          </cell>
          <cell r="C1456">
            <v>1</v>
          </cell>
        </row>
        <row r="1457">
          <cell r="A1457">
            <v>3400003917</v>
          </cell>
          <cell r="B1457">
            <v>61116</v>
          </cell>
          <cell r="C1457">
            <v>1</v>
          </cell>
        </row>
        <row r="1458">
          <cell r="A1458">
            <v>3400003918</v>
          </cell>
          <cell r="B1458">
            <v>61116</v>
          </cell>
          <cell r="C1458">
            <v>1</v>
          </cell>
        </row>
        <row r="1459">
          <cell r="A1459">
            <v>3400003919</v>
          </cell>
          <cell r="B1459">
            <v>61116</v>
          </cell>
          <cell r="C1459">
            <v>1</v>
          </cell>
        </row>
        <row r="1460">
          <cell r="A1460">
            <v>3400003920</v>
          </cell>
          <cell r="B1460">
            <v>61109</v>
          </cell>
          <cell r="C1460">
            <v>1</v>
          </cell>
        </row>
        <row r="1461">
          <cell r="A1461">
            <v>3400003921</v>
          </cell>
          <cell r="B1461">
            <v>61109</v>
          </cell>
          <cell r="C1461">
            <v>1</v>
          </cell>
        </row>
        <row r="1462">
          <cell r="A1462">
            <v>3400003922</v>
          </cell>
          <cell r="B1462">
            <v>61116</v>
          </cell>
          <cell r="C1462">
            <v>1</v>
          </cell>
        </row>
        <row r="1463">
          <cell r="A1463">
            <v>3400003923</v>
          </cell>
          <cell r="B1463">
            <v>61200</v>
          </cell>
          <cell r="C1463">
            <v>1</v>
          </cell>
        </row>
        <row r="1464">
          <cell r="A1464">
            <v>3400003924</v>
          </cell>
          <cell r="B1464">
            <v>61109</v>
          </cell>
          <cell r="C1464">
            <v>1</v>
          </cell>
        </row>
        <row r="1465">
          <cell r="A1465">
            <v>3400003925</v>
          </cell>
          <cell r="B1465">
            <v>61116</v>
          </cell>
          <cell r="C1465">
            <v>1</v>
          </cell>
        </row>
        <row r="1466">
          <cell r="A1466">
            <v>3400003926</v>
          </cell>
          <cell r="B1466">
            <v>61116</v>
          </cell>
          <cell r="C1466">
            <v>1</v>
          </cell>
        </row>
        <row r="1467">
          <cell r="A1467">
            <v>3400003927</v>
          </cell>
          <cell r="B1467">
            <v>61116</v>
          </cell>
          <cell r="C1467">
            <v>1</v>
          </cell>
        </row>
        <row r="1468">
          <cell r="A1468">
            <v>3400003928</v>
          </cell>
          <cell r="B1468">
            <v>61116</v>
          </cell>
          <cell r="C1468">
            <v>1</v>
          </cell>
        </row>
        <row r="1469">
          <cell r="A1469">
            <v>3400003929</v>
          </cell>
          <cell r="B1469">
            <v>61116</v>
          </cell>
          <cell r="C1469">
            <v>1</v>
          </cell>
        </row>
        <row r="1470">
          <cell r="A1470">
            <v>3400003930</v>
          </cell>
          <cell r="B1470">
            <v>61116</v>
          </cell>
          <cell r="C1470">
            <v>1</v>
          </cell>
        </row>
        <row r="1471">
          <cell r="A1471">
            <v>3400003931</v>
          </cell>
          <cell r="B1471">
            <v>61116</v>
          </cell>
          <cell r="C1471">
            <v>1</v>
          </cell>
        </row>
        <row r="1472">
          <cell r="A1472">
            <v>3400003932</v>
          </cell>
          <cell r="B1472">
            <v>61116</v>
          </cell>
          <cell r="C1472">
            <v>1</v>
          </cell>
        </row>
        <row r="1473">
          <cell r="A1473">
            <v>3400003933</v>
          </cell>
          <cell r="B1473">
            <v>61116</v>
          </cell>
          <cell r="C1473">
            <v>1</v>
          </cell>
        </row>
        <row r="1474">
          <cell r="A1474">
            <v>3400003934</v>
          </cell>
          <cell r="B1474">
            <v>61116</v>
          </cell>
          <cell r="C1474">
            <v>1</v>
          </cell>
        </row>
        <row r="1475">
          <cell r="A1475">
            <v>3400003935</v>
          </cell>
          <cell r="B1475">
            <v>61116</v>
          </cell>
          <cell r="C1475">
            <v>1</v>
          </cell>
        </row>
        <row r="1476">
          <cell r="A1476">
            <v>3400003936</v>
          </cell>
          <cell r="B1476">
            <v>61116</v>
          </cell>
          <cell r="C1476">
            <v>1</v>
          </cell>
        </row>
        <row r="1477">
          <cell r="A1477">
            <v>3400003937</v>
          </cell>
          <cell r="B1477">
            <v>61116</v>
          </cell>
          <cell r="C1477">
            <v>1</v>
          </cell>
        </row>
        <row r="1478">
          <cell r="A1478">
            <v>3400003938</v>
          </cell>
          <cell r="B1478">
            <v>61116</v>
          </cell>
          <cell r="C1478">
            <v>1</v>
          </cell>
        </row>
        <row r="1479">
          <cell r="A1479">
            <v>3400003939</v>
          </cell>
          <cell r="B1479">
            <v>61116</v>
          </cell>
          <cell r="C1479">
            <v>1</v>
          </cell>
        </row>
        <row r="1480">
          <cell r="A1480">
            <v>3400003940</v>
          </cell>
          <cell r="B1480">
            <v>61116</v>
          </cell>
          <cell r="C1480">
            <v>1</v>
          </cell>
        </row>
        <row r="1481">
          <cell r="A1481">
            <v>3400003941</v>
          </cell>
          <cell r="B1481">
            <v>61116</v>
          </cell>
          <cell r="C1481">
            <v>1</v>
          </cell>
        </row>
        <row r="1482">
          <cell r="A1482">
            <v>3400003942</v>
          </cell>
          <cell r="B1482">
            <v>61116</v>
          </cell>
          <cell r="C1482">
            <v>1</v>
          </cell>
        </row>
        <row r="1483">
          <cell r="A1483">
            <v>3400003943</v>
          </cell>
          <cell r="B1483">
            <v>61116</v>
          </cell>
          <cell r="C1483">
            <v>1</v>
          </cell>
        </row>
        <row r="1484">
          <cell r="A1484">
            <v>3400003944</v>
          </cell>
          <cell r="B1484">
            <v>61116</v>
          </cell>
          <cell r="C1484">
            <v>1</v>
          </cell>
        </row>
        <row r="1485">
          <cell r="A1485">
            <v>3400003945</v>
          </cell>
          <cell r="B1485">
            <v>61116</v>
          </cell>
          <cell r="C1485">
            <v>1</v>
          </cell>
        </row>
        <row r="1486">
          <cell r="A1486">
            <v>3400003946</v>
          </cell>
          <cell r="B1486">
            <v>61116</v>
          </cell>
          <cell r="C1486">
            <v>1</v>
          </cell>
        </row>
        <row r="1487">
          <cell r="A1487">
            <v>3400003947</v>
          </cell>
          <cell r="B1487">
            <v>61116</v>
          </cell>
          <cell r="C1487">
            <v>1</v>
          </cell>
        </row>
        <row r="1488">
          <cell r="A1488">
            <v>3400003948</v>
          </cell>
          <cell r="B1488">
            <v>61116</v>
          </cell>
          <cell r="C1488">
            <v>1</v>
          </cell>
        </row>
        <row r="1489">
          <cell r="A1489">
            <v>3400003949</v>
          </cell>
          <cell r="B1489">
            <v>61109</v>
          </cell>
          <cell r="C1489">
            <v>1</v>
          </cell>
        </row>
        <row r="1490">
          <cell r="A1490">
            <v>3400003950</v>
          </cell>
          <cell r="B1490">
            <v>61116</v>
          </cell>
          <cell r="C1490">
            <v>1</v>
          </cell>
        </row>
        <row r="1491">
          <cell r="A1491">
            <v>3400003951</v>
          </cell>
          <cell r="B1491">
            <v>61116</v>
          </cell>
          <cell r="C1491">
            <v>1</v>
          </cell>
        </row>
        <row r="1492">
          <cell r="A1492">
            <v>3400003952</v>
          </cell>
          <cell r="B1492">
            <v>61116</v>
          </cell>
          <cell r="C1492">
            <v>1</v>
          </cell>
        </row>
        <row r="1493">
          <cell r="A1493">
            <v>3400003953</v>
          </cell>
          <cell r="B1493">
            <v>61206</v>
          </cell>
          <cell r="C1493">
            <v>1</v>
          </cell>
        </row>
        <row r="1494">
          <cell r="A1494">
            <v>3400003954</v>
          </cell>
          <cell r="B1494">
            <v>61206</v>
          </cell>
          <cell r="C1494">
            <v>1</v>
          </cell>
        </row>
        <row r="1495">
          <cell r="A1495">
            <v>3400003955</v>
          </cell>
          <cell r="B1495">
            <v>61206</v>
          </cell>
          <cell r="C1495">
            <v>1</v>
          </cell>
        </row>
        <row r="1496">
          <cell r="A1496">
            <v>3400003956</v>
          </cell>
          <cell r="B1496">
            <v>61154</v>
          </cell>
          <cell r="C1496">
            <v>1</v>
          </cell>
        </row>
        <row r="1497">
          <cell r="A1497">
            <v>3400003957</v>
          </cell>
          <cell r="B1497">
            <v>61154</v>
          </cell>
          <cell r="C1497">
            <v>1</v>
          </cell>
        </row>
        <row r="1498">
          <cell r="A1498">
            <v>3400003958</v>
          </cell>
          <cell r="B1498">
            <v>61153</v>
          </cell>
          <cell r="C1498">
            <v>1</v>
          </cell>
        </row>
        <row r="1499">
          <cell r="A1499">
            <v>3400003959</v>
          </cell>
          <cell r="B1499">
            <v>61115</v>
          </cell>
          <cell r="C1499">
            <v>1</v>
          </cell>
        </row>
        <row r="1500">
          <cell r="A1500">
            <v>3400003960</v>
          </cell>
          <cell r="B1500">
            <v>61153</v>
          </cell>
          <cell r="C1500">
            <v>1</v>
          </cell>
        </row>
        <row r="1501">
          <cell r="A1501">
            <v>3400003961</v>
          </cell>
          <cell r="B1501">
            <v>61112</v>
          </cell>
          <cell r="C1501">
            <v>1</v>
          </cell>
        </row>
        <row r="1502">
          <cell r="A1502">
            <v>3400003962</v>
          </cell>
          <cell r="B1502">
            <v>61112</v>
          </cell>
          <cell r="C1502">
            <v>1</v>
          </cell>
        </row>
        <row r="1503">
          <cell r="A1503">
            <v>3400003963</v>
          </cell>
          <cell r="B1503">
            <v>61115</v>
          </cell>
          <cell r="C1503">
            <v>1</v>
          </cell>
        </row>
        <row r="1504">
          <cell r="A1504">
            <v>3400003964</v>
          </cell>
          <cell r="B1504">
            <v>61100</v>
          </cell>
          <cell r="C1504">
            <v>1</v>
          </cell>
        </row>
        <row r="1505">
          <cell r="A1505">
            <v>3400003965</v>
          </cell>
          <cell r="B1505">
            <v>61100</v>
          </cell>
          <cell r="C1505">
            <v>1</v>
          </cell>
        </row>
        <row r="1506">
          <cell r="A1506">
            <v>3400003966</v>
          </cell>
          <cell r="B1506">
            <v>61104</v>
          </cell>
          <cell r="C1506">
            <v>1</v>
          </cell>
        </row>
        <row r="1507">
          <cell r="A1507">
            <v>3400003967</v>
          </cell>
          <cell r="B1507">
            <v>61103</v>
          </cell>
          <cell r="C1507">
            <v>1</v>
          </cell>
        </row>
        <row r="1508">
          <cell r="A1508">
            <v>3400003968</v>
          </cell>
          <cell r="B1508">
            <v>61115</v>
          </cell>
          <cell r="C1508">
            <v>1</v>
          </cell>
        </row>
        <row r="1509">
          <cell r="A1509">
            <v>3400003969</v>
          </cell>
          <cell r="B1509">
            <v>61115</v>
          </cell>
          <cell r="C1509">
            <v>1</v>
          </cell>
        </row>
        <row r="1510">
          <cell r="A1510">
            <v>3400003970</v>
          </cell>
          <cell r="B1510">
            <v>61115</v>
          </cell>
          <cell r="C1510">
            <v>1</v>
          </cell>
        </row>
        <row r="1511">
          <cell r="A1511">
            <v>3400003971</v>
          </cell>
          <cell r="B1511">
            <v>61115</v>
          </cell>
          <cell r="C1511">
            <v>1</v>
          </cell>
        </row>
        <row r="1512">
          <cell r="A1512">
            <v>3400003972</v>
          </cell>
          <cell r="B1512">
            <v>61153</v>
          </cell>
          <cell r="C1512">
            <v>1</v>
          </cell>
        </row>
        <row r="1513">
          <cell r="A1513">
            <v>3400003973</v>
          </cell>
          <cell r="B1513">
            <v>61112</v>
          </cell>
          <cell r="C1513">
            <v>1</v>
          </cell>
        </row>
        <row r="1514">
          <cell r="A1514">
            <v>3400003974</v>
          </cell>
          <cell r="B1514">
            <v>61115</v>
          </cell>
          <cell r="C1514">
            <v>1</v>
          </cell>
        </row>
        <row r="1515">
          <cell r="A1515">
            <v>3400003975</v>
          </cell>
          <cell r="B1515">
            <v>61153</v>
          </cell>
          <cell r="C1515">
            <v>1</v>
          </cell>
        </row>
        <row r="1516">
          <cell r="A1516">
            <v>3400003976</v>
          </cell>
          <cell r="B1516">
            <v>61115</v>
          </cell>
          <cell r="C1516">
            <v>1</v>
          </cell>
        </row>
        <row r="1517">
          <cell r="A1517">
            <v>3400003977</v>
          </cell>
          <cell r="B1517">
            <v>61153</v>
          </cell>
          <cell r="C1517">
            <v>1</v>
          </cell>
        </row>
        <row r="1518">
          <cell r="A1518">
            <v>3400003978</v>
          </cell>
          <cell r="B1518">
            <v>61115</v>
          </cell>
          <cell r="C1518">
            <v>1</v>
          </cell>
        </row>
        <row r="1519">
          <cell r="A1519">
            <v>3400003979</v>
          </cell>
          <cell r="B1519">
            <v>61153</v>
          </cell>
          <cell r="C1519">
            <v>1</v>
          </cell>
        </row>
        <row r="1520">
          <cell r="A1520">
            <v>3400003980</v>
          </cell>
          <cell r="B1520">
            <v>61115</v>
          </cell>
          <cell r="C1520">
            <v>1</v>
          </cell>
        </row>
        <row r="1521">
          <cell r="A1521">
            <v>3400003981</v>
          </cell>
          <cell r="B1521">
            <v>61115</v>
          </cell>
          <cell r="C1521">
            <v>1</v>
          </cell>
        </row>
        <row r="1522">
          <cell r="A1522">
            <v>3400003982</v>
          </cell>
          <cell r="B1522">
            <v>61103</v>
          </cell>
          <cell r="C1522">
            <v>1</v>
          </cell>
        </row>
        <row r="1523">
          <cell r="A1523">
            <v>3400003983</v>
          </cell>
          <cell r="B1523">
            <v>61103</v>
          </cell>
          <cell r="C1523">
            <v>1</v>
          </cell>
        </row>
        <row r="1524">
          <cell r="A1524">
            <v>3400003984</v>
          </cell>
          <cell r="B1524">
            <v>61103</v>
          </cell>
          <cell r="C1524">
            <v>1</v>
          </cell>
        </row>
        <row r="1525">
          <cell r="A1525">
            <v>3400003985</v>
          </cell>
          <cell r="B1525">
            <v>61103</v>
          </cell>
          <cell r="C1525">
            <v>1</v>
          </cell>
        </row>
        <row r="1526">
          <cell r="A1526">
            <v>3400003986</v>
          </cell>
          <cell r="B1526">
            <v>61103</v>
          </cell>
          <cell r="C1526">
            <v>1</v>
          </cell>
        </row>
        <row r="1527">
          <cell r="A1527">
            <v>3400003987</v>
          </cell>
          <cell r="B1527">
            <v>61119</v>
          </cell>
          <cell r="C1527">
            <v>1</v>
          </cell>
        </row>
        <row r="1528">
          <cell r="A1528">
            <v>3400003988</v>
          </cell>
          <cell r="B1528">
            <v>61119</v>
          </cell>
          <cell r="C1528">
            <v>1</v>
          </cell>
        </row>
        <row r="1529">
          <cell r="A1529">
            <v>3400003989</v>
          </cell>
          <cell r="B1529">
            <v>61115</v>
          </cell>
          <cell r="C1529">
            <v>1</v>
          </cell>
        </row>
        <row r="1530">
          <cell r="A1530">
            <v>3400003990</v>
          </cell>
          <cell r="B1530">
            <v>61115</v>
          </cell>
          <cell r="C1530">
            <v>1</v>
          </cell>
        </row>
        <row r="1531">
          <cell r="A1531">
            <v>3400003991</v>
          </cell>
          <cell r="B1531">
            <v>61115</v>
          </cell>
          <cell r="C1531">
            <v>1</v>
          </cell>
        </row>
        <row r="1532">
          <cell r="A1532">
            <v>3400003992</v>
          </cell>
          <cell r="B1532">
            <v>61115</v>
          </cell>
          <cell r="C1532">
            <v>1</v>
          </cell>
        </row>
        <row r="1533">
          <cell r="A1533">
            <v>3400003993</v>
          </cell>
          <cell r="B1533">
            <v>61100</v>
          </cell>
          <cell r="C1533">
            <v>1</v>
          </cell>
        </row>
        <row r="1534">
          <cell r="A1534">
            <v>3400003994</v>
          </cell>
          <cell r="B1534">
            <v>61100</v>
          </cell>
          <cell r="C1534">
            <v>1</v>
          </cell>
        </row>
        <row r="1535">
          <cell r="A1535">
            <v>3400003995</v>
          </cell>
          <cell r="B1535">
            <v>61103</v>
          </cell>
          <cell r="C1535">
            <v>1</v>
          </cell>
        </row>
        <row r="1536">
          <cell r="A1536">
            <v>3400003996</v>
          </cell>
          <cell r="B1536">
            <v>61103</v>
          </cell>
          <cell r="C1536">
            <v>1</v>
          </cell>
        </row>
        <row r="1537">
          <cell r="A1537">
            <v>3400003997</v>
          </cell>
          <cell r="B1537">
            <v>61103</v>
          </cell>
          <cell r="C1537">
            <v>1</v>
          </cell>
        </row>
        <row r="1538">
          <cell r="A1538">
            <v>3400003998</v>
          </cell>
          <cell r="B1538">
            <v>61103</v>
          </cell>
          <cell r="C1538">
            <v>1</v>
          </cell>
        </row>
        <row r="1539">
          <cell r="A1539">
            <v>3400003999</v>
          </cell>
          <cell r="B1539">
            <v>61100</v>
          </cell>
          <cell r="C1539">
            <v>1</v>
          </cell>
        </row>
        <row r="1540">
          <cell r="A1540">
            <v>3400004000</v>
          </cell>
          <cell r="B1540">
            <v>61100</v>
          </cell>
          <cell r="C1540">
            <v>1</v>
          </cell>
        </row>
        <row r="1541">
          <cell r="A1541">
            <v>3400004001</v>
          </cell>
          <cell r="B1541">
            <v>61112</v>
          </cell>
          <cell r="C1541">
            <v>1</v>
          </cell>
        </row>
        <row r="1542">
          <cell r="A1542">
            <v>3400004002</v>
          </cell>
          <cell r="B1542">
            <v>61101</v>
          </cell>
          <cell r="C1542">
            <v>1</v>
          </cell>
        </row>
        <row r="1543">
          <cell r="A1543">
            <v>3400004003</v>
          </cell>
          <cell r="B1543">
            <v>61103</v>
          </cell>
          <cell r="C1543">
            <v>1</v>
          </cell>
        </row>
        <row r="1544">
          <cell r="A1544">
            <v>3400004004</v>
          </cell>
          <cell r="B1544">
            <v>61112</v>
          </cell>
          <cell r="C1544">
            <v>1</v>
          </cell>
        </row>
        <row r="1545">
          <cell r="A1545">
            <v>3400004005</v>
          </cell>
          <cell r="B1545">
            <v>61112</v>
          </cell>
          <cell r="C1545">
            <v>1</v>
          </cell>
        </row>
        <row r="1546">
          <cell r="A1546">
            <v>3400004006</v>
          </cell>
          <cell r="B1546">
            <v>61115</v>
          </cell>
          <cell r="C1546">
            <v>1</v>
          </cell>
        </row>
        <row r="1547">
          <cell r="A1547">
            <v>3400004007</v>
          </cell>
          <cell r="B1547">
            <v>61112</v>
          </cell>
          <cell r="C1547">
            <v>1</v>
          </cell>
        </row>
        <row r="1548">
          <cell r="A1548">
            <v>3400004008</v>
          </cell>
          <cell r="B1548">
            <v>61112</v>
          </cell>
          <cell r="C1548">
            <v>1</v>
          </cell>
        </row>
        <row r="1549">
          <cell r="A1549">
            <v>3400004009</v>
          </cell>
          <cell r="B1549">
            <v>61112</v>
          </cell>
          <cell r="C1549">
            <v>1</v>
          </cell>
        </row>
        <row r="1550">
          <cell r="A1550">
            <v>3400004010</v>
          </cell>
          <cell r="B1550">
            <v>61112</v>
          </cell>
          <cell r="C1550">
            <v>1</v>
          </cell>
        </row>
        <row r="1551">
          <cell r="A1551">
            <v>3400004011</v>
          </cell>
          <cell r="B1551">
            <v>61112</v>
          </cell>
          <cell r="C1551">
            <v>1</v>
          </cell>
        </row>
        <row r="1552">
          <cell r="A1552">
            <v>3400004012</v>
          </cell>
          <cell r="B1552">
            <v>61206</v>
          </cell>
          <cell r="C1552">
            <v>1</v>
          </cell>
        </row>
        <row r="1553">
          <cell r="A1553">
            <v>3400004013</v>
          </cell>
          <cell r="B1553">
            <v>61153</v>
          </cell>
          <cell r="C1553">
            <v>1</v>
          </cell>
        </row>
        <row r="1554">
          <cell r="A1554">
            <v>3400004014</v>
          </cell>
          <cell r="B1554">
            <v>61112</v>
          </cell>
          <cell r="C1554">
            <v>1</v>
          </cell>
        </row>
        <row r="1555">
          <cell r="A1555">
            <v>3400004015</v>
          </cell>
          <cell r="B1555">
            <v>61112</v>
          </cell>
          <cell r="C1555">
            <v>1</v>
          </cell>
        </row>
        <row r="1556">
          <cell r="A1556">
            <v>3400004016</v>
          </cell>
          <cell r="B1556">
            <v>61151</v>
          </cell>
          <cell r="C1556">
            <v>1</v>
          </cell>
        </row>
        <row r="1557">
          <cell r="A1557">
            <v>3400004017</v>
          </cell>
          <cell r="B1557">
            <v>61119</v>
          </cell>
          <cell r="C1557">
            <v>1</v>
          </cell>
        </row>
        <row r="1558">
          <cell r="A1558">
            <v>3400004018</v>
          </cell>
          <cell r="B1558">
            <v>61112</v>
          </cell>
          <cell r="C1558">
            <v>1</v>
          </cell>
        </row>
        <row r="1559">
          <cell r="A1559">
            <v>3400004019</v>
          </cell>
          <cell r="B1559">
            <v>61112</v>
          </cell>
          <cell r="C1559">
            <v>1</v>
          </cell>
        </row>
        <row r="1560">
          <cell r="A1560">
            <v>3400004020</v>
          </cell>
          <cell r="B1560">
            <v>61206</v>
          </cell>
          <cell r="C1560">
            <v>1</v>
          </cell>
        </row>
        <row r="1561">
          <cell r="A1561">
            <v>3400004021</v>
          </cell>
          <cell r="B1561">
            <v>61206</v>
          </cell>
          <cell r="C1561">
            <v>1</v>
          </cell>
        </row>
        <row r="1562">
          <cell r="A1562">
            <v>3400004022</v>
          </cell>
          <cell r="B1562">
            <v>61112</v>
          </cell>
          <cell r="C1562">
            <v>1</v>
          </cell>
        </row>
        <row r="1563">
          <cell r="A1563">
            <v>3400004023</v>
          </cell>
          <cell r="B1563">
            <v>61100</v>
          </cell>
          <cell r="C1563">
            <v>1</v>
          </cell>
        </row>
        <row r="1564">
          <cell r="A1564">
            <v>3400004024</v>
          </cell>
          <cell r="B1564">
            <v>61119</v>
          </cell>
          <cell r="C1564">
            <v>1</v>
          </cell>
        </row>
        <row r="1565">
          <cell r="A1565">
            <v>3400004025</v>
          </cell>
          <cell r="B1565">
            <v>61100</v>
          </cell>
          <cell r="C1565">
            <v>1</v>
          </cell>
        </row>
        <row r="1566">
          <cell r="A1566">
            <v>3400004026</v>
          </cell>
          <cell r="B1566">
            <v>61103</v>
          </cell>
          <cell r="C1566">
            <v>1</v>
          </cell>
        </row>
        <row r="1567">
          <cell r="A1567">
            <v>3400004027</v>
          </cell>
          <cell r="B1567">
            <v>61100</v>
          </cell>
          <cell r="C1567">
            <v>1</v>
          </cell>
        </row>
        <row r="1568">
          <cell r="A1568">
            <v>3400004028</v>
          </cell>
          <cell r="B1568">
            <v>61100</v>
          </cell>
          <cell r="C1568">
            <v>1</v>
          </cell>
        </row>
        <row r="1569">
          <cell r="A1569">
            <v>3400004029</v>
          </cell>
          <cell r="B1569">
            <v>61100</v>
          </cell>
          <cell r="C1569">
            <v>1</v>
          </cell>
        </row>
        <row r="1570">
          <cell r="A1570">
            <v>3400004030</v>
          </cell>
          <cell r="B1570">
            <v>61100</v>
          </cell>
          <cell r="C1570">
            <v>1</v>
          </cell>
        </row>
        <row r="1571">
          <cell r="A1571">
            <v>3400004031</v>
          </cell>
          <cell r="B1571">
            <v>61100</v>
          </cell>
          <cell r="C1571">
            <v>1</v>
          </cell>
        </row>
        <row r="1572">
          <cell r="A1572">
            <v>3400004032</v>
          </cell>
          <cell r="B1572">
            <v>61112</v>
          </cell>
          <cell r="C1572">
            <v>1</v>
          </cell>
        </row>
        <row r="1573">
          <cell r="A1573">
            <v>3400004033</v>
          </cell>
          <cell r="B1573">
            <v>61153</v>
          </cell>
          <cell r="C1573">
            <v>1</v>
          </cell>
        </row>
        <row r="1574">
          <cell r="A1574">
            <v>3400004034</v>
          </cell>
          <cell r="B1574">
            <v>61112</v>
          </cell>
          <cell r="C1574">
            <v>1</v>
          </cell>
        </row>
        <row r="1575">
          <cell r="A1575">
            <v>3400004035</v>
          </cell>
          <cell r="B1575">
            <v>61115</v>
          </cell>
          <cell r="C1575">
            <v>1</v>
          </cell>
        </row>
        <row r="1576">
          <cell r="A1576">
            <v>3400004036</v>
          </cell>
          <cell r="B1576">
            <v>61115</v>
          </cell>
          <cell r="C1576">
            <v>1</v>
          </cell>
        </row>
        <row r="1577">
          <cell r="A1577">
            <v>3400004037</v>
          </cell>
          <cell r="B1577">
            <v>61115</v>
          </cell>
          <cell r="C1577">
            <v>1</v>
          </cell>
        </row>
        <row r="1578">
          <cell r="A1578">
            <v>3400004038</v>
          </cell>
          <cell r="B1578">
            <v>61115</v>
          </cell>
          <cell r="C1578">
            <v>1</v>
          </cell>
        </row>
        <row r="1579">
          <cell r="A1579">
            <v>3400004039</v>
          </cell>
          <cell r="B1579">
            <v>61115</v>
          </cell>
          <cell r="C1579">
            <v>1</v>
          </cell>
        </row>
        <row r="1580">
          <cell r="A1580">
            <v>3400004040</v>
          </cell>
          <cell r="B1580">
            <v>61115</v>
          </cell>
          <cell r="C1580">
            <v>1</v>
          </cell>
        </row>
        <row r="1581">
          <cell r="A1581">
            <v>3400004041</v>
          </cell>
          <cell r="B1581">
            <v>61115</v>
          </cell>
          <cell r="C1581">
            <v>1</v>
          </cell>
        </row>
        <row r="1582">
          <cell r="A1582">
            <v>3400004042</v>
          </cell>
          <cell r="B1582">
            <v>61115</v>
          </cell>
          <cell r="C1582">
            <v>1</v>
          </cell>
        </row>
        <row r="1583">
          <cell r="A1583">
            <v>3400004043</v>
          </cell>
          <cell r="B1583">
            <v>61115</v>
          </cell>
          <cell r="C1583">
            <v>1</v>
          </cell>
        </row>
        <row r="1584">
          <cell r="A1584">
            <v>3400004044</v>
          </cell>
          <cell r="B1584">
            <v>61115</v>
          </cell>
          <cell r="C1584">
            <v>1</v>
          </cell>
        </row>
        <row r="1585">
          <cell r="A1585">
            <v>3400004045</v>
          </cell>
          <cell r="B1585">
            <v>61115</v>
          </cell>
          <cell r="C1585">
            <v>1</v>
          </cell>
        </row>
        <row r="1586">
          <cell r="A1586">
            <v>3400004046</v>
          </cell>
          <cell r="B1586">
            <v>61115</v>
          </cell>
          <cell r="C1586">
            <v>1</v>
          </cell>
        </row>
        <row r="1587">
          <cell r="A1587">
            <v>3400004047</v>
          </cell>
          <cell r="B1587">
            <v>61115</v>
          </cell>
          <cell r="C1587">
            <v>1</v>
          </cell>
        </row>
        <row r="1588">
          <cell r="A1588">
            <v>3400004048</v>
          </cell>
          <cell r="B1588">
            <v>61115</v>
          </cell>
          <cell r="C1588">
            <v>1</v>
          </cell>
        </row>
        <row r="1589">
          <cell r="A1589">
            <v>3400004049</v>
          </cell>
          <cell r="B1589">
            <v>61115</v>
          </cell>
          <cell r="C1589">
            <v>1</v>
          </cell>
        </row>
        <row r="1590">
          <cell r="A1590">
            <v>3400004050</v>
          </cell>
          <cell r="B1590">
            <v>61115</v>
          </cell>
          <cell r="C1590">
            <v>1</v>
          </cell>
        </row>
        <row r="1591">
          <cell r="A1591">
            <v>3400004051</v>
          </cell>
          <cell r="B1591">
            <v>61115</v>
          </cell>
          <cell r="C1591">
            <v>1</v>
          </cell>
        </row>
        <row r="1592">
          <cell r="A1592">
            <v>3400004052</v>
          </cell>
          <cell r="B1592">
            <v>61115</v>
          </cell>
          <cell r="C1592">
            <v>1</v>
          </cell>
        </row>
        <row r="1593">
          <cell r="A1593">
            <v>3400004053</v>
          </cell>
          <cell r="B1593">
            <v>61115</v>
          </cell>
          <cell r="C1593">
            <v>1</v>
          </cell>
        </row>
        <row r="1594">
          <cell r="A1594">
            <v>3400004054</v>
          </cell>
          <cell r="B1594">
            <v>61115</v>
          </cell>
          <cell r="C1594">
            <v>1</v>
          </cell>
        </row>
        <row r="1595">
          <cell r="A1595">
            <v>3400004055</v>
          </cell>
          <cell r="B1595">
            <v>61115</v>
          </cell>
          <cell r="C1595">
            <v>1</v>
          </cell>
        </row>
        <row r="1596">
          <cell r="A1596">
            <v>3400004056</v>
          </cell>
          <cell r="B1596">
            <v>61115</v>
          </cell>
          <cell r="C1596">
            <v>1</v>
          </cell>
        </row>
        <row r="1597">
          <cell r="A1597">
            <v>3400004057</v>
          </cell>
          <cell r="B1597">
            <v>61153</v>
          </cell>
          <cell r="C1597">
            <v>1</v>
          </cell>
        </row>
        <row r="1598">
          <cell r="A1598">
            <v>3400004058</v>
          </cell>
          <cell r="B1598">
            <v>61115</v>
          </cell>
          <cell r="C1598">
            <v>1</v>
          </cell>
        </row>
        <row r="1599">
          <cell r="A1599">
            <v>3400004059</v>
          </cell>
          <cell r="B1599">
            <v>61115</v>
          </cell>
          <cell r="C1599">
            <v>1</v>
          </cell>
        </row>
        <row r="1600">
          <cell r="A1600">
            <v>3400004060</v>
          </cell>
          <cell r="B1600">
            <v>61115</v>
          </cell>
          <cell r="C1600">
            <v>1</v>
          </cell>
        </row>
        <row r="1601">
          <cell r="A1601">
            <v>3400004061</v>
          </cell>
          <cell r="B1601">
            <v>61115</v>
          </cell>
          <cell r="C1601">
            <v>1</v>
          </cell>
        </row>
        <row r="1602">
          <cell r="A1602">
            <v>3400004062</v>
          </cell>
          <cell r="B1602">
            <v>61115</v>
          </cell>
          <cell r="C1602">
            <v>1</v>
          </cell>
        </row>
        <row r="1603">
          <cell r="A1603">
            <v>3400004063</v>
          </cell>
          <cell r="B1603">
            <v>61115</v>
          </cell>
          <cell r="C1603">
            <v>1</v>
          </cell>
        </row>
        <row r="1604">
          <cell r="A1604">
            <v>3400004064</v>
          </cell>
          <cell r="B1604">
            <v>61115</v>
          </cell>
          <cell r="C1604">
            <v>1</v>
          </cell>
        </row>
        <row r="1605">
          <cell r="A1605">
            <v>3400004065</v>
          </cell>
          <cell r="B1605">
            <v>61115</v>
          </cell>
          <cell r="C1605">
            <v>1</v>
          </cell>
        </row>
        <row r="1606">
          <cell r="A1606">
            <v>3400004066</v>
          </cell>
          <cell r="B1606">
            <v>61115</v>
          </cell>
          <cell r="C1606">
            <v>1</v>
          </cell>
        </row>
        <row r="1607">
          <cell r="A1607">
            <v>3400004067</v>
          </cell>
          <cell r="B1607">
            <v>61115</v>
          </cell>
          <cell r="C1607">
            <v>1</v>
          </cell>
        </row>
        <row r="1608">
          <cell r="A1608">
            <v>3400004068</v>
          </cell>
          <cell r="B1608">
            <v>61115</v>
          </cell>
          <cell r="C1608">
            <v>1</v>
          </cell>
        </row>
        <row r="1609">
          <cell r="A1609">
            <v>3400004069</v>
          </cell>
          <cell r="B1609">
            <v>61115</v>
          </cell>
          <cell r="C1609">
            <v>1</v>
          </cell>
        </row>
        <row r="1610">
          <cell r="A1610">
            <v>3400004070</v>
          </cell>
          <cell r="B1610">
            <v>61115</v>
          </cell>
          <cell r="C1610">
            <v>1</v>
          </cell>
        </row>
        <row r="1611">
          <cell r="A1611">
            <v>3400004071</v>
          </cell>
          <cell r="B1611">
            <v>61115</v>
          </cell>
          <cell r="C1611">
            <v>1</v>
          </cell>
        </row>
        <row r="1612">
          <cell r="A1612">
            <v>3400004072</v>
          </cell>
          <cell r="B1612">
            <v>61115</v>
          </cell>
          <cell r="C1612">
            <v>1</v>
          </cell>
        </row>
        <row r="1613">
          <cell r="A1613">
            <v>3400004073</v>
          </cell>
          <cell r="B1613">
            <v>61115</v>
          </cell>
          <cell r="C1613">
            <v>1</v>
          </cell>
        </row>
        <row r="1614">
          <cell r="A1614">
            <v>3400004074</v>
          </cell>
          <cell r="B1614">
            <v>61153</v>
          </cell>
          <cell r="C1614">
            <v>1</v>
          </cell>
        </row>
        <row r="1615">
          <cell r="A1615">
            <v>3400004075</v>
          </cell>
          <cell r="B1615">
            <v>61115</v>
          </cell>
          <cell r="C1615">
            <v>1</v>
          </cell>
        </row>
        <row r="1616">
          <cell r="A1616">
            <v>3400004076</v>
          </cell>
          <cell r="B1616">
            <v>61115</v>
          </cell>
          <cell r="C1616">
            <v>1</v>
          </cell>
        </row>
        <row r="1617">
          <cell r="A1617">
            <v>3400004077</v>
          </cell>
          <cell r="B1617">
            <v>61115</v>
          </cell>
          <cell r="C1617">
            <v>1</v>
          </cell>
        </row>
        <row r="1618">
          <cell r="A1618">
            <v>3400004078</v>
          </cell>
          <cell r="B1618">
            <v>61115</v>
          </cell>
          <cell r="C1618">
            <v>1</v>
          </cell>
        </row>
        <row r="1619">
          <cell r="A1619">
            <v>3400004079</v>
          </cell>
          <cell r="B1619">
            <v>61153</v>
          </cell>
          <cell r="C1619">
            <v>1</v>
          </cell>
        </row>
        <row r="1620">
          <cell r="A1620">
            <v>3400004080</v>
          </cell>
          <cell r="B1620">
            <v>61112</v>
          </cell>
          <cell r="C1620">
            <v>1</v>
          </cell>
        </row>
        <row r="1621">
          <cell r="A1621">
            <v>3400004081</v>
          </cell>
          <cell r="B1621">
            <v>61115</v>
          </cell>
          <cell r="C1621">
            <v>1</v>
          </cell>
        </row>
        <row r="1622">
          <cell r="A1622">
            <v>3400004082</v>
          </cell>
          <cell r="B1622">
            <v>61153</v>
          </cell>
          <cell r="C1622">
            <v>1</v>
          </cell>
        </row>
        <row r="1623">
          <cell r="A1623">
            <v>3400004083</v>
          </cell>
          <cell r="B1623">
            <v>61115</v>
          </cell>
          <cell r="C1623">
            <v>1</v>
          </cell>
        </row>
        <row r="1624">
          <cell r="A1624">
            <v>3400004084</v>
          </cell>
          <cell r="B1624">
            <v>61153</v>
          </cell>
          <cell r="C1624">
            <v>1</v>
          </cell>
        </row>
        <row r="1625">
          <cell r="A1625">
            <v>3400004085</v>
          </cell>
          <cell r="B1625">
            <v>61153</v>
          </cell>
          <cell r="C1625">
            <v>1</v>
          </cell>
        </row>
        <row r="1626">
          <cell r="A1626">
            <v>3400004086</v>
          </cell>
          <cell r="B1626">
            <v>61112</v>
          </cell>
          <cell r="C1626">
            <v>1</v>
          </cell>
        </row>
        <row r="1627">
          <cell r="A1627">
            <v>3400004087</v>
          </cell>
          <cell r="B1627">
            <v>61153</v>
          </cell>
          <cell r="C1627">
            <v>1</v>
          </cell>
        </row>
        <row r="1628">
          <cell r="A1628">
            <v>3400004088</v>
          </cell>
          <cell r="B1628">
            <v>61112</v>
          </cell>
          <cell r="C1628">
            <v>1</v>
          </cell>
        </row>
        <row r="1629">
          <cell r="A1629">
            <v>3400004089</v>
          </cell>
          <cell r="B1629">
            <v>61101</v>
          </cell>
          <cell r="C1629">
            <v>1</v>
          </cell>
        </row>
        <row r="1630">
          <cell r="A1630">
            <v>3400004090</v>
          </cell>
          <cell r="B1630">
            <v>61115</v>
          </cell>
          <cell r="C1630">
            <v>1</v>
          </cell>
        </row>
        <row r="1631">
          <cell r="A1631">
            <v>3400004091</v>
          </cell>
          <cell r="B1631">
            <v>61103</v>
          </cell>
          <cell r="C1631">
            <v>1</v>
          </cell>
        </row>
        <row r="1632">
          <cell r="A1632">
            <v>3400004092</v>
          </cell>
          <cell r="B1632">
            <v>61104</v>
          </cell>
          <cell r="C1632">
            <v>3</v>
          </cell>
        </row>
        <row r="1633">
          <cell r="A1633">
            <v>3400004093</v>
          </cell>
          <cell r="B1633">
            <v>61103</v>
          </cell>
          <cell r="C1633">
            <v>1</v>
          </cell>
        </row>
        <row r="1634">
          <cell r="A1634">
            <v>3400004094</v>
          </cell>
          <cell r="B1634">
            <v>61154</v>
          </cell>
          <cell r="C1634">
            <v>1</v>
          </cell>
        </row>
        <row r="1635">
          <cell r="A1635">
            <v>3400004095</v>
          </cell>
          <cell r="B1635">
            <v>61206</v>
          </cell>
          <cell r="C1635">
            <v>5</v>
          </cell>
        </row>
        <row r="1636">
          <cell r="A1636">
            <v>3400004096</v>
          </cell>
          <cell r="B1636">
            <v>61111</v>
          </cell>
          <cell r="C1636">
            <v>1</v>
          </cell>
        </row>
        <row r="1637">
          <cell r="A1637">
            <v>3400004097</v>
          </cell>
          <cell r="B1637">
            <v>61102</v>
          </cell>
          <cell r="C1637">
            <v>1</v>
          </cell>
        </row>
        <row r="1638">
          <cell r="A1638">
            <v>3400004098</v>
          </cell>
          <cell r="B1638">
            <v>61102</v>
          </cell>
          <cell r="C1638">
            <v>1</v>
          </cell>
        </row>
        <row r="1639">
          <cell r="A1639">
            <v>3400004099</v>
          </cell>
          <cell r="B1639">
            <v>61102</v>
          </cell>
          <cell r="C1639">
            <v>1</v>
          </cell>
        </row>
        <row r="1640">
          <cell r="A1640">
            <v>3400004100</v>
          </cell>
          <cell r="B1640">
            <v>61115</v>
          </cell>
          <cell r="C1640">
            <v>1</v>
          </cell>
        </row>
        <row r="1641">
          <cell r="A1641">
            <v>3400004101</v>
          </cell>
          <cell r="B1641">
            <v>61115</v>
          </cell>
          <cell r="C1641">
            <v>1</v>
          </cell>
        </row>
        <row r="1642">
          <cell r="A1642">
            <v>3400004102</v>
          </cell>
          <cell r="B1642">
            <v>61100</v>
          </cell>
          <cell r="C1642">
            <v>1</v>
          </cell>
        </row>
        <row r="1643">
          <cell r="A1643">
            <v>3400004103</v>
          </cell>
          <cell r="B1643">
            <v>61100</v>
          </cell>
          <cell r="C1643">
            <v>1</v>
          </cell>
        </row>
        <row r="1644">
          <cell r="A1644">
            <v>3400004104</v>
          </cell>
          <cell r="B1644">
            <v>61100</v>
          </cell>
          <cell r="C1644">
            <v>1</v>
          </cell>
        </row>
        <row r="1645">
          <cell r="A1645">
            <v>3400004105</v>
          </cell>
          <cell r="B1645">
            <v>61100</v>
          </cell>
          <cell r="C1645">
            <v>1</v>
          </cell>
        </row>
        <row r="1646">
          <cell r="A1646">
            <v>3400004106</v>
          </cell>
          <cell r="B1646">
            <v>61100</v>
          </cell>
          <cell r="C1646">
            <v>1</v>
          </cell>
        </row>
        <row r="1647">
          <cell r="A1647">
            <v>3400004107</v>
          </cell>
          <cell r="B1647">
            <v>61102</v>
          </cell>
          <cell r="C1647">
            <v>1</v>
          </cell>
        </row>
        <row r="1648">
          <cell r="A1648">
            <v>3400004108</v>
          </cell>
          <cell r="B1648">
            <v>61102</v>
          </cell>
          <cell r="C1648">
            <v>1</v>
          </cell>
        </row>
        <row r="1649">
          <cell r="A1649">
            <v>3400004109</v>
          </cell>
          <cell r="B1649">
            <v>61102</v>
          </cell>
          <cell r="C1649">
            <v>1</v>
          </cell>
        </row>
        <row r="1650">
          <cell r="A1650">
            <v>3400004110</v>
          </cell>
          <cell r="B1650">
            <v>61102</v>
          </cell>
          <cell r="C1650">
            <v>1</v>
          </cell>
        </row>
        <row r="1651">
          <cell r="A1651">
            <v>3400004111</v>
          </cell>
          <cell r="B1651">
            <v>61102</v>
          </cell>
          <cell r="C1651">
            <v>1</v>
          </cell>
        </row>
        <row r="1652">
          <cell r="A1652">
            <v>3400004112</v>
          </cell>
          <cell r="B1652">
            <v>61102</v>
          </cell>
          <cell r="C1652">
            <v>1</v>
          </cell>
        </row>
        <row r="1653">
          <cell r="A1653">
            <v>3400004113</v>
          </cell>
          <cell r="B1653">
            <v>61102</v>
          </cell>
          <cell r="C1653">
            <v>1</v>
          </cell>
        </row>
        <row r="1654">
          <cell r="A1654">
            <v>3400004114</v>
          </cell>
          <cell r="B1654">
            <v>61102</v>
          </cell>
          <cell r="C1654">
            <v>1</v>
          </cell>
        </row>
        <row r="1655">
          <cell r="A1655">
            <v>3400004115</v>
          </cell>
          <cell r="B1655">
            <v>61102</v>
          </cell>
          <cell r="C1655">
            <v>1</v>
          </cell>
        </row>
        <row r="1656">
          <cell r="A1656">
            <v>3400004116</v>
          </cell>
          <cell r="B1656">
            <v>61102</v>
          </cell>
          <cell r="C1656">
            <v>1</v>
          </cell>
        </row>
        <row r="1657">
          <cell r="A1657">
            <v>3400004117</v>
          </cell>
          <cell r="B1657">
            <v>61115</v>
          </cell>
          <cell r="C1657">
            <v>1</v>
          </cell>
        </row>
        <row r="1658">
          <cell r="A1658">
            <v>3400004118</v>
          </cell>
          <cell r="B1658">
            <v>61115</v>
          </cell>
          <cell r="C1658">
            <v>1</v>
          </cell>
        </row>
        <row r="1659">
          <cell r="A1659">
            <v>3400004119</v>
          </cell>
          <cell r="B1659">
            <v>61115</v>
          </cell>
          <cell r="C1659">
            <v>1</v>
          </cell>
        </row>
        <row r="1660">
          <cell r="A1660">
            <v>3400004120</v>
          </cell>
          <cell r="B1660">
            <v>61115</v>
          </cell>
          <cell r="C1660">
            <v>1</v>
          </cell>
        </row>
        <row r="1661">
          <cell r="A1661">
            <v>3400004121</v>
          </cell>
          <cell r="B1661">
            <v>61100</v>
          </cell>
          <cell r="C1661">
            <v>1</v>
          </cell>
        </row>
        <row r="1662">
          <cell r="A1662">
            <v>3400004122</v>
          </cell>
          <cell r="B1662">
            <v>61103</v>
          </cell>
          <cell r="C1662">
            <v>1</v>
          </cell>
        </row>
        <row r="1663">
          <cell r="A1663">
            <v>3400004122</v>
          </cell>
          <cell r="B1663">
            <v>61206</v>
          </cell>
          <cell r="C1663">
            <v>1</v>
          </cell>
        </row>
        <row r="1664">
          <cell r="A1664">
            <v>3400004123</v>
          </cell>
          <cell r="B1664">
            <v>61103</v>
          </cell>
          <cell r="C1664">
            <v>1</v>
          </cell>
        </row>
        <row r="1665">
          <cell r="A1665">
            <v>3400004123</v>
          </cell>
          <cell r="B1665">
            <v>61206</v>
          </cell>
          <cell r="C1665">
            <v>1</v>
          </cell>
        </row>
        <row r="1666">
          <cell r="A1666">
            <v>3400004124</v>
          </cell>
          <cell r="B1666">
            <v>61206</v>
          </cell>
          <cell r="C1666">
            <v>1</v>
          </cell>
        </row>
        <row r="1667">
          <cell r="A1667">
            <v>3400004124</v>
          </cell>
          <cell r="B1667">
            <v>61206</v>
          </cell>
          <cell r="C1667">
            <v>1</v>
          </cell>
        </row>
        <row r="1668">
          <cell r="A1668">
            <v>3400004125</v>
          </cell>
          <cell r="B1668">
            <v>61206</v>
          </cell>
          <cell r="C1668">
            <v>1</v>
          </cell>
        </row>
        <row r="1669">
          <cell r="A1669">
            <v>3400004125</v>
          </cell>
          <cell r="B1669">
            <v>61206</v>
          </cell>
          <cell r="C1669">
            <v>1</v>
          </cell>
        </row>
        <row r="1670">
          <cell r="A1670">
            <v>3400004126</v>
          </cell>
          <cell r="B1670">
            <v>61206</v>
          </cell>
          <cell r="C1670">
            <v>1</v>
          </cell>
        </row>
        <row r="1671">
          <cell r="A1671">
            <v>3400004126</v>
          </cell>
          <cell r="B1671">
            <v>61206</v>
          </cell>
          <cell r="C1671">
            <v>1</v>
          </cell>
        </row>
        <row r="1672">
          <cell r="A1672">
            <v>3400004127</v>
          </cell>
          <cell r="B1672">
            <v>61101</v>
          </cell>
          <cell r="C1672">
            <v>1</v>
          </cell>
        </row>
        <row r="1673">
          <cell r="A1673">
            <v>3400004128</v>
          </cell>
          <cell r="B1673">
            <v>61206</v>
          </cell>
          <cell r="C1673">
            <v>1</v>
          </cell>
        </row>
        <row r="1674">
          <cell r="A1674">
            <v>3400004129</v>
          </cell>
          <cell r="B1674">
            <v>61206</v>
          </cell>
          <cell r="C1674">
            <v>1</v>
          </cell>
        </row>
        <row r="1675">
          <cell r="A1675">
            <v>3400004130</v>
          </cell>
          <cell r="B1675">
            <v>61206</v>
          </cell>
          <cell r="C1675">
            <v>1</v>
          </cell>
        </row>
        <row r="1676">
          <cell r="A1676">
            <v>3400004131</v>
          </cell>
          <cell r="B1676">
            <v>61206</v>
          </cell>
          <cell r="C1676">
            <v>1</v>
          </cell>
        </row>
        <row r="1677">
          <cell r="A1677">
            <v>3400004132</v>
          </cell>
          <cell r="B1677">
            <v>61103</v>
          </cell>
          <cell r="C1677">
            <v>1</v>
          </cell>
        </row>
        <row r="1678">
          <cell r="A1678">
            <v>3400004132</v>
          </cell>
          <cell r="B1678">
            <v>61103</v>
          </cell>
          <cell r="C1678">
            <v>1</v>
          </cell>
        </row>
        <row r="1679">
          <cell r="A1679">
            <v>3400004133</v>
          </cell>
          <cell r="B1679">
            <v>61102</v>
          </cell>
          <cell r="C1679">
            <v>1</v>
          </cell>
        </row>
        <row r="1680">
          <cell r="A1680">
            <v>3400004134</v>
          </cell>
          <cell r="B1680">
            <v>61102</v>
          </cell>
          <cell r="C1680">
            <v>1</v>
          </cell>
        </row>
        <row r="1681">
          <cell r="A1681">
            <v>3400004135</v>
          </cell>
          <cell r="B1681">
            <v>61102</v>
          </cell>
          <cell r="C1681">
            <v>1</v>
          </cell>
        </row>
        <row r="1682">
          <cell r="A1682">
            <v>3400004136</v>
          </cell>
          <cell r="B1682">
            <v>61102</v>
          </cell>
          <cell r="C1682">
            <v>1</v>
          </cell>
        </row>
        <row r="1683">
          <cell r="A1683">
            <v>3400004137</v>
          </cell>
          <cell r="B1683">
            <v>61102</v>
          </cell>
          <cell r="C1683">
            <v>1</v>
          </cell>
        </row>
        <row r="1684">
          <cell r="A1684">
            <v>3400004138</v>
          </cell>
          <cell r="B1684">
            <v>61102</v>
          </cell>
          <cell r="C1684">
            <v>1</v>
          </cell>
        </row>
        <row r="1685">
          <cell r="A1685">
            <v>3400004139</v>
          </cell>
          <cell r="B1685">
            <v>61102</v>
          </cell>
          <cell r="C1685">
            <v>1</v>
          </cell>
        </row>
        <row r="1686">
          <cell r="A1686">
            <v>3400004140</v>
          </cell>
          <cell r="B1686">
            <v>61102</v>
          </cell>
          <cell r="C1686">
            <v>1</v>
          </cell>
        </row>
        <row r="1687">
          <cell r="A1687">
            <v>3400004141</v>
          </cell>
          <cell r="B1687">
            <v>61102</v>
          </cell>
          <cell r="C1687">
            <v>1</v>
          </cell>
        </row>
        <row r="1688">
          <cell r="A1688">
            <v>3400004142</v>
          </cell>
          <cell r="B1688">
            <v>61102</v>
          </cell>
          <cell r="C1688">
            <v>1</v>
          </cell>
        </row>
        <row r="1689">
          <cell r="A1689">
            <v>3400004143</v>
          </cell>
          <cell r="B1689">
            <v>61115</v>
          </cell>
          <cell r="C1689">
            <v>1</v>
          </cell>
        </row>
        <row r="1690">
          <cell r="A1690">
            <v>3400004144</v>
          </cell>
          <cell r="B1690">
            <v>61115</v>
          </cell>
          <cell r="C1690">
            <v>1</v>
          </cell>
        </row>
        <row r="1691">
          <cell r="A1691">
            <v>3400004145</v>
          </cell>
          <cell r="B1691">
            <v>61115</v>
          </cell>
          <cell r="C1691">
            <v>1</v>
          </cell>
        </row>
        <row r="1692">
          <cell r="A1692">
            <v>3400004146</v>
          </cell>
          <cell r="B1692">
            <v>61115</v>
          </cell>
          <cell r="C1692">
            <v>1</v>
          </cell>
        </row>
        <row r="1693">
          <cell r="A1693">
            <v>3400004147</v>
          </cell>
          <cell r="B1693">
            <v>61100</v>
          </cell>
          <cell r="C1693">
            <v>1</v>
          </cell>
        </row>
        <row r="1694">
          <cell r="A1694">
            <v>3400004148</v>
          </cell>
          <cell r="B1694">
            <v>61100</v>
          </cell>
          <cell r="C1694">
            <v>1</v>
          </cell>
        </row>
        <row r="1695">
          <cell r="A1695">
            <v>3400004149</v>
          </cell>
          <cell r="B1695">
            <v>61100</v>
          </cell>
          <cell r="C1695">
            <v>1</v>
          </cell>
        </row>
        <row r="1696">
          <cell r="A1696">
            <v>3400004150</v>
          </cell>
          <cell r="B1696">
            <v>61100</v>
          </cell>
          <cell r="C1696">
            <v>1</v>
          </cell>
        </row>
        <row r="1697">
          <cell r="A1697">
            <v>3400004151</v>
          </cell>
          <cell r="B1697">
            <v>61100</v>
          </cell>
          <cell r="C1697">
            <v>1</v>
          </cell>
        </row>
        <row r="1698">
          <cell r="A1698">
            <v>3400004152</v>
          </cell>
          <cell r="B1698">
            <v>61100</v>
          </cell>
          <cell r="C1698">
            <v>1</v>
          </cell>
        </row>
        <row r="1699">
          <cell r="A1699">
            <v>3400004153</v>
          </cell>
          <cell r="B1699">
            <v>61100</v>
          </cell>
          <cell r="C1699">
            <v>1</v>
          </cell>
        </row>
        <row r="1700">
          <cell r="A1700">
            <v>3400004154</v>
          </cell>
          <cell r="B1700">
            <v>61100</v>
          </cell>
          <cell r="C1700">
            <v>1</v>
          </cell>
        </row>
        <row r="1701">
          <cell r="A1701">
            <v>3400004155</v>
          </cell>
          <cell r="B1701">
            <v>61100</v>
          </cell>
          <cell r="C1701">
            <v>1</v>
          </cell>
        </row>
        <row r="1702">
          <cell r="A1702">
            <v>3400004156</v>
          </cell>
          <cell r="B1702">
            <v>61100</v>
          </cell>
          <cell r="C1702">
            <v>1</v>
          </cell>
        </row>
        <row r="1703">
          <cell r="A1703">
            <v>3400004157</v>
          </cell>
          <cell r="B1703">
            <v>61100</v>
          </cell>
          <cell r="C1703">
            <v>1</v>
          </cell>
        </row>
        <row r="1704">
          <cell r="A1704">
            <v>3400004158</v>
          </cell>
          <cell r="B1704">
            <v>61100</v>
          </cell>
          <cell r="C1704">
            <v>1</v>
          </cell>
        </row>
        <row r="1705">
          <cell r="A1705">
            <v>3400004159</v>
          </cell>
          <cell r="B1705">
            <v>61100</v>
          </cell>
          <cell r="C1705">
            <v>1</v>
          </cell>
        </row>
        <row r="1706">
          <cell r="A1706">
            <v>3400004160</v>
          </cell>
          <cell r="B1706">
            <v>61100</v>
          </cell>
          <cell r="C1706">
            <v>1</v>
          </cell>
        </row>
        <row r="1707">
          <cell r="A1707">
            <v>3400004161</v>
          </cell>
          <cell r="B1707">
            <v>61100</v>
          </cell>
          <cell r="C1707">
            <v>1</v>
          </cell>
        </row>
        <row r="1708">
          <cell r="A1708">
            <v>3400004162</v>
          </cell>
          <cell r="B1708">
            <v>61100</v>
          </cell>
          <cell r="C1708">
            <v>1</v>
          </cell>
        </row>
        <row r="1709">
          <cell r="A1709">
            <v>3400004163</v>
          </cell>
          <cell r="B1709">
            <v>61100</v>
          </cell>
          <cell r="C1709">
            <v>1</v>
          </cell>
        </row>
        <row r="1710">
          <cell r="A1710">
            <v>3400004164</v>
          </cell>
          <cell r="B1710">
            <v>61100</v>
          </cell>
          <cell r="C1710">
            <v>1</v>
          </cell>
        </row>
        <row r="1711">
          <cell r="A1711">
            <v>3400004165</v>
          </cell>
          <cell r="B1711">
            <v>61100</v>
          </cell>
          <cell r="C1711">
            <v>1</v>
          </cell>
        </row>
        <row r="1712">
          <cell r="A1712">
            <v>3400004166</v>
          </cell>
          <cell r="B1712">
            <v>61100</v>
          </cell>
          <cell r="C1712">
            <v>1</v>
          </cell>
        </row>
        <row r="1713">
          <cell r="A1713">
            <v>3400004167</v>
          </cell>
          <cell r="B1713">
            <v>61100</v>
          </cell>
          <cell r="C1713">
            <v>1</v>
          </cell>
        </row>
        <row r="1714">
          <cell r="A1714">
            <v>3400004168</v>
          </cell>
          <cell r="B1714">
            <v>61154</v>
          </cell>
          <cell r="C1714">
            <v>1</v>
          </cell>
        </row>
        <row r="1715">
          <cell r="A1715">
            <v>3400004169</v>
          </cell>
          <cell r="B1715">
            <v>61154</v>
          </cell>
          <cell r="C1715">
            <v>1</v>
          </cell>
        </row>
        <row r="1716">
          <cell r="A1716">
            <v>3400004170</v>
          </cell>
          <cell r="B1716">
            <v>61154</v>
          </cell>
          <cell r="C1716">
            <v>1</v>
          </cell>
        </row>
        <row r="1717">
          <cell r="A1717">
            <v>3400004171</v>
          </cell>
          <cell r="B1717">
            <v>61118</v>
          </cell>
          <cell r="C1717">
            <v>1</v>
          </cell>
        </row>
        <row r="1718">
          <cell r="A1718">
            <v>3400004172</v>
          </cell>
          <cell r="B1718">
            <v>61150</v>
          </cell>
          <cell r="C1718">
            <v>1</v>
          </cell>
        </row>
        <row r="1719">
          <cell r="A1719">
            <v>3400004173</v>
          </cell>
          <cell r="B1719">
            <v>61104</v>
          </cell>
          <cell r="C1719">
            <v>1</v>
          </cell>
        </row>
        <row r="1720">
          <cell r="A1720">
            <v>3400004174</v>
          </cell>
          <cell r="B1720">
            <v>61119</v>
          </cell>
          <cell r="C1720">
            <v>1</v>
          </cell>
        </row>
        <row r="1721">
          <cell r="A1721">
            <v>3400004175</v>
          </cell>
          <cell r="B1721">
            <v>61100</v>
          </cell>
          <cell r="C1721">
            <v>1</v>
          </cell>
        </row>
        <row r="1722">
          <cell r="A1722">
            <v>3400004176</v>
          </cell>
          <cell r="B1722">
            <v>61100</v>
          </cell>
          <cell r="C1722">
            <v>1</v>
          </cell>
        </row>
        <row r="1723">
          <cell r="A1723">
            <v>3400004177</v>
          </cell>
          <cell r="B1723">
            <v>61100</v>
          </cell>
          <cell r="C1723">
            <v>1</v>
          </cell>
        </row>
        <row r="1724">
          <cell r="A1724">
            <v>3400004178</v>
          </cell>
          <cell r="B1724">
            <v>61100</v>
          </cell>
          <cell r="C1724">
            <v>1</v>
          </cell>
        </row>
        <row r="1725">
          <cell r="A1725">
            <v>3400004179</v>
          </cell>
          <cell r="B1725">
            <v>61100</v>
          </cell>
          <cell r="C1725">
            <v>1</v>
          </cell>
        </row>
        <row r="1726">
          <cell r="A1726">
            <v>3400004180</v>
          </cell>
          <cell r="B1726">
            <v>61100</v>
          </cell>
          <cell r="C1726">
            <v>1</v>
          </cell>
        </row>
        <row r="1727">
          <cell r="A1727">
            <v>3400004181</v>
          </cell>
          <cell r="B1727">
            <v>61100</v>
          </cell>
          <cell r="C1727">
            <v>1</v>
          </cell>
        </row>
        <row r="1728">
          <cell r="A1728">
            <v>3400004182</v>
          </cell>
          <cell r="B1728">
            <v>61100</v>
          </cell>
          <cell r="C1728">
            <v>1</v>
          </cell>
        </row>
        <row r="1729">
          <cell r="A1729">
            <v>3400004183</v>
          </cell>
          <cell r="B1729">
            <v>61100</v>
          </cell>
          <cell r="C1729">
            <v>1</v>
          </cell>
        </row>
        <row r="1730">
          <cell r="A1730">
            <v>3400004184</v>
          </cell>
          <cell r="B1730">
            <v>61100</v>
          </cell>
          <cell r="C1730">
            <v>1</v>
          </cell>
        </row>
        <row r="1731">
          <cell r="A1731">
            <v>3400004185</v>
          </cell>
          <cell r="B1731">
            <v>61100</v>
          </cell>
          <cell r="C1731">
            <v>1</v>
          </cell>
        </row>
        <row r="1732">
          <cell r="A1732">
            <v>3400004186</v>
          </cell>
          <cell r="B1732">
            <v>61100</v>
          </cell>
          <cell r="C1732">
            <v>1</v>
          </cell>
        </row>
        <row r="1733">
          <cell r="A1733">
            <v>3400004187</v>
          </cell>
          <cell r="B1733">
            <v>61100</v>
          </cell>
          <cell r="C1733">
            <v>1</v>
          </cell>
        </row>
        <row r="1734">
          <cell r="A1734">
            <v>3400004188</v>
          </cell>
          <cell r="B1734">
            <v>61100</v>
          </cell>
          <cell r="C1734">
            <v>1</v>
          </cell>
        </row>
        <row r="1735">
          <cell r="A1735">
            <v>3400004189</v>
          </cell>
          <cell r="B1735">
            <v>61100</v>
          </cell>
          <cell r="C1735">
            <v>1</v>
          </cell>
        </row>
        <row r="1736">
          <cell r="A1736">
            <v>3400004190</v>
          </cell>
          <cell r="B1736">
            <v>61100</v>
          </cell>
          <cell r="C1736">
            <v>1</v>
          </cell>
        </row>
        <row r="1737">
          <cell r="A1737">
            <v>3400004191</v>
          </cell>
          <cell r="B1737">
            <v>61100</v>
          </cell>
          <cell r="C1737">
            <v>1</v>
          </cell>
        </row>
        <row r="1738">
          <cell r="A1738">
            <v>3400004192</v>
          </cell>
          <cell r="B1738">
            <v>61100</v>
          </cell>
          <cell r="C1738">
            <v>1</v>
          </cell>
        </row>
        <row r="1739">
          <cell r="A1739">
            <v>3400004193</v>
          </cell>
          <cell r="B1739">
            <v>61100</v>
          </cell>
          <cell r="C1739">
            <v>1</v>
          </cell>
        </row>
        <row r="1740">
          <cell r="A1740">
            <v>3400004194</v>
          </cell>
          <cell r="B1740">
            <v>61100</v>
          </cell>
          <cell r="C1740">
            <v>1</v>
          </cell>
        </row>
        <row r="1741">
          <cell r="A1741">
            <v>3400004195</v>
          </cell>
          <cell r="B1741">
            <v>61100</v>
          </cell>
          <cell r="C1741">
            <v>1</v>
          </cell>
        </row>
        <row r="1742">
          <cell r="A1742">
            <v>3400004196</v>
          </cell>
          <cell r="B1742">
            <v>61103</v>
          </cell>
          <cell r="C1742">
            <v>1</v>
          </cell>
        </row>
        <row r="1743">
          <cell r="A1743">
            <v>3400004197</v>
          </cell>
          <cell r="B1743">
            <v>61100</v>
          </cell>
          <cell r="C1743">
            <v>1</v>
          </cell>
        </row>
        <row r="1744">
          <cell r="A1744">
            <v>3400004198</v>
          </cell>
          <cell r="B1744">
            <v>61100</v>
          </cell>
          <cell r="C1744">
            <v>1</v>
          </cell>
        </row>
        <row r="1745">
          <cell r="A1745">
            <v>3400004199</v>
          </cell>
          <cell r="B1745">
            <v>61100</v>
          </cell>
          <cell r="C1745">
            <v>1</v>
          </cell>
        </row>
        <row r="1746">
          <cell r="A1746">
            <v>3400004200</v>
          </cell>
          <cell r="B1746">
            <v>61100</v>
          </cell>
          <cell r="C1746">
            <v>1</v>
          </cell>
        </row>
        <row r="1747">
          <cell r="A1747">
            <v>3400004201</v>
          </cell>
          <cell r="B1747">
            <v>61100</v>
          </cell>
          <cell r="C1747">
            <v>1</v>
          </cell>
        </row>
        <row r="1748">
          <cell r="A1748">
            <v>3400004202</v>
          </cell>
          <cell r="B1748">
            <v>61100</v>
          </cell>
          <cell r="C1748">
            <v>1</v>
          </cell>
        </row>
        <row r="1749">
          <cell r="A1749">
            <v>3400004203</v>
          </cell>
          <cell r="B1749">
            <v>61100</v>
          </cell>
          <cell r="C1749">
            <v>1</v>
          </cell>
        </row>
        <row r="1750">
          <cell r="A1750">
            <v>3400004204</v>
          </cell>
          <cell r="B1750">
            <v>61100</v>
          </cell>
          <cell r="C1750">
            <v>1</v>
          </cell>
        </row>
        <row r="1751">
          <cell r="A1751">
            <v>3400004205</v>
          </cell>
          <cell r="B1751">
            <v>61100</v>
          </cell>
          <cell r="C1751">
            <v>1</v>
          </cell>
        </row>
        <row r="1752">
          <cell r="A1752">
            <v>3400004206</v>
          </cell>
          <cell r="B1752">
            <v>61100</v>
          </cell>
          <cell r="C1752">
            <v>1</v>
          </cell>
        </row>
        <row r="1753">
          <cell r="A1753">
            <v>3400004207</v>
          </cell>
          <cell r="B1753">
            <v>61100</v>
          </cell>
          <cell r="C1753">
            <v>1</v>
          </cell>
        </row>
        <row r="1754">
          <cell r="A1754">
            <v>3400004208</v>
          </cell>
          <cell r="B1754">
            <v>61100</v>
          </cell>
          <cell r="C1754">
            <v>1</v>
          </cell>
        </row>
        <row r="1755">
          <cell r="A1755">
            <v>3400004209</v>
          </cell>
          <cell r="B1755">
            <v>61100</v>
          </cell>
          <cell r="C1755">
            <v>1</v>
          </cell>
        </row>
        <row r="1756">
          <cell r="A1756">
            <v>3400004210</v>
          </cell>
          <cell r="B1756">
            <v>61100</v>
          </cell>
          <cell r="C1756">
            <v>1</v>
          </cell>
        </row>
        <row r="1757">
          <cell r="A1757">
            <v>3400004211</v>
          </cell>
          <cell r="B1757">
            <v>61100</v>
          </cell>
          <cell r="C1757">
            <v>1</v>
          </cell>
        </row>
        <row r="1758">
          <cell r="A1758">
            <v>3400004212</v>
          </cell>
          <cell r="B1758">
            <v>61103</v>
          </cell>
          <cell r="C1758">
            <v>1</v>
          </cell>
        </row>
        <row r="1759">
          <cell r="A1759">
            <v>3400004213</v>
          </cell>
          <cell r="B1759">
            <v>61103</v>
          </cell>
          <cell r="C1759">
            <v>1</v>
          </cell>
        </row>
        <row r="1760">
          <cell r="A1760">
            <v>3400004214</v>
          </cell>
          <cell r="B1760">
            <v>61103</v>
          </cell>
          <cell r="C1760">
            <v>1</v>
          </cell>
        </row>
        <row r="1761">
          <cell r="A1761">
            <v>3400004215</v>
          </cell>
          <cell r="B1761">
            <v>61103</v>
          </cell>
          <cell r="C1761">
            <v>1</v>
          </cell>
        </row>
        <row r="1762">
          <cell r="A1762">
            <v>3400004216</v>
          </cell>
          <cell r="B1762">
            <v>61206</v>
          </cell>
          <cell r="C1762">
            <v>1</v>
          </cell>
        </row>
        <row r="1763">
          <cell r="A1763">
            <v>3400004217</v>
          </cell>
          <cell r="B1763">
            <v>61206</v>
          </cell>
          <cell r="C1763">
            <v>1</v>
          </cell>
        </row>
        <row r="1764">
          <cell r="A1764">
            <v>3400004218</v>
          </cell>
          <cell r="B1764">
            <v>61206</v>
          </cell>
          <cell r="C1764">
            <v>1</v>
          </cell>
        </row>
        <row r="1765">
          <cell r="A1765">
            <v>3400004219</v>
          </cell>
          <cell r="B1765">
            <v>61206</v>
          </cell>
          <cell r="C1765">
            <v>1</v>
          </cell>
        </row>
        <row r="1766">
          <cell r="A1766">
            <v>3400004220</v>
          </cell>
          <cell r="B1766">
            <v>61206</v>
          </cell>
          <cell r="C1766">
            <v>1</v>
          </cell>
        </row>
        <row r="1767">
          <cell r="A1767">
            <v>3400004221</v>
          </cell>
          <cell r="B1767">
            <v>61206</v>
          </cell>
          <cell r="C1767">
            <v>1</v>
          </cell>
        </row>
        <row r="1768">
          <cell r="A1768">
            <v>3400004222</v>
          </cell>
          <cell r="B1768">
            <v>61206</v>
          </cell>
          <cell r="C1768">
            <v>1</v>
          </cell>
        </row>
        <row r="1769">
          <cell r="A1769">
            <v>3400004223</v>
          </cell>
          <cell r="B1769">
            <v>61206</v>
          </cell>
          <cell r="C1769">
            <v>1</v>
          </cell>
        </row>
        <row r="1770">
          <cell r="A1770">
            <v>3400004224</v>
          </cell>
          <cell r="B1770">
            <v>61150</v>
          </cell>
          <cell r="C1770">
            <v>1</v>
          </cell>
        </row>
        <row r="1771">
          <cell r="A1771">
            <v>3400004225</v>
          </cell>
          <cell r="B1771">
            <v>61206</v>
          </cell>
          <cell r="C1771">
            <v>1</v>
          </cell>
        </row>
        <row r="1772">
          <cell r="A1772">
            <v>3400004226</v>
          </cell>
          <cell r="B1772">
            <v>61206</v>
          </cell>
          <cell r="C1772">
            <v>1</v>
          </cell>
        </row>
        <row r="1773">
          <cell r="A1773">
            <v>3400004227</v>
          </cell>
          <cell r="B1773">
            <v>61206</v>
          </cell>
          <cell r="C1773">
            <v>1</v>
          </cell>
        </row>
        <row r="1774">
          <cell r="A1774">
            <v>3400004228</v>
          </cell>
          <cell r="B1774">
            <v>61206</v>
          </cell>
          <cell r="C1774">
            <v>1</v>
          </cell>
        </row>
        <row r="1775">
          <cell r="A1775">
            <v>3400004229</v>
          </cell>
          <cell r="B1775">
            <v>61206</v>
          </cell>
          <cell r="C1775">
            <v>1</v>
          </cell>
        </row>
        <row r="1776">
          <cell r="A1776">
            <v>3400004230</v>
          </cell>
          <cell r="B1776">
            <v>61206</v>
          </cell>
          <cell r="C1776">
            <v>1</v>
          </cell>
        </row>
        <row r="1777">
          <cell r="A1777">
            <v>3400004231</v>
          </cell>
          <cell r="B1777">
            <v>61150</v>
          </cell>
          <cell r="C1777">
            <v>1</v>
          </cell>
        </row>
        <row r="1778">
          <cell r="A1778">
            <v>3400004232</v>
          </cell>
          <cell r="B1778">
            <v>61150</v>
          </cell>
          <cell r="C1778">
            <v>1</v>
          </cell>
        </row>
        <row r="1779">
          <cell r="A1779">
            <v>3400004233</v>
          </cell>
          <cell r="B1779">
            <v>61153</v>
          </cell>
          <cell r="C1779">
            <v>1</v>
          </cell>
        </row>
        <row r="1780">
          <cell r="A1780">
            <v>3400004234</v>
          </cell>
          <cell r="B1780">
            <v>61112</v>
          </cell>
          <cell r="C1780">
            <v>1</v>
          </cell>
        </row>
        <row r="1781">
          <cell r="A1781">
            <v>3400004235</v>
          </cell>
          <cell r="B1781">
            <v>61153</v>
          </cell>
          <cell r="C1781">
            <v>1</v>
          </cell>
        </row>
        <row r="1782">
          <cell r="A1782">
            <v>3400004236</v>
          </cell>
          <cell r="B1782">
            <v>61153</v>
          </cell>
          <cell r="C1782">
            <v>1</v>
          </cell>
        </row>
        <row r="1783">
          <cell r="A1783">
            <v>3400004237</v>
          </cell>
          <cell r="B1783">
            <v>61153</v>
          </cell>
          <cell r="C1783">
            <v>1</v>
          </cell>
        </row>
        <row r="1784">
          <cell r="A1784">
            <v>3400004238</v>
          </cell>
          <cell r="B1784">
            <v>61153</v>
          </cell>
          <cell r="C1784">
            <v>1</v>
          </cell>
        </row>
        <row r="1785">
          <cell r="A1785">
            <v>3400004239</v>
          </cell>
          <cell r="B1785">
            <v>61153</v>
          </cell>
          <cell r="C1785">
            <v>1</v>
          </cell>
        </row>
        <row r="1786">
          <cell r="A1786">
            <v>3400004240</v>
          </cell>
          <cell r="B1786">
            <v>61153</v>
          </cell>
          <cell r="C1786">
            <v>1</v>
          </cell>
        </row>
        <row r="1787">
          <cell r="A1787">
            <v>3400004241</v>
          </cell>
          <cell r="B1787">
            <v>61153</v>
          </cell>
          <cell r="C1787">
            <v>1</v>
          </cell>
        </row>
        <row r="1788">
          <cell r="A1788">
            <v>3400004242</v>
          </cell>
          <cell r="B1788">
            <v>61153</v>
          </cell>
          <cell r="C1788">
            <v>1</v>
          </cell>
        </row>
        <row r="1789">
          <cell r="A1789">
            <v>3400004243</v>
          </cell>
          <cell r="B1789">
            <v>61150</v>
          </cell>
          <cell r="C1789">
            <v>150</v>
          </cell>
        </row>
        <row r="1790">
          <cell r="A1790">
            <v>3400004244</v>
          </cell>
          <cell r="B1790">
            <v>61206</v>
          </cell>
          <cell r="C1790">
            <v>50</v>
          </cell>
        </row>
        <row r="1791">
          <cell r="A1791">
            <v>3400004245</v>
          </cell>
          <cell r="B1791">
            <v>61206</v>
          </cell>
          <cell r="C1791">
            <v>20</v>
          </cell>
        </row>
        <row r="1792">
          <cell r="A1792">
            <v>3400004246</v>
          </cell>
          <cell r="B1792">
            <v>61112</v>
          </cell>
          <cell r="C1792">
            <v>1</v>
          </cell>
        </row>
        <row r="1793">
          <cell r="A1793">
            <v>3400004247</v>
          </cell>
          <cell r="B1793">
            <v>61112</v>
          </cell>
          <cell r="C1793">
            <v>1</v>
          </cell>
        </row>
        <row r="1794">
          <cell r="A1794">
            <v>3400004248</v>
          </cell>
          <cell r="B1794">
            <v>61112</v>
          </cell>
          <cell r="C1794">
            <v>1</v>
          </cell>
        </row>
        <row r="1795">
          <cell r="A1795">
            <v>3400004249</v>
          </cell>
          <cell r="B1795">
            <v>61112</v>
          </cell>
          <cell r="C1795">
            <v>1</v>
          </cell>
        </row>
        <row r="1796">
          <cell r="A1796">
            <v>3400004250</v>
          </cell>
          <cell r="B1796">
            <v>61153</v>
          </cell>
          <cell r="C1796">
            <v>1</v>
          </cell>
        </row>
        <row r="1797">
          <cell r="A1797">
            <v>3400004251</v>
          </cell>
          <cell r="B1797">
            <v>61111</v>
          </cell>
          <cell r="C1797">
            <v>1</v>
          </cell>
        </row>
        <row r="1798">
          <cell r="A1798">
            <v>3400004252</v>
          </cell>
          <cell r="B1798">
            <v>61100</v>
          </cell>
          <cell r="C1798">
            <v>1</v>
          </cell>
        </row>
        <row r="1799">
          <cell r="A1799">
            <v>3400004253</v>
          </cell>
          <cell r="B1799">
            <v>61100</v>
          </cell>
          <cell r="C1799">
            <v>1</v>
          </cell>
        </row>
        <row r="1800">
          <cell r="A1800">
            <v>3400004254</v>
          </cell>
          <cell r="B1800">
            <v>61100</v>
          </cell>
          <cell r="C1800">
            <v>1</v>
          </cell>
        </row>
        <row r="1801">
          <cell r="A1801">
            <v>3400004255</v>
          </cell>
          <cell r="B1801">
            <v>61154</v>
          </cell>
          <cell r="C1801">
            <v>1</v>
          </cell>
        </row>
        <row r="1802">
          <cell r="A1802">
            <v>3400004256</v>
          </cell>
          <cell r="B1802">
            <v>61157</v>
          </cell>
          <cell r="C1802">
            <v>1</v>
          </cell>
        </row>
        <row r="1803">
          <cell r="A1803">
            <v>3400004256</v>
          </cell>
          <cell r="B1803">
            <v>61157</v>
          </cell>
          <cell r="C1803">
            <v>1</v>
          </cell>
        </row>
        <row r="1804">
          <cell r="A1804">
            <v>3400004257</v>
          </cell>
          <cell r="B1804">
            <v>61119</v>
          </cell>
          <cell r="C1804">
            <v>1</v>
          </cell>
        </row>
        <row r="1805">
          <cell r="A1805">
            <v>3400004258</v>
          </cell>
          <cell r="B1805">
            <v>61206</v>
          </cell>
          <cell r="C1805">
            <v>1</v>
          </cell>
        </row>
        <row r="1806">
          <cell r="A1806">
            <v>3400004259</v>
          </cell>
          <cell r="B1806">
            <v>61160</v>
          </cell>
          <cell r="C1806">
            <v>1</v>
          </cell>
        </row>
        <row r="1807">
          <cell r="A1807">
            <v>3400004260</v>
          </cell>
          <cell r="B1807">
            <v>61206</v>
          </cell>
          <cell r="C1807">
            <v>1</v>
          </cell>
        </row>
        <row r="1808">
          <cell r="A1808">
            <v>3400004261</v>
          </cell>
          <cell r="B1808">
            <v>61206</v>
          </cell>
          <cell r="C1808">
            <v>1</v>
          </cell>
        </row>
        <row r="1809">
          <cell r="A1809">
            <v>3400004262</v>
          </cell>
          <cell r="B1809">
            <v>61154</v>
          </cell>
          <cell r="C1809">
            <v>1</v>
          </cell>
        </row>
        <row r="1810">
          <cell r="A1810">
            <v>3400004263</v>
          </cell>
          <cell r="B1810">
            <v>61153</v>
          </cell>
          <cell r="C1810">
            <v>1</v>
          </cell>
        </row>
        <row r="1811">
          <cell r="A1811">
            <v>3400004264</v>
          </cell>
          <cell r="B1811">
            <v>61115</v>
          </cell>
          <cell r="C1811">
            <v>5</v>
          </cell>
        </row>
        <row r="1812">
          <cell r="A1812">
            <v>3400004265</v>
          </cell>
          <cell r="B1812">
            <v>61104</v>
          </cell>
          <cell r="C1812">
            <v>1</v>
          </cell>
        </row>
        <row r="1813">
          <cell r="A1813">
            <v>3400004266</v>
          </cell>
          <cell r="B1813">
            <v>61111</v>
          </cell>
          <cell r="C1813">
            <v>1</v>
          </cell>
        </row>
        <row r="1814">
          <cell r="A1814">
            <v>3400004267</v>
          </cell>
          <cell r="B1814">
            <v>61151</v>
          </cell>
          <cell r="C1814">
            <v>1</v>
          </cell>
        </row>
        <row r="1815">
          <cell r="A1815">
            <v>3400004268</v>
          </cell>
          <cell r="B1815">
            <v>61159</v>
          </cell>
          <cell r="C1815">
            <v>1</v>
          </cell>
        </row>
        <row r="1816">
          <cell r="A1816">
            <v>3400004269</v>
          </cell>
          <cell r="B1816">
            <v>61152</v>
          </cell>
          <cell r="C1816">
            <v>1</v>
          </cell>
        </row>
        <row r="1817">
          <cell r="A1817">
            <v>3400004270</v>
          </cell>
          <cell r="B1817">
            <v>61119</v>
          </cell>
          <cell r="C1817">
            <v>1</v>
          </cell>
        </row>
        <row r="1818">
          <cell r="A1818">
            <v>3400004271</v>
          </cell>
          <cell r="B1818">
            <v>61119</v>
          </cell>
          <cell r="C1818">
            <v>1</v>
          </cell>
        </row>
        <row r="1819">
          <cell r="A1819">
            <v>3400004272</v>
          </cell>
          <cell r="B1819">
            <v>61104</v>
          </cell>
          <cell r="C1819">
            <v>1</v>
          </cell>
        </row>
        <row r="1820">
          <cell r="A1820">
            <v>3400004273</v>
          </cell>
          <cell r="B1820">
            <v>61104</v>
          </cell>
          <cell r="C1820">
            <v>1</v>
          </cell>
        </row>
        <row r="1821">
          <cell r="A1821">
            <v>3400004274</v>
          </cell>
          <cell r="B1821">
            <v>61104</v>
          </cell>
          <cell r="C1821">
            <v>1</v>
          </cell>
        </row>
        <row r="1822">
          <cell r="A1822">
            <v>3400004275</v>
          </cell>
          <cell r="B1822">
            <v>61104</v>
          </cell>
          <cell r="C1822">
            <v>1</v>
          </cell>
        </row>
        <row r="1823">
          <cell r="A1823">
            <v>3400004276</v>
          </cell>
          <cell r="B1823">
            <v>61104</v>
          </cell>
          <cell r="C1823">
            <v>1</v>
          </cell>
        </row>
        <row r="1824">
          <cell r="A1824">
            <v>3400004277</v>
          </cell>
          <cell r="B1824">
            <v>61104</v>
          </cell>
          <cell r="C1824">
            <v>1</v>
          </cell>
        </row>
        <row r="1825">
          <cell r="A1825">
            <v>3400004278</v>
          </cell>
          <cell r="B1825">
            <v>61104</v>
          </cell>
          <cell r="C1825">
            <v>1</v>
          </cell>
        </row>
        <row r="1826">
          <cell r="A1826">
            <v>3400004279</v>
          </cell>
          <cell r="B1826">
            <v>61104</v>
          </cell>
          <cell r="C1826">
            <v>1</v>
          </cell>
        </row>
        <row r="1827">
          <cell r="A1827">
            <v>3400004280</v>
          </cell>
          <cell r="B1827">
            <v>61104</v>
          </cell>
          <cell r="C1827">
            <v>1</v>
          </cell>
        </row>
        <row r="1828">
          <cell r="A1828">
            <v>3400004281</v>
          </cell>
          <cell r="B1828">
            <v>61104</v>
          </cell>
          <cell r="C1828">
            <v>1</v>
          </cell>
        </row>
        <row r="1829">
          <cell r="A1829">
            <v>3400004282</v>
          </cell>
          <cell r="B1829">
            <v>61101</v>
          </cell>
          <cell r="C1829">
            <v>1</v>
          </cell>
        </row>
        <row r="1830">
          <cell r="A1830">
            <v>3400004282</v>
          </cell>
          <cell r="B1830">
            <v>61101</v>
          </cell>
          <cell r="C1830">
            <v>1</v>
          </cell>
        </row>
        <row r="1831">
          <cell r="A1831">
            <v>3400004283</v>
          </cell>
          <cell r="B1831">
            <v>61101</v>
          </cell>
          <cell r="C1831">
            <v>1</v>
          </cell>
        </row>
        <row r="1832">
          <cell r="A1832">
            <v>3400004283</v>
          </cell>
          <cell r="B1832">
            <v>61101</v>
          </cell>
          <cell r="C1832">
            <v>1</v>
          </cell>
        </row>
        <row r="1833">
          <cell r="A1833">
            <v>3400004284</v>
          </cell>
          <cell r="B1833">
            <v>61101</v>
          </cell>
          <cell r="C1833">
            <v>1</v>
          </cell>
        </row>
        <row r="1834">
          <cell r="A1834">
            <v>3400004284</v>
          </cell>
          <cell r="B1834">
            <v>61101</v>
          </cell>
          <cell r="C1834">
            <v>1</v>
          </cell>
        </row>
        <row r="1835">
          <cell r="A1835">
            <v>3400004285</v>
          </cell>
          <cell r="B1835">
            <v>61206</v>
          </cell>
          <cell r="C1835">
            <v>1</v>
          </cell>
        </row>
        <row r="1836">
          <cell r="A1836">
            <v>3400004286</v>
          </cell>
          <cell r="B1836">
            <v>61206</v>
          </cell>
          <cell r="C1836">
            <v>1</v>
          </cell>
        </row>
        <row r="1837">
          <cell r="A1837">
            <v>3400004287</v>
          </cell>
          <cell r="B1837">
            <v>61206</v>
          </cell>
          <cell r="C1837">
            <v>1</v>
          </cell>
        </row>
        <row r="1838">
          <cell r="A1838">
            <v>3400004288</v>
          </cell>
          <cell r="B1838">
            <v>61206</v>
          </cell>
          <cell r="C1838">
            <v>1</v>
          </cell>
        </row>
        <row r="1839">
          <cell r="A1839">
            <v>3400004289</v>
          </cell>
          <cell r="B1839">
            <v>61206</v>
          </cell>
          <cell r="C1839">
            <v>1</v>
          </cell>
        </row>
        <row r="1840">
          <cell r="A1840">
            <v>3400004290</v>
          </cell>
          <cell r="B1840">
            <v>61206</v>
          </cell>
          <cell r="C1840">
            <v>1</v>
          </cell>
        </row>
        <row r="1841">
          <cell r="A1841">
            <v>3400004291</v>
          </cell>
          <cell r="B1841">
            <v>61206</v>
          </cell>
          <cell r="C1841">
            <v>1</v>
          </cell>
        </row>
        <row r="1842">
          <cell r="A1842">
            <v>3400004292</v>
          </cell>
          <cell r="B1842">
            <v>61206</v>
          </cell>
          <cell r="C1842">
            <v>1</v>
          </cell>
        </row>
        <row r="1843">
          <cell r="A1843">
            <v>3400004293</v>
          </cell>
          <cell r="B1843">
            <v>61206</v>
          </cell>
          <cell r="C1843">
            <v>1</v>
          </cell>
        </row>
        <row r="1844">
          <cell r="A1844">
            <v>3400004294</v>
          </cell>
          <cell r="B1844">
            <v>61206</v>
          </cell>
          <cell r="C1844">
            <v>1</v>
          </cell>
        </row>
        <row r="1845">
          <cell r="A1845">
            <v>3400004295</v>
          </cell>
          <cell r="B1845">
            <v>61206</v>
          </cell>
          <cell r="C1845">
            <v>1</v>
          </cell>
        </row>
        <row r="1846">
          <cell r="A1846">
            <v>3400004296</v>
          </cell>
          <cell r="B1846">
            <v>61206</v>
          </cell>
          <cell r="C1846">
            <v>1</v>
          </cell>
        </row>
        <row r="1847">
          <cell r="A1847">
            <v>3400004297</v>
          </cell>
          <cell r="B1847">
            <v>61112</v>
          </cell>
          <cell r="C1847">
            <v>1</v>
          </cell>
        </row>
        <row r="1848">
          <cell r="A1848">
            <v>3400004298</v>
          </cell>
          <cell r="B1848">
            <v>61112</v>
          </cell>
          <cell r="C1848">
            <v>1</v>
          </cell>
        </row>
        <row r="1849">
          <cell r="A1849">
            <v>3400004299</v>
          </cell>
          <cell r="B1849">
            <v>61112</v>
          </cell>
          <cell r="C1849">
            <v>1</v>
          </cell>
        </row>
        <row r="1850">
          <cell r="A1850">
            <v>3400004300</v>
          </cell>
          <cell r="B1850">
            <v>61112</v>
          </cell>
          <cell r="C1850">
            <v>1</v>
          </cell>
        </row>
        <row r="1851">
          <cell r="A1851">
            <v>3400004301</v>
          </cell>
          <cell r="B1851">
            <v>61112</v>
          </cell>
          <cell r="C1851">
            <v>1</v>
          </cell>
        </row>
        <row r="1852">
          <cell r="A1852">
            <v>3400004302</v>
          </cell>
          <cell r="B1852">
            <v>61112</v>
          </cell>
          <cell r="C1852">
            <v>1</v>
          </cell>
        </row>
        <row r="1853">
          <cell r="A1853">
            <v>3400004303</v>
          </cell>
          <cell r="B1853">
            <v>61154</v>
          </cell>
          <cell r="C1853">
            <v>1</v>
          </cell>
        </row>
        <row r="1854">
          <cell r="A1854">
            <v>3400004304</v>
          </cell>
          <cell r="B1854">
            <v>61112</v>
          </cell>
          <cell r="C1854">
            <v>1</v>
          </cell>
        </row>
        <row r="1855">
          <cell r="A1855">
            <v>3400004305</v>
          </cell>
          <cell r="B1855">
            <v>61112</v>
          </cell>
          <cell r="C1855">
            <v>1</v>
          </cell>
        </row>
        <row r="1856">
          <cell r="A1856">
            <v>3400004306</v>
          </cell>
          <cell r="B1856">
            <v>61112</v>
          </cell>
          <cell r="C1856">
            <v>1</v>
          </cell>
        </row>
        <row r="1857">
          <cell r="A1857">
            <v>3400004307</v>
          </cell>
          <cell r="B1857">
            <v>61102</v>
          </cell>
          <cell r="C1857">
            <v>1</v>
          </cell>
        </row>
        <row r="1858">
          <cell r="A1858">
            <v>3400004308</v>
          </cell>
          <cell r="B1858">
            <v>61102</v>
          </cell>
          <cell r="C1858">
            <v>1</v>
          </cell>
        </row>
        <row r="1859">
          <cell r="A1859">
            <v>3400004309</v>
          </cell>
          <cell r="B1859">
            <v>61153</v>
          </cell>
          <cell r="C1859">
            <v>1</v>
          </cell>
        </row>
        <row r="1860">
          <cell r="A1860">
            <v>3400004310</v>
          </cell>
          <cell r="B1860">
            <v>61153</v>
          </cell>
          <cell r="C1860">
            <v>1</v>
          </cell>
        </row>
        <row r="1861">
          <cell r="A1861">
            <v>3400004311</v>
          </cell>
          <cell r="B1861">
            <v>61153</v>
          </cell>
          <cell r="C1861">
            <v>1</v>
          </cell>
        </row>
        <row r="1862">
          <cell r="A1862">
            <v>3400004312</v>
          </cell>
          <cell r="B1862">
            <v>61153</v>
          </cell>
          <cell r="C1862">
            <v>1</v>
          </cell>
        </row>
        <row r="1863">
          <cell r="A1863">
            <v>3400004313</v>
          </cell>
          <cell r="B1863">
            <v>61153</v>
          </cell>
          <cell r="C1863">
            <v>1</v>
          </cell>
        </row>
        <row r="1864">
          <cell r="A1864">
            <v>3400004314</v>
          </cell>
          <cell r="B1864">
            <v>61102</v>
          </cell>
          <cell r="C1864">
            <v>1</v>
          </cell>
        </row>
        <row r="1865">
          <cell r="A1865">
            <v>3400004315</v>
          </cell>
          <cell r="B1865">
            <v>61102</v>
          </cell>
          <cell r="C1865">
            <v>1</v>
          </cell>
        </row>
        <row r="1866">
          <cell r="A1866">
            <v>3400004316</v>
          </cell>
          <cell r="B1866">
            <v>61154</v>
          </cell>
          <cell r="C1866">
            <v>1</v>
          </cell>
        </row>
        <row r="1867">
          <cell r="A1867">
            <v>3400004317</v>
          </cell>
          <cell r="B1867">
            <v>61150</v>
          </cell>
          <cell r="C1867">
            <v>1</v>
          </cell>
        </row>
        <row r="1868">
          <cell r="A1868">
            <v>3400004318</v>
          </cell>
          <cell r="B1868">
            <v>61150</v>
          </cell>
          <cell r="C1868">
            <v>1</v>
          </cell>
        </row>
        <row r="1869">
          <cell r="A1869">
            <v>3400004319</v>
          </cell>
          <cell r="B1869">
            <v>61154</v>
          </cell>
          <cell r="C1869">
            <v>1</v>
          </cell>
        </row>
        <row r="1870">
          <cell r="A1870">
            <v>3400004320</v>
          </cell>
          <cell r="B1870">
            <v>61154</v>
          </cell>
          <cell r="C1870">
            <v>1</v>
          </cell>
        </row>
        <row r="1871">
          <cell r="A1871">
            <v>3400004321</v>
          </cell>
          <cell r="B1871">
            <v>61154</v>
          </cell>
          <cell r="C1871">
            <v>1</v>
          </cell>
        </row>
        <row r="1872">
          <cell r="A1872">
            <v>3400004322</v>
          </cell>
          <cell r="B1872">
            <v>61154</v>
          </cell>
          <cell r="C1872">
            <v>1</v>
          </cell>
        </row>
        <row r="1873">
          <cell r="A1873">
            <v>3400004323</v>
          </cell>
          <cell r="B1873">
            <v>61104</v>
          </cell>
          <cell r="C1873">
            <v>1</v>
          </cell>
        </row>
        <row r="1874">
          <cell r="A1874">
            <v>3400004324</v>
          </cell>
          <cell r="B1874">
            <v>61104</v>
          </cell>
          <cell r="C1874">
            <v>1</v>
          </cell>
        </row>
        <row r="1875">
          <cell r="A1875">
            <v>3400004325</v>
          </cell>
          <cell r="B1875">
            <v>61104</v>
          </cell>
          <cell r="C1875">
            <v>1</v>
          </cell>
        </row>
        <row r="1876">
          <cell r="A1876">
            <v>3400004326</v>
          </cell>
          <cell r="B1876">
            <v>61206</v>
          </cell>
          <cell r="C1876">
            <v>1</v>
          </cell>
        </row>
        <row r="1877">
          <cell r="A1877">
            <v>3400004327</v>
          </cell>
          <cell r="B1877">
            <v>61206</v>
          </cell>
          <cell r="C1877">
            <v>1</v>
          </cell>
        </row>
        <row r="1878">
          <cell r="A1878">
            <v>3400004328</v>
          </cell>
          <cell r="B1878">
            <v>61206</v>
          </cell>
          <cell r="C1878">
            <v>1</v>
          </cell>
        </row>
        <row r="1879">
          <cell r="A1879">
            <v>3400004329</v>
          </cell>
          <cell r="B1879">
            <v>61206</v>
          </cell>
          <cell r="C1879">
            <v>1</v>
          </cell>
        </row>
        <row r="1880">
          <cell r="A1880">
            <v>3400004330</v>
          </cell>
          <cell r="B1880">
            <v>61206</v>
          </cell>
          <cell r="C1880">
            <v>1</v>
          </cell>
        </row>
        <row r="1881">
          <cell r="A1881">
            <v>3400004331</v>
          </cell>
          <cell r="B1881">
            <v>61206</v>
          </cell>
          <cell r="C1881">
            <v>1</v>
          </cell>
        </row>
        <row r="1882">
          <cell r="A1882">
            <v>3400004332</v>
          </cell>
          <cell r="B1882">
            <v>61206</v>
          </cell>
          <cell r="C1882">
            <v>1</v>
          </cell>
        </row>
        <row r="1883">
          <cell r="A1883">
            <v>3400004333</v>
          </cell>
          <cell r="B1883">
            <v>61206</v>
          </cell>
          <cell r="C1883">
            <v>1</v>
          </cell>
        </row>
        <row r="1884">
          <cell r="A1884">
            <v>3400004334</v>
          </cell>
          <cell r="B1884">
            <v>61206</v>
          </cell>
          <cell r="C1884">
            <v>1</v>
          </cell>
        </row>
        <row r="1885">
          <cell r="A1885">
            <v>3400004335</v>
          </cell>
          <cell r="B1885">
            <v>61206</v>
          </cell>
          <cell r="C1885">
            <v>1</v>
          </cell>
        </row>
        <row r="1886">
          <cell r="A1886">
            <v>3400004336</v>
          </cell>
          <cell r="B1886">
            <v>61161</v>
          </cell>
          <cell r="C1886">
            <v>2</v>
          </cell>
        </row>
        <row r="1887">
          <cell r="A1887">
            <v>3400004337</v>
          </cell>
          <cell r="B1887">
            <v>61101</v>
          </cell>
          <cell r="C1887">
            <v>1</v>
          </cell>
        </row>
        <row r="1888">
          <cell r="A1888">
            <v>3400004338</v>
          </cell>
          <cell r="B1888">
            <v>61100</v>
          </cell>
          <cell r="C1888">
            <v>1</v>
          </cell>
        </row>
        <row r="1889">
          <cell r="A1889">
            <v>3400004339</v>
          </cell>
          <cell r="B1889">
            <v>61100</v>
          </cell>
          <cell r="C1889">
            <v>1</v>
          </cell>
        </row>
        <row r="1890">
          <cell r="A1890">
            <v>3400004340</v>
          </cell>
          <cell r="B1890">
            <v>61100</v>
          </cell>
          <cell r="C1890">
            <v>1</v>
          </cell>
        </row>
        <row r="1891">
          <cell r="A1891">
            <v>3400004341</v>
          </cell>
          <cell r="B1891">
            <v>61100</v>
          </cell>
          <cell r="C1891">
            <v>1</v>
          </cell>
        </row>
        <row r="1892">
          <cell r="A1892">
            <v>3400004342</v>
          </cell>
          <cell r="B1892">
            <v>61101</v>
          </cell>
          <cell r="C1892">
            <v>1</v>
          </cell>
        </row>
        <row r="1893">
          <cell r="A1893">
            <v>3400004343</v>
          </cell>
          <cell r="B1893">
            <v>61101</v>
          </cell>
          <cell r="C1893">
            <v>1</v>
          </cell>
        </row>
        <row r="1894">
          <cell r="A1894">
            <v>3400004344</v>
          </cell>
          <cell r="B1894">
            <v>61101</v>
          </cell>
          <cell r="C1894">
            <v>1</v>
          </cell>
        </row>
        <row r="1895">
          <cell r="A1895">
            <v>3400004345</v>
          </cell>
          <cell r="B1895">
            <v>61101</v>
          </cell>
          <cell r="C1895">
            <v>1</v>
          </cell>
        </row>
        <row r="1896">
          <cell r="A1896">
            <v>3400004346</v>
          </cell>
          <cell r="B1896">
            <v>61101</v>
          </cell>
          <cell r="C1896">
            <v>1</v>
          </cell>
        </row>
        <row r="1897">
          <cell r="A1897">
            <v>3400004347</v>
          </cell>
          <cell r="B1897">
            <v>61101</v>
          </cell>
          <cell r="C1897">
            <v>1</v>
          </cell>
        </row>
        <row r="1898">
          <cell r="A1898">
            <v>3400004348</v>
          </cell>
          <cell r="B1898">
            <v>61101</v>
          </cell>
          <cell r="C1898">
            <v>1</v>
          </cell>
        </row>
        <row r="1899">
          <cell r="A1899">
            <v>3400004349</v>
          </cell>
          <cell r="B1899">
            <v>61101</v>
          </cell>
          <cell r="C1899">
            <v>1</v>
          </cell>
        </row>
        <row r="1900">
          <cell r="A1900">
            <v>3400004350</v>
          </cell>
          <cell r="B1900">
            <v>61101</v>
          </cell>
          <cell r="C1900">
            <v>1</v>
          </cell>
        </row>
        <row r="1901">
          <cell r="A1901">
            <v>3400004351</v>
          </cell>
          <cell r="B1901">
            <v>61101</v>
          </cell>
          <cell r="C1901">
            <v>1</v>
          </cell>
        </row>
        <row r="1902">
          <cell r="A1902">
            <v>3400004352</v>
          </cell>
          <cell r="B1902">
            <v>61101</v>
          </cell>
          <cell r="C1902">
            <v>1</v>
          </cell>
        </row>
        <row r="1903">
          <cell r="A1903">
            <v>3400004353</v>
          </cell>
          <cell r="B1903">
            <v>61150</v>
          </cell>
          <cell r="C1903">
            <v>1</v>
          </cell>
        </row>
        <row r="1904">
          <cell r="A1904">
            <v>3400004354</v>
          </cell>
          <cell r="B1904">
            <v>61150</v>
          </cell>
          <cell r="C1904">
            <v>1</v>
          </cell>
        </row>
        <row r="1905">
          <cell r="A1905">
            <v>3400004355</v>
          </cell>
          <cell r="B1905">
            <v>61206</v>
          </cell>
          <cell r="C1905">
            <v>1</v>
          </cell>
        </row>
        <row r="1906">
          <cell r="A1906">
            <v>3400004356</v>
          </cell>
          <cell r="B1906">
            <v>61206</v>
          </cell>
          <cell r="C1906">
            <v>1</v>
          </cell>
        </row>
        <row r="1907">
          <cell r="A1907">
            <v>3400004357</v>
          </cell>
          <cell r="B1907">
            <v>61206</v>
          </cell>
          <cell r="C1907">
            <v>1</v>
          </cell>
        </row>
        <row r="1908">
          <cell r="A1908">
            <v>3400004358</v>
          </cell>
          <cell r="B1908">
            <v>61206</v>
          </cell>
          <cell r="C1908">
            <v>1</v>
          </cell>
        </row>
        <row r="1909">
          <cell r="A1909">
            <v>3400004359</v>
          </cell>
          <cell r="B1909">
            <v>61206</v>
          </cell>
          <cell r="C1909">
            <v>100</v>
          </cell>
        </row>
        <row r="1910">
          <cell r="A1910">
            <v>3400004360</v>
          </cell>
          <cell r="B1910">
            <v>61206</v>
          </cell>
          <cell r="C1910">
            <v>131</v>
          </cell>
        </row>
        <row r="1911">
          <cell r="A1911">
            <v>3400004361</v>
          </cell>
          <cell r="B1911">
            <v>61206</v>
          </cell>
          <cell r="C1911">
            <v>122</v>
          </cell>
        </row>
        <row r="1912">
          <cell r="A1912">
            <v>3400004362</v>
          </cell>
          <cell r="B1912">
            <v>61206</v>
          </cell>
          <cell r="C1912">
            <v>180</v>
          </cell>
        </row>
        <row r="1913">
          <cell r="A1913">
            <v>3400004363</v>
          </cell>
          <cell r="B1913">
            <v>61206</v>
          </cell>
          <cell r="C1913">
            <v>188</v>
          </cell>
        </row>
        <row r="1914">
          <cell r="A1914">
            <v>3400004364</v>
          </cell>
          <cell r="B1914">
            <v>61158</v>
          </cell>
          <cell r="C1914">
            <v>1</v>
          </cell>
        </row>
        <row r="1915">
          <cell r="A1915">
            <v>3400004365</v>
          </cell>
          <cell r="B1915">
            <v>61158</v>
          </cell>
          <cell r="C1915">
            <v>1</v>
          </cell>
        </row>
        <row r="1916">
          <cell r="A1916">
            <v>3400004365</v>
          </cell>
          <cell r="B1916">
            <v>61158</v>
          </cell>
          <cell r="C1916">
            <v>1</v>
          </cell>
        </row>
        <row r="1917">
          <cell r="A1917">
            <v>3400004365</v>
          </cell>
          <cell r="B1917">
            <v>61158</v>
          </cell>
          <cell r="C1917">
            <v>1</v>
          </cell>
        </row>
        <row r="1918">
          <cell r="A1918">
            <v>3400004365</v>
          </cell>
          <cell r="B1918">
            <v>61158</v>
          </cell>
          <cell r="C1918">
            <v>1</v>
          </cell>
        </row>
        <row r="1919">
          <cell r="A1919">
            <v>3400004366</v>
          </cell>
          <cell r="B1919">
            <v>61104</v>
          </cell>
          <cell r="C1919">
            <v>1</v>
          </cell>
        </row>
        <row r="1920">
          <cell r="A1920">
            <v>3400004367</v>
          </cell>
          <cell r="B1920">
            <v>61104</v>
          </cell>
          <cell r="C1920">
            <v>4</v>
          </cell>
        </row>
        <row r="1921">
          <cell r="A1921">
            <v>3400004368</v>
          </cell>
          <cell r="B1921">
            <v>61104</v>
          </cell>
          <cell r="C1921">
            <v>1</v>
          </cell>
        </row>
        <row r="1922">
          <cell r="A1922">
            <v>3400004369</v>
          </cell>
          <cell r="B1922">
            <v>61104</v>
          </cell>
          <cell r="C1922">
            <v>1</v>
          </cell>
        </row>
        <row r="1923">
          <cell r="A1923">
            <v>3400004370</v>
          </cell>
          <cell r="B1923">
            <v>61104</v>
          </cell>
          <cell r="C1923">
            <v>1</v>
          </cell>
        </row>
        <row r="1924">
          <cell r="A1924">
            <v>3400004371</v>
          </cell>
          <cell r="B1924">
            <v>61104</v>
          </cell>
          <cell r="C1924">
            <v>1</v>
          </cell>
        </row>
        <row r="1925">
          <cell r="A1925">
            <v>3400004372</v>
          </cell>
          <cell r="B1925">
            <v>61104</v>
          </cell>
          <cell r="C1925">
            <v>1</v>
          </cell>
        </row>
        <row r="1926">
          <cell r="A1926">
            <v>3400004373</v>
          </cell>
          <cell r="B1926">
            <v>61104</v>
          </cell>
          <cell r="C1926">
            <v>1</v>
          </cell>
        </row>
        <row r="1927">
          <cell r="A1927">
            <v>3400004374</v>
          </cell>
          <cell r="B1927">
            <v>61104</v>
          </cell>
          <cell r="C1927">
            <v>1</v>
          </cell>
        </row>
        <row r="1928">
          <cell r="A1928">
            <v>3400004375</v>
          </cell>
          <cell r="B1928">
            <v>61104</v>
          </cell>
          <cell r="C1928">
            <v>1</v>
          </cell>
        </row>
        <row r="1929">
          <cell r="A1929">
            <v>3400004376</v>
          </cell>
          <cell r="B1929">
            <v>61104</v>
          </cell>
          <cell r="C1929">
            <v>1</v>
          </cell>
        </row>
        <row r="1930">
          <cell r="A1930">
            <v>3400004377</v>
          </cell>
          <cell r="B1930">
            <v>61104</v>
          </cell>
          <cell r="C1930">
            <v>1</v>
          </cell>
        </row>
        <row r="1931">
          <cell r="A1931">
            <v>3400004378</v>
          </cell>
          <cell r="B1931">
            <v>61104</v>
          </cell>
          <cell r="C1931">
            <v>2</v>
          </cell>
        </row>
        <row r="1932">
          <cell r="A1932">
            <v>3400004379</v>
          </cell>
          <cell r="B1932">
            <v>61104</v>
          </cell>
          <cell r="C1932">
            <v>1</v>
          </cell>
        </row>
        <row r="1933">
          <cell r="A1933">
            <v>3400004380</v>
          </cell>
          <cell r="B1933">
            <v>61104</v>
          </cell>
          <cell r="C1933">
            <v>1</v>
          </cell>
        </row>
        <row r="1934">
          <cell r="A1934">
            <v>3400004381</v>
          </cell>
          <cell r="B1934">
            <v>61104</v>
          </cell>
          <cell r="C1934">
            <v>1</v>
          </cell>
        </row>
        <row r="1935">
          <cell r="A1935">
            <v>3400004382</v>
          </cell>
          <cell r="B1935">
            <v>61104</v>
          </cell>
          <cell r="C1935">
            <v>1</v>
          </cell>
        </row>
        <row r="1936">
          <cell r="A1936">
            <v>3400004383</v>
          </cell>
          <cell r="B1936">
            <v>61104</v>
          </cell>
          <cell r="C1936">
            <v>1</v>
          </cell>
        </row>
        <row r="1937">
          <cell r="A1937">
            <v>3400004384</v>
          </cell>
          <cell r="B1937">
            <v>61104</v>
          </cell>
          <cell r="C1937">
            <v>1</v>
          </cell>
        </row>
        <row r="1938">
          <cell r="A1938">
            <v>3400004385</v>
          </cell>
          <cell r="B1938">
            <v>61104</v>
          </cell>
          <cell r="C1938">
            <v>1</v>
          </cell>
        </row>
        <row r="1939">
          <cell r="A1939">
            <v>3400004386</v>
          </cell>
          <cell r="B1939">
            <v>61104</v>
          </cell>
          <cell r="C1939">
            <v>1</v>
          </cell>
        </row>
        <row r="1940">
          <cell r="A1940">
            <v>3400004387</v>
          </cell>
          <cell r="B1940">
            <v>61104</v>
          </cell>
          <cell r="C1940">
            <v>1</v>
          </cell>
        </row>
        <row r="1941">
          <cell r="A1941">
            <v>3400004388</v>
          </cell>
          <cell r="B1941">
            <v>61158</v>
          </cell>
          <cell r="C1941">
            <v>1</v>
          </cell>
        </row>
        <row r="1942">
          <cell r="A1942">
            <v>3400004388</v>
          </cell>
          <cell r="B1942">
            <v>61158</v>
          </cell>
          <cell r="C1942">
            <v>1</v>
          </cell>
        </row>
        <row r="1943">
          <cell r="A1943">
            <v>3400004388</v>
          </cell>
          <cell r="B1943">
            <v>61158</v>
          </cell>
          <cell r="C1943">
            <v>1</v>
          </cell>
        </row>
        <row r="1944">
          <cell r="A1944">
            <v>3400004389</v>
          </cell>
          <cell r="B1944">
            <v>61155</v>
          </cell>
          <cell r="C1944">
            <v>1</v>
          </cell>
        </row>
        <row r="1945">
          <cell r="A1945">
            <v>3400004389</v>
          </cell>
          <cell r="B1945">
            <v>61155</v>
          </cell>
          <cell r="C1945">
            <v>1</v>
          </cell>
        </row>
        <row r="1946">
          <cell r="A1946">
            <v>3400004390</v>
          </cell>
          <cell r="B1946">
            <v>61158</v>
          </cell>
          <cell r="C1946">
            <v>1</v>
          </cell>
        </row>
        <row r="1947">
          <cell r="A1947">
            <v>3400004390</v>
          </cell>
          <cell r="B1947">
            <v>61158</v>
          </cell>
          <cell r="C1947">
            <v>1</v>
          </cell>
        </row>
        <row r="1948">
          <cell r="A1948">
            <v>3400004390</v>
          </cell>
          <cell r="B1948">
            <v>61158</v>
          </cell>
          <cell r="C1948">
            <v>1</v>
          </cell>
        </row>
        <row r="1949">
          <cell r="A1949">
            <v>3400004391</v>
          </cell>
          <cell r="B1949">
            <v>61162</v>
          </cell>
          <cell r="C1949">
            <v>1</v>
          </cell>
        </row>
        <row r="1950">
          <cell r="A1950">
            <v>3400004391</v>
          </cell>
          <cell r="B1950">
            <v>61162</v>
          </cell>
          <cell r="C1950">
            <v>1</v>
          </cell>
        </row>
        <row r="1951">
          <cell r="A1951">
            <v>3400004392</v>
          </cell>
          <cell r="B1951">
            <v>61158</v>
          </cell>
          <cell r="C1951">
            <v>1</v>
          </cell>
        </row>
        <row r="1952">
          <cell r="A1952">
            <v>3400004392</v>
          </cell>
          <cell r="B1952">
            <v>61158</v>
          </cell>
          <cell r="C1952">
            <v>1</v>
          </cell>
        </row>
        <row r="1953">
          <cell r="A1953">
            <v>3400004393</v>
          </cell>
          <cell r="B1953">
            <v>61112</v>
          </cell>
          <cell r="C1953">
            <v>1</v>
          </cell>
        </row>
        <row r="1954">
          <cell r="A1954">
            <v>3400004394</v>
          </cell>
          <cell r="B1954">
            <v>61155</v>
          </cell>
          <cell r="C1954">
            <v>1</v>
          </cell>
        </row>
        <row r="1955">
          <cell r="A1955">
            <v>3400004395</v>
          </cell>
          <cell r="B1955">
            <v>61156</v>
          </cell>
          <cell r="C1955">
            <v>1</v>
          </cell>
        </row>
        <row r="1956">
          <cell r="A1956">
            <v>3400004396</v>
          </cell>
          <cell r="B1956">
            <v>61156</v>
          </cell>
          <cell r="C1956">
            <v>1</v>
          </cell>
        </row>
        <row r="1957">
          <cell r="A1957">
            <v>3400004397</v>
          </cell>
          <cell r="B1957">
            <v>61156</v>
          </cell>
          <cell r="C1957">
            <v>1</v>
          </cell>
        </row>
        <row r="1958">
          <cell r="A1958">
            <v>3400004398</v>
          </cell>
          <cell r="B1958">
            <v>61156</v>
          </cell>
          <cell r="C1958">
            <v>1</v>
          </cell>
        </row>
        <row r="1959">
          <cell r="A1959">
            <v>3400004399</v>
          </cell>
          <cell r="B1959">
            <v>61156</v>
          </cell>
          <cell r="C1959">
            <v>1</v>
          </cell>
        </row>
        <row r="1960">
          <cell r="A1960">
            <v>3400004400</v>
          </cell>
          <cell r="B1960">
            <v>61156</v>
          </cell>
          <cell r="C1960">
            <v>1</v>
          </cell>
        </row>
        <row r="1961">
          <cell r="A1961">
            <v>3400004401</v>
          </cell>
          <cell r="B1961">
            <v>61156</v>
          </cell>
          <cell r="C1961">
            <v>1</v>
          </cell>
        </row>
        <row r="1962">
          <cell r="A1962">
            <v>3400004402</v>
          </cell>
          <cell r="B1962">
            <v>61156</v>
          </cell>
          <cell r="C1962">
            <v>1</v>
          </cell>
        </row>
        <row r="1963">
          <cell r="A1963">
            <v>3400004403</v>
          </cell>
          <cell r="B1963">
            <v>61206</v>
          </cell>
          <cell r="C1963">
            <v>1</v>
          </cell>
        </row>
        <row r="1964">
          <cell r="A1964">
            <v>3400004404</v>
          </cell>
          <cell r="B1964">
            <v>61156</v>
          </cell>
          <cell r="C1964">
            <v>1</v>
          </cell>
        </row>
        <row r="1965">
          <cell r="A1965">
            <v>3400004405</v>
          </cell>
          <cell r="B1965">
            <v>61156</v>
          </cell>
          <cell r="C1965">
            <v>1</v>
          </cell>
        </row>
        <row r="1966">
          <cell r="A1966">
            <v>3400004406</v>
          </cell>
          <cell r="B1966">
            <v>61156</v>
          </cell>
          <cell r="C1966">
            <v>1</v>
          </cell>
        </row>
        <row r="1967">
          <cell r="A1967">
            <v>3400004407</v>
          </cell>
          <cell r="B1967">
            <v>61156</v>
          </cell>
          <cell r="C1967">
            <v>1</v>
          </cell>
        </row>
        <row r="1968">
          <cell r="A1968">
            <v>3400004408</v>
          </cell>
          <cell r="B1968">
            <v>61156</v>
          </cell>
          <cell r="C1968">
            <v>1</v>
          </cell>
        </row>
        <row r="1969">
          <cell r="A1969">
            <v>3400004409</v>
          </cell>
          <cell r="B1969">
            <v>61156</v>
          </cell>
          <cell r="C1969">
            <v>1</v>
          </cell>
        </row>
        <row r="1970">
          <cell r="A1970">
            <v>3400004410</v>
          </cell>
          <cell r="B1970">
            <v>61156</v>
          </cell>
          <cell r="C1970">
            <v>1</v>
          </cell>
        </row>
        <row r="1971">
          <cell r="A1971">
            <v>3400004411</v>
          </cell>
          <cell r="B1971">
            <v>61112</v>
          </cell>
          <cell r="C1971">
            <v>1</v>
          </cell>
        </row>
        <row r="1972">
          <cell r="A1972">
            <v>3400004412</v>
          </cell>
          <cell r="B1972">
            <v>61156</v>
          </cell>
          <cell r="C1972">
            <v>1</v>
          </cell>
        </row>
        <row r="1973">
          <cell r="A1973">
            <v>3400004413</v>
          </cell>
          <cell r="B1973">
            <v>61206</v>
          </cell>
          <cell r="C1973">
            <v>1</v>
          </cell>
        </row>
        <row r="1974">
          <cell r="A1974">
            <v>3400004414</v>
          </cell>
          <cell r="B1974">
            <v>61206</v>
          </cell>
          <cell r="C1974">
            <v>1</v>
          </cell>
        </row>
        <row r="1975">
          <cell r="A1975">
            <v>3400004415</v>
          </cell>
          <cell r="B1975">
            <v>61208</v>
          </cell>
          <cell r="C1975">
            <v>1</v>
          </cell>
        </row>
        <row r="1976">
          <cell r="A1976">
            <v>3400004416</v>
          </cell>
          <cell r="B1976">
            <v>61208</v>
          </cell>
          <cell r="C1976">
            <v>1</v>
          </cell>
        </row>
        <row r="1977">
          <cell r="A1977">
            <v>3400004417</v>
          </cell>
          <cell r="B1977">
            <v>61208</v>
          </cell>
          <cell r="C1977">
            <v>1</v>
          </cell>
        </row>
        <row r="1978">
          <cell r="A1978">
            <v>3400004418</v>
          </cell>
          <cell r="B1978">
            <v>61208</v>
          </cell>
          <cell r="C1978">
            <v>1</v>
          </cell>
        </row>
        <row r="1979">
          <cell r="A1979">
            <v>3400004419</v>
          </cell>
          <cell r="B1979">
            <v>61206</v>
          </cell>
          <cell r="C1979">
            <v>1</v>
          </cell>
        </row>
        <row r="1980">
          <cell r="A1980">
            <v>3400004420</v>
          </cell>
          <cell r="B1980">
            <v>61104</v>
          </cell>
          <cell r="C1980">
            <v>1</v>
          </cell>
        </row>
        <row r="1981">
          <cell r="A1981">
            <v>3400004421</v>
          </cell>
          <cell r="B1981">
            <v>61104</v>
          </cell>
          <cell r="C1981">
            <v>1</v>
          </cell>
        </row>
        <row r="1982">
          <cell r="A1982">
            <v>3400004422</v>
          </cell>
          <cell r="B1982">
            <v>61104</v>
          </cell>
          <cell r="C1982">
            <v>1</v>
          </cell>
        </row>
        <row r="1983">
          <cell r="A1983">
            <v>3400004423</v>
          </cell>
          <cell r="B1983">
            <v>61158</v>
          </cell>
          <cell r="C1983">
            <v>1</v>
          </cell>
        </row>
        <row r="1984">
          <cell r="A1984">
            <v>3400004423</v>
          </cell>
          <cell r="B1984">
            <v>61206</v>
          </cell>
          <cell r="C1984">
            <v>1</v>
          </cell>
        </row>
        <row r="1985">
          <cell r="A1985">
            <v>3400004424</v>
          </cell>
          <cell r="B1985">
            <v>61101</v>
          </cell>
          <cell r="C1985">
            <v>1</v>
          </cell>
        </row>
        <row r="1986">
          <cell r="A1986">
            <v>3400004425</v>
          </cell>
          <cell r="B1986">
            <v>61104</v>
          </cell>
          <cell r="C1986">
            <v>15</v>
          </cell>
        </row>
        <row r="1987">
          <cell r="A1987">
            <v>3400004426</v>
          </cell>
          <cell r="B1987">
            <v>61206</v>
          </cell>
          <cell r="C1987">
            <v>1</v>
          </cell>
        </row>
        <row r="1988">
          <cell r="A1988">
            <v>3400004427</v>
          </cell>
          <cell r="B1988">
            <v>61107</v>
          </cell>
          <cell r="C1988">
            <v>1</v>
          </cell>
        </row>
        <row r="1989">
          <cell r="A1989">
            <v>3400004428</v>
          </cell>
          <cell r="B1989">
            <v>61156</v>
          </cell>
          <cell r="C1989">
            <v>1</v>
          </cell>
        </row>
        <row r="1990">
          <cell r="A1990">
            <v>3400004429</v>
          </cell>
          <cell r="B1990">
            <v>61158</v>
          </cell>
          <cell r="C1990">
            <v>1</v>
          </cell>
        </row>
        <row r="1991">
          <cell r="A1991">
            <v>3400004430</v>
          </cell>
          <cell r="B1991">
            <v>61158</v>
          </cell>
          <cell r="C1991">
            <v>1</v>
          </cell>
        </row>
        <row r="1992">
          <cell r="A1992">
            <v>3400004431</v>
          </cell>
          <cell r="B1992">
            <v>61206</v>
          </cell>
          <cell r="C1992">
            <v>5</v>
          </cell>
        </row>
        <row r="1993">
          <cell r="A1993">
            <v>3400004432</v>
          </cell>
          <cell r="B1993">
            <v>61158</v>
          </cell>
          <cell r="C1993">
            <v>4</v>
          </cell>
        </row>
        <row r="1994">
          <cell r="A1994">
            <v>3400004433</v>
          </cell>
          <cell r="B1994">
            <v>61116</v>
          </cell>
          <cell r="C1994">
            <v>1</v>
          </cell>
        </row>
        <row r="1995">
          <cell r="A1995">
            <v>3400004434</v>
          </cell>
          <cell r="B1995">
            <v>61116</v>
          </cell>
          <cell r="C1995">
            <v>1</v>
          </cell>
        </row>
        <row r="1996">
          <cell r="A1996">
            <v>3400004435</v>
          </cell>
          <cell r="B1996">
            <v>61155</v>
          </cell>
          <cell r="C1996">
            <v>1</v>
          </cell>
        </row>
        <row r="1997">
          <cell r="A1997">
            <v>3400004436</v>
          </cell>
          <cell r="B1997">
            <v>61154</v>
          </cell>
          <cell r="C1997">
            <v>4</v>
          </cell>
        </row>
        <row r="1998">
          <cell r="A1998">
            <v>3400004437</v>
          </cell>
          <cell r="B1998">
            <v>61151</v>
          </cell>
          <cell r="C1998">
            <v>1</v>
          </cell>
        </row>
        <row r="1999">
          <cell r="A1999">
            <v>3400004438</v>
          </cell>
          <cell r="B1999">
            <v>61151</v>
          </cell>
          <cell r="C1999">
            <v>1</v>
          </cell>
        </row>
        <row r="2000">
          <cell r="A2000">
            <v>3400004439</v>
          </cell>
          <cell r="B2000">
            <v>61151</v>
          </cell>
          <cell r="C2000">
            <v>1</v>
          </cell>
        </row>
        <row r="2001">
          <cell r="A2001">
            <v>3400004440</v>
          </cell>
          <cell r="B2001">
            <v>61151</v>
          </cell>
          <cell r="C2001">
            <v>1</v>
          </cell>
        </row>
        <row r="2002">
          <cell r="A2002">
            <v>3400004441</v>
          </cell>
          <cell r="B2002">
            <v>61151</v>
          </cell>
          <cell r="C2002">
            <v>1</v>
          </cell>
        </row>
        <row r="2003">
          <cell r="A2003">
            <v>3400004442</v>
          </cell>
          <cell r="B2003">
            <v>61151</v>
          </cell>
          <cell r="C2003">
            <v>1</v>
          </cell>
        </row>
        <row r="2004">
          <cell r="A2004">
            <v>3400004443</v>
          </cell>
          <cell r="B2004">
            <v>61151</v>
          </cell>
          <cell r="C2004">
            <v>1</v>
          </cell>
        </row>
        <row r="2005">
          <cell r="A2005">
            <v>3400004444</v>
          </cell>
          <cell r="B2005">
            <v>61151</v>
          </cell>
          <cell r="C2005">
            <v>1</v>
          </cell>
        </row>
        <row r="2006">
          <cell r="A2006">
            <v>3400004445</v>
          </cell>
          <cell r="B2006">
            <v>61151</v>
          </cell>
          <cell r="C2006">
            <v>1</v>
          </cell>
        </row>
        <row r="2007">
          <cell r="A2007">
            <v>3400004446</v>
          </cell>
          <cell r="B2007">
            <v>61104</v>
          </cell>
          <cell r="C2007">
            <v>5</v>
          </cell>
        </row>
        <row r="2008">
          <cell r="A2008">
            <v>3400004447</v>
          </cell>
          <cell r="B2008">
            <v>61159</v>
          </cell>
          <cell r="C2008">
            <v>1</v>
          </cell>
        </row>
        <row r="2009">
          <cell r="A2009">
            <v>3400004448</v>
          </cell>
          <cell r="B2009">
            <v>61159</v>
          </cell>
          <cell r="C2009">
            <v>1</v>
          </cell>
        </row>
        <row r="2010">
          <cell r="A2010">
            <v>3400004449</v>
          </cell>
          <cell r="B2010">
            <v>61155</v>
          </cell>
          <cell r="C2010">
            <v>1</v>
          </cell>
        </row>
        <row r="2011">
          <cell r="A2011">
            <v>3400004450</v>
          </cell>
          <cell r="B2011">
            <v>61150</v>
          </cell>
          <cell r="C2011">
            <v>1</v>
          </cell>
        </row>
        <row r="2012">
          <cell r="A2012">
            <v>3400004451</v>
          </cell>
          <cell r="B2012">
            <v>61104</v>
          </cell>
          <cell r="C2012">
            <v>15</v>
          </cell>
        </row>
        <row r="2013">
          <cell r="A2013">
            <v>3400004452</v>
          </cell>
          <cell r="B2013">
            <v>61157</v>
          </cell>
          <cell r="C2013">
            <v>1</v>
          </cell>
        </row>
        <row r="2014">
          <cell r="A2014">
            <v>3400004452</v>
          </cell>
          <cell r="B2014">
            <v>61157</v>
          </cell>
          <cell r="C2014">
            <v>1</v>
          </cell>
        </row>
        <row r="2015">
          <cell r="A2015">
            <v>3400004453</v>
          </cell>
          <cell r="B2015">
            <v>61206</v>
          </cell>
          <cell r="C2015">
            <v>1</v>
          </cell>
        </row>
        <row r="2016">
          <cell r="A2016">
            <v>3400004454</v>
          </cell>
          <cell r="B2016">
            <v>61153</v>
          </cell>
          <cell r="C2016">
            <v>1</v>
          </cell>
        </row>
        <row r="2017">
          <cell r="A2017">
            <v>3400004455</v>
          </cell>
          <cell r="B2017">
            <v>61206</v>
          </cell>
          <cell r="C2017">
            <v>3</v>
          </cell>
        </row>
        <row r="2018">
          <cell r="A2018">
            <v>3400004456</v>
          </cell>
          <cell r="B2018">
            <v>61206</v>
          </cell>
          <cell r="C2018">
            <v>1</v>
          </cell>
        </row>
        <row r="2019">
          <cell r="A2019">
            <v>3400004457</v>
          </cell>
          <cell r="B2019">
            <v>61206</v>
          </cell>
          <cell r="C2019">
            <v>2</v>
          </cell>
        </row>
        <row r="2020">
          <cell r="A2020">
            <v>3400004458</v>
          </cell>
          <cell r="B2020">
            <v>61208</v>
          </cell>
          <cell r="C2020">
            <v>1</v>
          </cell>
        </row>
        <row r="2021">
          <cell r="A2021">
            <v>3400004459</v>
          </cell>
          <cell r="B2021">
            <v>61162</v>
          </cell>
          <cell r="C2021">
            <v>1</v>
          </cell>
        </row>
        <row r="2022">
          <cell r="A2022">
            <v>3400004460</v>
          </cell>
          <cell r="B2022">
            <v>61153</v>
          </cell>
          <cell r="C2022">
            <v>1</v>
          </cell>
        </row>
        <row r="2023">
          <cell r="A2023">
            <v>3400004461</v>
          </cell>
          <cell r="B2023">
            <v>61153</v>
          </cell>
          <cell r="C2023">
            <v>1</v>
          </cell>
        </row>
        <row r="2024">
          <cell r="A2024">
            <v>3400004462</v>
          </cell>
          <cell r="B2024">
            <v>61112</v>
          </cell>
          <cell r="C2024">
            <v>1</v>
          </cell>
        </row>
        <row r="2025">
          <cell r="A2025">
            <v>3400004463</v>
          </cell>
          <cell r="B2025">
            <v>61156</v>
          </cell>
          <cell r="C2025">
            <v>1</v>
          </cell>
        </row>
        <row r="2026">
          <cell r="A2026">
            <v>3400004464</v>
          </cell>
          <cell r="B2026">
            <v>61156</v>
          </cell>
          <cell r="C2026">
            <v>1</v>
          </cell>
        </row>
        <row r="2027">
          <cell r="A2027">
            <v>3400004464</v>
          </cell>
          <cell r="B2027">
            <v>61156</v>
          </cell>
          <cell r="C2027">
            <v>1</v>
          </cell>
        </row>
        <row r="2028">
          <cell r="A2028">
            <v>3400004465</v>
          </cell>
          <cell r="B2028">
            <v>61156</v>
          </cell>
          <cell r="C2028">
            <v>1</v>
          </cell>
        </row>
        <row r="2029">
          <cell r="A2029">
            <v>3400004465</v>
          </cell>
          <cell r="B2029">
            <v>61156</v>
          </cell>
          <cell r="C2029">
            <v>1</v>
          </cell>
        </row>
        <row r="2030">
          <cell r="A2030">
            <v>3400004466</v>
          </cell>
          <cell r="B2030">
            <v>61156</v>
          </cell>
          <cell r="C2030">
            <v>1</v>
          </cell>
        </row>
        <row r="2031">
          <cell r="A2031">
            <v>3400004467</v>
          </cell>
          <cell r="B2031">
            <v>61112</v>
          </cell>
          <cell r="C2031">
            <v>1</v>
          </cell>
        </row>
        <row r="2032">
          <cell r="A2032">
            <v>3400004468</v>
          </cell>
          <cell r="B2032">
            <v>61112</v>
          </cell>
          <cell r="C2032">
            <v>1</v>
          </cell>
        </row>
        <row r="2033">
          <cell r="A2033">
            <v>3400004469</v>
          </cell>
          <cell r="B2033">
            <v>61153</v>
          </cell>
          <cell r="C2033">
            <v>1</v>
          </cell>
        </row>
        <row r="2034">
          <cell r="A2034">
            <v>3400004470</v>
          </cell>
          <cell r="B2034">
            <v>61153</v>
          </cell>
          <cell r="C2034">
            <v>1</v>
          </cell>
        </row>
        <row r="2035">
          <cell r="A2035">
            <v>3400004471</v>
          </cell>
          <cell r="B2035">
            <v>61153</v>
          </cell>
          <cell r="C2035">
            <v>1</v>
          </cell>
        </row>
        <row r="2036">
          <cell r="A2036">
            <v>3400004472</v>
          </cell>
          <cell r="B2036">
            <v>61153</v>
          </cell>
          <cell r="C2036">
            <v>1</v>
          </cell>
        </row>
        <row r="2037">
          <cell r="A2037">
            <v>3400004473</v>
          </cell>
          <cell r="B2037">
            <v>61153</v>
          </cell>
          <cell r="C2037">
            <v>1</v>
          </cell>
        </row>
        <row r="2038">
          <cell r="A2038">
            <v>3400004474</v>
          </cell>
          <cell r="B2038">
            <v>61153</v>
          </cell>
          <cell r="C2038">
            <v>1</v>
          </cell>
        </row>
        <row r="2039">
          <cell r="A2039">
            <v>3400004475</v>
          </cell>
          <cell r="B2039">
            <v>61153</v>
          </cell>
          <cell r="C2039">
            <v>1</v>
          </cell>
        </row>
        <row r="2040">
          <cell r="A2040">
            <v>3400004476</v>
          </cell>
          <cell r="B2040">
            <v>61112</v>
          </cell>
          <cell r="C2040">
            <v>1</v>
          </cell>
        </row>
        <row r="2041">
          <cell r="A2041">
            <v>3400004477</v>
          </cell>
          <cell r="B2041">
            <v>61156</v>
          </cell>
          <cell r="C2041">
            <v>1</v>
          </cell>
        </row>
        <row r="2042">
          <cell r="A2042">
            <v>3400004478</v>
          </cell>
          <cell r="B2042">
            <v>61206</v>
          </cell>
          <cell r="C2042">
            <v>1</v>
          </cell>
        </row>
        <row r="2043">
          <cell r="A2043">
            <v>3400004479</v>
          </cell>
          <cell r="B2043">
            <v>61158</v>
          </cell>
          <cell r="C2043">
            <v>1</v>
          </cell>
        </row>
        <row r="2044">
          <cell r="A2044">
            <v>3400004480</v>
          </cell>
          <cell r="B2044">
            <v>61156</v>
          </cell>
          <cell r="C2044">
            <v>1</v>
          </cell>
        </row>
        <row r="2045">
          <cell r="A2045">
            <v>3400004481</v>
          </cell>
          <cell r="B2045">
            <v>61104</v>
          </cell>
          <cell r="C2045">
            <v>1</v>
          </cell>
        </row>
        <row r="2046">
          <cell r="A2046">
            <v>3400004482</v>
          </cell>
          <cell r="B2046">
            <v>61151</v>
          </cell>
          <cell r="C2046">
            <v>16</v>
          </cell>
        </row>
        <row r="2047">
          <cell r="A2047">
            <v>3400004483</v>
          </cell>
          <cell r="B2047">
            <v>61112</v>
          </cell>
          <cell r="C2047">
            <v>1</v>
          </cell>
        </row>
        <row r="2048">
          <cell r="A2048">
            <v>3400004484</v>
          </cell>
          <cell r="B2048">
            <v>61151</v>
          </cell>
          <cell r="C2048">
            <v>1</v>
          </cell>
        </row>
        <row r="2049">
          <cell r="A2049">
            <v>3400004485</v>
          </cell>
          <cell r="B2049">
            <v>61206</v>
          </cell>
          <cell r="C2049">
            <v>22</v>
          </cell>
        </row>
        <row r="2050">
          <cell r="A2050">
            <v>3400004486</v>
          </cell>
          <cell r="B2050">
            <v>61155</v>
          </cell>
          <cell r="C2050">
            <v>1</v>
          </cell>
        </row>
        <row r="2051">
          <cell r="A2051">
            <v>3400004487</v>
          </cell>
          <cell r="B2051">
            <v>61203</v>
          </cell>
          <cell r="C2051">
            <v>1</v>
          </cell>
        </row>
        <row r="2052">
          <cell r="A2052">
            <v>3400004488</v>
          </cell>
          <cell r="B2052">
            <v>61150</v>
          </cell>
          <cell r="C2052">
            <v>24</v>
          </cell>
        </row>
        <row r="2053">
          <cell r="A2053">
            <v>3400004489</v>
          </cell>
          <cell r="B2053">
            <v>61154</v>
          </cell>
          <cell r="C2053">
            <v>1</v>
          </cell>
        </row>
        <row r="2054">
          <cell r="A2054">
            <v>3400004490</v>
          </cell>
          <cell r="B2054">
            <v>61206</v>
          </cell>
          <cell r="C2054">
            <v>1</v>
          </cell>
        </row>
        <row r="2055">
          <cell r="A2055">
            <v>3400004491</v>
          </cell>
          <cell r="B2055">
            <v>61206</v>
          </cell>
          <cell r="C2055">
            <v>1</v>
          </cell>
        </row>
        <row r="2056">
          <cell r="A2056">
            <v>3400004492</v>
          </cell>
          <cell r="B2056">
            <v>61203</v>
          </cell>
          <cell r="C2056">
            <v>1</v>
          </cell>
        </row>
        <row r="2057">
          <cell r="A2057">
            <v>3400004493</v>
          </cell>
          <cell r="B2057">
            <v>61161</v>
          </cell>
          <cell r="C2057">
            <v>1</v>
          </cell>
        </row>
        <row r="2058">
          <cell r="A2058">
            <v>3400004494</v>
          </cell>
          <cell r="B2058">
            <v>61107</v>
          </cell>
          <cell r="C2058">
            <v>2</v>
          </cell>
        </row>
        <row r="2059">
          <cell r="A2059">
            <v>3400004495</v>
          </cell>
          <cell r="B2059">
            <v>61107</v>
          </cell>
          <cell r="C2059">
            <v>1</v>
          </cell>
        </row>
        <row r="2060">
          <cell r="A2060">
            <v>3400004496</v>
          </cell>
          <cell r="B2060">
            <v>61100</v>
          </cell>
          <cell r="C2060">
            <v>1</v>
          </cell>
        </row>
        <row r="2061">
          <cell r="A2061">
            <v>3400004497</v>
          </cell>
          <cell r="B2061">
            <v>61100</v>
          </cell>
          <cell r="C2061">
            <v>1</v>
          </cell>
        </row>
        <row r="2062">
          <cell r="A2062">
            <v>3400004498</v>
          </cell>
          <cell r="B2062">
            <v>61206</v>
          </cell>
          <cell r="C2062">
            <v>1</v>
          </cell>
        </row>
        <row r="2063">
          <cell r="A2063">
            <v>3400004499</v>
          </cell>
          <cell r="B2063">
            <v>61206</v>
          </cell>
          <cell r="C2063">
            <v>1</v>
          </cell>
        </row>
        <row r="2064">
          <cell r="A2064">
            <v>3400004500</v>
          </cell>
          <cell r="B2064">
            <v>61206</v>
          </cell>
          <cell r="C2064">
            <v>1</v>
          </cell>
        </row>
        <row r="2065">
          <cell r="A2065">
            <v>3400004501</v>
          </cell>
          <cell r="B2065">
            <v>61206</v>
          </cell>
          <cell r="C2065">
            <v>1</v>
          </cell>
        </row>
        <row r="2066">
          <cell r="A2066">
            <v>3400004502</v>
          </cell>
          <cell r="B2066">
            <v>61206</v>
          </cell>
          <cell r="C2066">
            <v>1</v>
          </cell>
        </row>
        <row r="2067">
          <cell r="A2067">
            <v>3400004503</v>
          </cell>
          <cell r="B2067">
            <v>61206</v>
          </cell>
          <cell r="C2067">
            <v>86</v>
          </cell>
        </row>
        <row r="2068">
          <cell r="A2068">
            <v>3400004504</v>
          </cell>
          <cell r="B2068">
            <v>61153</v>
          </cell>
          <cell r="C2068">
            <v>1</v>
          </cell>
        </row>
        <row r="2069">
          <cell r="A2069">
            <v>3400004505</v>
          </cell>
          <cell r="B2069">
            <v>61112</v>
          </cell>
          <cell r="C2069">
            <v>1</v>
          </cell>
        </row>
        <row r="2070">
          <cell r="A2070">
            <v>3400004506</v>
          </cell>
          <cell r="B2070">
            <v>61107</v>
          </cell>
          <cell r="C2070">
            <v>1</v>
          </cell>
        </row>
        <row r="2071">
          <cell r="A2071">
            <v>3400004507</v>
          </cell>
          <cell r="B2071">
            <v>61107</v>
          </cell>
          <cell r="C2071">
            <v>1</v>
          </cell>
        </row>
        <row r="2072">
          <cell r="A2072">
            <v>3400004508</v>
          </cell>
          <cell r="B2072">
            <v>61103</v>
          </cell>
          <cell r="C2072">
            <v>1</v>
          </cell>
        </row>
        <row r="2073">
          <cell r="A2073">
            <v>3400004509</v>
          </cell>
          <cell r="B2073">
            <v>61111</v>
          </cell>
          <cell r="C2073">
            <v>1</v>
          </cell>
        </row>
        <row r="2074">
          <cell r="A2074">
            <v>3400004510</v>
          </cell>
          <cell r="B2074">
            <v>61111</v>
          </cell>
          <cell r="C2074">
            <v>1</v>
          </cell>
        </row>
        <row r="2075">
          <cell r="A2075">
            <v>3400004511</v>
          </cell>
          <cell r="B2075">
            <v>61111</v>
          </cell>
          <cell r="C2075">
            <v>1</v>
          </cell>
        </row>
        <row r="2076">
          <cell r="A2076">
            <v>3400004512</v>
          </cell>
          <cell r="B2076">
            <v>61111</v>
          </cell>
          <cell r="C2076">
            <v>1</v>
          </cell>
        </row>
        <row r="2077">
          <cell r="A2077">
            <v>3400004513</v>
          </cell>
          <cell r="B2077">
            <v>61100</v>
          </cell>
          <cell r="C2077">
            <v>1</v>
          </cell>
        </row>
        <row r="2078">
          <cell r="A2078">
            <v>3400004514</v>
          </cell>
          <cell r="B2078">
            <v>61100</v>
          </cell>
          <cell r="C2078">
            <v>1</v>
          </cell>
        </row>
        <row r="2079">
          <cell r="A2079">
            <v>3400004515</v>
          </cell>
          <cell r="B2079">
            <v>61100</v>
          </cell>
          <cell r="C2079">
            <v>1</v>
          </cell>
        </row>
        <row r="2080">
          <cell r="A2080">
            <v>3400004516</v>
          </cell>
          <cell r="B2080">
            <v>61206</v>
          </cell>
          <cell r="C2080">
            <v>1</v>
          </cell>
        </row>
        <row r="2081">
          <cell r="A2081">
            <v>3400004517</v>
          </cell>
          <cell r="B2081">
            <v>61161</v>
          </cell>
          <cell r="C2081">
            <v>1</v>
          </cell>
        </row>
        <row r="2082">
          <cell r="A2082">
            <v>3400004518</v>
          </cell>
          <cell r="B2082">
            <v>61208</v>
          </cell>
          <cell r="C2082">
            <v>1</v>
          </cell>
        </row>
        <row r="2083">
          <cell r="A2083">
            <v>3400004519</v>
          </cell>
          <cell r="B2083">
            <v>61158</v>
          </cell>
          <cell r="C2083">
            <v>1</v>
          </cell>
        </row>
        <row r="2084">
          <cell r="A2084">
            <v>3400004520</v>
          </cell>
          <cell r="B2084">
            <v>61162</v>
          </cell>
          <cell r="C2084">
            <v>1</v>
          </cell>
        </row>
        <row r="2085">
          <cell r="A2085">
            <v>3400004521</v>
          </cell>
          <cell r="B2085">
            <v>61107</v>
          </cell>
          <cell r="C2085">
            <v>1</v>
          </cell>
        </row>
        <row r="2086">
          <cell r="A2086">
            <v>3400004522</v>
          </cell>
          <cell r="B2086">
            <v>61107</v>
          </cell>
          <cell r="C2086">
            <v>1</v>
          </cell>
        </row>
        <row r="2087">
          <cell r="A2087">
            <v>3400004523</v>
          </cell>
          <cell r="B2087">
            <v>61107</v>
          </cell>
          <cell r="C2087">
            <v>1</v>
          </cell>
        </row>
        <row r="2088">
          <cell r="A2088">
            <v>3400004524</v>
          </cell>
          <cell r="B2088">
            <v>61107</v>
          </cell>
          <cell r="C2088">
            <v>1</v>
          </cell>
        </row>
        <row r="2089">
          <cell r="A2089">
            <v>3400004525</v>
          </cell>
          <cell r="B2089">
            <v>61112</v>
          </cell>
          <cell r="C2089">
            <v>1</v>
          </cell>
        </row>
        <row r="2090">
          <cell r="A2090">
            <v>3400004526</v>
          </cell>
          <cell r="B2090">
            <v>61107</v>
          </cell>
          <cell r="C2090">
            <v>1</v>
          </cell>
        </row>
        <row r="2091">
          <cell r="A2091">
            <v>3400004527</v>
          </cell>
          <cell r="B2091">
            <v>61156</v>
          </cell>
          <cell r="C2091">
            <v>1</v>
          </cell>
        </row>
        <row r="2092">
          <cell r="A2092">
            <v>3400004528</v>
          </cell>
          <cell r="B2092">
            <v>61101</v>
          </cell>
          <cell r="C2092">
            <v>1</v>
          </cell>
        </row>
        <row r="2093">
          <cell r="A2093">
            <v>3400004529</v>
          </cell>
          <cell r="B2093">
            <v>61206</v>
          </cell>
          <cell r="C2093">
            <v>13</v>
          </cell>
        </row>
        <row r="2094">
          <cell r="A2094">
            <v>3400004530</v>
          </cell>
          <cell r="B2094">
            <v>61118</v>
          </cell>
          <cell r="C2094">
            <v>1</v>
          </cell>
        </row>
        <row r="2095">
          <cell r="A2095">
            <v>3400004531</v>
          </cell>
          <cell r="B2095">
            <v>61151</v>
          </cell>
          <cell r="C2095">
            <v>2</v>
          </cell>
        </row>
        <row r="2096">
          <cell r="A2096">
            <v>3400004532</v>
          </cell>
          <cell r="B2096">
            <v>61150</v>
          </cell>
          <cell r="C2096">
            <v>1</v>
          </cell>
        </row>
        <row r="2097">
          <cell r="A2097">
            <v>3400004533</v>
          </cell>
          <cell r="B2097">
            <v>61208</v>
          </cell>
          <cell r="C2097">
            <v>1</v>
          </cell>
        </row>
        <row r="2098">
          <cell r="A2098">
            <v>3400004534</v>
          </cell>
          <cell r="B2098">
            <v>61206</v>
          </cell>
          <cell r="C2098">
            <v>1</v>
          </cell>
        </row>
        <row r="2099">
          <cell r="A2099">
            <v>3400004535</v>
          </cell>
          <cell r="B2099">
            <v>61118</v>
          </cell>
          <cell r="C2099">
            <v>1</v>
          </cell>
        </row>
        <row r="2100">
          <cell r="A2100">
            <v>3400004536</v>
          </cell>
          <cell r="B2100">
            <v>61155</v>
          </cell>
          <cell r="C2100">
            <v>1</v>
          </cell>
        </row>
        <row r="2101">
          <cell r="A2101">
            <v>3400004537</v>
          </cell>
          <cell r="B2101">
            <v>61208</v>
          </cell>
          <cell r="C2101">
            <v>1</v>
          </cell>
        </row>
        <row r="2102">
          <cell r="A2102">
            <v>3400004538</v>
          </cell>
          <cell r="B2102">
            <v>61118</v>
          </cell>
          <cell r="C2102">
            <v>1</v>
          </cell>
        </row>
        <row r="2103">
          <cell r="A2103">
            <v>3400004539</v>
          </cell>
          <cell r="B2103">
            <v>61108</v>
          </cell>
          <cell r="C2103">
            <v>10</v>
          </cell>
        </row>
        <row r="2104">
          <cell r="A2104">
            <v>3400004540</v>
          </cell>
          <cell r="B2104">
            <v>61108</v>
          </cell>
          <cell r="C2104">
            <v>30</v>
          </cell>
        </row>
        <row r="2105">
          <cell r="A2105">
            <v>3400004541</v>
          </cell>
          <cell r="B2105">
            <v>61158</v>
          </cell>
          <cell r="C2105">
            <v>1</v>
          </cell>
        </row>
        <row r="2106">
          <cell r="A2106">
            <v>3400004542</v>
          </cell>
          <cell r="B2106">
            <v>61158</v>
          </cell>
          <cell r="C2106">
            <v>1</v>
          </cell>
        </row>
        <row r="2107">
          <cell r="A2107">
            <v>3400004542</v>
          </cell>
          <cell r="B2107">
            <v>61158</v>
          </cell>
          <cell r="C2107">
            <v>1</v>
          </cell>
        </row>
        <row r="2108">
          <cell r="A2108">
            <v>3400004543</v>
          </cell>
          <cell r="B2108">
            <v>61152</v>
          </cell>
          <cell r="C2108">
            <v>1</v>
          </cell>
        </row>
        <row r="2109">
          <cell r="A2109">
            <v>3400004544</v>
          </cell>
          <cell r="B2109">
            <v>61161</v>
          </cell>
          <cell r="C2109">
            <v>1</v>
          </cell>
        </row>
        <row r="2110">
          <cell r="A2110">
            <v>3400004545</v>
          </cell>
          <cell r="B2110">
            <v>61116</v>
          </cell>
          <cell r="C2110">
            <v>1</v>
          </cell>
        </row>
        <row r="2111">
          <cell r="A2111">
            <v>3400004546</v>
          </cell>
          <cell r="B2111">
            <v>61155</v>
          </cell>
          <cell r="C2111">
            <v>1</v>
          </cell>
        </row>
        <row r="2112">
          <cell r="A2112">
            <v>3400004547</v>
          </cell>
          <cell r="B2112">
            <v>61155</v>
          </cell>
          <cell r="C2112">
            <v>1</v>
          </cell>
        </row>
        <row r="2113">
          <cell r="A2113">
            <v>3400004548</v>
          </cell>
          <cell r="B2113">
            <v>61108</v>
          </cell>
          <cell r="C2113">
            <v>1</v>
          </cell>
        </row>
        <row r="2114">
          <cell r="A2114">
            <v>3400004549</v>
          </cell>
          <cell r="B2114">
            <v>61107</v>
          </cell>
          <cell r="C2114">
            <v>1</v>
          </cell>
        </row>
        <row r="2115">
          <cell r="A2115">
            <v>3400004550</v>
          </cell>
          <cell r="B2115">
            <v>61151</v>
          </cell>
          <cell r="C2115">
            <v>1</v>
          </cell>
        </row>
        <row r="2116">
          <cell r="A2116">
            <v>3400004551</v>
          </cell>
          <cell r="B2116">
            <v>61107</v>
          </cell>
          <cell r="C2116">
            <v>1</v>
          </cell>
        </row>
        <row r="2117">
          <cell r="A2117">
            <v>3400004552</v>
          </cell>
          <cell r="B2117">
            <v>61107</v>
          </cell>
          <cell r="C2117">
            <v>1</v>
          </cell>
        </row>
        <row r="2118">
          <cell r="A2118">
            <v>3400004553</v>
          </cell>
          <cell r="B2118">
            <v>61107</v>
          </cell>
          <cell r="C2118">
            <v>1</v>
          </cell>
        </row>
        <row r="2119">
          <cell r="A2119">
            <v>3400004554</v>
          </cell>
          <cell r="B2119">
            <v>61107</v>
          </cell>
          <cell r="C2119">
            <v>1</v>
          </cell>
        </row>
        <row r="2120">
          <cell r="A2120">
            <v>3400004555</v>
          </cell>
          <cell r="B2120">
            <v>61107</v>
          </cell>
          <cell r="C2120">
            <v>1</v>
          </cell>
        </row>
        <row r="2121">
          <cell r="A2121">
            <v>3400004556</v>
          </cell>
          <cell r="B2121">
            <v>61107</v>
          </cell>
          <cell r="C2121">
            <v>1</v>
          </cell>
        </row>
        <row r="2122">
          <cell r="A2122">
            <v>3400004557</v>
          </cell>
          <cell r="B2122">
            <v>61206</v>
          </cell>
          <cell r="C2122">
            <v>1</v>
          </cell>
        </row>
        <row r="2123">
          <cell r="A2123">
            <v>3400004558</v>
          </cell>
          <cell r="B2123">
            <v>61107</v>
          </cell>
          <cell r="C2123">
            <v>1</v>
          </cell>
        </row>
        <row r="2124">
          <cell r="A2124">
            <v>3400004559</v>
          </cell>
          <cell r="B2124">
            <v>61206</v>
          </cell>
          <cell r="C2124">
            <v>1</v>
          </cell>
        </row>
        <row r="2125">
          <cell r="A2125">
            <v>3400004560</v>
          </cell>
          <cell r="B2125">
            <v>61107</v>
          </cell>
          <cell r="C2125">
            <v>1</v>
          </cell>
        </row>
        <row r="2126">
          <cell r="A2126">
            <v>3400004561</v>
          </cell>
          <cell r="B2126">
            <v>61109</v>
          </cell>
          <cell r="C2126">
            <v>1</v>
          </cell>
        </row>
        <row r="2127">
          <cell r="A2127">
            <v>3400004562</v>
          </cell>
          <cell r="B2127">
            <v>61109</v>
          </cell>
          <cell r="C2127">
            <v>1</v>
          </cell>
        </row>
        <row r="2128">
          <cell r="A2128">
            <v>3400004563</v>
          </cell>
          <cell r="B2128">
            <v>61109</v>
          </cell>
          <cell r="C2128">
            <v>1</v>
          </cell>
        </row>
        <row r="2129">
          <cell r="A2129">
            <v>3400004564</v>
          </cell>
          <cell r="B2129">
            <v>61109</v>
          </cell>
          <cell r="C2129">
            <v>1</v>
          </cell>
        </row>
        <row r="2130">
          <cell r="A2130">
            <v>3400004565</v>
          </cell>
          <cell r="B2130">
            <v>61104</v>
          </cell>
          <cell r="C2130">
            <v>1</v>
          </cell>
        </row>
        <row r="2131">
          <cell r="A2131">
            <v>3400004566</v>
          </cell>
          <cell r="B2131">
            <v>61112</v>
          </cell>
          <cell r="C2131">
            <v>1</v>
          </cell>
        </row>
        <row r="2132">
          <cell r="A2132">
            <v>3400004567</v>
          </cell>
          <cell r="B2132">
            <v>61107</v>
          </cell>
          <cell r="C2132">
            <v>1</v>
          </cell>
        </row>
        <row r="2133">
          <cell r="A2133">
            <v>3400004568</v>
          </cell>
          <cell r="B2133">
            <v>61107</v>
          </cell>
          <cell r="C2133">
            <v>1</v>
          </cell>
        </row>
        <row r="2134">
          <cell r="A2134">
            <v>3400004569</v>
          </cell>
          <cell r="B2134">
            <v>61107</v>
          </cell>
          <cell r="C2134">
            <v>1</v>
          </cell>
        </row>
        <row r="2135">
          <cell r="A2135">
            <v>3400004570</v>
          </cell>
          <cell r="B2135">
            <v>61108</v>
          </cell>
          <cell r="C2135">
            <v>2</v>
          </cell>
        </row>
        <row r="2136">
          <cell r="A2136">
            <v>3400004571</v>
          </cell>
          <cell r="B2136">
            <v>61107</v>
          </cell>
          <cell r="C2136">
            <v>2</v>
          </cell>
        </row>
        <row r="2137">
          <cell r="A2137">
            <v>3400004572</v>
          </cell>
          <cell r="B2137">
            <v>61107</v>
          </cell>
          <cell r="C2137">
            <v>2</v>
          </cell>
        </row>
        <row r="2138">
          <cell r="A2138">
            <v>3400004573</v>
          </cell>
          <cell r="B2138">
            <v>61102</v>
          </cell>
          <cell r="C2138">
            <v>1</v>
          </cell>
        </row>
        <row r="2139">
          <cell r="A2139">
            <v>3400004574</v>
          </cell>
          <cell r="B2139">
            <v>61107</v>
          </cell>
          <cell r="C2139">
            <v>2</v>
          </cell>
        </row>
        <row r="2140">
          <cell r="A2140">
            <v>3400004575</v>
          </cell>
          <cell r="B2140">
            <v>61107</v>
          </cell>
          <cell r="C2140">
            <v>1</v>
          </cell>
        </row>
        <row r="2141">
          <cell r="A2141">
            <v>3400004576</v>
          </cell>
          <cell r="B2141">
            <v>61107</v>
          </cell>
          <cell r="C2141">
            <v>2</v>
          </cell>
        </row>
        <row r="2142">
          <cell r="A2142">
            <v>3400004577</v>
          </cell>
          <cell r="B2142">
            <v>61107</v>
          </cell>
          <cell r="C2142">
            <v>2</v>
          </cell>
        </row>
        <row r="2143">
          <cell r="A2143">
            <v>3400004578</v>
          </cell>
          <cell r="B2143">
            <v>61107</v>
          </cell>
          <cell r="C2143">
            <v>1</v>
          </cell>
        </row>
        <row r="2144">
          <cell r="A2144">
            <v>3400004579</v>
          </cell>
          <cell r="B2144">
            <v>61107</v>
          </cell>
          <cell r="C2144">
            <v>10</v>
          </cell>
        </row>
        <row r="2145">
          <cell r="A2145">
            <v>3400004580</v>
          </cell>
          <cell r="B2145">
            <v>61107</v>
          </cell>
          <cell r="C2145">
            <v>2</v>
          </cell>
        </row>
        <row r="2146">
          <cell r="A2146">
            <v>3400004581</v>
          </cell>
          <cell r="B2146">
            <v>61107</v>
          </cell>
          <cell r="C2146">
            <v>2</v>
          </cell>
        </row>
        <row r="2147">
          <cell r="A2147">
            <v>3400004582</v>
          </cell>
          <cell r="B2147">
            <v>61107</v>
          </cell>
          <cell r="C2147">
            <v>4</v>
          </cell>
        </row>
        <row r="2148">
          <cell r="A2148">
            <v>3400004583</v>
          </cell>
          <cell r="B2148">
            <v>61107</v>
          </cell>
          <cell r="C2148">
            <v>2</v>
          </cell>
        </row>
        <row r="2149">
          <cell r="A2149">
            <v>3400004584</v>
          </cell>
          <cell r="B2149">
            <v>61107</v>
          </cell>
          <cell r="C2149">
            <v>2</v>
          </cell>
        </row>
        <row r="2150">
          <cell r="A2150">
            <v>3400004585</v>
          </cell>
          <cell r="B2150">
            <v>61107</v>
          </cell>
          <cell r="C2150">
            <v>12</v>
          </cell>
        </row>
        <row r="2151">
          <cell r="A2151">
            <v>3400004586</v>
          </cell>
          <cell r="B2151">
            <v>61100</v>
          </cell>
          <cell r="C2151">
            <v>1</v>
          </cell>
        </row>
        <row r="2152">
          <cell r="A2152">
            <v>3400004587</v>
          </cell>
          <cell r="B2152">
            <v>61100</v>
          </cell>
          <cell r="C2152">
            <v>1</v>
          </cell>
        </row>
        <row r="2153">
          <cell r="A2153">
            <v>3400004588</v>
          </cell>
          <cell r="B2153">
            <v>61100</v>
          </cell>
          <cell r="C2153">
            <v>1</v>
          </cell>
        </row>
        <row r="2154">
          <cell r="A2154">
            <v>3400004589</v>
          </cell>
          <cell r="B2154">
            <v>61100</v>
          </cell>
          <cell r="C2154">
            <v>1</v>
          </cell>
        </row>
        <row r="2155">
          <cell r="A2155">
            <v>3400004590</v>
          </cell>
          <cell r="B2155">
            <v>61100</v>
          </cell>
          <cell r="C2155">
            <v>1</v>
          </cell>
        </row>
        <row r="2156">
          <cell r="A2156">
            <v>3400004591</v>
          </cell>
          <cell r="B2156">
            <v>61100</v>
          </cell>
          <cell r="C2156">
            <v>1</v>
          </cell>
        </row>
        <row r="2157">
          <cell r="A2157">
            <v>3400004592</v>
          </cell>
          <cell r="B2157">
            <v>61100</v>
          </cell>
          <cell r="C2157">
            <v>1</v>
          </cell>
        </row>
        <row r="2158">
          <cell r="A2158">
            <v>3400004593</v>
          </cell>
          <cell r="B2158">
            <v>61101</v>
          </cell>
          <cell r="C2158">
            <v>1</v>
          </cell>
        </row>
        <row r="2159">
          <cell r="A2159">
            <v>3400004594</v>
          </cell>
          <cell r="B2159">
            <v>61103</v>
          </cell>
          <cell r="C2159">
            <v>1</v>
          </cell>
        </row>
        <row r="2160">
          <cell r="A2160">
            <v>3400004595</v>
          </cell>
          <cell r="B2160">
            <v>61150</v>
          </cell>
          <cell r="C2160">
            <v>1</v>
          </cell>
        </row>
        <row r="2161">
          <cell r="A2161">
            <v>3400004596</v>
          </cell>
          <cell r="B2161">
            <v>61150</v>
          </cell>
          <cell r="C2161">
            <v>1</v>
          </cell>
        </row>
        <row r="2162">
          <cell r="A2162">
            <v>3400004597</v>
          </cell>
          <cell r="B2162">
            <v>61150</v>
          </cell>
          <cell r="C2162">
            <v>1</v>
          </cell>
        </row>
        <row r="2163">
          <cell r="A2163">
            <v>3400004598</v>
          </cell>
          <cell r="B2163">
            <v>61100</v>
          </cell>
          <cell r="C2163">
            <v>1</v>
          </cell>
        </row>
        <row r="2164">
          <cell r="A2164">
            <v>3400004599</v>
          </cell>
          <cell r="B2164">
            <v>61107</v>
          </cell>
          <cell r="C2164">
            <v>1</v>
          </cell>
        </row>
        <row r="2165">
          <cell r="A2165">
            <v>3400004600</v>
          </cell>
          <cell r="B2165">
            <v>61107</v>
          </cell>
          <cell r="C2165">
            <v>1</v>
          </cell>
        </row>
        <row r="2166">
          <cell r="A2166">
            <v>3400004601</v>
          </cell>
          <cell r="B2166">
            <v>61107</v>
          </cell>
          <cell r="C2166">
            <v>1</v>
          </cell>
        </row>
        <row r="2167">
          <cell r="A2167">
            <v>3400004602</v>
          </cell>
          <cell r="B2167">
            <v>61107</v>
          </cell>
          <cell r="C2167">
            <v>1</v>
          </cell>
        </row>
        <row r="2168">
          <cell r="A2168">
            <v>3400004603</v>
          </cell>
          <cell r="B2168">
            <v>61107</v>
          </cell>
          <cell r="C2168">
            <v>1</v>
          </cell>
        </row>
        <row r="2169">
          <cell r="A2169">
            <v>3400004604</v>
          </cell>
          <cell r="B2169">
            <v>61107</v>
          </cell>
          <cell r="C2169">
            <v>2</v>
          </cell>
        </row>
        <row r="2170">
          <cell r="A2170">
            <v>3400004605</v>
          </cell>
          <cell r="B2170">
            <v>61107</v>
          </cell>
          <cell r="C2170">
            <v>6</v>
          </cell>
        </row>
        <row r="2171">
          <cell r="A2171">
            <v>3400004606</v>
          </cell>
          <cell r="B2171">
            <v>61107</v>
          </cell>
          <cell r="C2171">
            <v>1</v>
          </cell>
        </row>
        <row r="2172">
          <cell r="A2172">
            <v>3400004607</v>
          </cell>
          <cell r="B2172">
            <v>61108</v>
          </cell>
          <cell r="C2172">
            <v>1</v>
          </cell>
        </row>
        <row r="2173">
          <cell r="A2173">
            <v>3400004608</v>
          </cell>
          <cell r="B2173">
            <v>61107</v>
          </cell>
          <cell r="C2173">
            <v>1</v>
          </cell>
        </row>
        <row r="2174">
          <cell r="A2174">
            <v>3400004609</v>
          </cell>
          <cell r="B2174">
            <v>61107</v>
          </cell>
          <cell r="C2174">
            <v>1</v>
          </cell>
        </row>
        <row r="2175">
          <cell r="A2175">
            <v>3400004610</v>
          </cell>
          <cell r="B2175">
            <v>61107</v>
          </cell>
          <cell r="C2175">
            <v>1</v>
          </cell>
        </row>
        <row r="2176">
          <cell r="A2176">
            <v>3400004611</v>
          </cell>
          <cell r="B2176">
            <v>61108</v>
          </cell>
          <cell r="C2176">
            <v>1</v>
          </cell>
        </row>
        <row r="2177">
          <cell r="A2177">
            <v>3400004612</v>
          </cell>
          <cell r="B2177">
            <v>61107</v>
          </cell>
          <cell r="C2177">
            <v>1</v>
          </cell>
        </row>
        <row r="2178">
          <cell r="A2178">
            <v>3400004613</v>
          </cell>
          <cell r="B2178">
            <v>61107</v>
          </cell>
          <cell r="C2178">
            <v>1</v>
          </cell>
        </row>
        <row r="2179">
          <cell r="A2179">
            <v>3400004614</v>
          </cell>
          <cell r="B2179">
            <v>61107</v>
          </cell>
          <cell r="C2179">
            <v>1</v>
          </cell>
        </row>
        <row r="2180">
          <cell r="A2180">
            <v>3400004615</v>
          </cell>
          <cell r="B2180">
            <v>61107</v>
          </cell>
          <cell r="C2180">
            <v>1</v>
          </cell>
        </row>
        <row r="2181">
          <cell r="A2181">
            <v>3400004616</v>
          </cell>
          <cell r="B2181">
            <v>61107</v>
          </cell>
          <cell r="C2181">
            <v>1</v>
          </cell>
        </row>
        <row r="2182">
          <cell r="A2182">
            <v>3400004617</v>
          </cell>
          <cell r="B2182">
            <v>61107</v>
          </cell>
          <cell r="C2182">
            <v>4</v>
          </cell>
        </row>
        <row r="2183">
          <cell r="A2183">
            <v>3400004618</v>
          </cell>
          <cell r="B2183">
            <v>61100</v>
          </cell>
          <cell r="C2183">
            <v>1</v>
          </cell>
        </row>
        <row r="2184">
          <cell r="A2184">
            <v>3400004619</v>
          </cell>
          <cell r="B2184">
            <v>61112</v>
          </cell>
          <cell r="C2184">
            <v>1</v>
          </cell>
        </row>
        <row r="2185">
          <cell r="A2185">
            <v>3400004620</v>
          </cell>
          <cell r="B2185">
            <v>61100</v>
          </cell>
          <cell r="C2185">
            <v>1</v>
          </cell>
        </row>
        <row r="2186">
          <cell r="A2186">
            <v>3400004621</v>
          </cell>
          <cell r="B2186">
            <v>61206</v>
          </cell>
          <cell r="C2186">
            <v>1</v>
          </cell>
        </row>
        <row r="2187">
          <cell r="A2187">
            <v>3400004622</v>
          </cell>
          <cell r="B2187">
            <v>61153</v>
          </cell>
          <cell r="C2187">
            <v>2</v>
          </cell>
        </row>
        <row r="2188">
          <cell r="A2188">
            <v>3400004623</v>
          </cell>
          <cell r="B2188">
            <v>61115</v>
          </cell>
          <cell r="C2188">
            <v>25</v>
          </cell>
        </row>
        <row r="2189">
          <cell r="A2189">
            <v>3400004624</v>
          </cell>
          <cell r="B2189">
            <v>61112</v>
          </cell>
          <cell r="C2189">
            <v>1</v>
          </cell>
        </row>
        <row r="2190">
          <cell r="A2190">
            <v>3400004625</v>
          </cell>
          <cell r="B2190">
            <v>61112</v>
          </cell>
          <cell r="C2190">
            <v>1</v>
          </cell>
        </row>
        <row r="2191">
          <cell r="A2191">
            <v>3400004626</v>
          </cell>
          <cell r="B2191">
            <v>61112</v>
          </cell>
          <cell r="C2191">
            <v>1</v>
          </cell>
        </row>
        <row r="2192">
          <cell r="A2192">
            <v>3400004627</v>
          </cell>
          <cell r="B2192">
            <v>61112</v>
          </cell>
          <cell r="C2192">
            <v>1</v>
          </cell>
        </row>
        <row r="2193">
          <cell r="A2193">
            <v>3400004628</v>
          </cell>
          <cell r="B2193">
            <v>61112</v>
          </cell>
          <cell r="C2193">
            <v>1</v>
          </cell>
        </row>
        <row r="2194">
          <cell r="A2194">
            <v>3400004629</v>
          </cell>
          <cell r="B2194">
            <v>61112</v>
          </cell>
          <cell r="C2194">
            <v>1</v>
          </cell>
        </row>
        <row r="2195">
          <cell r="A2195">
            <v>3400004630</v>
          </cell>
          <cell r="B2195">
            <v>61112</v>
          </cell>
          <cell r="C2195">
            <v>1</v>
          </cell>
        </row>
        <row r="2196">
          <cell r="A2196">
            <v>3400004631</v>
          </cell>
          <cell r="B2196">
            <v>61112</v>
          </cell>
          <cell r="C2196">
            <v>1</v>
          </cell>
        </row>
        <row r="2197">
          <cell r="A2197">
            <v>3400004632</v>
          </cell>
          <cell r="B2197">
            <v>61112</v>
          </cell>
          <cell r="C2197">
            <v>1</v>
          </cell>
        </row>
        <row r="2198">
          <cell r="A2198">
            <v>3400004633</v>
          </cell>
          <cell r="B2198">
            <v>61112</v>
          </cell>
          <cell r="C2198">
            <v>1</v>
          </cell>
        </row>
        <row r="2199">
          <cell r="A2199">
            <v>3400004634</v>
          </cell>
          <cell r="B2199">
            <v>61112</v>
          </cell>
          <cell r="C2199">
            <v>1</v>
          </cell>
        </row>
        <row r="2200">
          <cell r="A2200">
            <v>3400004635</v>
          </cell>
          <cell r="B2200">
            <v>61112</v>
          </cell>
          <cell r="C2200">
            <v>1</v>
          </cell>
        </row>
        <row r="2201">
          <cell r="A2201">
            <v>3400004636</v>
          </cell>
          <cell r="B2201">
            <v>61112</v>
          </cell>
          <cell r="C2201">
            <v>1</v>
          </cell>
        </row>
        <row r="2202">
          <cell r="A2202">
            <v>3400004637</v>
          </cell>
          <cell r="B2202">
            <v>61112</v>
          </cell>
          <cell r="C2202">
            <v>1</v>
          </cell>
        </row>
        <row r="2203">
          <cell r="A2203">
            <v>3400004638</v>
          </cell>
          <cell r="B2203">
            <v>61112</v>
          </cell>
          <cell r="C2203">
            <v>1</v>
          </cell>
        </row>
        <row r="2204">
          <cell r="A2204">
            <v>3400004639</v>
          </cell>
          <cell r="B2204">
            <v>61102</v>
          </cell>
          <cell r="C2204">
            <v>1</v>
          </cell>
        </row>
        <row r="2205">
          <cell r="A2205">
            <v>3400004640</v>
          </cell>
          <cell r="B2205">
            <v>61111</v>
          </cell>
          <cell r="C2205">
            <v>1</v>
          </cell>
        </row>
        <row r="2206">
          <cell r="A2206">
            <v>3400004641</v>
          </cell>
          <cell r="B2206">
            <v>61112</v>
          </cell>
          <cell r="C2206">
            <v>1</v>
          </cell>
        </row>
        <row r="2207">
          <cell r="A2207">
            <v>3400004642</v>
          </cell>
          <cell r="B2207">
            <v>61111</v>
          </cell>
          <cell r="C2207">
            <v>1</v>
          </cell>
        </row>
        <row r="2208">
          <cell r="A2208">
            <v>3400004643</v>
          </cell>
          <cell r="B2208">
            <v>61112</v>
          </cell>
          <cell r="C2208">
            <v>1</v>
          </cell>
        </row>
        <row r="2209">
          <cell r="A2209">
            <v>3400004644</v>
          </cell>
          <cell r="B2209">
            <v>61115</v>
          </cell>
          <cell r="C2209">
            <v>1</v>
          </cell>
        </row>
        <row r="2210">
          <cell r="A2210">
            <v>3400004645</v>
          </cell>
          <cell r="B2210">
            <v>61115</v>
          </cell>
          <cell r="C2210">
            <v>1</v>
          </cell>
        </row>
        <row r="2211">
          <cell r="A2211">
            <v>3400004646</v>
          </cell>
          <cell r="B2211">
            <v>61115</v>
          </cell>
          <cell r="C2211">
            <v>1</v>
          </cell>
        </row>
        <row r="2212">
          <cell r="A2212">
            <v>3400004647</v>
          </cell>
          <cell r="B2212">
            <v>61115</v>
          </cell>
          <cell r="C2212">
            <v>1</v>
          </cell>
        </row>
        <row r="2213">
          <cell r="A2213">
            <v>3400004648</v>
          </cell>
          <cell r="B2213">
            <v>61115</v>
          </cell>
          <cell r="C2213">
            <v>1</v>
          </cell>
        </row>
        <row r="2214">
          <cell r="A2214">
            <v>3400004649</v>
          </cell>
          <cell r="B2214">
            <v>61115</v>
          </cell>
          <cell r="C2214">
            <v>1</v>
          </cell>
        </row>
        <row r="2215">
          <cell r="A2215">
            <v>3400004650</v>
          </cell>
          <cell r="B2215">
            <v>61115</v>
          </cell>
          <cell r="C2215">
            <v>1</v>
          </cell>
        </row>
        <row r="2216">
          <cell r="A2216">
            <v>3400004651</v>
          </cell>
          <cell r="B2216">
            <v>61115</v>
          </cell>
          <cell r="C2216">
            <v>1</v>
          </cell>
        </row>
        <row r="2217">
          <cell r="A2217">
            <v>3400004652</v>
          </cell>
          <cell r="B2217">
            <v>61115</v>
          </cell>
          <cell r="C2217">
            <v>1</v>
          </cell>
        </row>
        <row r="2218">
          <cell r="A2218">
            <v>3400004653</v>
          </cell>
          <cell r="B2218">
            <v>61115</v>
          </cell>
          <cell r="C2218">
            <v>1</v>
          </cell>
        </row>
        <row r="2219">
          <cell r="A2219">
            <v>3400004654</v>
          </cell>
          <cell r="B2219">
            <v>61115</v>
          </cell>
          <cell r="C2219">
            <v>1</v>
          </cell>
        </row>
        <row r="2220">
          <cell r="A2220">
            <v>3400004655</v>
          </cell>
          <cell r="B2220">
            <v>61115</v>
          </cell>
          <cell r="C2220">
            <v>1</v>
          </cell>
        </row>
        <row r="2221">
          <cell r="A2221">
            <v>3400004656</v>
          </cell>
          <cell r="B2221">
            <v>61115</v>
          </cell>
          <cell r="C2221">
            <v>1</v>
          </cell>
        </row>
        <row r="2222">
          <cell r="A2222">
            <v>3400004657</v>
          </cell>
          <cell r="B2222">
            <v>61115</v>
          </cell>
          <cell r="C2222">
            <v>1</v>
          </cell>
        </row>
        <row r="2223">
          <cell r="A2223">
            <v>3400004658</v>
          </cell>
          <cell r="B2223">
            <v>61115</v>
          </cell>
          <cell r="C2223">
            <v>1</v>
          </cell>
        </row>
        <row r="2224">
          <cell r="A2224">
            <v>3400004659</v>
          </cell>
          <cell r="B2224">
            <v>61115</v>
          </cell>
          <cell r="C2224">
            <v>1</v>
          </cell>
        </row>
        <row r="2225">
          <cell r="A2225">
            <v>3400004660</v>
          </cell>
          <cell r="B2225">
            <v>61115</v>
          </cell>
          <cell r="C2225">
            <v>1</v>
          </cell>
        </row>
        <row r="2226">
          <cell r="A2226">
            <v>3400004661</v>
          </cell>
          <cell r="B2226">
            <v>61115</v>
          </cell>
          <cell r="C2226">
            <v>1</v>
          </cell>
        </row>
        <row r="2227">
          <cell r="A2227">
            <v>3400004662</v>
          </cell>
          <cell r="B2227">
            <v>61112</v>
          </cell>
          <cell r="C2227">
            <v>1</v>
          </cell>
        </row>
        <row r="2228">
          <cell r="A2228">
            <v>3400004663</v>
          </cell>
          <cell r="B2228">
            <v>61112</v>
          </cell>
          <cell r="C2228">
            <v>1</v>
          </cell>
        </row>
        <row r="2229">
          <cell r="A2229">
            <v>3400004664</v>
          </cell>
          <cell r="B2229">
            <v>61112</v>
          </cell>
          <cell r="C2229">
            <v>1</v>
          </cell>
        </row>
        <row r="2230">
          <cell r="A2230">
            <v>3400004665</v>
          </cell>
          <cell r="B2230">
            <v>61112</v>
          </cell>
          <cell r="C2230">
            <v>1</v>
          </cell>
        </row>
        <row r="2231">
          <cell r="A2231">
            <v>3400004666</v>
          </cell>
          <cell r="B2231">
            <v>61112</v>
          </cell>
          <cell r="C2231">
            <v>1</v>
          </cell>
        </row>
        <row r="2232">
          <cell r="A2232">
            <v>3400004667</v>
          </cell>
          <cell r="B2232">
            <v>61112</v>
          </cell>
          <cell r="C2232">
            <v>1</v>
          </cell>
        </row>
        <row r="2233">
          <cell r="A2233">
            <v>3400004668</v>
          </cell>
          <cell r="B2233">
            <v>61208</v>
          </cell>
          <cell r="C2233">
            <v>1</v>
          </cell>
        </row>
        <row r="2234">
          <cell r="A2234">
            <v>3400004669</v>
          </cell>
          <cell r="B2234">
            <v>61208</v>
          </cell>
          <cell r="C2234">
            <v>1</v>
          </cell>
        </row>
        <row r="2235">
          <cell r="A2235">
            <v>3400004670</v>
          </cell>
          <cell r="B2235">
            <v>61208</v>
          </cell>
          <cell r="C2235">
            <v>1</v>
          </cell>
        </row>
        <row r="2236">
          <cell r="A2236">
            <v>3400004671</v>
          </cell>
          <cell r="B2236">
            <v>61208</v>
          </cell>
          <cell r="C2236">
            <v>1</v>
          </cell>
        </row>
        <row r="2237">
          <cell r="A2237">
            <v>3400004672</v>
          </cell>
          <cell r="B2237">
            <v>61208</v>
          </cell>
          <cell r="C2237">
            <v>1</v>
          </cell>
        </row>
        <row r="2238">
          <cell r="A2238">
            <v>3400004673</v>
          </cell>
          <cell r="B2238">
            <v>61208</v>
          </cell>
          <cell r="C2238">
            <v>1</v>
          </cell>
        </row>
        <row r="2239">
          <cell r="A2239">
            <v>3400004674</v>
          </cell>
          <cell r="B2239">
            <v>61203</v>
          </cell>
          <cell r="C2239">
            <v>1</v>
          </cell>
        </row>
        <row r="2240">
          <cell r="A2240">
            <v>3400004674</v>
          </cell>
          <cell r="B2240">
            <v>61208</v>
          </cell>
          <cell r="C2240">
            <v>1</v>
          </cell>
        </row>
        <row r="2241">
          <cell r="A2241">
            <v>3400004675</v>
          </cell>
          <cell r="B2241">
            <v>61203</v>
          </cell>
          <cell r="C2241">
            <v>1</v>
          </cell>
        </row>
        <row r="2242">
          <cell r="A2242">
            <v>3400004675</v>
          </cell>
          <cell r="B2242">
            <v>61206</v>
          </cell>
          <cell r="C2242">
            <v>1</v>
          </cell>
        </row>
        <row r="2243">
          <cell r="A2243">
            <v>3400004676</v>
          </cell>
          <cell r="B2243">
            <v>61102</v>
          </cell>
          <cell r="C2243">
            <v>1</v>
          </cell>
        </row>
        <row r="2244">
          <cell r="A2244">
            <v>3400004676</v>
          </cell>
          <cell r="B2244">
            <v>61203</v>
          </cell>
          <cell r="C2244">
            <v>1</v>
          </cell>
        </row>
        <row r="2245">
          <cell r="A2245">
            <v>3400004677</v>
          </cell>
          <cell r="B2245">
            <v>61107</v>
          </cell>
          <cell r="C2245">
            <v>1</v>
          </cell>
        </row>
        <row r="2246">
          <cell r="A2246">
            <v>3400004678</v>
          </cell>
          <cell r="B2246">
            <v>61102</v>
          </cell>
          <cell r="C2246">
            <v>1</v>
          </cell>
        </row>
        <row r="2247">
          <cell r="A2247">
            <v>3400004678</v>
          </cell>
          <cell r="B2247">
            <v>61203</v>
          </cell>
          <cell r="C2247">
            <v>2</v>
          </cell>
        </row>
        <row r="2248">
          <cell r="A2248">
            <v>3400004679</v>
          </cell>
          <cell r="B2248">
            <v>61102</v>
          </cell>
          <cell r="C2248">
            <v>1</v>
          </cell>
        </row>
        <row r="2249">
          <cell r="A2249">
            <v>3400004679</v>
          </cell>
          <cell r="B2249">
            <v>61203</v>
          </cell>
          <cell r="C2249">
            <v>1</v>
          </cell>
        </row>
        <row r="2250">
          <cell r="A2250">
            <v>3400004680</v>
          </cell>
          <cell r="B2250">
            <v>61102</v>
          </cell>
          <cell r="C2250">
            <v>1</v>
          </cell>
        </row>
        <row r="2251">
          <cell r="A2251">
            <v>3400004680</v>
          </cell>
          <cell r="B2251">
            <v>61203</v>
          </cell>
          <cell r="C2251">
            <v>3</v>
          </cell>
        </row>
        <row r="2252">
          <cell r="A2252">
            <v>3400004681</v>
          </cell>
          <cell r="B2252">
            <v>61102</v>
          </cell>
          <cell r="C2252">
            <v>1</v>
          </cell>
        </row>
        <row r="2253">
          <cell r="A2253">
            <v>3400004681</v>
          </cell>
          <cell r="B2253">
            <v>61203</v>
          </cell>
          <cell r="C2253">
            <v>2</v>
          </cell>
        </row>
        <row r="2254">
          <cell r="A2254">
            <v>3400004682</v>
          </cell>
          <cell r="B2254">
            <v>61107</v>
          </cell>
          <cell r="C2254">
            <v>1</v>
          </cell>
        </row>
        <row r="2255">
          <cell r="A2255">
            <v>3400004682</v>
          </cell>
          <cell r="B2255">
            <v>61203</v>
          </cell>
          <cell r="C2255">
            <v>6</v>
          </cell>
        </row>
        <row r="2256">
          <cell r="A2256">
            <v>3400004683</v>
          </cell>
          <cell r="B2256">
            <v>61102</v>
          </cell>
          <cell r="C2256">
            <v>1</v>
          </cell>
        </row>
        <row r="2257">
          <cell r="A2257">
            <v>3400004683</v>
          </cell>
          <cell r="B2257">
            <v>61203</v>
          </cell>
          <cell r="C2257">
            <v>4</v>
          </cell>
        </row>
        <row r="2258">
          <cell r="A2258">
            <v>3400004684</v>
          </cell>
          <cell r="B2258">
            <v>61112</v>
          </cell>
          <cell r="C2258">
            <v>1</v>
          </cell>
        </row>
        <row r="2259">
          <cell r="A2259">
            <v>3400004684</v>
          </cell>
          <cell r="B2259">
            <v>61203</v>
          </cell>
          <cell r="C2259">
            <v>1</v>
          </cell>
        </row>
        <row r="2260">
          <cell r="A2260">
            <v>3400004685</v>
          </cell>
          <cell r="B2260">
            <v>61102</v>
          </cell>
          <cell r="C2260">
            <v>1</v>
          </cell>
        </row>
        <row r="2261">
          <cell r="A2261">
            <v>3400004686</v>
          </cell>
          <cell r="B2261">
            <v>61102</v>
          </cell>
          <cell r="C2261">
            <v>1</v>
          </cell>
        </row>
        <row r="2262">
          <cell r="A2262">
            <v>3400004687</v>
          </cell>
          <cell r="B2262">
            <v>61102</v>
          </cell>
          <cell r="C2262">
            <v>1</v>
          </cell>
        </row>
        <row r="2263">
          <cell r="A2263">
            <v>3400004688</v>
          </cell>
          <cell r="B2263">
            <v>61102</v>
          </cell>
          <cell r="C2263">
            <v>1</v>
          </cell>
        </row>
        <row r="2264">
          <cell r="A2264">
            <v>3400004689</v>
          </cell>
          <cell r="B2264">
            <v>61102</v>
          </cell>
          <cell r="C2264">
            <v>1</v>
          </cell>
        </row>
        <row r="2265">
          <cell r="A2265">
            <v>3400004690</v>
          </cell>
          <cell r="B2265">
            <v>61102</v>
          </cell>
          <cell r="C2265">
            <v>1</v>
          </cell>
        </row>
        <row r="2266">
          <cell r="A2266">
            <v>3400004691</v>
          </cell>
          <cell r="B2266">
            <v>61102</v>
          </cell>
          <cell r="C2266">
            <v>1</v>
          </cell>
        </row>
        <row r="2267">
          <cell r="A2267">
            <v>3400004692</v>
          </cell>
          <cell r="B2267">
            <v>61115</v>
          </cell>
          <cell r="C2267">
            <v>1</v>
          </cell>
        </row>
        <row r="2268">
          <cell r="A2268">
            <v>3400004693</v>
          </cell>
          <cell r="B2268">
            <v>61115</v>
          </cell>
          <cell r="C2268">
            <v>1</v>
          </cell>
        </row>
        <row r="2269">
          <cell r="A2269">
            <v>3400004694</v>
          </cell>
          <cell r="B2269">
            <v>61115</v>
          </cell>
          <cell r="C2269">
            <v>1</v>
          </cell>
        </row>
        <row r="2270">
          <cell r="A2270">
            <v>3400004695</v>
          </cell>
          <cell r="B2270">
            <v>61115</v>
          </cell>
          <cell r="C2270">
            <v>1</v>
          </cell>
        </row>
        <row r="2271">
          <cell r="A2271">
            <v>3400004696</v>
          </cell>
          <cell r="B2271">
            <v>61115</v>
          </cell>
          <cell r="C2271">
            <v>1</v>
          </cell>
        </row>
        <row r="2272">
          <cell r="A2272">
            <v>3400004697</v>
          </cell>
          <cell r="B2272">
            <v>61115</v>
          </cell>
          <cell r="C2272">
            <v>1</v>
          </cell>
        </row>
        <row r="2273">
          <cell r="A2273">
            <v>3400004698</v>
          </cell>
          <cell r="B2273">
            <v>61115</v>
          </cell>
          <cell r="C2273">
            <v>1</v>
          </cell>
        </row>
        <row r="2274">
          <cell r="A2274">
            <v>3400004699</v>
          </cell>
          <cell r="B2274">
            <v>61115</v>
          </cell>
          <cell r="C2274">
            <v>1</v>
          </cell>
        </row>
        <row r="2275">
          <cell r="A2275">
            <v>3400004700</v>
          </cell>
          <cell r="B2275">
            <v>61115</v>
          </cell>
          <cell r="C2275">
            <v>1</v>
          </cell>
        </row>
        <row r="2276">
          <cell r="A2276">
            <v>3400004701</v>
          </cell>
          <cell r="B2276">
            <v>61115</v>
          </cell>
          <cell r="C2276">
            <v>1</v>
          </cell>
        </row>
        <row r="2277">
          <cell r="A2277">
            <v>3400004702</v>
          </cell>
          <cell r="B2277">
            <v>61102</v>
          </cell>
          <cell r="C2277">
            <v>1</v>
          </cell>
        </row>
        <row r="2278">
          <cell r="A2278">
            <v>3400004703</v>
          </cell>
          <cell r="B2278">
            <v>61102</v>
          </cell>
          <cell r="C2278">
            <v>1</v>
          </cell>
        </row>
        <row r="2279">
          <cell r="A2279">
            <v>3400004704</v>
          </cell>
          <cell r="B2279">
            <v>61102</v>
          </cell>
          <cell r="C2279">
            <v>1</v>
          </cell>
        </row>
        <row r="2280">
          <cell r="A2280">
            <v>3400004705</v>
          </cell>
          <cell r="B2280">
            <v>61102</v>
          </cell>
          <cell r="C2280">
            <v>1</v>
          </cell>
        </row>
        <row r="2281">
          <cell r="A2281">
            <v>3400004706</v>
          </cell>
          <cell r="B2281">
            <v>61102</v>
          </cell>
          <cell r="C2281">
            <v>1</v>
          </cell>
        </row>
        <row r="2282">
          <cell r="A2282">
            <v>3400004707</v>
          </cell>
          <cell r="B2282">
            <v>61102</v>
          </cell>
          <cell r="C2282">
            <v>1</v>
          </cell>
        </row>
        <row r="2283">
          <cell r="A2283">
            <v>3400004708</v>
          </cell>
          <cell r="B2283">
            <v>61102</v>
          </cell>
          <cell r="C2283">
            <v>1</v>
          </cell>
        </row>
        <row r="2284">
          <cell r="A2284">
            <v>3400004709</v>
          </cell>
          <cell r="B2284">
            <v>61102</v>
          </cell>
          <cell r="C2284">
            <v>1</v>
          </cell>
        </row>
        <row r="2285">
          <cell r="A2285">
            <v>3400004710</v>
          </cell>
          <cell r="B2285">
            <v>61112</v>
          </cell>
          <cell r="C2285">
            <v>1</v>
          </cell>
        </row>
        <row r="2286">
          <cell r="A2286">
            <v>3400004711</v>
          </cell>
          <cell r="B2286">
            <v>61112</v>
          </cell>
          <cell r="C2286">
            <v>1</v>
          </cell>
        </row>
        <row r="2287">
          <cell r="A2287">
            <v>3400004712</v>
          </cell>
          <cell r="B2287">
            <v>61112</v>
          </cell>
          <cell r="C2287">
            <v>1</v>
          </cell>
        </row>
        <row r="2288">
          <cell r="A2288">
            <v>3400004713</v>
          </cell>
          <cell r="B2288">
            <v>61112</v>
          </cell>
          <cell r="C2288">
            <v>1</v>
          </cell>
        </row>
        <row r="2289">
          <cell r="A2289">
            <v>3400004714</v>
          </cell>
          <cell r="B2289">
            <v>61112</v>
          </cell>
          <cell r="C2289">
            <v>1</v>
          </cell>
        </row>
        <row r="2290">
          <cell r="A2290">
            <v>3400004715</v>
          </cell>
          <cell r="B2290">
            <v>61112</v>
          </cell>
          <cell r="C2290">
            <v>1</v>
          </cell>
        </row>
        <row r="2291">
          <cell r="A2291">
            <v>3400004716</v>
          </cell>
          <cell r="B2291">
            <v>61206</v>
          </cell>
          <cell r="C2291">
            <v>68</v>
          </cell>
        </row>
        <row r="2292">
          <cell r="A2292">
            <v>3400004717</v>
          </cell>
          <cell r="B2292">
            <v>61206</v>
          </cell>
          <cell r="C2292">
            <v>4</v>
          </cell>
        </row>
        <row r="2293">
          <cell r="A2293">
            <v>3400004718</v>
          </cell>
          <cell r="B2293">
            <v>61153</v>
          </cell>
          <cell r="C2293">
            <v>1</v>
          </cell>
        </row>
        <row r="2294">
          <cell r="A2294">
            <v>3400004719</v>
          </cell>
          <cell r="B2294">
            <v>61112</v>
          </cell>
          <cell r="C2294">
            <v>1</v>
          </cell>
        </row>
        <row r="2295">
          <cell r="A2295">
            <v>3400004720</v>
          </cell>
          <cell r="B2295">
            <v>61112</v>
          </cell>
          <cell r="C2295">
            <v>1</v>
          </cell>
        </row>
        <row r="2296">
          <cell r="A2296">
            <v>3400004721</v>
          </cell>
          <cell r="B2296">
            <v>61115</v>
          </cell>
          <cell r="C2296">
            <v>1</v>
          </cell>
        </row>
        <row r="2297">
          <cell r="A2297">
            <v>3400004722</v>
          </cell>
          <cell r="B2297">
            <v>61115</v>
          </cell>
          <cell r="C2297">
            <v>1</v>
          </cell>
        </row>
        <row r="2298">
          <cell r="A2298">
            <v>3400004723</v>
          </cell>
          <cell r="B2298">
            <v>61115</v>
          </cell>
          <cell r="C2298">
            <v>1</v>
          </cell>
        </row>
        <row r="2299">
          <cell r="A2299">
            <v>3400004724</v>
          </cell>
          <cell r="B2299">
            <v>61153</v>
          </cell>
          <cell r="C2299">
            <v>1</v>
          </cell>
        </row>
        <row r="2300">
          <cell r="A2300">
            <v>3400004725</v>
          </cell>
          <cell r="B2300">
            <v>61102</v>
          </cell>
          <cell r="C2300">
            <v>1</v>
          </cell>
        </row>
        <row r="2301">
          <cell r="A2301">
            <v>3400004726</v>
          </cell>
          <cell r="B2301">
            <v>61153</v>
          </cell>
          <cell r="C2301">
            <v>1</v>
          </cell>
        </row>
        <row r="2302">
          <cell r="A2302">
            <v>3400004727</v>
          </cell>
          <cell r="B2302">
            <v>61153</v>
          </cell>
          <cell r="C2302">
            <v>1</v>
          </cell>
        </row>
        <row r="2303">
          <cell r="A2303">
            <v>3400004728</v>
          </cell>
          <cell r="B2303">
            <v>61153</v>
          </cell>
          <cell r="C2303">
            <v>1</v>
          </cell>
        </row>
        <row r="2304">
          <cell r="A2304">
            <v>3400004729</v>
          </cell>
          <cell r="B2304">
            <v>61107</v>
          </cell>
          <cell r="C2304">
            <v>1</v>
          </cell>
        </row>
        <row r="2305">
          <cell r="A2305">
            <v>3400004730</v>
          </cell>
          <cell r="B2305">
            <v>61115</v>
          </cell>
          <cell r="C2305">
            <v>1</v>
          </cell>
        </row>
        <row r="2306">
          <cell r="A2306">
            <v>3400004731</v>
          </cell>
          <cell r="B2306">
            <v>61153</v>
          </cell>
          <cell r="C2306">
            <v>1</v>
          </cell>
        </row>
        <row r="2307">
          <cell r="A2307">
            <v>3400004732</v>
          </cell>
          <cell r="B2307">
            <v>61153</v>
          </cell>
          <cell r="C2307">
            <v>1</v>
          </cell>
        </row>
        <row r="2308">
          <cell r="A2308">
            <v>3400004733</v>
          </cell>
          <cell r="B2308">
            <v>61153</v>
          </cell>
          <cell r="C2308">
            <v>1</v>
          </cell>
        </row>
        <row r="2309">
          <cell r="A2309">
            <v>3400004734</v>
          </cell>
          <cell r="B2309">
            <v>61115</v>
          </cell>
          <cell r="C2309">
            <v>1</v>
          </cell>
        </row>
        <row r="2310">
          <cell r="A2310">
            <v>3400004735</v>
          </cell>
          <cell r="B2310">
            <v>61115</v>
          </cell>
          <cell r="C2310">
            <v>1</v>
          </cell>
        </row>
        <row r="2311">
          <cell r="A2311">
            <v>3400004736</v>
          </cell>
          <cell r="B2311">
            <v>61115</v>
          </cell>
          <cell r="C2311">
            <v>1</v>
          </cell>
        </row>
        <row r="2312">
          <cell r="A2312">
            <v>3400004737</v>
          </cell>
          <cell r="B2312">
            <v>61115</v>
          </cell>
          <cell r="C2312">
            <v>1</v>
          </cell>
        </row>
        <row r="2313">
          <cell r="A2313">
            <v>3400004738</v>
          </cell>
          <cell r="B2313">
            <v>61115</v>
          </cell>
          <cell r="C2313">
            <v>1</v>
          </cell>
        </row>
        <row r="2314">
          <cell r="A2314">
            <v>3400004739</v>
          </cell>
          <cell r="B2314">
            <v>61115</v>
          </cell>
          <cell r="C2314">
            <v>1</v>
          </cell>
        </row>
        <row r="2315">
          <cell r="A2315">
            <v>3400004740</v>
          </cell>
          <cell r="B2315">
            <v>61115</v>
          </cell>
          <cell r="C2315">
            <v>1</v>
          </cell>
        </row>
        <row r="2316">
          <cell r="A2316">
            <v>3400004741</v>
          </cell>
          <cell r="B2316">
            <v>61115</v>
          </cell>
          <cell r="C2316">
            <v>1</v>
          </cell>
        </row>
        <row r="2317">
          <cell r="A2317">
            <v>3400004742</v>
          </cell>
          <cell r="B2317">
            <v>61115</v>
          </cell>
          <cell r="C2317">
            <v>1</v>
          </cell>
        </row>
        <row r="2318">
          <cell r="A2318">
            <v>3400004743</v>
          </cell>
          <cell r="B2318">
            <v>61115</v>
          </cell>
          <cell r="C2318">
            <v>1</v>
          </cell>
        </row>
        <row r="2319">
          <cell r="A2319">
            <v>3400004744</v>
          </cell>
          <cell r="B2319">
            <v>61115</v>
          </cell>
          <cell r="C2319">
            <v>1</v>
          </cell>
        </row>
        <row r="2320">
          <cell r="A2320">
            <v>3400004745</v>
          </cell>
          <cell r="B2320">
            <v>61115</v>
          </cell>
          <cell r="C2320">
            <v>1</v>
          </cell>
        </row>
        <row r="2321">
          <cell r="A2321">
            <v>3400004746</v>
          </cell>
          <cell r="B2321">
            <v>61115</v>
          </cell>
          <cell r="C2321">
            <v>1</v>
          </cell>
        </row>
        <row r="2322">
          <cell r="A2322">
            <v>3400004747</v>
          </cell>
          <cell r="B2322">
            <v>61115</v>
          </cell>
          <cell r="C2322">
            <v>1</v>
          </cell>
        </row>
        <row r="2323">
          <cell r="A2323">
            <v>3400004748</v>
          </cell>
          <cell r="B2323">
            <v>61115</v>
          </cell>
          <cell r="C2323">
            <v>1</v>
          </cell>
        </row>
        <row r="2324">
          <cell r="A2324">
            <v>3400004749</v>
          </cell>
          <cell r="B2324">
            <v>61115</v>
          </cell>
          <cell r="C2324">
            <v>1</v>
          </cell>
        </row>
        <row r="2325">
          <cell r="A2325">
            <v>3400004750</v>
          </cell>
          <cell r="B2325">
            <v>61115</v>
          </cell>
          <cell r="C2325">
            <v>1</v>
          </cell>
        </row>
        <row r="2326">
          <cell r="A2326">
            <v>3400004751</v>
          </cell>
          <cell r="B2326">
            <v>61115</v>
          </cell>
          <cell r="C2326">
            <v>1</v>
          </cell>
        </row>
        <row r="2327">
          <cell r="A2327">
            <v>3400004752</v>
          </cell>
          <cell r="B2327">
            <v>61115</v>
          </cell>
          <cell r="C2327">
            <v>1</v>
          </cell>
        </row>
        <row r="2328">
          <cell r="A2328">
            <v>3400004753</v>
          </cell>
          <cell r="B2328">
            <v>61115</v>
          </cell>
          <cell r="C2328">
            <v>1</v>
          </cell>
        </row>
        <row r="2329">
          <cell r="A2329">
            <v>3400004754</v>
          </cell>
          <cell r="B2329">
            <v>61115</v>
          </cell>
          <cell r="C2329">
            <v>1</v>
          </cell>
        </row>
        <row r="2330">
          <cell r="A2330">
            <v>3400004755</v>
          </cell>
          <cell r="B2330">
            <v>61115</v>
          </cell>
          <cell r="C2330">
            <v>1</v>
          </cell>
        </row>
        <row r="2331">
          <cell r="A2331">
            <v>3400004756</v>
          </cell>
          <cell r="B2331">
            <v>61115</v>
          </cell>
          <cell r="C2331">
            <v>1</v>
          </cell>
        </row>
        <row r="2332">
          <cell r="A2332">
            <v>3400004757</v>
          </cell>
          <cell r="B2332">
            <v>61115</v>
          </cell>
          <cell r="C2332">
            <v>1</v>
          </cell>
        </row>
        <row r="2333">
          <cell r="A2333">
            <v>3400004758</v>
          </cell>
          <cell r="B2333">
            <v>61115</v>
          </cell>
          <cell r="C2333">
            <v>1</v>
          </cell>
        </row>
        <row r="2334">
          <cell r="A2334">
            <v>3400004759</v>
          </cell>
          <cell r="B2334">
            <v>61115</v>
          </cell>
          <cell r="C2334">
            <v>1</v>
          </cell>
        </row>
        <row r="2335">
          <cell r="A2335">
            <v>3400004760</v>
          </cell>
          <cell r="B2335">
            <v>61115</v>
          </cell>
          <cell r="C2335">
            <v>1</v>
          </cell>
        </row>
        <row r="2336">
          <cell r="A2336">
            <v>3400004761</v>
          </cell>
          <cell r="B2336">
            <v>61115</v>
          </cell>
          <cell r="C2336">
            <v>1</v>
          </cell>
        </row>
        <row r="2337">
          <cell r="A2337">
            <v>3400004762</v>
          </cell>
          <cell r="B2337">
            <v>61115</v>
          </cell>
          <cell r="C2337">
            <v>1</v>
          </cell>
        </row>
        <row r="2338">
          <cell r="A2338">
            <v>3400004763</v>
          </cell>
          <cell r="B2338">
            <v>61115</v>
          </cell>
          <cell r="C2338">
            <v>1</v>
          </cell>
        </row>
        <row r="2339">
          <cell r="A2339">
            <v>3400004764</v>
          </cell>
          <cell r="B2339">
            <v>61115</v>
          </cell>
          <cell r="C2339">
            <v>1</v>
          </cell>
        </row>
        <row r="2340">
          <cell r="A2340">
            <v>3400004765</v>
          </cell>
          <cell r="B2340">
            <v>61115</v>
          </cell>
          <cell r="C2340">
            <v>1</v>
          </cell>
        </row>
        <row r="2341">
          <cell r="A2341">
            <v>3400004766</v>
          </cell>
          <cell r="B2341">
            <v>61115</v>
          </cell>
          <cell r="C2341">
            <v>1</v>
          </cell>
        </row>
        <row r="2342">
          <cell r="A2342">
            <v>3400004767</v>
          </cell>
          <cell r="B2342">
            <v>61115</v>
          </cell>
          <cell r="C2342">
            <v>1</v>
          </cell>
        </row>
        <row r="2343">
          <cell r="A2343">
            <v>3400004768</v>
          </cell>
          <cell r="B2343">
            <v>61115</v>
          </cell>
          <cell r="C2343">
            <v>1</v>
          </cell>
        </row>
        <row r="2344">
          <cell r="A2344">
            <v>3400004769</v>
          </cell>
          <cell r="B2344">
            <v>61115</v>
          </cell>
          <cell r="C2344">
            <v>1</v>
          </cell>
        </row>
        <row r="2345">
          <cell r="A2345">
            <v>3400004770</v>
          </cell>
          <cell r="B2345">
            <v>61115</v>
          </cell>
          <cell r="C2345">
            <v>1</v>
          </cell>
        </row>
        <row r="2346">
          <cell r="A2346">
            <v>3400004771</v>
          </cell>
          <cell r="B2346">
            <v>61115</v>
          </cell>
          <cell r="C2346">
            <v>1</v>
          </cell>
        </row>
        <row r="2347">
          <cell r="A2347">
            <v>3400004772</v>
          </cell>
          <cell r="B2347">
            <v>61115</v>
          </cell>
          <cell r="C2347">
            <v>1</v>
          </cell>
        </row>
        <row r="2348">
          <cell r="A2348">
            <v>3400004773</v>
          </cell>
          <cell r="B2348">
            <v>61115</v>
          </cell>
          <cell r="C2348">
            <v>1</v>
          </cell>
        </row>
        <row r="2349">
          <cell r="A2349">
            <v>3400004774</v>
          </cell>
          <cell r="B2349">
            <v>61115</v>
          </cell>
          <cell r="C2349">
            <v>1</v>
          </cell>
        </row>
        <row r="2350">
          <cell r="A2350">
            <v>3400004775</v>
          </cell>
          <cell r="B2350">
            <v>61115</v>
          </cell>
          <cell r="C2350">
            <v>1</v>
          </cell>
        </row>
        <row r="2351">
          <cell r="A2351">
            <v>3400004776</v>
          </cell>
          <cell r="B2351">
            <v>61115</v>
          </cell>
          <cell r="C2351">
            <v>1</v>
          </cell>
        </row>
        <row r="2352">
          <cell r="A2352">
            <v>3400004777</v>
          </cell>
          <cell r="B2352">
            <v>61115</v>
          </cell>
          <cell r="C2352">
            <v>1</v>
          </cell>
        </row>
        <row r="2353">
          <cell r="A2353">
            <v>3400004778</v>
          </cell>
          <cell r="B2353">
            <v>61115</v>
          </cell>
          <cell r="C2353">
            <v>1</v>
          </cell>
        </row>
        <row r="2354">
          <cell r="A2354">
            <v>3400004779</v>
          </cell>
          <cell r="B2354">
            <v>61115</v>
          </cell>
          <cell r="C2354">
            <v>1</v>
          </cell>
        </row>
        <row r="2355">
          <cell r="A2355">
            <v>3400004780</v>
          </cell>
          <cell r="B2355">
            <v>61155</v>
          </cell>
          <cell r="C2355">
            <v>1</v>
          </cell>
        </row>
        <row r="2356">
          <cell r="A2356">
            <v>3400004781</v>
          </cell>
          <cell r="B2356">
            <v>61203</v>
          </cell>
          <cell r="C2356">
            <v>1</v>
          </cell>
        </row>
        <row r="2357">
          <cell r="A2357">
            <v>3400004782</v>
          </cell>
          <cell r="B2357">
            <v>61203</v>
          </cell>
          <cell r="C2357">
            <v>1</v>
          </cell>
        </row>
        <row r="2358">
          <cell r="A2358">
            <v>3400004783</v>
          </cell>
          <cell r="B2358">
            <v>61203</v>
          </cell>
          <cell r="C2358">
            <v>30</v>
          </cell>
        </row>
        <row r="2359">
          <cell r="A2359">
            <v>3400004784</v>
          </cell>
          <cell r="B2359">
            <v>61203</v>
          </cell>
          <cell r="C2359">
            <v>1</v>
          </cell>
        </row>
        <row r="2360">
          <cell r="A2360">
            <v>3400004784</v>
          </cell>
          <cell r="B2360">
            <v>61203</v>
          </cell>
          <cell r="C2360">
            <v>1</v>
          </cell>
        </row>
        <row r="2361">
          <cell r="A2361">
            <v>3400004784</v>
          </cell>
          <cell r="B2361">
            <v>61203</v>
          </cell>
          <cell r="C2361">
            <v>1</v>
          </cell>
        </row>
        <row r="2362">
          <cell r="A2362">
            <v>3400004784</v>
          </cell>
          <cell r="B2362">
            <v>61203</v>
          </cell>
          <cell r="C2362">
            <v>1</v>
          </cell>
        </row>
        <row r="2363">
          <cell r="A2363">
            <v>3400004785</v>
          </cell>
          <cell r="B2363">
            <v>61203</v>
          </cell>
          <cell r="C2363">
            <v>1</v>
          </cell>
        </row>
        <row r="2364">
          <cell r="A2364">
            <v>3400004786</v>
          </cell>
          <cell r="B2364">
            <v>61203</v>
          </cell>
          <cell r="C2364">
            <v>1</v>
          </cell>
        </row>
        <row r="2365">
          <cell r="A2365">
            <v>3400004787</v>
          </cell>
          <cell r="B2365">
            <v>61203</v>
          </cell>
          <cell r="C2365">
            <v>64</v>
          </cell>
        </row>
        <row r="2366">
          <cell r="A2366">
            <v>3400004788</v>
          </cell>
          <cell r="B2366">
            <v>61200</v>
          </cell>
          <cell r="C2366">
            <v>1</v>
          </cell>
        </row>
        <row r="2367">
          <cell r="A2367">
            <v>3400004789</v>
          </cell>
          <cell r="B2367">
            <v>61203</v>
          </cell>
          <cell r="C2367">
            <v>1</v>
          </cell>
        </row>
        <row r="2368">
          <cell r="A2368">
            <v>3400004790</v>
          </cell>
          <cell r="B2368">
            <v>61203</v>
          </cell>
          <cell r="C2368">
            <v>1</v>
          </cell>
        </row>
        <row r="2369">
          <cell r="A2369">
            <v>3400004791</v>
          </cell>
          <cell r="B2369">
            <v>61203</v>
          </cell>
          <cell r="C2369">
            <v>1</v>
          </cell>
        </row>
        <row r="2370">
          <cell r="A2370">
            <v>3400004792</v>
          </cell>
          <cell r="B2370">
            <v>61200</v>
          </cell>
          <cell r="C2370">
            <v>1</v>
          </cell>
        </row>
        <row r="2371">
          <cell r="A2371">
            <v>3400004793</v>
          </cell>
          <cell r="B2371">
            <v>61108</v>
          </cell>
          <cell r="C2371">
            <v>15</v>
          </cell>
        </row>
        <row r="2372">
          <cell r="A2372">
            <v>3400004794</v>
          </cell>
          <cell r="B2372">
            <v>61108</v>
          </cell>
          <cell r="C2372">
            <v>25</v>
          </cell>
        </row>
        <row r="2373">
          <cell r="A2373">
            <v>3400004795</v>
          </cell>
          <cell r="B2373">
            <v>61203</v>
          </cell>
          <cell r="C2373">
            <v>1</v>
          </cell>
        </row>
        <row r="2374">
          <cell r="A2374">
            <v>3400004796</v>
          </cell>
          <cell r="B2374">
            <v>61203</v>
          </cell>
          <cell r="C2374">
            <v>1</v>
          </cell>
        </row>
        <row r="2375">
          <cell r="A2375">
            <v>3400004797</v>
          </cell>
          <cell r="B2375">
            <v>61156</v>
          </cell>
          <cell r="C2375">
            <v>1</v>
          </cell>
        </row>
        <row r="2376">
          <cell r="A2376">
            <v>3400004798</v>
          </cell>
          <cell r="B2376">
            <v>61203</v>
          </cell>
          <cell r="C2376">
            <v>1</v>
          </cell>
        </row>
        <row r="2377">
          <cell r="A2377">
            <v>3400004910</v>
          </cell>
          <cell r="B2377">
            <v>60300</v>
          </cell>
          <cell r="C2377">
            <v>1</v>
          </cell>
        </row>
        <row r="2378">
          <cell r="A2378">
            <v>3400004911</v>
          </cell>
          <cell r="B2378">
            <v>60300</v>
          </cell>
          <cell r="C2378">
            <v>2</v>
          </cell>
        </row>
        <row r="2379">
          <cell r="A2379">
            <v>3400004913</v>
          </cell>
          <cell r="B2379">
            <v>60300</v>
          </cell>
          <cell r="C2379">
            <v>1</v>
          </cell>
        </row>
        <row r="2380">
          <cell r="A2380">
            <v>3400004914</v>
          </cell>
          <cell r="B2380">
            <v>61203</v>
          </cell>
          <cell r="C2380">
            <v>2</v>
          </cell>
        </row>
        <row r="2381">
          <cell r="A2381">
            <v>3400004915</v>
          </cell>
          <cell r="B2381">
            <v>60300</v>
          </cell>
          <cell r="C2381">
            <v>1</v>
          </cell>
        </row>
        <row r="2382">
          <cell r="A2382">
            <v>3400004915</v>
          </cell>
          <cell r="B2382">
            <v>60300</v>
          </cell>
          <cell r="C2382">
            <v>1</v>
          </cell>
        </row>
        <row r="2383">
          <cell r="A2383">
            <v>3400004917</v>
          </cell>
          <cell r="B2383">
            <v>60300</v>
          </cell>
          <cell r="C2383">
            <v>1</v>
          </cell>
        </row>
        <row r="2384">
          <cell r="A2384">
            <v>3400004918</v>
          </cell>
          <cell r="B2384">
            <v>60300</v>
          </cell>
          <cell r="C2384">
            <v>1</v>
          </cell>
        </row>
        <row r="2385">
          <cell r="A2385">
            <v>3400004919</v>
          </cell>
          <cell r="B2385">
            <v>60300</v>
          </cell>
          <cell r="C2385">
            <v>1</v>
          </cell>
        </row>
        <row r="2386">
          <cell r="A2386">
            <v>3400004920</v>
          </cell>
          <cell r="B2386">
            <v>60300</v>
          </cell>
          <cell r="C2386">
            <v>1</v>
          </cell>
        </row>
        <row r="2387">
          <cell r="A2387">
            <v>3400004921</v>
          </cell>
          <cell r="B2387">
            <v>60300</v>
          </cell>
          <cell r="C2387">
            <v>45</v>
          </cell>
        </row>
        <row r="2388">
          <cell r="A2388">
            <v>3400004922</v>
          </cell>
          <cell r="B2388">
            <v>60300</v>
          </cell>
          <cell r="C2388">
            <v>1</v>
          </cell>
        </row>
        <row r="2389">
          <cell r="A2389">
            <v>3400004923</v>
          </cell>
          <cell r="B2389">
            <v>61203</v>
          </cell>
          <cell r="C2389">
            <v>2</v>
          </cell>
        </row>
        <row r="2390">
          <cell r="A2390">
            <v>3400004924</v>
          </cell>
          <cell r="B2390">
            <v>61112</v>
          </cell>
          <cell r="C2390">
            <v>1</v>
          </cell>
        </row>
        <row r="2391">
          <cell r="A2391">
            <v>3400004925</v>
          </cell>
          <cell r="B2391">
            <v>61158</v>
          </cell>
          <cell r="C2391">
            <v>1</v>
          </cell>
        </row>
        <row r="2392">
          <cell r="A2392">
            <v>3400004926</v>
          </cell>
          <cell r="B2392">
            <v>61160</v>
          </cell>
          <cell r="C2392">
            <v>2</v>
          </cell>
        </row>
        <row r="2393">
          <cell r="A2393">
            <v>3400004927</v>
          </cell>
          <cell r="B2393">
            <v>61119</v>
          </cell>
          <cell r="C2393">
            <v>1</v>
          </cell>
        </row>
        <row r="2394">
          <cell r="A2394">
            <v>3400004930</v>
          </cell>
          <cell r="B2394">
            <v>60300</v>
          </cell>
          <cell r="C2394">
            <v>1</v>
          </cell>
        </row>
        <row r="2395">
          <cell r="A2395">
            <v>3400004931</v>
          </cell>
          <cell r="B2395">
            <v>60300</v>
          </cell>
          <cell r="C2395">
            <v>1</v>
          </cell>
        </row>
        <row r="2396">
          <cell r="A2396">
            <v>3400004932</v>
          </cell>
          <cell r="B2396">
            <v>60300</v>
          </cell>
          <cell r="C2396">
            <v>1</v>
          </cell>
        </row>
        <row r="2397">
          <cell r="A2397">
            <v>3400004933</v>
          </cell>
          <cell r="B2397">
            <v>60300</v>
          </cell>
          <cell r="C2397">
            <v>1</v>
          </cell>
        </row>
        <row r="2398">
          <cell r="A2398">
            <v>3400004934</v>
          </cell>
          <cell r="B2398">
            <v>60300</v>
          </cell>
          <cell r="C2398">
            <v>1</v>
          </cell>
        </row>
        <row r="2399">
          <cell r="A2399">
            <v>3400004935</v>
          </cell>
          <cell r="B2399">
            <v>60300</v>
          </cell>
          <cell r="C2399">
            <v>1</v>
          </cell>
        </row>
        <row r="2400">
          <cell r="A2400">
            <v>3400004936</v>
          </cell>
          <cell r="B2400">
            <v>60300</v>
          </cell>
          <cell r="C2400">
            <v>1</v>
          </cell>
        </row>
        <row r="2401">
          <cell r="A2401">
            <v>3400004937</v>
          </cell>
          <cell r="B2401">
            <v>60300</v>
          </cell>
          <cell r="C2401">
            <v>1</v>
          </cell>
        </row>
        <row r="2402">
          <cell r="A2402">
            <v>3400004938</v>
          </cell>
          <cell r="B2402">
            <v>60300</v>
          </cell>
          <cell r="C2402">
            <v>1</v>
          </cell>
        </row>
        <row r="2403">
          <cell r="A2403">
            <v>3400004939</v>
          </cell>
          <cell r="B2403">
            <v>60300</v>
          </cell>
          <cell r="C2403">
            <v>40</v>
          </cell>
        </row>
        <row r="2404">
          <cell r="A2404">
            <v>3400004940</v>
          </cell>
          <cell r="B2404">
            <v>60300</v>
          </cell>
          <cell r="C2404">
            <v>1</v>
          </cell>
        </row>
        <row r="2405">
          <cell r="A2405">
            <v>3400004941</v>
          </cell>
          <cell r="B2405">
            <v>60300</v>
          </cell>
          <cell r="C2405">
            <v>1</v>
          </cell>
        </row>
        <row r="2406">
          <cell r="A2406">
            <v>3400004942</v>
          </cell>
          <cell r="B2406">
            <v>60300</v>
          </cell>
          <cell r="C2406">
            <v>1</v>
          </cell>
        </row>
        <row r="2407">
          <cell r="A2407">
            <v>3400004943</v>
          </cell>
          <cell r="B2407">
            <v>60300</v>
          </cell>
          <cell r="C2407">
            <v>1</v>
          </cell>
        </row>
        <row r="2408">
          <cell r="A2408">
            <v>3400004944</v>
          </cell>
          <cell r="B2408">
            <v>60300</v>
          </cell>
          <cell r="C2408">
            <v>1</v>
          </cell>
        </row>
        <row r="2409">
          <cell r="A2409">
            <v>3400004945</v>
          </cell>
          <cell r="B2409">
            <v>60300</v>
          </cell>
          <cell r="C2409">
            <v>1</v>
          </cell>
        </row>
        <row r="2410">
          <cell r="A2410">
            <v>3400004946</v>
          </cell>
          <cell r="B2410">
            <v>60300</v>
          </cell>
          <cell r="C2410">
            <v>1</v>
          </cell>
        </row>
        <row r="2411">
          <cell r="A2411">
            <v>3400004947</v>
          </cell>
          <cell r="B2411">
            <v>60300</v>
          </cell>
          <cell r="C2411">
            <v>1</v>
          </cell>
        </row>
        <row r="2412">
          <cell r="A2412">
            <v>3400004948</v>
          </cell>
          <cell r="B2412">
            <v>60300</v>
          </cell>
          <cell r="C2412">
            <v>1</v>
          </cell>
        </row>
        <row r="2413">
          <cell r="A2413">
            <v>3400004949</v>
          </cell>
          <cell r="B2413">
            <v>60300</v>
          </cell>
          <cell r="C2413">
            <v>1</v>
          </cell>
        </row>
        <row r="2414">
          <cell r="A2414">
            <v>3400004950</v>
          </cell>
          <cell r="B2414">
            <v>60300</v>
          </cell>
          <cell r="C2414">
            <v>1</v>
          </cell>
        </row>
        <row r="2415">
          <cell r="A2415">
            <v>3400004951</v>
          </cell>
          <cell r="B2415">
            <v>60300</v>
          </cell>
          <cell r="C2415">
            <v>1</v>
          </cell>
        </row>
        <row r="2416">
          <cell r="A2416">
            <v>3400004952</v>
          </cell>
          <cell r="B2416">
            <v>60300</v>
          </cell>
          <cell r="C2416">
            <v>1</v>
          </cell>
        </row>
        <row r="2417">
          <cell r="A2417">
            <v>3400004953</v>
          </cell>
          <cell r="B2417">
            <v>60300</v>
          </cell>
          <cell r="C2417">
            <v>25</v>
          </cell>
        </row>
        <row r="2418">
          <cell r="A2418">
            <v>3400004954</v>
          </cell>
          <cell r="B2418">
            <v>60300</v>
          </cell>
          <cell r="C2418">
            <v>1</v>
          </cell>
        </row>
        <row r="2419">
          <cell r="A2419">
            <v>3400004955</v>
          </cell>
          <cell r="B2419">
            <v>60300</v>
          </cell>
          <cell r="C2419">
            <v>2</v>
          </cell>
        </row>
        <row r="2420">
          <cell r="A2420">
            <v>3400004956</v>
          </cell>
          <cell r="B2420">
            <v>60300</v>
          </cell>
          <cell r="C2420">
            <v>1</v>
          </cell>
        </row>
        <row r="2421">
          <cell r="A2421">
            <v>3400004957</v>
          </cell>
          <cell r="B2421">
            <v>60300</v>
          </cell>
          <cell r="C2421">
            <v>1</v>
          </cell>
        </row>
        <row r="2422">
          <cell r="A2422">
            <v>3400004960</v>
          </cell>
          <cell r="B2422">
            <v>61158</v>
          </cell>
          <cell r="C2422">
            <v>1</v>
          </cell>
        </row>
        <row r="2423">
          <cell r="A2423">
            <v>3400005048</v>
          </cell>
          <cell r="B2423">
            <v>60300</v>
          </cell>
          <cell r="C2423">
            <v>1</v>
          </cell>
        </row>
        <row r="2424">
          <cell r="A2424">
            <v>3400005049</v>
          </cell>
          <cell r="B2424">
            <v>60300</v>
          </cell>
          <cell r="C2424">
            <v>1</v>
          </cell>
        </row>
        <row r="2425">
          <cell r="A2425">
            <v>3400005057</v>
          </cell>
          <cell r="B2425">
            <v>60300</v>
          </cell>
          <cell r="C2425">
            <v>40</v>
          </cell>
        </row>
        <row r="2426">
          <cell r="A2426">
            <v>3400005058</v>
          </cell>
          <cell r="B2426">
            <v>60300</v>
          </cell>
          <cell r="C2426">
            <v>2</v>
          </cell>
        </row>
        <row r="2427">
          <cell r="A2427">
            <v>3400005059</v>
          </cell>
          <cell r="B2427">
            <v>60300</v>
          </cell>
          <cell r="C2427">
            <v>1</v>
          </cell>
        </row>
        <row r="2428">
          <cell r="A2428">
            <v>3400005060</v>
          </cell>
          <cell r="B2428">
            <v>60300</v>
          </cell>
          <cell r="C2428">
            <v>20</v>
          </cell>
        </row>
        <row r="2429">
          <cell r="A2429">
            <v>3400005061</v>
          </cell>
          <cell r="B2429">
            <v>60300</v>
          </cell>
          <cell r="C2429">
            <v>1</v>
          </cell>
        </row>
        <row r="2430">
          <cell r="A2430">
            <v>3400005065</v>
          </cell>
          <cell r="B2430">
            <v>60300</v>
          </cell>
          <cell r="C2430">
            <v>1</v>
          </cell>
        </row>
        <row r="2431">
          <cell r="A2431">
            <v>3400005082</v>
          </cell>
          <cell r="B2431">
            <v>61155</v>
          </cell>
          <cell r="C2431">
            <v>1</v>
          </cell>
        </row>
        <row r="2432">
          <cell r="A2432">
            <v>3400005083</v>
          </cell>
          <cell r="B2432">
            <v>61155</v>
          </cell>
          <cell r="C2432">
            <v>1</v>
          </cell>
        </row>
        <row r="2433">
          <cell r="A2433">
            <v>3400005085</v>
          </cell>
          <cell r="B2433">
            <v>61154</v>
          </cell>
          <cell r="C2433">
            <v>1</v>
          </cell>
        </row>
        <row r="2434">
          <cell r="A2434">
            <v>3400005086</v>
          </cell>
          <cell r="B2434">
            <v>61119</v>
          </cell>
          <cell r="C2434">
            <v>1</v>
          </cell>
        </row>
        <row r="2435">
          <cell r="A2435">
            <v>3400005087</v>
          </cell>
          <cell r="B2435">
            <v>61158</v>
          </cell>
          <cell r="C2435">
            <v>1</v>
          </cell>
        </row>
        <row r="2436">
          <cell r="A2436">
            <v>3400005088</v>
          </cell>
          <cell r="B2436">
            <v>61159</v>
          </cell>
          <cell r="C2436">
            <v>1</v>
          </cell>
        </row>
        <row r="2437">
          <cell r="A2437">
            <v>3400005089</v>
          </cell>
          <cell r="B2437">
            <v>61119</v>
          </cell>
          <cell r="C2437">
            <v>1</v>
          </cell>
        </row>
        <row r="2438">
          <cell r="A2438">
            <v>3400005117</v>
          </cell>
          <cell r="B2438">
            <v>60300</v>
          </cell>
          <cell r="C2438">
            <v>1</v>
          </cell>
        </row>
        <row r="2439">
          <cell r="A2439">
            <v>3400005119</v>
          </cell>
          <cell r="B2439">
            <v>60300</v>
          </cell>
          <cell r="C2439">
            <v>1</v>
          </cell>
        </row>
        <row r="2440">
          <cell r="A2440">
            <v>3400005120</v>
          </cell>
          <cell r="B2440">
            <v>60300</v>
          </cell>
          <cell r="C2440">
            <v>1</v>
          </cell>
        </row>
        <row r="2441">
          <cell r="A2441">
            <v>3400005144</v>
          </cell>
          <cell r="B2441">
            <v>61200</v>
          </cell>
          <cell r="C2441">
            <v>1</v>
          </cell>
        </row>
        <row r="2442">
          <cell r="A2442">
            <v>3400005145</v>
          </cell>
          <cell r="B2442">
            <v>61200</v>
          </cell>
          <cell r="C2442">
            <v>1</v>
          </cell>
        </row>
        <row r="2443">
          <cell r="A2443">
            <v>3400005146</v>
          </cell>
          <cell r="B2443">
            <v>61200</v>
          </cell>
          <cell r="C2443">
            <v>1</v>
          </cell>
        </row>
      </sheetData>
      <sheetData sheetId="2" refreshError="1">
        <row r="1">
          <cell r="A1" t="str">
            <v>Main number</v>
          </cell>
          <cell r="B1" t="str">
            <v>Assetclass</v>
          </cell>
          <cell r="C1" t="str">
            <v>cc</v>
          </cell>
          <cell r="D1" t="str">
            <v>Sl.No.</v>
          </cell>
          <cell r="E1" t="str">
            <v>Name</v>
          </cell>
          <cell r="F1" t="str">
            <v>Quantity</v>
          </cell>
          <cell r="G1" t="str">
            <v>Cap.date</v>
          </cell>
          <cell r="H1" t="str">
            <v>Acc Value</v>
          </cell>
        </row>
        <row r="2">
          <cell r="A2">
            <v>3400004788</v>
          </cell>
          <cell r="B2">
            <v>4131</v>
          </cell>
          <cell r="C2">
            <v>61200</v>
          </cell>
          <cell r="D2">
            <v>0</v>
          </cell>
          <cell r="E2" t="str">
            <v>LEASE HOLD LAND</v>
          </cell>
          <cell r="F2">
            <v>1</v>
          </cell>
          <cell r="G2">
            <v>35339</v>
          </cell>
          <cell r="H2">
            <v>23014000</v>
          </cell>
        </row>
        <row r="3">
          <cell r="A3">
            <v>3400002714</v>
          </cell>
          <cell r="B3">
            <v>4410</v>
          </cell>
          <cell r="C3">
            <v>61200</v>
          </cell>
          <cell r="D3">
            <v>0</v>
          </cell>
          <cell r="E3" t="str">
            <v>OFFICE &amp; UTILITY BUILDING ON LEASEHOLD L</v>
          </cell>
          <cell r="F3">
            <v>1</v>
          </cell>
          <cell r="G3">
            <v>35339</v>
          </cell>
          <cell r="H3">
            <v>11339000</v>
          </cell>
        </row>
        <row r="4">
          <cell r="A4">
            <v>3400002710</v>
          </cell>
          <cell r="B4">
            <v>4420</v>
          </cell>
          <cell r="C4">
            <v>61200</v>
          </cell>
          <cell r="D4">
            <v>0</v>
          </cell>
          <cell r="E4" t="str">
            <v>ASSEMBLY SHED NO.1</v>
          </cell>
          <cell r="F4">
            <v>1</v>
          </cell>
          <cell r="G4">
            <v>35339</v>
          </cell>
          <cell r="H4">
            <v>13566000</v>
          </cell>
        </row>
        <row r="5">
          <cell r="A5">
            <v>3400002711</v>
          </cell>
          <cell r="B5">
            <v>4420</v>
          </cell>
          <cell r="C5">
            <v>61200</v>
          </cell>
          <cell r="D5">
            <v>0</v>
          </cell>
          <cell r="E5" t="str">
            <v>ASSEMBLY SHED NO.2</v>
          </cell>
          <cell r="F5">
            <v>1</v>
          </cell>
          <cell r="G5">
            <v>35339</v>
          </cell>
          <cell r="H5">
            <v>14417000</v>
          </cell>
        </row>
        <row r="6">
          <cell r="A6">
            <v>3400002712</v>
          </cell>
          <cell r="B6">
            <v>4420</v>
          </cell>
          <cell r="C6">
            <v>61200</v>
          </cell>
          <cell r="D6">
            <v>0</v>
          </cell>
          <cell r="E6" t="str">
            <v>AUXILLARY BLDG. NO.1 &amp; MEZZANINE FLOOR</v>
          </cell>
          <cell r="F6">
            <v>1</v>
          </cell>
          <cell r="G6">
            <v>35339</v>
          </cell>
          <cell r="H6">
            <v>2799000</v>
          </cell>
        </row>
        <row r="7">
          <cell r="A7">
            <v>3400002713</v>
          </cell>
          <cell r="B7">
            <v>4420</v>
          </cell>
          <cell r="C7">
            <v>61200</v>
          </cell>
          <cell r="D7">
            <v>0</v>
          </cell>
          <cell r="E7" t="str">
            <v>AUXILLARY BUIDING NO.2</v>
          </cell>
          <cell r="F7">
            <v>1</v>
          </cell>
          <cell r="G7">
            <v>35339</v>
          </cell>
          <cell r="H7">
            <v>3642000</v>
          </cell>
        </row>
        <row r="8">
          <cell r="A8">
            <v>3400003506</v>
          </cell>
          <cell r="B8">
            <v>4420</v>
          </cell>
          <cell r="C8">
            <v>61200</v>
          </cell>
          <cell r="D8">
            <v>0</v>
          </cell>
          <cell r="E8" t="str">
            <v>A.H.U. BUILDING &amp; PASSAGE</v>
          </cell>
          <cell r="F8">
            <v>1</v>
          </cell>
          <cell r="G8">
            <v>35339</v>
          </cell>
          <cell r="H8">
            <v>1073000</v>
          </cell>
        </row>
        <row r="9">
          <cell r="A9">
            <v>3400003507</v>
          </cell>
          <cell r="B9">
            <v>4420</v>
          </cell>
          <cell r="C9">
            <v>61200</v>
          </cell>
          <cell r="D9">
            <v>0</v>
          </cell>
          <cell r="E9" t="str">
            <v>GATE HOUSE</v>
          </cell>
          <cell r="F9">
            <v>1</v>
          </cell>
          <cell r="G9">
            <v>35339</v>
          </cell>
          <cell r="H9">
            <v>238000</v>
          </cell>
        </row>
        <row r="10">
          <cell r="A10">
            <v>3400003508</v>
          </cell>
          <cell r="B10">
            <v>4420</v>
          </cell>
          <cell r="C10">
            <v>61200</v>
          </cell>
          <cell r="D10">
            <v>0</v>
          </cell>
          <cell r="E10" t="str">
            <v>MAINTENANCE BUILDING</v>
          </cell>
          <cell r="F10">
            <v>1</v>
          </cell>
          <cell r="G10">
            <v>35339</v>
          </cell>
          <cell r="H10">
            <v>887000</v>
          </cell>
        </row>
        <row r="11">
          <cell r="A11">
            <v>3400003509</v>
          </cell>
          <cell r="B11">
            <v>4420</v>
          </cell>
          <cell r="C11">
            <v>61200</v>
          </cell>
          <cell r="D11">
            <v>0</v>
          </cell>
          <cell r="E11" t="str">
            <v>PUMP HPUSE</v>
          </cell>
          <cell r="F11">
            <v>1</v>
          </cell>
          <cell r="G11">
            <v>35339</v>
          </cell>
          <cell r="H11">
            <v>111000</v>
          </cell>
        </row>
        <row r="12">
          <cell r="A12">
            <v>3400003510</v>
          </cell>
          <cell r="B12">
            <v>4420</v>
          </cell>
          <cell r="C12">
            <v>61200</v>
          </cell>
          <cell r="D12">
            <v>0</v>
          </cell>
          <cell r="E12" t="str">
            <v>CONNECTING PASSAGE</v>
          </cell>
          <cell r="F12">
            <v>1</v>
          </cell>
          <cell r="G12">
            <v>35339</v>
          </cell>
          <cell r="H12">
            <v>660000</v>
          </cell>
        </row>
        <row r="13">
          <cell r="A13">
            <v>3400003511</v>
          </cell>
          <cell r="B13">
            <v>4420</v>
          </cell>
          <cell r="C13">
            <v>61200</v>
          </cell>
          <cell r="D13">
            <v>0</v>
          </cell>
          <cell r="E13" t="str">
            <v>LOADING &amp; UNLOADING</v>
          </cell>
          <cell r="F13">
            <v>1</v>
          </cell>
          <cell r="G13">
            <v>35339</v>
          </cell>
          <cell r="H13">
            <v>2874000</v>
          </cell>
        </row>
        <row r="14">
          <cell r="A14">
            <v>3400003512</v>
          </cell>
          <cell r="B14">
            <v>4420</v>
          </cell>
          <cell r="C14">
            <v>61200</v>
          </cell>
          <cell r="D14">
            <v>0</v>
          </cell>
          <cell r="E14" t="str">
            <v>INCOMING CENTRE,STORES BLDG &amp; MEZZANINE</v>
          </cell>
          <cell r="F14">
            <v>1</v>
          </cell>
          <cell r="G14">
            <v>35339</v>
          </cell>
          <cell r="H14">
            <v>9242000</v>
          </cell>
        </row>
        <row r="15">
          <cell r="A15">
            <v>3400003513</v>
          </cell>
          <cell r="B15">
            <v>4420</v>
          </cell>
          <cell r="C15">
            <v>61200</v>
          </cell>
          <cell r="D15">
            <v>0</v>
          </cell>
          <cell r="E15" t="str">
            <v>COOLING TOWER</v>
          </cell>
          <cell r="F15">
            <v>1</v>
          </cell>
          <cell r="G15">
            <v>35339</v>
          </cell>
          <cell r="H15">
            <v>143000</v>
          </cell>
        </row>
        <row r="16">
          <cell r="A16">
            <v>3400003514</v>
          </cell>
          <cell r="B16">
            <v>4420</v>
          </cell>
          <cell r="C16">
            <v>61200</v>
          </cell>
          <cell r="D16">
            <v>0</v>
          </cell>
          <cell r="E16" t="str">
            <v>TRANSFORMER SHED</v>
          </cell>
          <cell r="F16">
            <v>1</v>
          </cell>
          <cell r="G16">
            <v>35339</v>
          </cell>
          <cell r="H16">
            <v>69000</v>
          </cell>
        </row>
        <row r="17">
          <cell r="A17">
            <v>3400003515</v>
          </cell>
          <cell r="B17">
            <v>4420</v>
          </cell>
          <cell r="C17">
            <v>61200</v>
          </cell>
          <cell r="D17">
            <v>0</v>
          </cell>
          <cell r="E17" t="str">
            <v>U.G.WATERTANK</v>
          </cell>
          <cell r="F17">
            <v>1</v>
          </cell>
          <cell r="G17">
            <v>35339</v>
          </cell>
          <cell r="H17">
            <v>582000</v>
          </cell>
        </row>
        <row r="18">
          <cell r="A18">
            <v>3400003516</v>
          </cell>
          <cell r="B18">
            <v>4420</v>
          </cell>
          <cell r="C18">
            <v>61200</v>
          </cell>
          <cell r="D18">
            <v>0</v>
          </cell>
          <cell r="E18" t="str">
            <v>BARBED WIRE FENCING</v>
          </cell>
          <cell r="F18">
            <v>1</v>
          </cell>
          <cell r="G18">
            <v>35339</v>
          </cell>
          <cell r="H18">
            <v>119000</v>
          </cell>
        </row>
        <row r="19">
          <cell r="A19">
            <v>3400003517</v>
          </cell>
          <cell r="B19">
            <v>4420</v>
          </cell>
          <cell r="C19">
            <v>61200</v>
          </cell>
          <cell r="D19">
            <v>0</v>
          </cell>
          <cell r="E19" t="str">
            <v>COMPOUND BRICK WALL &amp; LINK FENCING</v>
          </cell>
          <cell r="F19">
            <v>1</v>
          </cell>
          <cell r="G19">
            <v>35339</v>
          </cell>
          <cell r="H19">
            <v>273000</v>
          </cell>
        </row>
        <row r="20">
          <cell r="A20">
            <v>3400003523</v>
          </cell>
          <cell r="B20">
            <v>4420</v>
          </cell>
          <cell r="C20">
            <v>61200</v>
          </cell>
          <cell r="D20">
            <v>0</v>
          </cell>
          <cell r="E20" t="str">
            <v>R.C.C.&amp; ASPHALTIC ROADS</v>
          </cell>
          <cell r="F20">
            <v>1</v>
          </cell>
          <cell r="G20">
            <v>35339</v>
          </cell>
          <cell r="H20">
            <v>594000</v>
          </cell>
        </row>
        <row r="21">
          <cell r="A21">
            <v>3400003835</v>
          </cell>
          <cell r="B21">
            <v>4420</v>
          </cell>
          <cell r="C21">
            <v>61200</v>
          </cell>
          <cell r="D21">
            <v>0</v>
          </cell>
          <cell r="E21" t="str">
            <v>PVA PHASE III</v>
          </cell>
          <cell r="F21">
            <v>1</v>
          </cell>
          <cell r="G21">
            <v>35670</v>
          </cell>
          <cell r="H21">
            <v>222035.55</v>
          </cell>
        </row>
        <row r="22">
          <cell r="A22">
            <v>3400003784</v>
          </cell>
          <cell r="B22">
            <v>4420</v>
          </cell>
          <cell r="C22">
            <v>61200</v>
          </cell>
          <cell r="D22">
            <v>0</v>
          </cell>
          <cell r="E22" t="str">
            <v>Gate house (West)</v>
          </cell>
          <cell r="F22">
            <v>1</v>
          </cell>
          <cell r="G22">
            <v>35520</v>
          </cell>
          <cell r="H22">
            <v>357070.42</v>
          </cell>
        </row>
        <row r="23">
          <cell r="A23">
            <v>3400003788</v>
          </cell>
          <cell r="B23">
            <v>4420</v>
          </cell>
          <cell r="C23">
            <v>61200</v>
          </cell>
          <cell r="D23">
            <v>0</v>
          </cell>
          <cell r="E23" t="str">
            <v>Phase III Civil Works</v>
          </cell>
          <cell r="F23">
            <v>1</v>
          </cell>
          <cell r="G23">
            <v>35520</v>
          </cell>
          <cell r="H23">
            <v>11494880.050000001</v>
          </cell>
        </row>
        <row r="24">
          <cell r="A24">
            <v>3400003789</v>
          </cell>
          <cell r="B24">
            <v>4420</v>
          </cell>
          <cell r="C24">
            <v>61200</v>
          </cell>
          <cell r="D24">
            <v>0</v>
          </cell>
          <cell r="E24" t="str">
            <v>Mezzanine Floor / Doc Centre - Civil</v>
          </cell>
          <cell r="F24">
            <v>1</v>
          </cell>
          <cell r="G24">
            <v>35520</v>
          </cell>
          <cell r="H24">
            <v>938512.44</v>
          </cell>
        </row>
        <row r="25">
          <cell r="A25">
            <v>3400002996</v>
          </cell>
          <cell r="B25">
            <v>5100</v>
          </cell>
          <cell r="C25">
            <v>61208</v>
          </cell>
          <cell r="D25">
            <v>0</v>
          </cell>
          <cell r="E25" t="str">
            <v>PRESS TOLL FOR BRACKET C39324 -A96-C758</v>
          </cell>
          <cell r="F25">
            <v>1</v>
          </cell>
          <cell r="G25">
            <v>35339</v>
          </cell>
          <cell r="H25">
            <v>4100</v>
          </cell>
        </row>
        <row r="26">
          <cell r="A26">
            <v>3400002999</v>
          </cell>
          <cell r="B26">
            <v>5100</v>
          </cell>
          <cell r="C26">
            <v>61155</v>
          </cell>
          <cell r="D26">
            <v>0</v>
          </cell>
          <cell r="E26" t="str">
            <v>CG TOOLS PART NO. C39324-A100-C127,C130</v>
          </cell>
          <cell r="F26">
            <v>1</v>
          </cell>
          <cell r="G26">
            <v>35339</v>
          </cell>
          <cell r="H26">
            <v>21100</v>
          </cell>
        </row>
        <row r="27">
          <cell r="A27">
            <v>3400003000</v>
          </cell>
          <cell r="B27">
            <v>5100</v>
          </cell>
          <cell r="C27">
            <v>61108</v>
          </cell>
          <cell r="D27">
            <v>0</v>
          </cell>
          <cell r="E27" t="str">
            <v>CG TOOLS PART NO. C39324-A100-B65</v>
          </cell>
          <cell r="F27">
            <v>1</v>
          </cell>
          <cell r="G27">
            <v>35339</v>
          </cell>
          <cell r="H27">
            <v>29400</v>
          </cell>
        </row>
        <row r="28">
          <cell r="A28">
            <v>3400003001</v>
          </cell>
          <cell r="B28">
            <v>5100</v>
          </cell>
          <cell r="C28">
            <v>61155</v>
          </cell>
          <cell r="D28">
            <v>0</v>
          </cell>
          <cell r="E28" t="str">
            <v>CG TOOLS PART NO. C39324-A96-B30B-B307</v>
          </cell>
          <cell r="F28">
            <v>1</v>
          </cell>
          <cell r="G28">
            <v>35339</v>
          </cell>
          <cell r="H28">
            <v>16600</v>
          </cell>
        </row>
        <row r="29">
          <cell r="A29">
            <v>3400003002</v>
          </cell>
          <cell r="B29">
            <v>5100</v>
          </cell>
          <cell r="C29">
            <v>61155</v>
          </cell>
          <cell r="D29">
            <v>0</v>
          </cell>
          <cell r="E29" t="str">
            <v>CG TOOLS PART NO. C39324-A96-B216 ,B125</v>
          </cell>
          <cell r="F29">
            <v>1</v>
          </cell>
          <cell r="G29">
            <v>35339</v>
          </cell>
          <cell r="H29">
            <v>21100</v>
          </cell>
        </row>
        <row r="30">
          <cell r="A30">
            <v>3400003046</v>
          </cell>
          <cell r="B30">
            <v>5100</v>
          </cell>
          <cell r="C30">
            <v>61155</v>
          </cell>
          <cell r="D30">
            <v>0</v>
          </cell>
          <cell r="E30" t="str">
            <v>CG TOOLS PART NO. C39324-A100-C127/ C130</v>
          </cell>
          <cell r="F30">
            <v>1</v>
          </cell>
          <cell r="G30">
            <v>35339</v>
          </cell>
          <cell r="H30">
            <v>29400</v>
          </cell>
        </row>
        <row r="31">
          <cell r="A31">
            <v>3400003047</v>
          </cell>
          <cell r="B31">
            <v>5100</v>
          </cell>
          <cell r="C31">
            <v>61155</v>
          </cell>
          <cell r="D31">
            <v>0</v>
          </cell>
          <cell r="E31" t="str">
            <v>CG TOOLS PART NO. C39324-A96-B308/B307</v>
          </cell>
          <cell r="F31">
            <v>1</v>
          </cell>
          <cell r="G31">
            <v>35339</v>
          </cell>
          <cell r="H31">
            <v>16600</v>
          </cell>
        </row>
        <row r="32">
          <cell r="A32">
            <v>3400003048</v>
          </cell>
          <cell r="B32">
            <v>5100</v>
          </cell>
          <cell r="C32">
            <v>61155</v>
          </cell>
          <cell r="D32">
            <v>0</v>
          </cell>
          <cell r="E32" t="str">
            <v>CG TOOLS PART NO. C39324-A96-B216,B125,B</v>
          </cell>
          <cell r="F32">
            <v>1</v>
          </cell>
          <cell r="G32">
            <v>35339</v>
          </cell>
          <cell r="H32">
            <v>16600</v>
          </cell>
        </row>
        <row r="33">
          <cell r="A33">
            <v>3400003049</v>
          </cell>
          <cell r="B33">
            <v>5100</v>
          </cell>
          <cell r="C33">
            <v>61155</v>
          </cell>
          <cell r="D33">
            <v>0</v>
          </cell>
          <cell r="E33" t="str">
            <v>CG TOOLS PART NO. C39324-A96-B216,B125,B</v>
          </cell>
          <cell r="F33">
            <v>1</v>
          </cell>
          <cell r="G33">
            <v>35339</v>
          </cell>
          <cell r="H33">
            <v>101900</v>
          </cell>
        </row>
        <row r="34">
          <cell r="A34">
            <v>3400003341</v>
          </cell>
          <cell r="B34">
            <v>5100</v>
          </cell>
          <cell r="C34">
            <v>61108</v>
          </cell>
          <cell r="D34">
            <v>0</v>
          </cell>
          <cell r="E34" t="str">
            <v>PRESS TOOL-C39300-A193-C201-3-6</v>
          </cell>
          <cell r="F34">
            <v>1</v>
          </cell>
          <cell r="G34">
            <v>35339</v>
          </cell>
          <cell r="H34">
            <v>82600</v>
          </cell>
        </row>
        <row r="35">
          <cell r="A35">
            <v>3400003381</v>
          </cell>
          <cell r="B35">
            <v>5100</v>
          </cell>
          <cell r="C35">
            <v>61103</v>
          </cell>
          <cell r="D35">
            <v>0</v>
          </cell>
          <cell r="E35" t="str">
            <v>FORMING CUTTING MACHINE L37409-B2-Z103</v>
          </cell>
          <cell r="F35">
            <v>1</v>
          </cell>
          <cell r="G35">
            <v>35339</v>
          </cell>
          <cell r="H35">
            <v>240800</v>
          </cell>
        </row>
        <row r="36">
          <cell r="A36">
            <v>3400003382</v>
          </cell>
          <cell r="B36">
            <v>5100</v>
          </cell>
          <cell r="C36">
            <v>61103</v>
          </cell>
          <cell r="D36">
            <v>0</v>
          </cell>
          <cell r="E36" t="str">
            <v>SPARE PART SET FOR DEVICE L37409-H713-Z1</v>
          </cell>
          <cell r="F36">
            <v>1</v>
          </cell>
          <cell r="G36">
            <v>35339</v>
          </cell>
          <cell r="H36">
            <v>13100</v>
          </cell>
        </row>
        <row r="37">
          <cell r="A37">
            <v>3400003383</v>
          </cell>
          <cell r="B37">
            <v>5100</v>
          </cell>
          <cell r="C37">
            <v>61103</v>
          </cell>
          <cell r="D37">
            <v>0</v>
          </cell>
          <cell r="E37" t="str">
            <v>DRAW OFF DEVICEL37409-C747-A100</v>
          </cell>
          <cell r="F37">
            <v>1</v>
          </cell>
          <cell r="G37">
            <v>35339</v>
          </cell>
          <cell r="H37">
            <v>210800</v>
          </cell>
        </row>
        <row r="38">
          <cell r="A38">
            <v>3400003384</v>
          </cell>
          <cell r="B38">
            <v>5100</v>
          </cell>
          <cell r="C38">
            <v>61103</v>
          </cell>
          <cell r="D38">
            <v>0</v>
          </cell>
          <cell r="E38" t="str">
            <v>PRESS IN TOOLF. CENTERING BARSL37409-C12</v>
          </cell>
          <cell r="F38">
            <v>1</v>
          </cell>
          <cell r="G38">
            <v>35339</v>
          </cell>
          <cell r="H38">
            <v>16000</v>
          </cell>
        </row>
        <row r="39">
          <cell r="A39">
            <v>3400003385</v>
          </cell>
          <cell r="B39">
            <v>5100</v>
          </cell>
          <cell r="C39">
            <v>61103</v>
          </cell>
          <cell r="D39">
            <v>0</v>
          </cell>
          <cell r="E39" t="str">
            <v>EXPRESSTOOL(SIPAC)1051883L37409-C1216A10</v>
          </cell>
          <cell r="F39">
            <v>1</v>
          </cell>
          <cell r="G39">
            <v>35339</v>
          </cell>
          <cell r="H39">
            <v>30900</v>
          </cell>
        </row>
        <row r="40">
          <cell r="A40">
            <v>3400003386</v>
          </cell>
          <cell r="B40">
            <v>5100</v>
          </cell>
          <cell r="C40">
            <v>61103</v>
          </cell>
          <cell r="D40">
            <v>0</v>
          </cell>
          <cell r="E40" t="str">
            <v>PRESS IN TOOL 1051884L37409-C1217A100</v>
          </cell>
          <cell r="F40">
            <v>1</v>
          </cell>
          <cell r="G40">
            <v>35339</v>
          </cell>
          <cell r="H40">
            <v>41900</v>
          </cell>
        </row>
        <row r="41">
          <cell r="A41">
            <v>3400003387</v>
          </cell>
          <cell r="B41">
            <v>5100</v>
          </cell>
          <cell r="C41">
            <v>61103</v>
          </cell>
          <cell r="D41">
            <v>0</v>
          </cell>
          <cell r="E41" t="str">
            <v>TOCKING TOOL SINGLE C39228-A195-A4</v>
          </cell>
          <cell r="F41">
            <v>1</v>
          </cell>
          <cell r="G41">
            <v>35339</v>
          </cell>
          <cell r="H41">
            <v>36800</v>
          </cell>
        </row>
        <row r="42">
          <cell r="A42">
            <v>3400003388</v>
          </cell>
          <cell r="B42">
            <v>5100</v>
          </cell>
          <cell r="C42">
            <v>61103</v>
          </cell>
          <cell r="D42">
            <v>0</v>
          </cell>
          <cell r="E42" t="str">
            <v>SHORTSLOCATOR FOR MULTILAYER TONEOHM950,</v>
          </cell>
          <cell r="F42">
            <v>1</v>
          </cell>
          <cell r="G42">
            <v>35339</v>
          </cell>
          <cell r="H42">
            <v>216200</v>
          </cell>
        </row>
        <row r="43">
          <cell r="A43">
            <v>3400003407</v>
          </cell>
          <cell r="B43">
            <v>5100</v>
          </cell>
          <cell r="C43">
            <v>61102</v>
          </cell>
          <cell r="D43">
            <v>0</v>
          </cell>
          <cell r="E43" t="str">
            <v>CPSIM FOR SN(B)S30189-U4024-A3</v>
          </cell>
          <cell r="F43">
            <v>1</v>
          </cell>
          <cell r="G43">
            <v>35339</v>
          </cell>
          <cell r="H43">
            <v>1990400</v>
          </cell>
        </row>
        <row r="44">
          <cell r="A44">
            <v>3400003408</v>
          </cell>
          <cell r="B44">
            <v>5100</v>
          </cell>
          <cell r="C44">
            <v>61102</v>
          </cell>
          <cell r="D44">
            <v>0</v>
          </cell>
          <cell r="E44" t="str">
            <v>MODULE M:CPU S30180-Q699-L</v>
          </cell>
          <cell r="F44">
            <v>1</v>
          </cell>
          <cell r="G44">
            <v>35339</v>
          </cell>
          <cell r="H44">
            <v>8900</v>
          </cell>
        </row>
        <row r="45">
          <cell r="A45">
            <v>3400003409</v>
          </cell>
          <cell r="B45">
            <v>5100</v>
          </cell>
          <cell r="C45">
            <v>61102</v>
          </cell>
          <cell r="D45">
            <v>0</v>
          </cell>
          <cell r="E45" t="str">
            <v>MODULE M:CPU S30180-Q699-L</v>
          </cell>
          <cell r="F45">
            <v>1</v>
          </cell>
          <cell r="G45">
            <v>35339</v>
          </cell>
          <cell r="H45">
            <v>8900</v>
          </cell>
        </row>
        <row r="46">
          <cell r="A46">
            <v>3400003410</v>
          </cell>
          <cell r="B46">
            <v>5100</v>
          </cell>
          <cell r="C46">
            <v>61102</v>
          </cell>
          <cell r="D46">
            <v>0</v>
          </cell>
          <cell r="E46" t="str">
            <v>MODULE S30810-Q879-L</v>
          </cell>
          <cell r="F46">
            <v>1</v>
          </cell>
          <cell r="G46">
            <v>35339</v>
          </cell>
          <cell r="H46">
            <v>4800</v>
          </cell>
        </row>
        <row r="47">
          <cell r="A47">
            <v>3400003411</v>
          </cell>
          <cell r="B47">
            <v>5100</v>
          </cell>
          <cell r="C47">
            <v>61102</v>
          </cell>
          <cell r="D47">
            <v>0</v>
          </cell>
          <cell r="E47" t="str">
            <v>MODULE S30810-Q879-L</v>
          </cell>
          <cell r="F47">
            <v>1</v>
          </cell>
          <cell r="G47">
            <v>35339</v>
          </cell>
          <cell r="H47">
            <v>4800</v>
          </cell>
        </row>
        <row r="48">
          <cell r="A48">
            <v>3400003413</v>
          </cell>
          <cell r="B48">
            <v>5100</v>
          </cell>
          <cell r="C48">
            <v>61102</v>
          </cell>
          <cell r="D48">
            <v>0</v>
          </cell>
          <cell r="E48" t="str">
            <v>MODULE S30810-B4101-B100</v>
          </cell>
          <cell r="F48">
            <v>1</v>
          </cell>
          <cell r="G48">
            <v>35339</v>
          </cell>
          <cell r="H48">
            <v>63900</v>
          </cell>
        </row>
        <row r="49">
          <cell r="A49">
            <v>3400003414</v>
          </cell>
          <cell r="B49">
            <v>5100</v>
          </cell>
          <cell r="C49">
            <v>61102</v>
          </cell>
          <cell r="D49">
            <v>0</v>
          </cell>
          <cell r="E49" t="str">
            <v>MODULE S30810-B4101-B100</v>
          </cell>
          <cell r="F49">
            <v>1</v>
          </cell>
          <cell r="G49">
            <v>35339</v>
          </cell>
          <cell r="H49">
            <v>63900</v>
          </cell>
        </row>
        <row r="50">
          <cell r="A50">
            <v>3400003415</v>
          </cell>
          <cell r="B50">
            <v>5100</v>
          </cell>
          <cell r="C50">
            <v>61102</v>
          </cell>
          <cell r="D50">
            <v>0</v>
          </cell>
          <cell r="E50" t="str">
            <v>MODULE S30810-U4908-A460</v>
          </cell>
          <cell r="F50">
            <v>1</v>
          </cell>
          <cell r="G50">
            <v>35339</v>
          </cell>
          <cell r="H50">
            <v>61300</v>
          </cell>
        </row>
        <row r="51">
          <cell r="A51">
            <v>3400003416</v>
          </cell>
          <cell r="B51">
            <v>5100</v>
          </cell>
          <cell r="C51">
            <v>61116</v>
          </cell>
          <cell r="D51">
            <v>0</v>
          </cell>
          <cell r="E51" t="str">
            <v>CABLE OF 50CMS R287531262</v>
          </cell>
          <cell r="F51">
            <v>1</v>
          </cell>
          <cell r="G51">
            <v>35339</v>
          </cell>
          <cell r="H51">
            <v>5800</v>
          </cell>
        </row>
        <row r="52">
          <cell r="A52">
            <v>3400003417</v>
          </cell>
          <cell r="B52">
            <v>5100</v>
          </cell>
          <cell r="C52">
            <v>61116</v>
          </cell>
          <cell r="D52">
            <v>0</v>
          </cell>
          <cell r="E52" t="str">
            <v>CABLE OF 50CMS R287531262</v>
          </cell>
          <cell r="F52">
            <v>1</v>
          </cell>
          <cell r="G52">
            <v>35339</v>
          </cell>
          <cell r="H52">
            <v>5800</v>
          </cell>
        </row>
        <row r="53">
          <cell r="A53">
            <v>3400003418</v>
          </cell>
          <cell r="B53">
            <v>5100</v>
          </cell>
          <cell r="C53">
            <v>61116</v>
          </cell>
          <cell r="D53">
            <v>0</v>
          </cell>
          <cell r="E53" t="str">
            <v>CABLE OF 50CMS R287531262</v>
          </cell>
          <cell r="F53">
            <v>1</v>
          </cell>
          <cell r="G53">
            <v>35339</v>
          </cell>
          <cell r="H53">
            <v>5800</v>
          </cell>
        </row>
        <row r="54">
          <cell r="A54">
            <v>3400003419</v>
          </cell>
          <cell r="B54">
            <v>5100</v>
          </cell>
          <cell r="C54">
            <v>61116</v>
          </cell>
          <cell r="D54">
            <v>0</v>
          </cell>
          <cell r="E54" t="str">
            <v>CABLE OF 50CMS R287531262</v>
          </cell>
          <cell r="F54">
            <v>1</v>
          </cell>
          <cell r="G54">
            <v>35339</v>
          </cell>
          <cell r="H54">
            <v>5800</v>
          </cell>
        </row>
        <row r="55">
          <cell r="A55">
            <v>3400003420</v>
          </cell>
          <cell r="B55">
            <v>5100</v>
          </cell>
          <cell r="C55">
            <v>61116</v>
          </cell>
          <cell r="D55">
            <v>0</v>
          </cell>
          <cell r="E55" t="str">
            <v>CABLE OF 50CMS R287531262</v>
          </cell>
          <cell r="F55">
            <v>1</v>
          </cell>
          <cell r="G55">
            <v>35339</v>
          </cell>
          <cell r="H55">
            <v>5800</v>
          </cell>
        </row>
        <row r="56">
          <cell r="A56">
            <v>3400003421</v>
          </cell>
          <cell r="B56">
            <v>5100</v>
          </cell>
          <cell r="C56">
            <v>61116</v>
          </cell>
          <cell r="D56">
            <v>0</v>
          </cell>
          <cell r="E56" t="str">
            <v>CABLE OF 50CMS R287531262</v>
          </cell>
          <cell r="F56">
            <v>1</v>
          </cell>
          <cell r="G56">
            <v>35339</v>
          </cell>
          <cell r="H56">
            <v>5800</v>
          </cell>
        </row>
        <row r="57">
          <cell r="A57">
            <v>3400003422</v>
          </cell>
          <cell r="B57">
            <v>5100</v>
          </cell>
          <cell r="C57">
            <v>61116</v>
          </cell>
          <cell r="D57">
            <v>0</v>
          </cell>
          <cell r="E57" t="str">
            <v>CABLE OF 50CMS R287531262</v>
          </cell>
          <cell r="F57">
            <v>1</v>
          </cell>
          <cell r="G57">
            <v>35339</v>
          </cell>
          <cell r="H57">
            <v>5800</v>
          </cell>
        </row>
        <row r="58">
          <cell r="A58">
            <v>3400003423</v>
          </cell>
          <cell r="B58">
            <v>5100</v>
          </cell>
          <cell r="C58">
            <v>61116</v>
          </cell>
          <cell r="D58">
            <v>0</v>
          </cell>
          <cell r="E58" t="str">
            <v>CABLE OF 50CMS R287531262</v>
          </cell>
          <cell r="F58">
            <v>1</v>
          </cell>
          <cell r="G58">
            <v>35339</v>
          </cell>
          <cell r="H58">
            <v>5800</v>
          </cell>
        </row>
        <row r="59">
          <cell r="A59">
            <v>3400003424</v>
          </cell>
          <cell r="B59">
            <v>5100</v>
          </cell>
          <cell r="C59">
            <v>61116</v>
          </cell>
          <cell r="D59">
            <v>0</v>
          </cell>
          <cell r="E59" t="str">
            <v>CABLE OF 50CMS R287531262</v>
          </cell>
          <cell r="F59">
            <v>1</v>
          </cell>
          <cell r="G59">
            <v>35339</v>
          </cell>
          <cell r="H59">
            <v>5800</v>
          </cell>
        </row>
        <row r="60">
          <cell r="A60">
            <v>3400003425</v>
          </cell>
          <cell r="B60">
            <v>5100</v>
          </cell>
          <cell r="C60">
            <v>61116</v>
          </cell>
          <cell r="D60">
            <v>0</v>
          </cell>
          <cell r="E60" t="str">
            <v>CABLE OF 50CMS R287531262</v>
          </cell>
          <cell r="F60">
            <v>1</v>
          </cell>
          <cell r="G60">
            <v>35339</v>
          </cell>
          <cell r="H60">
            <v>5800</v>
          </cell>
        </row>
        <row r="61">
          <cell r="A61">
            <v>3400003426</v>
          </cell>
          <cell r="B61">
            <v>5100</v>
          </cell>
          <cell r="C61">
            <v>61116</v>
          </cell>
          <cell r="D61">
            <v>0</v>
          </cell>
          <cell r="E61" t="str">
            <v>CABLE OF100CMS R287531263</v>
          </cell>
          <cell r="F61">
            <v>1</v>
          </cell>
          <cell r="G61">
            <v>35339</v>
          </cell>
          <cell r="H61">
            <v>7500</v>
          </cell>
        </row>
        <row r="62">
          <cell r="A62">
            <v>3400003427</v>
          </cell>
          <cell r="B62">
            <v>5100</v>
          </cell>
          <cell r="C62">
            <v>61116</v>
          </cell>
          <cell r="D62">
            <v>0</v>
          </cell>
          <cell r="E62" t="str">
            <v>CABLE OF100CMS R287531263</v>
          </cell>
          <cell r="F62">
            <v>1</v>
          </cell>
          <cell r="G62">
            <v>35339</v>
          </cell>
          <cell r="H62">
            <v>7500</v>
          </cell>
        </row>
        <row r="63">
          <cell r="A63">
            <v>3400003428</v>
          </cell>
          <cell r="B63">
            <v>5100</v>
          </cell>
          <cell r="C63">
            <v>61116</v>
          </cell>
          <cell r="D63">
            <v>0</v>
          </cell>
          <cell r="E63" t="str">
            <v>CABLE OF100CMS R287531263</v>
          </cell>
          <cell r="F63">
            <v>1</v>
          </cell>
          <cell r="G63">
            <v>35339</v>
          </cell>
          <cell r="H63">
            <v>7500</v>
          </cell>
        </row>
        <row r="64">
          <cell r="A64">
            <v>3400003429</v>
          </cell>
          <cell r="B64">
            <v>5100</v>
          </cell>
          <cell r="C64">
            <v>61116</v>
          </cell>
          <cell r="D64">
            <v>0</v>
          </cell>
          <cell r="E64" t="str">
            <v>CABLE OF100CMS R287531263</v>
          </cell>
          <cell r="F64">
            <v>1</v>
          </cell>
          <cell r="G64">
            <v>35339</v>
          </cell>
          <cell r="H64">
            <v>7500</v>
          </cell>
        </row>
        <row r="65">
          <cell r="A65">
            <v>3400003430</v>
          </cell>
          <cell r="B65">
            <v>5100</v>
          </cell>
          <cell r="C65">
            <v>61116</v>
          </cell>
          <cell r="D65">
            <v>0</v>
          </cell>
          <cell r="E65" t="str">
            <v>CABLE OF100CMS R287531263</v>
          </cell>
          <cell r="F65">
            <v>1</v>
          </cell>
          <cell r="G65">
            <v>35339</v>
          </cell>
          <cell r="H65">
            <v>7500</v>
          </cell>
        </row>
        <row r="66">
          <cell r="A66">
            <v>3400003431</v>
          </cell>
          <cell r="B66">
            <v>5100</v>
          </cell>
          <cell r="C66">
            <v>61116</v>
          </cell>
          <cell r="D66">
            <v>0</v>
          </cell>
          <cell r="E66" t="str">
            <v>CABLE OF100CMS R287531263</v>
          </cell>
          <cell r="F66">
            <v>1</v>
          </cell>
          <cell r="G66">
            <v>35339</v>
          </cell>
          <cell r="H66">
            <v>7500</v>
          </cell>
        </row>
        <row r="67">
          <cell r="A67">
            <v>3400003432</v>
          </cell>
          <cell r="B67">
            <v>5100</v>
          </cell>
          <cell r="C67">
            <v>61116</v>
          </cell>
          <cell r="D67">
            <v>0</v>
          </cell>
          <cell r="E67" t="str">
            <v>CABLE OF100CMS R287531263</v>
          </cell>
          <cell r="F67">
            <v>1</v>
          </cell>
          <cell r="G67">
            <v>35339</v>
          </cell>
          <cell r="H67">
            <v>7500</v>
          </cell>
        </row>
        <row r="68">
          <cell r="A68">
            <v>3400003433</v>
          </cell>
          <cell r="B68">
            <v>5100</v>
          </cell>
          <cell r="C68">
            <v>61116</v>
          </cell>
          <cell r="D68">
            <v>0</v>
          </cell>
          <cell r="E68" t="str">
            <v>CABLE OF100CMS R287531263</v>
          </cell>
          <cell r="F68">
            <v>1</v>
          </cell>
          <cell r="G68">
            <v>35339</v>
          </cell>
          <cell r="H68">
            <v>7500</v>
          </cell>
        </row>
        <row r="69">
          <cell r="A69">
            <v>3400003434</v>
          </cell>
          <cell r="B69">
            <v>5100</v>
          </cell>
          <cell r="C69">
            <v>61116</v>
          </cell>
          <cell r="D69">
            <v>0</v>
          </cell>
          <cell r="E69" t="str">
            <v>CABLE OF100CMS R287531263</v>
          </cell>
          <cell r="F69">
            <v>1</v>
          </cell>
          <cell r="G69">
            <v>35339</v>
          </cell>
          <cell r="H69">
            <v>7500</v>
          </cell>
        </row>
        <row r="70">
          <cell r="A70">
            <v>3400003435</v>
          </cell>
          <cell r="B70">
            <v>5100</v>
          </cell>
          <cell r="C70">
            <v>61116</v>
          </cell>
          <cell r="D70">
            <v>0</v>
          </cell>
          <cell r="E70" t="str">
            <v>CABLE OF100CMS R287531263</v>
          </cell>
          <cell r="F70">
            <v>1</v>
          </cell>
          <cell r="G70">
            <v>35339</v>
          </cell>
          <cell r="H70">
            <v>7500</v>
          </cell>
        </row>
        <row r="71">
          <cell r="A71">
            <v>3400003436</v>
          </cell>
          <cell r="B71">
            <v>5100</v>
          </cell>
          <cell r="C71">
            <v>61116</v>
          </cell>
          <cell r="D71">
            <v>0</v>
          </cell>
          <cell r="E71" t="str">
            <v>CABLE OF100CMS R287531263</v>
          </cell>
          <cell r="F71">
            <v>1</v>
          </cell>
          <cell r="G71">
            <v>35339</v>
          </cell>
          <cell r="H71">
            <v>7500</v>
          </cell>
        </row>
        <row r="72">
          <cell r="A72">
            <v>3400003437</v>
          </cell>
          <cell r="B72">
            <v>5100</v>
          </cell>
          <cell r="C72">
            <v>61116</v>
          </cell>
          <cell r="D72">
            <v>0</v>
          </cell>
          <cell r="E72" t="str">
            <v>CABLE OF100CMS R287531263</v>
          </cell>
          <cell r="F72">
            <v>1</v>
          </cell>
          <cell r="G72">
            <v>35339</v>
          </cell>
          <cell r="H72">
            <v>7500</v>
          </cell>
        </row>
        <row r="73">
          <cell r="A73">
            <v>3400003438</v>
          </cell>
          <cell r="B73">
            <v>5100</v>
          </cell>
          <cell r="C73">
            <v>61116</v>
          </cell>
          <cell r="D73">
            <v>0</v>
          </cell>
          <cell r="E73" t="str">
            <v>CABLE OF100CMS R287531263</v>
          </cell>
          <cell r="F73">
            <v>1</v>
          </cell>
          <cell r="G73">
            <v>35339</v>
          </cell>
          <cell r="H73">
            <v>7500</v>
          </cell>
        </row>
        <row r="74">
          <cell r="A74">
            <v>3400003439</v>
          </cell>
          <cell r="B74">
            <v>5100</v>
          </cell>
          <cell r="C74">
            <v>61116</v>
          </cell>
          <cell r="D74">
            <v>0</v>
          </cell>
          <cell r="E74" t="str">
            <v>CABLE OF100CMS R287531263</v>
          </cell>
          <cell r="F74">
            <v>1</v>
          </cell>
          <cell r="G74">
            <v>35339</v>
          </cell>
          <cell r="H74">
            <v>7500</v>
          </cell>
        </row>
        <row r="75">
          <cell r="A75">
            <v>3400003440</v>
          </cell>
          <cell r="B75">
            <v>5100</v>
          </cell>
          <cell r="C75">
            <v>61116</v>
          </cell>
          <cell r="D75">
            <v>0</v>
          </cell>
          <cell r="E75" t="str">
            <v>CABLE OF100CMS R287531263</v>
          </cell>
          <cell r="F75">
            <v>1</v>
          </cell>
          <cell r="G75">
            <v>35339</v>
          </cell>
          <cell r="H75">
            <v>7500</v>
          </cell>
        </row>
        <row r="76">
          <cell r="A76">
            <v>3400003441</v>
          </cell>
          <cell r="B76">
            <v>5100</v>
          </cell>
          <cell r="C76">
            <v>61116</v>
          </cell>
          <cell r="D76">
            <v>0</v>
          </cell>
          <cell r="E76" t="str">
            <v>CABLE OF100CMS R287531263</v>
          </cell>
          <cell r="F76">
            <v>1</v>
          </cell>
          <cell r="G76">
            <v>35339</v>
          </cell>
          <cell r="H76">
            <v>7500</v>
          </cell>
        </row>
        <row r="77">
          <cell r="A77">
            <v>3400003442</v>
          </cell>
          <cell r="B77">
            <v>5100</v>
          </cell>
          <cell r="C77">
            <v>61116</v>
          </cell>
          <cell r="D77">
            <v>0</v>
          </cell>
          <cell r="E77" t="str">
            <v>CABLE OF100CMS R287531263</v>
          </cell>
          <cell r="F77">
            <v>1</v>
          </cell>
          <cell r="G77">
            <v>35339</v>
          </cell>
          <cell r="H77">
            <v>7500</v>
          </cell>
        </row>
        <row r="78">
          <cell r="A78">
            <v>3400003443</v>
          </cell>
          <cell r="B78">
            <v>5100</v>
          </cell>
          <cell r="C78">
            <v>61116</v>
          </cell>
          <cell r="D78">
            <v>0</v>
          </cell>
          <cell r="E78" t="str">
            <v>CABLE OF100CMS R287531263</v>
          </cell>
          <cell r="F78">
            <v>1</v>
          </cell>
          <cell r="G78">
            <v>35339</v>
          </cell>
          <cell r="H78">
            <v>7500</v>
          </cell>
        </row>
        <row r="79">
          <cell r="A79">
            <v>3400003444</v>
          </cell>
          <cell r="B79">
            <v>5100</v>
          </cell>
          <cell r="C79">
            <v>61116</v>
          </cell>
          <cell r="D79">
            <v>0</v>
          </cell>
          <cell r="E79" t="str">
            <v>CABLE OF100CMS R287531263</v>
          </cell>
          <cell r="F79">
            <v>1</v>
          </cell>
          <cell r="G79">
            <v>35339</v>
          </cell>
          <cell r="H79">
            <v>7500</v>
          </cell>
        </row>
        <row r="80">
          <cell r="A80">
            <v>3400003445</v>
          </cell>
          <cell r="B80">
            <v>5100</v>
          </cell>
          <cell r="C80">
            <v>61116</v>
          </cell>
          <cell r="D80">
            <v>0</v>
          </cell>
          <cell r="E80" t="str">
            <v>CABLE OF100CMS R287531263</v>
          </cell>
          <cell r="F80">
            <v>1</v>
          </cell>
          <cell r="G80">
            <v>35339</v>
          </cell>
          <cell r="H80">
            <v>7500</v>
          </cell>
        </row>
        <row r="81">
          <cell r="A81">
            <v>3400003446</v>
          </cell>
          <cell r="B81">
            <v>5100</v>
          </cell>
          <cell r="C81">
            <v>61116</v>
          </cell>
          <cell r="D81">
            <v>0</v>
          </cell>
          <cell r="E81" t="str">
            <v>CABLE OF100CMS R287531263</v>
          </cell>
          <cell r="F81">
            <v>1</v>
          </cell>
          <cell r="G81">
            <v>35339</v>
          </cell>
          <cell r="H81">
            <v>7500</v>
          </cell>
        </row>
        <row r="82">
          <cell r="A82">
            <v>3400003447</v>
          </cell>
          <cell r="B82">
            <v>5100</v>
          </cell>
          <cell r="C82">
            <v>61116</v>
          </cell>
          <cell r="D82">
            <v>0</v>
          </cell>
          <cell r="E82" t="str">
            <v>CABLE OF100CMS R287531263</v>
          </cell>
          <cell r="F82">
            <v>1</v>
          </cell>
          <cell r="G82">
            <v>35339</v>
          </cell>
          <cell r="H82">
            <v>7500</v>
          </cell>
        </row>
        <row r="83">
          <cell r="A83">
            <v>3400003448</v>
          </cell>
          <cell r="B83">
            <v>5100</v>
          </cell>
          <cell r="C83">
            <v>61116</v>
          </cell>
          <cell r="D83">
            <v>0</v>
          </cell>
          <cell r="E83" t="str">
            <v>CABLE OF100CMS R287531263</v>
          </cell>
          <cell r="F83">
            <v>1</v>
          </cell>
          <cell r="G83">
            <v>35339</v>
          </cell>
          <cell r="H83">
            <v>7500</v>
          </cell>
        </row>
        <row r="84">
          <cell r="A84">
            <v>3400003449</v>
          </cell>
          <cell r="B84">
            <v>5100</v>
          </cell>
          <cell r="C84">
            <v>61116</v>
          </cell>
          <cell r="D84">
            <v>0</v>
          </cell>
          <cell r="E84" t="str">
            <v>CABLE OF100CMS R287531263</v>
          </cell>
          <cell r="F84">
            <v>1</v>
          </cell>
          <cell r="G84">
            <v>35339</v>
          </cell>
          <cell r="H84">
            <v>7500</v>
          </cell>
        </row>
        <row r="85">
          <cell r="A85">
            <v>3400003450</v>
          </cell>
          <cell r="B85">
            <v>5100</v>
          </cell>
          <cell r="C85">
            <v>61116</v>
          </cell>
          <cell r="D85">
            <v>0</v>
          </cell>
          <cell r="E85" t="str">
            <v>CABLE OF100CMS R287531263</v>
          </cell>
          <cell r="F85">
            <v>1</v>
          </cell>
          <cell r="G85">
            <v>35339</v>
          </cell>
          <cell r="H85">
            <v>7500</v>
          </cell>
        </row>
        <row r="86">
          <cell r="A86">
            <v>3400003451</v>
          </cell>
          <cell r="B86">
            <v>5100</v>
          </cell>
          <cell r="C86">
            <v>61116</v>
          </cell>
          <cell r="D86">
            <v>0</v>
          </cell>
          <cell r="E86" t="str">
            <v>CABLE OF150CMS R287531264</v>
          </cell>
          <cell r="F86">
            <v>1</v>
          </cell>
          <cell r="G86">
            <v>35339</v>
          </cell>
          <cell r="H86">
            <v>8900</v>
          </cell>
        </row>
        <row r="87">
          <cell r="A87">
            <v>3400003452</v>
          </cell>
          <cell r="B87">
            <v>5100</v>
          </cell>
          <cell r="C87">
            <v>61116</v>
          </cell>
          <cell r="D87">
            <v>0</v>
          </cell>
          <cell r="E87" t="str">
            <v>CABLE OF150CMS R287531264</v>
          </cell>
          <cell r="F87">
            <v>1</v>
          </cell>
          <cell r="G87">
            <v>35339</v>
          </cell>
          <cell r="H87">
            <v>8900</v>
          </cell>
        </row>
        <row r="88">
          <cell r="A88">
            <v>3400003453</v>
          </cell>
          <cell r="B88">
            <v>5100</v>
          </cell>
          <cell r="C88">
            <v>61116</v>
          </cell>
          <cell r="D88">
            <v>0</v>
          </cell>
          <cell r="E88" t="str">
            <v>CABLE OF150CMS R287531264</v>
          </cell>
          <cell r="F88">
            <v>1</v>
          </cell>
          <cell r="G88">
            <v>35339</v>
          </cell>
          <cell r="H88">
            <v>8900</v>
          </cell>
        </row>
        <row r="89">
          <cell r="A89">
            <v>3400003454</v>
          </cell>
          <cell r="B89">
            <v>5100</v>
          </cell>
          <cell r="C89">
            <v>61116</v>
          </cell>
          <cell r="D89">
            <v>0</v>
          </cell>
          <cell r="E89" t="str">
            <v>CABLE OF150CMS R287531264</v>
          </cell>
          <cell r="F89">
            <v>1</v>
          </cell>
          <cell r="G89">
            <v>35339</v>
          </cell>
          <cell r="H89">
            <v>8900</v>
          </cell>
        </row>
        <row r="90">
          <cell r="A90">
            <v>3400003455</v>
          </cell>
          <cell r="B90">
            <v>5100</v>
          </cell>
          <cell r="C90">
            <v>61116</v>
          </cell>
          <cell r="D90">
            <v>0</v>
          </cell>
          <cell r="E90" t="str">
            <v>CABLE OF150CMS R287531264</v>
          </cell>
          <cell r="F90">
            <v>1</v>
          </cell>
          <cell r="G90">
            <v>35339</v>
          </cell>
          <cell r="H90">
            <v>8900</v>
          </cell>
        </row>
        <row r="91">
          <cell r="A91">
            <v>3400003456</v>
          </cell>
          <cell r="B91">
            <v>5100</v>
          </cell>
          <cell r="C91">
            <v>61116</v>
          </cell>
          <cell r="D91">
            <v>0</v>
          </cell>
          <cell r="E91" t="str">
            <v>CABLE OF150CMS R287531264</v>
          </cell>
          <cell r="F91">
            <v>1</v>
          </cell>
          <cell r="G91">
            <v>35339</v>
          </cell>
          <cell r="H91">
            <v>8900</v>
          </cell>
        </row>
        <row r="92">
          <cell r="A92">
            <v>3400003457</v>
          </cell>
          <cell r="B92">
            <v>5100</v>
          </cell>
          <cell r="C92">
            <v>61116</v>
          </cell>
          <cell r="D92">
            <v>0</v>
          </cell>
          <cell r="E92" t="str">
            <v>CABLE OF150CMS R287531264</v>
          </cell>
          <cell r="F92">
            <v>1</v>
          </cell>
          <cell r="G92">
            <v>35339</v>
          </cell>
          <cell r="H92">
            <v>8900</v>
          </cell>
        </row>
        <row r="93">
          <cell r="A93">
            <v>3400003458</v>
          </cell>
          <cell r="B93">
            <v>5100</v>
          </cell>
          <cell r="C93">
            <v>61116</v>
          </cell>
          <cell r="D93">
            <v>0</v>
          </cell>
          <cell r="E93" t="str">
            <v>CABLE OF150CMS R287531264</v>
          </cell>
          <cell r="F93">
            <v>1</v>
          </cell>
          <cell r="G93">
            <v>35339</v>
          </cell>
          <cell r="H93">
            <v>8900</v>
          </cell>
        </row>
        <row r="94">
          <cell r="A94">
            <v>3400003459</v>
          </cell>
          <cell r="B94">
            <v>5100</v>
          </cell>
          <cell r="C94">
            <v>61116</v>
          </cell>
          <cell r="D94">
            <v>0</v>
          </cell>
          <cell r="E94" t="str">
            <v>CABLE OF150CMS R287531264</v>
          </cell>
          <cell r="F94">
            <v>1</v>
          </cell>
          <cell r="G94">
            <v>35339</v>
          </cell>
          <cell r="H94">
            <v>8900</v>
          </cell>
        </row>
        <row r="95">
          <cell r="A95">
            <v>3400003460</v>
          </cell>
          <cell r="B95">
            <v>5100</v>
          </cell>
          <cell r="C95">
            <v>61116</v>
          </cell>
          <cell r="D95">
            <v>0</v>
          </cell>
          <cell r="E95" t="str">
            <v>CABLE OF150CMS R287531264</v>
          </cell>
          <cell r="F95">
            <v>1</v>
          </cell>
          <cell r="G95">
            <v>35339</v>
          </cell>
          <cell r="H95">
            <v>8900</v>
          </cell>
        </row>
        <row r="96">
          <cell r="A96">
            <v>3400003461</v>
          </cell>
          <cell r="B96">
            <v>5100</v>
          </cell>
          <cell r="C96">
            <v>61116</v>
          </cell>
          <cell r="D96">
            <v>0</v>
          </cell>
          <cell r="E96" t="str">
            <v>CABLE OF150CMS R287531264</v>
          </cell>
          <cell r="F96">
            <v>1</v>
          </cell>
          <cell r="G96">
            <v>35339</v>
          </cell>
          <cell r="H96">
            <v>8900</v>
          </cell>
        </row>
        <row r="97">
          <cell r="A97">
            <v>3400003462</v>
          </cell>
          <cell r="B97">
            <v>5100</v>
          </cell>
          <cell r="C97">
            <v>61116</v>
          </cell>
          <cell r="D97">
            <v>0</v>
          </cell>
          <cell r="E97" t="str">
            <v>CABLE OF150CMS R287531264</v>
          </cell>
          <cell r="F97">
            <v>1</v>
          </cell>
          <cell r="G97">
            <v>35339</v>
          </cell>
          <cell r="H97">
            <v>8900</v>
          </cell>
        </row>
        <row r="98">
          <cell r="A98">
            <v>3400003463</v>
          </cell>
          <cell r="B98">
            <v>5100</v>
          </cell>
          <cell r="C98">
            <v>61116</v>
          </cell>
          <cell r="D98">
            <v>0</v>
          </cell>
          <cell r="E98" t="str">
            <v>CABLE OF150CMS R287531264</v>
          </cell>
          <cell r="F98">
            <v>1</v>
          </cell>
          <cell r="G98">
            <v>35339</v>
          </cell>
          <cell r="H98">
            <v>8900</v>
          </cell>
        </row>
        <row r="99">
          <cell r="A99">
            <v>3400003464</v>
          </cell>
          <cell r="B99">
            <v>5100</v>
          </cell>
          <cell r="C99">
            <v>61116</v>
          </cell>
          <cell r="D99">
            <v>0</v>
          </cell>
          <cell r="E99" t="str">
            <v>CABLE OF150CMS R287531264</v>
          </cell>
          <cell r="F99">
            <v>1</v>
          </cell>
          <cell r="G99">
            <v>35339</v>
          </cell>
          <cell r="H99">
            <v>8900</v>
          </cell>
        </row>
        <row r="100">
          <cell r="A100">
            <v>3400003465</v>
          </cell>
          <cell r="B100">
            <v>5100</v>
          </cell>
          <cell r="C100">
            <v>61116</v>
          </cell>
          <cell r="D100">
            <v>0</v>
          </cell>
          <cell r="E100" t="str">
            <v>CABLE OF150CMS R287531264</v>
          </cell>
          <cell r="F100">
            <v>1</v>
          </cell>
          <cell r="G100">
            <v>35339</v>
          </cell>
          <cell r="H100">
            <v>8900</v>
          </cell>
        </row>
        <row r="101">
          <cell r="A101">
            <v>3400003466</v>
          </cell>
          <cell r="B101">
            <v>5100</v>
          </cell>
          <cell r="C101">
            <v>61116</v>
          </cell>
          <cell r="D101">
            <v>0</v>
          </cell>
          <cell r="E101" t="str">
            <v>CABLE OF150CMS R287531264</v>
          </cell>
          <cell r="F101">
            <v>1</v>
          </cell>
          <cell r="G101">
            <v>35339</v>
          </cell>
          <cell r="H101">
            <v>8900</v>
          </cell>
        </row>
        <row r="102">
          <cell r="A102">
            <v>3400003467</v>
          </cell>
          <cell r="B102">
            <v>5100</v>
          </cell>
          <cell r="C102">
            <v>61116</v>
          </cell>
          <cell r="D102">
            <v>0</v>
          </cell>
          <cell r="E102" t="str">
            <v>CABLE OF150CMS R287531264</v>
          </cell>
          <cell r="F102">
            <v>1</v>
          </cell>
          <cell r="G102">
            <v>35339</v>
          </cell>
          <cell r="H102">
            <v>8900</v>
          </cell>
        </row>
        <row r="103">
          <cell r="A103">
            <v>3400003468</v>
          </cell>
          <cell r="B103">
            <v>5100</v>
          </cell>
          <cell r="C103">
            <v>61116</v>
          </cell>
          <cell r="D103">
            <v>0</v>
          </cell>
          <cell r="E103" t="str">
            <v>CABLE OF150CMS R287531264</v>
          </cell>
          <cell r="F103">
            <v>1</v>
          </cell>
          <cell r="G103">
            <v>35339</v>
          </cell>
          <cell r="H103">
            <v>8900</v>
          </cell>
        </row>
        <row r="104">
          <cell r="A104">
            <v>3400003469</v>
          </cell>
          <cell r="B104">
            <v>5100</v>
          </cell>
          <cell r="C104">
            <v>61116</v>
          </cell>
          <cell r="D104">
            <v>0</v>
          </cell>
          <cell r="E104" t="str">
            <v>CABLE OF150CMS R287531264</v>
          </cell>
          <cell r="F104">
            <v>1</v>
          </cell>
          <cell r="G104">
            <v>35339</v>
          </cell>
          <cell r="H104">
            <v>8900</v>
          </cell>
        </row>
        <row r="105">
          <cell r="A105">
            <v>3400003470</v>
          </cell>
          <cell r="B105">
            <v>5100</v>
          </cell>
          <cell r="C105">
            <v>61116</v>
          </cell>
          <cell r="D105">
            <v>0</v>
          </cell>
          <cell r="E105" t="str">
            <v>CABLE OF150CMS R287531264</v>
          </cell>
          <cell r="F105">
            <v>1</v>
          </cell>
          <cell r="G105">
            <v>35339</v>
          </cell>
          <cell r="H105">
            <v>8900</v>
          </cell>
        </row>
        <row r="106">
          <cell r="A106">
            <v>3400003471</v>
          </cell>
          <cell r="B106">
            <v>5100</v>
          </cell>
          <cell r="C106">
            <v>61116</v>
          </cell>
          <cell r="D106">
            <v>0</v>
          </cell>
          <cell r="E106" t="str">
            <v>CABLE OF150CMS R287531264</v>
          </cell>
          <cell r="F106">
            <v>1</v>
          </cell>
          <cell r="G106">
            <v>35339</v>
          </cell>
          <cell r="H106">
            <v>8900</v>
          </cell>
        </row>
        <row r="107">
          <cell r="A107">
            <v>3400003472</v>
          </cell>
          <cell r="B107">
            <v>5100</v>
          </cell>
          <cell r="C107">
            <v>61116</v>
          </cell>
          <cell r="D107">
            <v>0</v>
          </cell>
          <cell r="E107" t="str">
            <v>CABLE OF150CMS R287531264</v>
          </cell>
          <cell r="F107">
            <v>1</v>
          </cell>
          <cell r="G107">
            <v>35339</v>
          </cell>
          <cell r="H107">
            <v>8900</v>
          </cell>
        </row>
        <row r="108">
          <cell r="A108">
            <v>3400003473</v>
          </cell>
          <cell r="B108">
            <v>5100</v>
          </cell>
          <cell r="C108">
            <v>61116</v>
          </cell>
          <cell r="D108">
            <v>0</v>
          </cell>
          <cell r="E108" t="str">
            <v>CABLE OF150CMS R287531264</v>
          </cell>
          <cell r="F108">
            <v>1</v>
          </cell>
          <cell r="G108">
            <v>35339</v>
          </cell>
          <cell r="H108">
            <v>8900</v>
          </cell>
        </row>
        <row r="109">
          <cell r="A109">
            <v>3400003474</v>
          </cell>
          <cell r="B109">
            <v>5100</v>
          </cell>
          <cell r="C109">
            <v>61116</v>
          </cell>
          <cell r="D109">
            <v>0</v>
          </cell>
          <cell r="E109" t="str">
            <v>CABLE OF150CMS R287531264</v>
          </cell>
          <cell r="F109">
            <v>1</v>
          </cell>
          <cell r="G109">
            <v>35339</v>
          </cell>
          <cell r="H109">
            <v>8900</v>
          </cell>
        </row>
        <row r="110">
          <cell r="A110">
            <v>3400003475</v>
          </cell>
          <cell r="B110">
            <v>5100</v>
          </cell>
          <cell r="C110">
            <v>61116</v>
          </cell>
          <cell r="D110">
            <v>0</v>
          </cell>
          <cell r="E110" t="str">
            <v>CABLE OF150CMS R287531264</v>
          </cell>
          <cell r="F110">
            <v>1</v>
          </cell>
          <cell r="G110">
            <v>35339</v>
          </cell>
          <cell r="H110">
            <v>8900</v>
          </cell>
        </row>
        <row r="111">
          <cell r="A111">
            <v>3400003476</v>
          </cell>
          <cell r="B111">
            <v>5100</v>
          </cell>
          <cell r="C111">
            <v>61116</v>
          </cell>
          <cell r="D111">
            <v>0</v>
          </cell>
          <cell r="E111" t="str">
            <v>CABLE OF200CMS R287531265</v>
          </cell>
          <cell r="F111">
            <v>1</v>
          </cell>
          <cell r="G111">
            <v>35339</v>
          </cell>
          <cell r="H111">
            <v>10400</v>
          </cell>
        </row>
        <row r="112">
          <cell r="A112">
            <v>3400003477</v>
          </cell>
          <cell r="B112">
            <v>5100</v>
          </cell>
          <cell r="C112">
            <v>61116</v>
          </cell>
          <cell r="D112">
            <v>0</v>
          </cell>
          <cell r="E112" t="str">
            <v>CABLE OF200CMS R287531265</v>
          </cell>
          <cell r="F112">
            <v>1</v>
          </cell>
          <cell r="G112">
            <v>35339</v>
          </cell>
          <cell r="H112">
            <v>10400</v>
          </cell>
        </row>
        <row r="113">
          <cell r="A113">
            <v>3400003478</v>
          </cell>
          <cell r="B113">
            <v>5100</v>
          </cell>
          <cell r="C113">
            <v>61116</v>
          </cell>
          <cell r="D113">
            <v>0</v>
          </cell>
          <cell r="E113" t="str">
            <v>CABLE OF200CMS R287531265</v>
          </cell>
          <cell r="F113">
            <v>1</v>
          </cell>
          <cell r="G113">
            <v>35339</v>
          </cell>
          <cell r="H113">
            <v>10400</v>
          </cell>
        </row>
        <row r="114">
          <cell r="A114">
            <v>3400003479</v>
          </cell>
          <cell r="B114">
            <v>5100</v>
          </cell>
          <cell r="C114">
            <v>61116</v>
          </cell>
          <cell r="D114">
            <v>0</v>
          </cell>
          <cell r="E114" t="str">
            <v>CABLE OF200CMS R287531265</v>
          </cell>
          <cell r="F114">
            <v>1</v>
          </cell>
          <cell r="G114">
            <v>35339</v>
          </cell>
          <cell r="H114">
            <v>10400</v>
          </cell>
        </row>
        <row r="115">
          <cell r="A115">
            <v>3400003480</v>
          </cell>
          <cell r="B115">
            <v>5100</v>
          </cell>
          <cell r="C115">
            <v>61116</v>
          </cell>
          <cell r="D115">
            <v>0</v>
          </cell>
          <cell r="E115" t="str">
            <v>CABLE OF200CMS R287531265</v>
          </cell>
          <cell r="F115">
            <v>1</v>
          </cell>
          <cell r="G115">
            <v>35339</v>
          </cell>
          <cell r="H115">
            <v>10400</v>
          </cell>
        </row>
        <row r="116">
          <cell r="A116">
            <v>3400003481</v>
          </cell>
          <cell r="B116">
            <v>5100</v>
          </cell>
          <cell r="C116">
            <v>61116</v>
          </cell>
          <cell r="D116">
            <v>0</v>
          </cell>
          <cell r="E116" t="str">
            <v>CABLE OF200CMS R287531265</v>
          </cell>
          <cell r="F116">
            <v>1</v>
          </cell>
          <cell r="G116">
            <v>35339</v>
          </cell>
          <cell r="H116">
            <v>10400</v>
          </cell>
        </row>
        <row r="117">
          <cell r="A117">
            <v>3400003482</v>
          </cell>
          <cell r="B117">
            <v>5100</v>
          </cell>
          <cell r="C117">
            <v>61116</v>
          </cell>
          <cell r="D117">
            <v>0</v>
          </cell>
          <cell r="E117" t="str">
            <v>CABLE OF200CMS R287531265</v>
          </cell>
          <cell r="F117">
            <v>1</v>
          </cell>
          <cell r="G117">
            <v>35339</v>
          </cell>
          <cell r="H117">
            <v>10400</v>
          </cell>
        </row>
        <row r="118">
          <cell r="A118">
            <v>3400003483</v>
          </cell>
          <cell r="B118">
            <v>5100</v>
          </cell>
          <cell r="C118">
            <v>61116</v>
          </cell>
          <cell r="D118">
            <v>0</v>
          </cell>
          <cell r="E118" t="str">
            <v>CABLE OF200CMS R287531265</v>
          </cell>
          <cell r="F118">
            <v>1</v>
          </cell>
          <cell r="G118">
            <v>35339</v>
          </cell>
          <cell r="H118">
            <v>10400</v>
          </cell>
        </row>
        <row r="119">
          <cell r="A119">
            <v>3400003484</v>
          </cell>
          <cell r="B119">
            <v>5100</v>
          </cell>
          <cell r="C119">
            <v>61116</v>
          </cell>
          <cell r="D119">
            <v>0</v>
          </cell>
          <cell r="E119" t="str">
            <v>CABLE OF200CMS R287531265</v>
          </cell>
          <cell r="F119">
            <v>1</v>
          </cell>
          <cell r="G119">
            <v>35339</v>
          </cell>
          <cell r="H119">
            <v>10400</v>
          </cell>
        </row>
        <row r="120">
          <cell r="A120">
            <v>3400003485</v>
          </cell>
          <cell r="B120">
            <v>5100</v>
          </cell>
          <cell r="C120">
            <v>61116</v>
          </cell>
          <cell r="D120">
            <v>0</v>
          </cell>
          <cell r="E120" t="str">
            <v>CABLE OF200CMS R287531265</v>
          </cell>
          <cell r="F120">
            <v>1</v>
          </cell>
          <cell r="G120">
            <v>35339</v>
          </cell>
          <cell r="H120">
            <v>10400</v>
          </cell>
        </row>
        <row r="121">
          <cell r="A121">
            <v>3400003486</v>
          </cell>
          <cell r="B121">
            <v>5100</v>
          </cell>
          <cell r="C121">
            <v>61116</v>
          </cell>
          <cell r="D121">
            <v>0</v>
          </cell>
          <cell r="E121" t="str">
            <v>CABLE OF200CMS R287531265</v>
          </cell>
          <cell r="F121">
            <v>1</v>
          </cell>
          <cell r="G121">
            <v>35339</v>
          </cell>
          <cell r="H121">
            <v>10400</v>
          </cell>
        </row>
        <row r="122">
          <cell r="A122">
            <v>3400003487</v>
          </cell>
          <cell r="B122">
            <v>5100</v>
          </cell>
          <cell r="C122">
            <v>61116</v>
          </cell>
          <cell r="D122">
            <v>0</v>
          </cell>
          <cell r="E122" t="str">
            <v>CABLE OF200CMS R287531265</v>
          </cell>
          <cell r="F122">
            <v>1</v>
          </cell>
          <cell r="G122">
            <v>35339</v>
          </cell>
          <cell r="H122">
            <v>10400</v>
          </cell>
        </row>
        <row r="123">
          <cell r="A123">
            <v>3400003488</v>
          </cell>
          <cell r="B123">
            <v>5100</v>
          </cell>
          <cell r="C123">
            <v>61116</v>
          </cell>
          <cell r="D123">
            <v>0</v>
          </cell>
          <cell r="E123" t="str">
            <v>CABLE OF200CMS R287531265</v>
          </cell>
          <cell r="F123">
            <v>1</v>
          </cell>
          <cell r="G123">
            <v>35339</v>
          </cell>
          <cell r="H123">
            <v>10400</v>
          </cell>
        </row>
        <row r="124">
          <cell r="A124">
            <v>3400003489</v>
          </cell>
          <cell r="B124">
            <v>5100</v>
          </cell>
          <cell r="C124">
            <v>61116</v>
          </cell>
          <cell r="D124">
            <v>0</v>
          </cell>
          <cell r="E124" t="str">
            <v>CABLE OF200CMS R287531265</v>
          </cell>
          <cell r="F124">
            <v>1</v>
          </cell>
          <cell r="G124">
            <v>35339</v>
          </cell>
          <cell r="H124">
            <v>10400</v>
          </cell>
        </row>
        <row r="125">
          <cell r="A125">
            <v>3400003490</v>
          </cell>
          <cell r="B125">
            <v>5100</v>
          </cell>
          <cell r="C125">
            <v>61116</v>
          </cell>
          <cell r="D125">
            <v>0</v>
          </cell>
          <cell r="E125" t="str">
            <v>CABLE OF200CMS R287531265</v>
          </cell>
          <cell r="F125">
            <v>1</v>
          </cell>
          <cell r="G125">
            <v>35339</v>
          </cell>
          <cell r="H125">
            <v>10400</v>
          </cell>
        </row>
        <row r="126">
          <cell r="A126">
            <v>3400003491</v>
          </cell>
          <cell r="B126">
            <v>5100</v>
          </cell>
          <cell r="C126">
            <v>61116</v>
          </cell>
          <cell r="D126">
            <v>0</v>
          </cell>
          <cell r="E126" t="str">
            <v>CABLE OF200CMS R287531265</v>
          </cell>
          <cell r="F126">
            <v>1</v>
          </cell>
          <cell r="G126">
            <v>35339</v>
          </cell>
          <cell r="H126">
            <v>10400</v>
          </cell>
        </row>
        <row r="127">
          <cell r="A127">
            <v>3400003492</v>
          </cell>
          <cell r="B127">
            <v>5100</v>
          </cell>
          <cell r="C127">
            <v>61116</v>
          </cell>
          <cell r="D127">
            <v>0</v>
          </cell>
          <cell r="E127" t="str">
            <v>CABLE OF200CMS R287531265</v>
          </cell>
          <cell r="F127">
            <v>1</v>
          </cell>
          <cell r="G127">
            <v>35339</v>
          </cell>
          <cell r="H127">
            <v>10400</v>
          </cell>
        </row>
        <row r="128">
          <cell r="A128">
            <v>3400003493</v>
          </cell>
          <cell r="B128">
            <v>5100</v>
          </cell>
          <cell r="C128">
            <v>61116</v>
          </cell>
          <cell r="D128">
            <v>0</v>
          </cell>
          <cell r="E128" t="str">
            <v>CABLE OF200CMS R287531265</v>
          </cell>
          <cell r="F128">
            <v>1</v>
          </cell>
          <cell r="G128">
            <v>35339</v>
          </cell>
          <cell r="H128">
            <v>10400</v>
          </cell>
        </row>
        <row r="129">
          <cell r="A129">
            <v>3400003494</v>
          </cell>
          <cell r="B129">
            <v>5100</v>
          </cell>
          <cell r="C129">
            <v>61116</v>
          </cell>
          <cell r="D129">
            <v>0</v>
          </cell>
          <cell r="E129" t="str">
            <v>CABLE OF200CMS R287531265</v>
          </cell>
          <cell r="F129">
            <v>1</v>
          </cell>
          <cell r="G129">
            <v>35339</v>
          </cell>
          <cell r="H129">
            <v>10400</v>
          </cell>
        </row>
        <row r="130">
          <cell r="A130">
            <v>3400003495</v>
          </cell>
          <cell r="B130">
            <v>5100</v>
          </cell>
          <cell r="C130">
            <v>61116</v>
          </cell>
          <cell r="D130">
            <v>0</v>
          </cell>
          <cell r="E130" t="str">
            <v>CABLE OF200CMS R287531265</v>
          </cell>
          <cell r="F130">
            <v>1</v>
          </cell>
          <cell r="G130">
            <v>35339</v>
          </cell>
          <cell r="H130">
            <v>13400</v>
          </cell>
        </row>
        <row r="131">
          <cell r="A131">
            <v>3400003496</v>
          </cell>
          <cell r="B131">
            <v>5100</v>
          </cell>
          <cell r="C131">
            <v>61116</v>
          </cell>
          <cell r="D131">
            <v>0</v>
          </cell>
          <cell r="E131" t="str">
            <v>CABLE OF200CMS R287531265</v>
          </cell>
          <cell r="F131">
            <v>1</v>
          </cell>
          <cell r="G131">
            <v>35339</v>
          </cell>
          <cell r="H131">
            <v>13400</v>
          </cell>
        </row>
        <row r="132">
          <cell r="A132">
            <v>3400003497</v>
          </cell>
          <cell r="B132">
            <v>5100</v>
          </cell>
          <cell r="C132">
            <v>61116</v>
          </cell>
          <cell r="D132">
            <v>0</v>
          </cell>
          <cell r="E132" t="str">
            <v>CABLE OF200CMS R287531265</v>
          </cell>
          <cell r="F132">
            <v>1</v>
          </cell>
          <cell r="G132">
            <v>35339</v>
          </cell>
          <cell r="H132">
            <v>13400</v>
          </cell>
        </row>
        <row r="133">
          <cell r="A133">
            <v>3400003498</v>
          </cell>
          <cell r="B133">
            <v>5100</v>
          </cell>
          <cell r="C133">
            <v>61116</v>
          </cell>
          <cell r="D133">
            <v>0</v>
          </cell>
          <cell r="E133" t="str">
            <v>CABLE OF200CMS R287531265</v>
          </cell>
          <cell r="F133">
            <v>1</v>
          </cell>
          <cell r="G133">
            <v>35339</v>
          </cell>
          <cell r="H133">
            <v>13400</v>
          </cell>
        </row>
        <row r="134">
          <cell r="A134">
            <v>3400003499</v>
          </cell>
          <cell r="B134">
            <v>5100</v>
          </cell>
          <cell r="C134">
            <v>61116</v>
          </cell>
          <cell r="D134">
            <v>0</v>
          </cell>
          <cell r="E134" t="str">
            <v>CABLE OF200CMS R287531265</v>
          </cell>
          <cell r="F134">
            <v>1</v>
          </cell>
          <cell r="G134">
            <v>35339</v>
          </cell>
          <cell r="H134">
            <v>11600</v>
          </cell>
        </row>
        <row r="135">
          <cell r="A135">
            <v>3400003500</v>
          </cell>
          <cell r="B135">
            <v>5100</v>
          </cell>
          <cell r="C135">
            <v>61116</v>
          </cell>
          <cell r="D135">
            <v>0</v>
          </cell>
          <cell r="E135" t="str">
            <v>CABLE OF200CMS R287531265</v>
          </cell>
          <cell r="F135">
            <v>1</v>
          </cell>
          <cell r="G135">
            <v>35339</v>
          </cell>
          <cell r="H135">
            <v>11600</v>
          </cell>
        </row>
        <row r="136">
          <cell r="A136">
            <v>3400003501</v>
          </cell>
          <cell r="B136">
            <v>5100</v>
          </cell>
          <cell r="C136">
            <v>61103</v>
          </cell>
          <cell r="D136">
            <v>0</v>
          </cell>
          <cell r="E136" t="str">
            <v>ABZUGSSCHLAYCH 5M #30000138</v>
          </cell>
          <cell r="F136">
            <v>1</v>
          </cell>
          <cell r="G136">
            <v>35339</v>
          </cell>
          <cell r="H136">
            <v>13300</v>
          </cell>
        </row>
        <row r="137">
          <cell r="A137">
            <v>3400003502</v>
          </cell>
          <cell r="B137">
            <v>5100</v>
          </cell>
          <cell r="C137">
            <v>61103</v>
          </cell>
          <cell r="D137">
            <v>0</v>
          </cell>
          <cell r="E137" t="str">
            <v>ABZUGSSCHLAYCH 5M #30000138</v>
          </cell>
          <cell r="F137">
            <v>1</v>
          </cell>
          <cell r="G137">
            <v>35339</v>
          </cell>
          <cell r="H137">
            <v>13300</v>
          </cell>
        </row>
        <row r="138">
          <cell r="A138">
            <v>3400003503</v>
          </cell>
          <cell r="B138">
            <v>5100</v>
          </cell>
          <cell r="C138">
            <v>61103</v>
          </cell>
          <cell r="D138">
            <v>0</v>
          </cell>
          <cell r="E138" t="str">
            <v>ABZUGSSCHLAYCH 5M #30000138</v>
          </cell>
          <cell r="F138">
            <v>1</v>
          </cell>
          <cell r="G138">
            <v>35339</v>
          </cell>
          <cell r="H138">
            <v>13300</v>
          </cell>
        </row>
        <row r="139">
          <cell r="A139">
            <v>3400003504</v>
          </cell>
          <cell r="B139">
            <v>5100</v>
          </cell>
          <cell r="C139">
            <v>61103</v>
          </cell>
          <cell r="D139">
            <v>0</v>
          </cell>
          <cell r="E139" t="str">
            <v>ABZUGSSCHLAYCH 5M #30000138</v>
          </cell>
          <cell r="F139">
            <v>1</v>
          </cell>
          <cell r="G139">
            <v>35339</v>
          </cell>
          <cell r="H139">
            <v>13300</v>
          </cell>
        </row>
        <row r="140">
          <cell r="A140">
            <v>3400004414</v>
          </cell>
          <cell r="B140">
            <v>5100</v>
          </cell>
          <cell r="C140">
            <v>61206</v>
          </cell>
          <cell r="D140">
            <v>0</v>
          </cell>
          <cell r="E140" t="str">
            <v>LENGTH MEASUREMENT COUNTER &amp; CONTROLLER</v>
          </cell>
          <cell r="F140">
            <v>1</v>
          </cell>
          <cell r="G140">
            <v>35339</v>
          </cell>
          <cell r="H140">
            <v>6200</v>
          </cell>
        </row>
        <row r="141">
          <cell r="A141">
            <v>3400004437</v>
          </cell>
          <cell r="B141">
            <v>5100</v>
          </cell>
          <cell r="C141">
            <v>61151</v>
          </cell>
          <cell r="D141">
            <v>0</v>
          </cell>
          <cell r="E141" t="str">
            <v>PRECISION DIAL INDICATOR LCO 0.0002MM SW</v>
          </cell>
          <cell r="F141">
            <v>1</v>
          </cell>
          <cell r="G141">
            <v>35339</v>
          </cell>
          <cell r="H141">
            <v>2800</v>
          </cell>
        </row>
        <row r="142">
          <cell r="A142">
            <v>3400004438</v>
          </cell>
          <cell r="B142">
            <v>5100</v>
          </cell>
          <cell r="C142">
            <v>61151</v>
          </cell>
          <cell r="D142">
            <v>0</v>
          </cell>
          <cell r="E142" t="str">
            <v>HEIGHT GAUGE DIGIMATIC 12"/300MM MITUTOY</v>
          </cell>
          <cell r="F142">
            <v>1</v>
          </cell>
          <cell r="G142">
            <v>35339</v>
          </cell>
          <cell r="H142">
            <v>17000</v>
          </cell>
        </row>
        <row r="143">
          <cell r="A143">
            <v>3400004439</v>
          </cell>
          <cell r="B143">
            <v>5100</v>
          </cell>
          <cell r="C143">
            <v>61151</v>
          </cell>
          <cell r="D143">
            <v>0</v>
          </cell>
          <cell r="E143" t="str">
            <v>GAUGE BLOCK SLIP GAUGE SET 87 PCS</v>
          </cell>
          <cell r="F143">
            <v>1</v>
          </cell>
          <cell r="G143">
            <v>35339</v>
          </cell>
          <cell r="H143">
            <v>44900</v>
          </cell>
        </row>
        <row r="144">
          <cell r="A144">
            <v>3400004440</v>
          </cell>
          <cell r="B144">
            <v>5100</v>
          </cell>
          <cell r="C144">
            <v>61151</v>
          </cell>
          <cell r="D144">
            <v>0</v>
          </cell>
          <cell r="E144" t="str">
            <v>PRECISION VERNIER CALIPER SIZE 1000MM</v>
          </cell>
          <cell r="F144">
            <v>1</v>
          </cell>
          <cell r="G144">
            <v>35339</v>
          </cell>
          <cell r="H144">
            <v>14300</v>
          </cell>
        </row>
        <row r="145">
          <cell r="A145">
            <v>3400004508</v>
          </cell>
          <cell r="B145">
            <v>5100</v>
          </cell>
          <cell r="C145">
            <v>61103</v>
          </cell>
          <cell r="D145">
            <v>0</v>
          </cell>
          <cell r="E145" t="str">
            <v>SET OF IC EXTRACTOR TOOLS</v>
          </cell>
          <cell r="F145">
            <v>1</v>
          </cell>
          <cell r="G145">
            <v>35339</v>
          </cell>
          <cell r="H145">
            <v>4800</v>
          </cell>
        </row>
        <row r="146">
          <cell r="A146">
            <v>3400003554</v>
          </cell>
          <cell r="B146">
            <v>5100</v>
          </cell>
          <cell r="C146">
            <v>61109</v>
          </cell>
          <cell r="D146">
            <v>0</v>
          </cell>
          <cell r="E146" t="str">
            <v>FIXTURE FOR 7GHZ WIRING</v>
          </cell>
          <cell r="F146">
            <v>1</v>
          </cell>
          <cell r="G146">
            <v>35444</v>
          </cell>
          <cell r="H146">
            <v>11639</v>
          </cell>
        </row>
        <row r="147">
          <cell r="A147">
            <v>3400003412</v>
          </cell>
          <cell r="B147">
            <v>5101</v>
          </cell>
          <cell r="C147">
            <v>61102</v>
          </cell>
          <cell r="D147">
            <v>0</v>
          </cell>
          <cell r="E147" t="str">
            <v>MODULE FRAME S30810-Q747-L</v>
          </cell>
          <cell r="F147">
            <v>1</v>
          </cell>
          <cell r="G147">
            <v>35339</v>
          </cell>
          <cell r="H147">
            <v>53900</v>
          </cell>
        </row>
        <row r="148">
          <cell r="A148">
            <v>3400003505</v>
          </cell>
          <cell r="B148">
            <v>5101</v>
          </cell>
          <cell r="C148">
            <v>61103</v>
          </cell>
          <cell r="D148">
            <v>0</v>
          </cell>
          <cell r="E148" t="str">
            <v>BANDSCHELLE TYPE BAS160#30000838</v>
          </cell>
          <cell r="F148">
            <v>1</v>
          </cell>
          <cell r="G148">
            <v>35339</v>
          </cell>
          <cell r="H148">
            <v>2300</v>
          </cell>
        </row>
        <row r="149">
          <cell r="A149">
            <v>3400003769</v>
          </cell>
          <cell r="B149">
            <v>5101</v>
          </cell>
          <cell r="C149">
            <v>61102</v>
          </cell>
          <cell r="D149">
            <v>0</v>
          </cell>
          <cell r="E149" t="str">
            <v>HIGH TEMPERATURE OIL HT300</v>
          </cell>
          <cell r="F149">
            <v>1</v>
          </cell>
          <cell r="G149">
            <v>35339</v>
          </cell>
          <cell r="H149">
            <v>3642.5</v>
          </cell>
        </row>
        <row r="150">
          <cell r="A150">
            <v>3400004441</v>
          </cell>
          <cell r="B150">
            <v>5101</v>
          </cell>
          <cell r="C150">
            <v>61151</v>
          </cell>
          <cell r="D150">
            <v>0</v>
          </cell>
          <cell r="E150" t="str">
            <v>PRECISION VERNIER CALIPER LC 0.02MM150MM</v>
          </cell>
          <cell r="F150">
            <v>1</v>
          </cell>
          <cell r="G150">
            <v>35339</v>
          </cell>
          <cell r="H150">
            <v>800</v>
          </cell>
        </row>
        <row r="151">
          <cell r="A151">
            <v>3400004442</v>
          </cell>
          <cell r="B151">
            <v>5101</v>
          </cell>
          <cell r="C151">
            <v>61151</v>
          </cell>
          <cell r="D151">
            <v>0</v>
          </cell>
          <cell r="E151" t="str">
            <v>FEELER GAUGE 20 BLADES</v>
          </cell>
          <cell r="F151">
            <v>1</v>
          </cell>
          <cell r="G151">
            <v>35339</v>
          </cell>
          <cell r="H151">
            <v>600</v>
          </cell>
        </row>
        <row r="152">
          <cell r="A152">
            <v>3400004443</v>
          </cell>
          <cell r="B152">
            <v>5101</v>
          </cell>
          <cell r="C152">
            <v>61151</v>
          </cell>
          <cell r="D152">
            <v>0</v>
          </cell>
          <cell r="E152" t="str">
            <v>TOOL MAKERS GRADE 1 SIZE 150MM BAGSON MA</v>
          </cell>
          <cell r="F152">
            <v>1</v>
          </cell>
          <cell r="G152">
            <v>35339</v>
          </cell>
          <cell r="H152">
            <v>400</v>
          </cell>
        </row>
        <row r="153">
          <cell r="A153">
            <v>3400004444</v>
          </cell>
          <cell r="B153">
            <v>5101</v>
          </cell>
          <cell r="C153">
            <v>61151</v>
          </cell>
          <cell r="D153">
            <v>0</v>
          </cell>
          <cell r="E153" t="str">
            <v>MAGNETIC 'V' BLOCK 80X65X60MM</v>
          </cell>
          <cell r="F153">
            <v>1</v>
          </cell>
          <cell r="G153">
            <v>35339</v>
          </cell>
          <cell r="H153">
            <v>1700</v>
          </cell>
        </row>
        <row r="154">
          <cell r="A154">
            <v>3400004445</v>
          </cell>
          <cell r="B154">
            <v>5101</v>
          </cell>
          <cell r="C154">
            <v>61151</v>
          </cell>
          <cell r="D154">
            <v>0</v>
          </cell>
          <cell r="E154" t="str">
            <v>RADIUS GAUGE 1-7MM MITUTOYO MAKE</v>
          </cell>
          <cell r="F154">
            <v>1</v>
          </cell>
          <cell r="G154">
            <v>35339</v>
          </cell>
          <cell r="H154">
            <v>600</v>
          </cell>
        </row>
        <row r="155">
          <cell r="A155">
            <v>3400002911</v>
          </cell>
          <cell r="B155">
            <v>5300</v>
          </cell>
          <cell r="C155">
            <v>61200</v>
          </cell>
          <cell r="D155">
            <v>0</v>
          </cell>
          <cell r="E155" t="str">
            <v>WOODEN PARTITION  AND  CEILING JOB FOR S</v>
          </cell>
          <cell r="F155">
            <v>1</v>
          </cell>
          <cell r="G155">
            <v>35339</v>
          </cell>
          <cell r="H155">
            <v>187300</v>
          </cell>
        </row>
        <row r="156">
          <cell r="A156">
            <v>3400002923</v>
          </cell>
          <cell r="B156">
            <v>5300</v>
          </cell>
          <cell r="C156">
            <v>61200</v>
          </cell>
          <cell r="D156">
            <v>0</v>
          </cell>
          <cell r="E156" t="str">
            <v>MODEL OF SIEMENS</v>
          </cell>
          <cell r="F156">
            <v>1</v>
          </cell>
          <cell r="G156">
            <v>35339</v>
          </cell>
          <cell r="H156">
            <v>14400</v>
          </cell>
        </row>
        <row r="157">
          <cell r="A157">
            <v>3400002924</v>
          </cell>
          <cell r="B157">
            <v>5300</v>
          </cell>
          <cell r="C157">
            <v>61200</v>
          </cell>
          <cell r="D157">
            <v>0</v>
          </cell>
          <cell r="E157" t="str">
            <v>TUBULAR RAILING AND HANGING LADDER</v>
          </cell>
          <cell r="F157">
            <v>1</v>
          </cell>
          <cell r="G157">
            <v>35339</v>
          </cell>
          <cell r="H157">
            <v>10800</v>
          </cell>
        </row>
        <row r="158">
          <cell r="A158">
            <v>3400002945</v>
          </cell>
          <cell r="B158">
            <v>5300</v>
          </cell>
          <cell r="C158">
            <v>61157</v>
          </cell>
          <cell r="D158">
            <v>0</v>
          </cell>
          <cell r="E158" t="str">
            <v>COMPRESSOR GI LINE INSTALLATION</v>
          </cell>
          <cell r="F158">
            <v>1</v>
          </cell>
          <cell r="G158">
            <v>35339</v>
          </cell>
          <cell r="H158">
            <v>80300</v>
          </cell>
        </row>
        <row r="159">
          <cell r="A159">
            <v>3400002957</v>
          </cell>
          <cell r="B159">
            <v>5300</v>
          </cell>
          <cell r="C159">
            <v>61200</v>
          </cell>
          <cell r="D159">
            <v>0</v>
          </cell>
          <cell r="E159" t="str">
            <v>WOODEN MAZENINE FLOOR</v>
          </cell>
          <cell r="F159">
            <v>1</v>
          </cell>
          <cell r="G159">
            <v>35339</v>
          </cell>
          <cell r="H159">
            <v>66600</v>
          </cell>
        </row>
        <row r="160">
          <cell r="A160">
            <v>3400002972</v>
          </cell>
          <cell r="B160">
            <v>5300</v>
          </cell>
          <cell r="C160">
            <v>61157</v>
          </cell>
          <cell r="D160">
            <v>0</v>
          </cell>
          <cell r="E160" t="str">
            <v>ALUMINIUM ALLOY TOWER EXTN LADDER</v>
          </cell>
          <cell r="F160">
            <v>1</v>
          </cell>
          <cell r="G160">
            <v>35339</v>
          </cell>
          <cell r="H160">
            <v>24900</v>
          </cell>
        </row>
        <row r="161">
          <cell r="A161">
            <v>3400003023</v>
          </cell>
          <cell r="B161">
            <v>5300</v>
          </cell>
          <cell r="C161">
            <v>61200</v>
          </cell>
          <cell r="D161">
            <v>0</v>
          </cell>
          <cell r="E161" t="str">
            <v>WOODEN FALSE CEILING</v>
          </cell>
          <cell r="F161">
            <v>1</v>
          </cell>
          <cell r="G161">
            <v>35339</v>
          </cell>
          <cell r="H161">
            <v>26900</v>
          </cell>
        </row>
        <row r="162">
          <cell r="A162">
            <v>3400003030</v>
          </cell>
          <cell r="B162">
            <v>5300</v>
          </cell>
          <cell r="C162">
            <v>61200</v>
          </cell>
          <cell r="D162">
            <v>0</v>
          </cell>
          <cell r="E162" t="str">
            <v>CG UTILIT2</v>
          </cell>
          <cell r="F162">
            <v>1</v>
          </cell>
          <cell r="G162">
            <v>35339</v>
          </cell>
          <cell r="H162">
            <v>209100</v>
          </cell>
        </row>
        <row r="163">
          <cell r="A163">
            <v>3400003031</v>
          </cell>
          <cell r="B163">
            <v>5300</v>
          </cell>
          <cell r="C163">
            <v>61102</v>
          </cell>
          <cell r="D163">
            <v>0</v>
          </cell>
          <cell r="E163" t="str">
            <v>AIR EXHAUST DUCT-PVC</v>
          </cell>
          <cell r="F163">
            <v>1</v>
          </cell>
          <cell r="G163">
            <v>35339</v>
          </cell>
          <cell r="H163">
            <v>11400</v>
          </cell>
        </row>
        <row r="164">
          <cell r="A164">
            <v>3400003203</v>
          </cell>
          <cell r="B164">
            <v>5300</v>
          </cell>
          <cell r="C164">
            <v>61200</v>
          </cell>
          <cell r="D164">
            <v>0</v>
          </cell>
          <cell r="E164" t="str">
            <v>G.I. PIPE</v>
          </cell>
          <cell r="F164">
            <v>1</v>
          </cell>
          <cell r="G164">
            <v>35339</v>
          </cell>
          <cell r="H164">
            <v>26900</v>
          </cell>
        </row>
        <row r="165">
          <cell r="A165">
            <v>3400003354</v>
          </cell>
          <cell r="B165">
            <v>5300</v>
          </cell>
          <cell r="C165">
            <v>61101</v>
          </cell>
          <cell r="D165">
            <v>0</v>
          </cell>
          <cell r="E165" t="str">
            <v>MATERIAL FOR AIR EXHAUST SYSTEM</v>
          </cell>
          <cell r="F165">
            <v>1</v>
          </cell>
          <cell r="G165">
            <v>35339</v>
          </cell>
          <cell r="H165">
            <v>52600</v>
          </cell>
        </row>
        <row r="166">
          <cell r="A166">
            <v>3400003520</v>
          </cell>
          <cell r="B166">
            <v>5300</v>
          </cell>
          <cell r="C166">
            <v>61200</v>
          </cell>
          <cell r="D166">
            <v>0</v>
          </cell>
          <cell r="E166" t="str">
            <v>SUPERSIL ALUMINIUM PARTITION &amp;PRELAMINAT</v>
          </cell>
          <cell r="F166">
            <v>1</v>
          </cell>
          <cell r="G166">
            <v>35339</v>
          </cell>
          <cell r="H166">
            <v>94600</v>
          </cell>
        </row>
        <row r="167">
          <cell r="A167">
            <v>3400003521</v>
          </cell>
          <cell r="B167">
            <v>5300</v>
          </cell>
          <cell r="C167">
            <v>61200</v>
          </cell>
          <cell r="D167">
            <v>0</v>
          </cell>
          <cell r="E167" t="str">
            <v>FALSE CEILING-PROVIDING&amp;INSTALLATION</v>
          </cell>
          <cell r="F167">
            <v>1</v>
          </cell>
          <cell r="G167">
            <v>35339</v>
          </cell>
          <cell r="H167">
            <v>1747800</v>
          </cell>
        </row>
        <row r="168">
          <cell r="A168">
            <v>3400003522</v>
          </cell>
          <cell r="B168">
            <v>5300</v>
          </cell>
          <cell r="C168">
            <v>61200</v>
          </cell>
          <cell r="D168">
            <v>0</v>
          </cell>
          <cell r="E168" t="str">
            <v>ALUMINIUM DOORS &amp; WINDOWS-INC CENTRE,AUX</v>
          </cell>
          <cell r="F168">
            <v>1</v>
          </cell>
          <cell r="G168">
            <v>35339</v>
          </cell>
          <cell r="H168">
            <v>814100</v>
          </cell>
        </row>
        <row r="169">
          <cell r="A169">
            <v>3400003524</v>
          </cell>
          <cell r="B169">
            <v>5300</v>
          </cell>
          <cell r="C169">
            <v>61200</v>
          </cell>
          <cell r="D169">
            <v>0</v>
          </cell>
          <cell r="E169" t="str">
            <v>STRENGTHENING OF WALL-AUXILLARY'A'</v>
          </cell>
          <cell r="F169">
            <v>1</v>
          </cell>
          <cell r="G169">
            <v>35339</v>
          </cell>
          <cell r="H169">
            <v>1715400</v>
          </cell>
        </row>
        <row r="170">
          <cell r="A170">
            <v>3400003525</v>
          </cell>
          <cell r="B170">
            <v>5300</v>
          </cell>
          <cell r="C170">
            <v>61200</v>
          </cell>
          <cell r="D170">
            <v>0</v>
          </cell>
          <cell r="E170" t="str">
            <v>SUPPLY AND INSTALLATION OF G.I.PIPE</v>
          </cell>
          <cell r="F170">
            <v>1</v>
          </cell>
          <cell r="G170">
            <v>35339</v>
          </cell>
          <cell r="H170">
            <v>60700</v>
          </cell>
        </row>
        <row r="171">
          <cell r="A171">
            <v>3400003526</v>
          </cell>
          <cell r="B171">
            <v>5300</v>
          </cell>
          <cell r="C171">
            <v>61200</v>
          </cell>
          <cell r="D171">
            <v>0</v>
          </cell>
          <cell r="E171" t="str">
            <v>SUPPLY 7 FITTING OF FALSE CEILING</v>
          </cell>
          <cell r="F171">
            <v>1</v>
          </cell>
          <cell r="G171">
            <v>35339</v>
          </cell>
          <cell r="H171">
            <v>55300</v>
          </cell>
        </row>
        <row r="172">
          <cell r="A172">
            <v>3400003547</v>
          </cell>
          <cell r="B172">
            <v>5300</v>
          </cell>
          <cell r="C172">
            <v>61200</v>
          </cell>
          <cell r="D172">
            <v>0</v>
          </cell>
          <cell r="E172" t="str">
            <v>ELECTRICAL FITTINGS &amp; WORK</v>
          </cell>
          <cell r="F172">
            <v>1</v>
          </cell>
          <cell r="G172">
            <v>35339</v>
          </cell>
          <cell r="H172">
            <v>3367300</v>
          </cell>
        </row>
        <row r="173">
          <cell r="A173">
            <v>3400003562</v>
          </cell>
          <cell r="B173">
            <v>5300</v>
          </cell>
          <cell r="C173">
            <v>61200</v>
          </cell>
          <cell r="D173">
            <v>0</v>
          </cell>
          <cell r="E173" t="str">
            <v>PARTITION OF MEZZANINE FLOOR DELIVERY CE</v>
          </cell>
          <cell r="F173">
            <v>1</v>
          </cell>
          <cell r="G173">
            <v>35339</v>
          </cell>
          <cell r="H173">
            <v>95910</v>
          </cell>
        </row>
        <row r="174">
          <cell r="A174">
            <v>3400003739</v>
          </cell>
          <cell r="B174">
            <v>5300</v>
          </cell>
          <cell r="C174">
            <v>61200</v>
          </cell>
          <cell r="D174">
            <v>0</v>
          </cell>
          <cell r="E174" t="str">
            <v>ANTST. FLOORING OF MEZZ.FLOOR-PACIFIC BL</v>
          </cell>
          <cell r="F174">
            <v>1</v>
          </cell>
          <cell r="G174">
            <v>35479</v>
          </cell>
          <cell r="H174">
            <v>824761.88</v>
          </cell>
        </row>
        <row r="175">
          <cell r="A175">
            <v>3400002728</v>
          </cell>
          <cell r="B175">
            <v>5301</v>
          </cell>
          <cell r="C175">
            <v>61206</v>
          </cell>
          <cell r="D175">
            <v>0</v>
          </cell>
          <cell r="E175" t="str">
            <v>INVERTER &amp; BATTERIES</v>
          </cell>
          <cell r="F175">
            <v>1</v>
          </cell>
          <cell r="G175">
            <v>35339</v>
          </cell>
          <cell r="H175">
            <v>6700</v>
          </cell>
        </row>
        <row r="176">
          <cell r="A176">
            <v>3400002729</v>
          </cell>
          <cell r="B176">
            <v>5301</v>
          </cell>
          <cell r="C176">
            <v>61206</v>
          </cell>
          <cell r="D176">
            <v>0</v>
          </cell>
          <cell r="E176" t="str">
            <v>INVERTER &amp; BATTERIES</v>
          </cell>
          <cell r="F176">
            <v>1</v>
          </cell>
          <cell r="G176">
            <v>35339</v>
          </cell>
          <cell r="H176">
            <v>6700</v>
          </cell>
        </row>
        <row r="177">
          <cell r="A177">
            <v>3400002730</v>
          </cell>
          <cell r="B177">
            <v>5301</v>
          </cell>
          <cell r="C177">
            <v>61206</v>
          </cell>
          <cell r="D177">
            <v>0</v>
          </cell>
          <cell r="E177" t="str">
            <v>INVERTOR &amp; BATTERIES</v>
          </cell>
          <cell r="F177">
            <v>1</v>
          </cell>
          <cell r="G177">
            <v>35339</v>
          </cell>
          <cell r="H177">
            <v>6700</v>
          </cell>
        </row>
        <row r="178">
          <cell r="A178">
            <v>3400002731</v>
          </cell>
          <cell r="B178">
            <v>5301</v>
          </cell>
          <cell r="C178">
            <v>61206</v>
          </cell>
          <cell r="D178">
            <v>0</v>
          </cell>
          <cell r="E178" t="str">
            <v>INVERTER &amp; BATTERIES</v>
          </cell>
          <cell r="F178">
            <v>1</v>
          </cell>
          <cell r="G178">
            <v>35339</v>
          </cell>
          <cell r="H178">
            <v>6100</v>
          </cell>
        </row>
        <row r="179">
          <cell r="A179">
            <v>3400002732</v>
          </cell>
          <cell r="B179">
            <v>5301</v>
          </cell>
          <cell r="C179">
            <v>61206</v>
          </cell>
          <cell r="D179">
            <v>0</v>
          </cell>
          <cell r="E179" t="str">
            <v>INVERTOR &amp; BATTERIES</v>
          </cell>
          <cell r="F179">
            <v>1</v>
          </cell>
          <cell r="G179">
            <v>35339</v>
          </cell>
          <cell r="H179">
            <v>6100</v>
          </cell>
        </row>
        <row r="180">
          <cell r="A180">
            <v>3400002733</v>
          </cell>
          <cell r="B180">
            <v>5301</v>
          </cell>
          <cell r="C180">
            <v>61206</v>
          </cell>
          <cell r="D180">
            <v>0</v>
          </cell>
          <cell r="E180" t="str">
            <v>INVERTOR &amp; BATTERIES</v>
          </cell>
          <cell r="F180">
            <v>1</v>
          </cell>
          <cell r="G180">
            <v>35339</v>
          </cell>
          <cell r="H180">
            <v>6100</v>
          </cell>
        </row>
        <row r="181">
          <cell r="A181">
            <v>3400002735</v>
          </cell>
          <cell r="B181">
            <v>5301</v>
          </cell>
          <cell r="C181">
            <v>61206</v>
          </cell>
          <cell r="D181">
            <v>0</v>
          </cell>
          <cell r="E181" t="str">
            <v>INVERTORS &amp; BATTERIES</v>
          </cell>
          <cell r="F181">
            <v>1</v>
          </cell>
          <cell r="G181">
            <v>35339</v>
          </cell>
          <cell r="H181">
            <v>6800</v>
          </cell>
        </row>
        <row r="182">
          <cell r="A182">
            <v>3400002737</v>
          </cell>
          <cell r="B182">
            <v>5301</v>
          </cell>
          <cell r="C182">
            <v>61200</v>
          </cell>
          <cell r="D182">
            <v>0</v>
          </cell>
          <cell r="E182" t="str">
            <v>TRANSFORMER</v>
          </cell>
          <cell r="F182">
            <v>1</v>
          </cell>
          <cell r="G182">
            <v>35339</v>
          </cell>
          <cell r="H182">
            <v>322800</v>
          </cell>
        </row>
        <row r="183">
          <cell r="A183">
            <v>3400002740</v>
          </cell>
          <cell r="B183">
            <v>5301</v>
          </cell>
          <cell r="C183">
            <v>61157</v>
          </cell>
          <cell r="D183">
            <v>0</v>
          </cell>
          <cell r="E183" t="str">
            <v>UNINTERRUPTED POWER SUPPLY</v>
          </cell>
          <cell r="F183">
            <v>1</v>
          </cell>
          <cell r="G183">
            <v>35339</v>
          </cell>
          <cell r="H183">
            <v>157100</v>
          </cell>
        </row>
        <row r="184">
          <cell r="A184">
            <v>3400002913</v>
          </cell>
          <cell r="B184">
            <v>5301</v>
          </cell>
          <cell r="C184">
            <v>61115</v>
          </cell>
          <cell r="D184">
            <v>0</v>
          </cell>
          <cell r="E184" t="str">
            <v>ELECT  INSTL.  FOR  BUR-IN  CHAMBER  - H</v>
          </cell>
          <cell r="F184">
            <v>1</v>
          </cell>
          <cell r="G184">
            <v>35339</v>
          </cell>
          <cell r="H184">
            <v>98600</v>
          </cell>
        </row>
        <row r="185">
          <cell r="A185">
            <v>3400002913</v>
          </cell>
          <cell r="B185">
            <v>5301</v>
          </cell>
          <cell r="C185">
            <v>61115</v>
          </cell>
          <cell r="D185">
            <v>1</v>
          </cell>
          <cell r="E185" t="str">
            <v>SERVICE CHARGES FOR INSTALLATION</v>
          </cell>
          <cell r="F185">
            <v>1</v>
          </cell>
          <cell r="G185">
            <v>35339</v>
          </cell>
          <cell r="H185">
            <v>7000</v>
          </cell>
        </row>
        <row r="186">
          <cell r="A186">
            <v>3400002987</v>
          </cell>
          <cell r="B186">
            <v>5301</v>
          </cell>
          <cell r="C186">
            <v>61203</v>
          </cell>
          <cell r="D186">
            <v>0</v>
          </cell>
          <cell r="E186" t="str">
            <v>TONER ,STARTER, VOLTAGE STABILISER</v>
          </cell>
          <cell r="F186">
            <v>1</v>
          </cell>
          <cell r="G186">
            <v>35339</v>
          </cell>
          <cell r="H186">
            <v>4700</v>
          </cell>
        </row>
        <row r="187">
          <cell r="A187">
            <v>3400002988</v>
          </cell>
          <cell r="B187">
            <v>5301</v>
          </cell>
          <cell r="C187">
            <v>61203</v>
          </cell>
          <cell r="D187">
            <v>0</v>
          </cell>
          <cell r="E187" t="str">
            <v>MINOLTA EP 1050 ELECTRONIC PAPER COPIER</v>
          </cell>
          <cell r="F187">
            <v>1</v>
          </cell>
          <cell r="G187">
            <v>35339</v>
          </cell>
          <cell r="H187">
            <v>83600</v>
          </cell>
        </row>
        <row r="188">
          <cell r="A188">
            <v>3400003009</v>
          </cell>
          <cell r="B188">
            <v>5301</v>
          </cell>
          <cell r="C188">
            <v>61118</v>
          </cell>
          <cell r="D188">
            <v>0</v>
          </cell>
          <cell r="E188" t="str">
            <v>AARTI ,BATTERY CHARGER</v>
          </cell>
          <cell r="F188">
            <v>1</v>
          </cell>
          <cell r="G188">
            <v>35339</v>
          </cell>
          <cell r="H188">
            <v>11300</v>
          </cell>
        </row>
        <row r="189">
          <cell r="A189">
            <v>3400003201</v>
          </cell>
          <cell r="B189">
            <v>5301</v>
          </cell>
          <cell r="C189">
            <v>61158</v>
          </cell>
          <cell r="D189">
            <v>0</v>
          </cell>
          <cell r="E189" t="str">
            <v>UPS 2KVA</v>
          </cell>
          <cell r="F189">
            <v>1</v>
          </cell>
          <cell r="G189">
            <v>35339</v>
          </cell>
          <cell r="H189">
            <v>87400</v>
          </cell>
        </row>
        <row r="190">
          <cell r="A190">
            <v>3400003293</v>
          </cell>
          <cell r="B190">
            <v>5301</v>
          </cell>
          <cell r="C190">
            <v>61157</v>
          </cell>
          <cell r="D190">
            <v>0</v>
          </cell>
          <cell r="E190" t="str">
            <v>PVC WIRE ,6/16 SWITCH SOCKET ETC</v>
          </cell>
          <cell r="F190">
            <v>1</v>
          </cell>
          <cell r="G190">
            <v>35339</v>
          </cell>
          <cell r="H190">
            <v>3700</v>
          </cell>
        </row>
        <row r="191">
          <cell r="A191">
            <v>3400003312</v>
          </cell>
          <cell r="B191">
            <v>5301</v>
          </cell>
          <cell r="C191">
            <v>61116</v>
          </cell>
          <cell r="D191">
            <v>0</v>
          </cell>
          <cell r="E191" t="str">
            <v>CUSTOM BUILT POWER SUPPLY(APLAB)</v>
          </cell>
          <cell r="F191">
            <v>1</v>
          </cell>
          <cell r="G191">
            <v>35339</v>
          </cell>
          <cell r="H191">
            <v>92400</v>
          </cell>
        </row>
        <row r="192">
          <cell r="A192">
            <v>3400003313</v>
          </cell>
          <cell r="B192">
            <v>5301</v>
          </cell>
          <cell r="C192">
            <v>61116</v>
          </cell>
          <cell r="D192">
            <v>0</v>
          </cell>
          <cell r="E192" t="str">
            <v>CUSTOM BUILT POWER SUPPLY(APLAB)</v>
          </cell>
          <cell r="F192">
            <v>1</v>
          </cell>
          <cell r="G192">
            <v>35339</v>
          </cell>
          <cell r="H192">
            <v>92400</v>
          </cell>
        </row>
        <row r="193">
          <cell r="A193">
            <v>3400003314</v>
          </cell>
          <cell r="B193">
            <v>5301</v>
          </cell>
          <cell r="C193">
            <v>61116</v>
          </cell>
          <cell r="D193">
            <v>0</v>
          </cell>
          <cell r="E193" t="str">
            <v>CUSTOM BUILT POWER SUPPLY(APLAB)</v>
          </cell>
          <cell r="F193">
            <v>1</v>
          </cell>
          <cell r="G193">
            <v>35339</v>
          </cell>
          <cell r="H193">
            <v>92400</v>
          </cell>
        </row>
        <row r="194">
          <cell r="A194">
            <v>3400003353</v>
          </cell>
          <cell r="B194">
            <v>5301</v>
          </cell>
          <cell r="C194">
            <v>61102</v>
          </cell>
          <cell r="D194">
            <v>0</v>
          </cell>
          <cell r="E194" t="str">
            <v>ANTISTATIC DESOLDERING STATION</v>
          </cell>
          <cell r="F194">
            <v>1</v>
          </cell>
          <cell r="G194">
            <v>35339</v>
          </cell>
          <cell r="H194">
            <v>56800</v>
          </cell>
        </row>
        <row r="195">
          <cell r="A195">
            <v>3400003530</v>
          </cell>
          <cell r="B195">
            <v>5301</v>
          </cell>
          <cell r="C195">
            <v>61161</v>
          </cell>
          <cell r="D195">
            <v>0</v>
          </cell>
          <cell r="E195" t="str">
            <v>SERVICE COUNTER WITH BAIN MARIE &amp;LABOUR</v>
          </cell>
          <cell r="F195">
            <v>1</v>
          </cell>
          <cell r="G195">
            <v>35339</v>
          </cell>
          <cell r="H195">
            <v>90100</v>
          </cell>
        </row>
        <row r="196">
          <cell r="A196">
            <v>3400003544</v>
          </cell>
          <cell r="B196">
            <v>5301</v>
          </cell>
          <cell r="C196">
            <v>61157</v>
          </cell>
          <cell r="D196">
            <v>0</v>
          </cell>
          <cell r="E196" t="str">
            <v>GA-22 7.5 BAR UPGRADED</v>
          </cell>
          <cell r="F196">
            <v>1</v>
          </cell>
          <cell r="G196">
            <v>35339</v>
          </cell>
          <cell r="H196">
            <v>238900</v>
          </cell>
        </row>
        <row r="197">
          <cell r="A197">
            <v>3400003545</v>
          </cell>
          <cell r="B197">
            <v>5301</v>
          </cell>
          <cell r="C197">
            <v>61157</v>
          </cell>
          <cell r="D197">
            <v>0</v>
          </cell>
          <cell r="E197" t="str">
            <v>AIR RECEIVER 1.0 M3</v>
          </cell>
          <cell r="F197">
            <v>1</v>
          </cell>
          <cell r="G197">
            <v>35339</v>
          </cell>
          <cell r="H197">
            <v>31200</v>
          </cell>
        </row>
        <row r="198">
          <cell r="A198">
            <v>3400003546</v>
          </cell>
          <cell r="B198">
            <v>5301</v>
          </cell>
          <cell r="C198">
            <v>61157</v>
          </cell>
          <cell r="D198">
            <v>0</v>
          </cell>
          <cell r="E198" t="str">
            <v>AIR DRYER FD 100</v>
          </cell>
          <cell r="F198">
            <v>1</v>
          </cell>
          <cell r="G198">
            <v>35339</v>
          </cell>
          <cell r="H198">
            <v>166000</v>
          </cell>
        </row>
        <row r="199">
          <cell r="A199">
            <v>3400003919</v>
          </cell>
          <cell r="B199">
            <v>5301</v>
          </cell>
          <cell r="C199">
            <v>61116</v>
          </cell>
          <cell r="D199">
            <v>0</v>
          </cell>
          <cell r="E199" t="str">
            <v>ELECTRICAL INSTALLATION ON SHOP FLOOR</v>
          </cell>
          <cell r="F199">
            <v>1</v>
          </cell>
          <cell r="G199">
            <v>35339</v>
          </cell>
          <cell r="H199">
            <v>100000</v>
          </cell>
        </row>
        <row r="200">
          <cell r="A200">
            <v>3400003923</v>
          </cell>
          <cell r="B200">
            <v>5301</v>
          </cell>
          <cell r="C200">
            <v>61200</v>
          </cell>
          <cell r="D200">
            <v>0</v>
          </cell>
          <cell r="E200" t="str">
            <v>ELECTRICAL INSTALLATION ON SHOP FLOOR</v>
          </cell>
          <cell r="F200">
            <v>1</v>
          </cell>
          <cell r="G200">
            <v>35339</v>
          </cell>
          <cell r="H200">
            <v>54900</v>
          </cell>
        </row>
        <row r="201">
          <cell r="A201">
            <v>3400004433</v>
          </cell>
          <cell r="B201">
            <v>5301</v>
          </cell>
          <cell r="C201">
            <v>61116</v>
          </cell>
          <cell r="D201">
            <v>0</v>
          </cell>
          <cell r="E201" t="str">
            <v>APLAB CV/CL DC REGULATED POWER SUPP 7116</v>
          </cell>
          <cell r="F201">
            <v>1</v>
          </cell>
          <cell r="G201">
            <v>35339</v>
          </cell>
          <cell r="H201">
            <v>2800</v>
          </cell>
        </row>
        <row r="202">
          <cell r="A202">
            <v>3400004434</v>
          </cell>
          <cell r="B202">
            <v>5301</v>
          </cell>
          <cell r="C202">
            <v>61116</v>
          </cell>
          <cell r="D202">
            <v>0</v>
          </cell>
          <cell r="E202" t="str">
            <v>APLAB CV/CC BENCH DC REGULATED P SUP7235</v>
          </cell>
          <cell r="F202">
            <v>1</v>
          </cell>
          <cell r="G202">
            <v>35339</v>
          </cell>
          <cell r="H202">
            <v>11700</v>
          </cell>
        </row>
        <row r="203">
          <cell r="A203">
            <v>3400004452</v>
          </cell>
          <cell r="B203">
            <v>5301</v>
          </cell>
          <cell r="C203">
            <v>61157</v>
          </cell>
          <cell r="D203">
            <v>0</v>
          </cell>
          <cell r="E203" t="str">
            <v>SIEMENS MAKE 40KVA UPS</v>
          </cell>
          <cell r="F203">
            <v>1</v>
          </cell>
          <cell r="G203">
            <v>35339</v>
          </cell>
          <cell r="H203">
            <v>366800</v>
          </cell>
        </row>
        <row r="204">
          <cell r="A204">
            <v>3400004452</v>
          </cell>
          <cell r="B204">
            <v>5301</v>
          </cell>
          <cell r="C204">
            <v>61157</v>
          </cell>
          <cell r="D204">
            <v>1</v>
          </cell>
          <cell r="E204" t="str">
            <v>COMMISSIONING CHARGES OF UPS SYSTEM</v>
          </cell>
          <cell r="F204">
            <v>1</v>
          </cell>
          <cell r="G204">
            <v>35339</v>
          </cell>
          <cell r="H204">
            <v>1000</v>
          </cell>
        </row>
        <row r="205">
          <cell r="A205">
            <v>3400004454</v>
          </cell>
          <cell r="B205">
            <v>5301</v>
          </cell>
          <cell r="C205">
            <v>61153</v>
          </cell>
          <cell r="D205">
            <v>0</v>
          </cell>
          <cell r="E205" t="str">
            <v>ELECTRICAL INSTALLATION RUAD AREA</v>
          </cell>
          <cell r="F205">
            <v>1</v>
          </cell>
          <cell r="G205">
            <v>35339</v>
          </cell>
          <cell r="H205">
            <v>83900</v>
          </cell>
        </row>
        <row r="206">
          <cell r="A206">
            <v>3400003770</v>
          </cell>
          <cell r="B206">
            <v>5301</v>
          </cell>
          <cell r="C206">
            <v>61115</v>
          </cell>
          <cell r="D206">
            <v>0</v>
          </cell>
          <cell r="E206" t="str">
            <v>RUN IN CHAMBER-LABOUR CHARGES &amp; OVERHEAD</v>
          </cell>
          <cell r="F206">
            <v>1</v>
          </cell>
          <cell r="G206">
            <v>35509</v>
          </cell>
          <cell r="H206">
            <v>43400</v>
          </cell>
        </row>
        <row r="207">
          <cell r="A207">
            <v>3400003772</v>
          </cell>
          <cell r="B207">
            <v>5301</v>
          </cell>
          <cell r="C207">
            <v>61157</v>
          </cell>
          <cell r="D207">
            <v>0</v>
          </cell>
          <cell r="E207" t="str">
            <v>360V TV 200H CELLS-COST OF CHARGING</v>
          </cell>
          <cell r="F207">
            <v>1</v>
          </cell>
          <cell r="G207">
            <v>35509</v>
          </cell>
          <cell r="H207">
            <v>10800</v>
          </cell>
        </row>
        <row r="208">
          <cell r="A208">
            <v>3400003773</v>
          </cell>
          <cell r="B208">
            <v>5301</v>
          </cell>
          <cell r="C208">
            <v>61157</v>
          </cell>
          <cell r="D208">
            <v>0</v>
          </cell>
          <cell r="E208" t="str">
            <v>360V BATTERY WITH 180TV CELLS&amp;ACCESSORIE</v>
          </cell>
          <cell r="F208">
            <v>1</v>
          </cell>
          <cell r="G208">
            <v>35510</v>
          </cell>
          <cell r="H208">
            <v>460421</v>
          </cell>
        </row>
        <row r="209">
          <cell r="A209">
            <v>3400003782</v>
          </cell>
          <cell r="B209">
            <v>5301</v>
          </cell>
          <cell r="C209">
            <v>61157</v>
          </cell>
          <cell r="D209">
            <v>0</v>
          </cell>
          <cell r="E209" t="str">
            <v>CUSTOM BUILT SWITCH MODE POWER SUPPLY</v>
          </cell>
          <cell r="F209">
            <v>1</v>
          </cell>
          <cell r="G209">
            <v>35510</v>
          </cell>
          <cell r="H209">
            <v>40040</v>
          </cell>
        </row>
        <row r="210">
          <cell r="A210">
            <v>3400003790</v>
          </cell>
          <cell r="B210">
            <v>5301</v>
          </cell>
          <cell r="C210">
            <v>61200</v>
          </cell>
          <cell r="D210">
            <v>0</v>
          </cell>
          <cell r="E210" t="str">
            <v>Electric Works Phase III + Mezz floor</v>
          </cell>
          <cell r="F210">
            <v>1</v>
          </cell>
          <cell r="G210">
            <v>35520</v>
          </cell>
          <cell r="H210">
            <v>1681868.4</v>
          </cell>
        </row>
        <row r="211">
          <cell r="A211">
            <v>3400002472</v>
          </cell>
          <cell r="B211">
            <v>5302</v>
          </cell>
          <cell r="C211">
            <v>61203</v>
          </cell>
          <cell r="D211">
            <v>0</v>
          </cell>
          <cell r="E211" t="str">
            <v>VOLTAS CRYSTAL ROOM AIRCOND 136327</v>
          </cell>
          <cell r="F211">
            <v>1</v>
          </cell>
          <cell r="G211">
            <v>35339</v>
          </cell>
          <cell r="H211">
            <v>1</v>
          </cell>
        </row>
        <row r="212">
          <cell r="A212">
            <v>3400002720</v>
          </cell>
          <cell r="B212">
            <v>5302</v>
          </cell>
          <cell r="C212">
            <v>61200</v>
          </cell>
          <cell r="D212">
            <v>0</v>
          </cell>
          <cell r="E212" t="str">
            <v>AIR CONDITIONER</v>
          </cell>
          <cell r="F212">
            <v>1</v>
          </cell>
          <cell r="G212">
            <v>35339</v>
          </cell>
          <cell r="H212">
            <v>14900</v>
          </cell>
        </row>
        <row r="213">
          <cell r="A213">
            <v>3400002721</v>
          </cell>
          <cell r="B213">
            <v>5302</v>
          </cell>
          <cell r="C213">
            <v>61200</v>
          </cell>
          <cell r="D213">
            <v>0</v>
          </cell>
          <cell r="E213" t="str">
            <v>AIR CONDITIONER</v>
          </cell>
          <cell r="F213">
            <v>1</v>
          </cell>
          <cell r="G213">
            <v>35339</v>
          </cell>
          <cell r="H213">
            <v>16000</v>
          </cell>
        </row>
        <row r="214">
          <cell r="A214">
            <v>3400002722</v>
          </cell>
          <cell r="B214">
            <v>5302</v>
          </cell>
          <cell r="C214">
            <v>61200</v>
          </cell>
          <cell r="D214">
            <v>0</v>
          </cell>
          <cell r="E214" t="str">
            <v>AIR CONDITIONER</v>
          </cell>
          <cell r="F214">
            <v>1</v>
          </cell>
          <cell r="G214">
            <v>35339</v>
          </cell>
          <cell r="H214">
            <v>16000</v>
          </cell>
        </row>
        <row r="215">
          <cell r="A215">
            <v>3400002723</v>
          </cell>
          <cell r="B215">
            <v>5302</v>
          </cell>
          <cell r="C215">
            <v>61200</v>
          </cell>
          <cell r="D215">
            <v>0</v>
          </cell>
          <cell r="E215" t="str">
            <v>AIR CONDITIONING PLANT</v>
          </cell>
          <cell r="F215">
            <v>1</v>
          </cell>
          <cell r="G215">
            <v>35339</v>
          </cell>
          <cell r="H215">
            <v>2255700</v>
          </cell>
        </row>
        <row r="216">
          <cell r="A216">
            <v>3400002724</v>
          </cell>
          <cell r="B216">
            <v>5302</v>
          </cell>
          <cell r="C216">
            <v>61200</v>
          </cell>
          <cell r="D216">
            <v>0</v>
          </cell>
          <cell r="E216" t="str">
            <v>AIR CONDITIONERS SPLIT</v>
          </cell>
          <cell r="F216">
            <v>1</v>
          </cell>
          <cell r="G216">
            <v>35339</v>
          </cell>
          <cell r="H216">
            <v>28100</v>
          </cell>
        </row>
        <row r="217">
          <cell r="A217">
            <v>3400002725</v>
          </cell>
          <cell r="B217">
            <v>5302</v>
          </cell>
          <cell r="C217">
            <v>61200</v>
          </cell>
          <cell r="D217">
            <v>0</v>
          </cell>
          <cell r="E217" t="str">
            <v>AIR CONDITIONERS SPLIT</v>
          </cell>
          <cell r="F217">
            <v>1</v>
          </cell>
          <cell r="G217">
            <v>35339</v>
          </cell>
          <cell r="H217">
            <v>28100</v>
          </cell>
        </row>
        <row r="218">
          <cell r="A218">
            <v>3400002726</v>
          </cell>
          <cell r="B218">
            <v>5302</v>
          </cell>
          <cell r="C218">
            <v>61200</v>
          </cell>
          <cell r="D218">
            <v>0</v>
          </cell>
          <cell r="E218" t="str">
            <v>AIR CONDITIONERS SPLIT</v>
          </cell>
          <cell r="F218">
            <v>1</v>
          </cell>
          <cell r="G218">
            <v>35339</v>
          </cell>
          <cell r="H218">
            <v>28100</v>
          </cell>
        </row>
        <row r="219">
          <cell r="A219">
            <v>3400002727</v>
          </cell>
          <cell r="B219">
            <v>5302</v>
          </cell>
          <cell r="C219">
            <v>61200</v>
          </cell>
          <cell r="D219">
            <v>0</v>
          </cell>
          <cell r="E219" t="str">
            <v>AIR CONDITIONERS SPLIT</v>
          </cell>
          <cell r="F219">
            <v>1</v>
          </cell>
          <cell r="G219">
            <v>35339</v>
          </cell>
          <cell r="H219">
            <v>28100</v>
          </cell>
        </row>
        <row r="220">
          <cell r="A220">
            <v>3400002916</v>
          </cell>
          <cell r="B220">
            <v>5302</v>
          </cell>
          <cell r="C220">
            <v>61162</v>
          </cell>
          <cell r="D220">
            <v>0</v>
          </cell>
          <cell r="E220" t="str">
            <v>3TON  VOLTAS SLIMLINE A.C.</v>
          </cell>
          <cell r="F220">
            <v>1</v>
          </cell>
          <cell r="G220">
            <v>35339</v>
          </cell>
          <cell r="H220">
            <v>65300</v>
          </cell>
        </row>
        <row r="221">
          <cell r="A221">
            <v>3400002917</v>
          </cell>
          <cell r="B221">
            <v>5302</v>
          </cell>
          <cell r="C221">
            <v>61162</v>
          </cell>
          <cell r="D221">
            <v>0</v>
          </cell>
          <cell r="E221" t="str">
            <v>3TON  VOLTAS SLIMLINE A.C.</v>
          </cell>
          <cell r="F221">
            <v>1</v>
          </cell>
          <cell r="G221">
            <v>35339</v>
          </cell>
          <cell r="H221">
            <v>65300</v>
          </cell>
        </row>
        <row r="222">
          <cell r="A222">
            <v>3400002918</v>
          </cell>
          <cell r="B222">
            <v>5302</v>
          </cell>
          <cell r="C222">
            <v>61162</v>
          </cell>
          <cell r="D222">
            <v>0</v>
          </cell>
          <cell r="E222" t="str">
            <v>3TON  VOLTAS SLIMLINE A.C.</v>
          </cell>
          <cell r="F222">
            <v>1</v>
          </cell>
          <cell r="G222">
            <v>35339</v>
          </cell>
          <cell r="H222">
            <v>65300</v>
          </cell>
        </row>
        <row r="223">
          <cell r="A223">
            <v>3400002919</v>
          </cell>
          <cell r="B223">
            <v>5302</v>
          </cell>
          <cell r="C223">
            <v>61162</v>
          </cell>
          <cell r="D223">
            <v>0</v>
          </cell>
          <cell r="E223" t="str">
            <v>3TON  VOLTAS SLIMLINE A.C.</v>
          </cell>
          <cell r="F223">
            <v>1</v>
          </cell>
          <cell r="G223">
            <v>35339</v>
          </cell>
          <cell r="H223">
            <v>65300</v>
          </cell>
        </row>
        <row r="224">
          <cell r="A224">
            <v>3400002920</v>
          </cell>
          <cell r="B224">
            <v>5302</v>
          </cell>
          <cell r="C224">
            <v>61162</v>
          </cell>
          <cell r="D224">
            <v>0</v>
          </cell>
          <cell r="E224" t="str">
            <v>3TON  VOLTAS SLIMLINE A.C.</v>
          </cell>
          <cell r="F224">
            <v>1</v>
          </cell>
          <cell r="G224">
            <v>35339</v>
          </cell>
          <cell r="H224">
            <v>65300</v>
          </cell>
        </row>
        <row r="225">
          <cell r="A225">
            <v>3400002921</v>
          </cell>
          <cell r="B225">
            <v>5302</v>
          </cell>
          <cell r="C225">
            <v>61102</v>
          </cell>
          <cell r="D225">
            <v>0</v>
          </cell>
          <cell r="E225" t="str">
            <v>BPL 185  DOUBLE DOOR  REFRIGERATOR  WHIT</v>
          </cell>
          <cell r="F225">
            <v>1</v>
          </cell>
          <cell r="G225">
            <v>35339</v>
          </cell>
          <cell r="H225">
            <v>11300</v>
          </cell>
        </row>
        <row r="226">
          <cell r="A226">
            <v>3400002974</v>
          </cell>
          <cell r="B226">
            <v>5302</v>
          </cell>
          <cell r="C226">
            <v>61200</v>
          </cell>
          <cell r="D226">
            <v>0</v>
          </cell>
          <cell r="E226" t="str">
            <v>SPLIT AIR CONDITIONER</v>
          </cell>
          <cell r="F226">
            <v>1</v>
          </cell>
          <cell r="G226">
            <v>35339</v>
          </cell>
          <cell r="H226">
            <v>38300</v>
          </cell>
        </row>
        <row r="227">
          <cell r="A227">
            <v>3400002975</v>
          </cell>
          <cell r="B227">
            <v>5302</v>
          </cell>
          <cell r="C227">
            <v>61200</v>
          </cell>
          <cell r="D227">
            <v>0</v>
          </cell>
          <cell r="E227" t="str">
            <v>SPLIT AIR CONDITIONER</v>
          </cell>
          <cell r="F227">
            <v>1</v>
          </cell>
          <cell r="G227">
            <v>35339</v>
          </cell>
          <cell r="H227">
            <v>38300</v>
          </cell>
        </row>
        <row r="228">
          <cell r="A228">
            <v>3400002976</v>
          </cell>
          <cell r="B228">
            <v>5302</v>
          </cell>
          <cell r="C228">
            <v>61200</v>
          </cell>
          <cell r="D228">
            <v>0</v>
          </cell>
          <cell r="E228" t="str">
            <v>SPLIT AIR CONDITIONER</v>
          </cell>
          <cell r="F228">
            <v>1</v>
          </cell>
          <cell r="G228">
            <v>35339</v>
          </cell>
          <cell r="H228">
            <v>38300</v>
          </cell>
        </row>
        <row r="229">
          <cell r="A229">
            <v>3400002977</v>
          </cell>
          <cell r="B229">
            <v>5302</v>
          </cell>
          <cell r="C229">
            <v>61200</v>
          </cell>
          <cell r="D229">
            <v>0</v>
          </cell>
          <cell r="E229" t="str">
            <v>SPLIT AIR CONDITIONER</v>
          </cell>
          <cell r="F229">
            <v>1</v>
          </cell>
          <cell r="G229">
            <v>35339</v>
          </cell>
          <cell r="H229">
            <v>38300</v>
          </cell>
        </row>
        <row r="230">
          <cell r="A230">
            <v>3400002978</v>
          </cell>
          <cell r="B230">
            <v>5302</v>
          </cell>
          <cell r="C230">
            <v>61200</v>
          </cell>
          <cell r="D230">
            <v>0</v>
          </cell>
          <cell r="E230" t="str">
            <v>SPLIT AIR CONDITIONER</v>
          </cell>
          <cell r="F230">
            <v>1</v>
          </cell>
          <cell r="G230">
            <v>35339</v>
          </cell>
          <cell r="H230">
            <v>38300</v>
          </cell>
        </row>
        <row r="231">
          <cell r="A231">
            <v>3400002979</v>
          </cell>
          <cell r="B231">
            <v>5302</v>
          </cell>
          <cell r="C231">
            <v>61200</v>
          </cell>
          <cell r="D231">
            <v>0</v>
          </cell>
          <cell r="E231" t="str">
            <v>SPLIT AIR CONDITIONER</v>
          </cell>
          <cell r="F231">
            <v>1</v>
          </cell>
          <cell r="G231">
            <v>35339</v>
          </cell>
          <cell r="H231">
            <v>38300</v>
          </cell>
        </row>
        <row r="232">
          <cell r="A232">
            <v>3400002980</v>
          </cell>
          <cell r="B232">
            <v>5302</v>
          </cell>
          <cell r="C232">
            <v>61200</v>
          </cell>
          <cell r="D232">
            <v>0</v>
          </cell>
          <cell r="E232" t="str">
            <v>SPLIT AIR CONDITIONER</v>
          </cell>
          <cell r="F232">
            <v>1</v>
          </cell>
          <cell r="G232">
            <v>35339</v>
          </cell>
          <cell r="H232">
            <v>38300</v>
          </cell>
        </row>
        <row r="233">
          <cell r="A233">
            <v>3400003179</v>
          </cell>
          <cell r="B233">
            <v>5302</v>
          </cell>
          <cell r="C233">
            <v>61162</v>
          </cell>
          <cell r="D233">
            <v>0</v>
          </cell>
          <cell r="E233" t="str">
            <v>VIDEOCON A.C</v>
          </cell>
          <cell r="F233">
            <v>1</v>
          </cell>
          <cell r="G233">
            <v>35339</v>
          </cell>
          <cell r="H233">
            <v>49100</v>
          </cell>
        </row>
        <row r="234">
          <cell r="A234">
            <v>3400003180</v>
          </cell>
          <cell r="B234">
            <v>5302</v>
          </cell>
          <cell r="C234">
            <v>61162</v>
          </cell>
          <cell r="D234">
            <v>0</v>
          </cell>
          <cell r="E234" t="str">
            <v>VIDEOCON A.C</v>
          </cell>
          <cell r="F234">
            <v>1</v>
          </cell>
          <cell r="G234">
            <v>35339</v>
          </cell>
          <cell r="H234">
            <v>49100</v>
          </cell>
        </row>
        <row r="235">
          <cell r="A235">
            <v>3400003181</v>
          </cell>
          <cell r="B235">
            <v>5302</v>
          </cell>
          <cell r="C235">
            <v>61162</v>
          </cell>
          <cell r="D235">
            <v>0</v>
          </cell>
          <cell r="E235" t="str">
            <v>VIDEOCON A.C</v>
          </cell>
          <cell r="F235">
            <v>1</v>
          </cell>
          <cell r="G235">
            <v>35339</v>
          </cell>
          <cell r="H235">
            <v>49100</v>
          </cell>
        </row>
        <row r="236">
          <cell r="A236">
            <v>3400003184</v>
          </cell>
          <cell r="B236">
            <v>5302</v>
          </cell>
          <cell r="C236">
            <v>61162</v>
          </cell>
          <cell r="D236">
            <v>0</v>
          </cell>
          <cell r="E236" t="str">
            <v>GODREJ COLD GOLD REFG  100LTS</v>
          </cell>
          <cell r="F236">
            <v>1</v>
          </cell>
          <cell r="G236">
            <v>35339</v>
          </cell>
          <cell r="H236">
            <v>6000</v>
          </cell>
        </row>
        <row r="237">
          <cell r="A237">
            <v>3400003325</v>
          </cell>
          <cell r="B237">
            <v>5302</v>
          </cell>
          <cell r="C237">
            <v>61162</v>
          </cell>
          <cell r="D237">
            <v>0</v>
          </cell>
          <cell r="E237" t="str">
            <v>VIDEOCON A.C. RC-15E</v>
          </cell>
          <cell r="F237">
            <v>1</v>
          </cell>
          <cell r="G237">
            <v>35339</v>
          </cell>
          <cell r="H237">
            <v>27600</v>
          </cell>
        </row>
        <row r="238">
          <cell r="A238">
            <v>3400003326</v>
          </cell>
          <cell r="B238">
            <v>5302</v>
          </cell>
          <cell r="C238">
            <v>61162</v>
          </cell>
          <cell r="D238">
            <v>0</v>
          </cell>
          <cell r="E238" t="str">
            <v>VIDEOCON A.C. RC-15E</v>
          </cell>
          <cell r="F238">
            <v>1</v>
          </cell>
          <cell r="G238">
            <v>35339</v>
          </cell>
          <cell r="H238">
            <v>27600</v>
          </cell>
        </row>
        <row r="239">
          <cell r="A239">
            <v>3400003518</v>
          </cell>
          <cell r="B239">
            <v>5302</v>
          </cell>
          <cell r="C239">
            <v>61200</v>
          </cell>
          <cell r="D239">
            <v>0</v>
          </cell>
          <cell r="E239" t="str">
            <v>AIR CONDITIONING PLANT FOR PHASE 2</v>
          </cell>
          <cell r="F239">
            <v>1</v>
          </cell>
          <cell r="G239">
            <v>35339</v>
          </cell>
          <cell r="H239">
            <v>1566500</v>
          </cell>
        </row>
        <row r="240">
          <cell r="A240">
            <v>3400003519</v>
          </cell>
          <cell r="B240">
            <v>5302</v>
          </cell>
          <cell r="C240">
            <v>61200</v>
          </cell>
          <cell r="D240">
            <v>0</v>
          </cell>
          <cell r="E240" t="str">
            <v>RELOCATION-COOLING TOWER</v>
          </cell>
          <cell r="F240">
            <v>1</v>
          </cell>
          <cell r="G240">
            <v>35339</v>
          </cell>
          <cell r="H240">
            <v>821900</v>
          </cell>
        </row>
        <row r="241">
          <cell r="A241">
            <v>3400004493</v>
          </cell>
          <cell r="B241">
            <v>5302</v>
          </cell>
          <cell r="C241">
            <v>61161</v>
          </cell>
          <cell r="D241">
            <v>0</v>
          </cell>
          <cell r="E241" t="str">
            <v>REFRIGERATOR DOUBLE DOOR 300 LTS</v>
          </cell>
          <cell r="F241">
            <v>1</v>
          </cell>
          <cell r="G241">
            <v>35339</v>
          </cell>
          <cell r="H241">
            <v>14500</v>
          </cell>
        </row>
        <row r="242">
          <cell r="A242">
            <v>3400004781</v>
          </cell>
          <cell r="B242">
            <v>5302</v>
          </cell>
          <cell r="C242">
            <v>61203</v>
          </cell>
          <cell r="D242">
            <v>0</v>
          </cell>
          <cell r="E242" t="str">
            <v>VOLTAS CRYSTAL ROOM AIRCOND 13624</v>
          </cell>
          <cell r="F242">
            <v>1</v>
          </cell>
          <cell r="G242">
            <v>35339</v>
          </cell>
          <cell r="H242">
            <v>1</v>
          </cell>
        </row>
        <row r="243">
          <cell r="A243">
            <v>3400004782</v>
          </cell>
          <cell r="B243">
            <v>5302</v>
          </cell>
          <cell r="C243">
            <v>61203</v>
          </cell>
          <cell r="D243">
            <v>0</v>
          </cell>
          <cell r="E243" t="str">
            <v>VOLTAS CRYSTAL ROOM AIRCOND 15TON 135094</v>
          </cell>
          <cell r="F243">
            <v>1</v>
          </cell>
          <cell r="G243">
            <v>35339</v>
          </cell>
          <cell r="H243">
            <v>1</v>
          </cell>
        </row>
        <row r="244">
          <cell r="A244">
            <v>3400004785</v>
          </cell>
          <cell r="B244">
            <v>5302</v>
          </cell>
          <cell r="C244">
            <v>61203</v>
          </cell>
          <cell r="D244">
            <v>0</v>
          </cell>
          <cell r="E244" t="str">
            <v>1.5TR SPLIT A.C FOR SUNNY TOWER Y E E</v>
          </cell>
          <cell r="F244">
            <v>1</v>
          </cell>
          <cell r="G244">
            <v>35339</v>
          </cell>
          <cell r="H244">
            <v>20137.84</v>
          </cell>
        </row>
        <row r="245">
          <cell r="A245">
            <v>3400003743</v>
          </cell>
          <cell r="B245">
            <v>5302</v>
          </cell>
          <cell r="C245">
            <v>61200</v>
          </cell>
          <cell r="D245">
            <v>0</v>
          </cell>
          <cell r="E245" t="str">
            <v>SPLIT AIRCONDITIONER E450CE CAP1.5TR</v>
          </cell>
          <cell r="F245">
            <v>1</v>
          </cell>
          <cell r="G245">
            <v>35479</v>
          </cell>
          <cell r="H245">
            <v>42755.5</v>
          </cell>
        </row>
        <row r="246">
          <cell r="A246">
            <v>3400003744</v>
          </cell>
          <cell r="B246">
            <v>5302</v>
          </cell>
          <cell r="C246">
            <v>61200</v>
          </cell>
          <cell r="D246">
            <v>0</v>
          </cell>
          <cell r="E246" t="str">
            <v>SPLIT AIRCONDITIONERE450CE CAP1.5TR</v>
          </cell>
          <cell r="F246">
            <v>1</v>
          </cell>
          <cell r="G246">
            <v>35479</v>
          </cell>
          <cell r="H246">
            <v>42755.5</v>
          </cell>
        </row>
        <row r="247">
          <cell r="A247">
            <v>3400003745</v>
          </cell>
          <cell r="B247">
            <v>5302</v>
          </cell>
          <cell r="C247">
            <v>61200</v>
          </cell>
          <cell r="D247">
            <v>0</v>
          </cell>
          <cell r="E247" t="str">
            <v>`SPLIT AIRCONDITIONER E450CE CAP 1.5TR</v>
          </cell>
          <cell r="F247">
            <v>1</v>
          </cell>
          <cell r="G247">
            <v>35479</v>
          </cell>
          <cell r="H247">
            <v>42755.5</v>
          </cell>
        </row>
        <row r="248">
          <cell r="A248">
            <v>3400003746</v>
          </cell>
          <cell r="B248">
            <v>5302</v>
          </cell>
          <cell r="C248">
            <v>61200</v>
          </cell>
          <cell r="D248">
            <v>0</v>
          </cell>
          <cell r="E248" t="str">
            <v>SPLIT AIRCONDITIONER E450CE CAP 1.5TR</v>
          </cell>
          <cell r="F248">
            <v>1</v>
          </cell>
          <cell r="G248">
            <v>35479</v>
          </cell>
          <cell r="H248">
            <v>42755.5</v>
          </cell>
        </row>
        <row r="249">
          <cell r="A249">
            <v>3400003747</v>
          </cell>
          <cell r="B249">
            <v>5302</v>
          </cell>
          <cell r="C249">
            <v>61200</v>
          </cell>
          <cell r="D249">
            <v>0</v>
          </cell>
          <cell r="E249" t="str">
            <v>SPLIT AIRCONDITIONER E450CE CAP1.5TR</v>
          </cell>
          <cell r="F249">
            <v>1</v>
          </cell>
          <cell r="G249">
            <v>35479</v>
          </cell>
          <cell r="H249">
            <v>42755.5</v>
          </cell>
        </row>
        <row r="250">
          <cell r="A250">
            <v>3400003748</v>
          </cell>
          <cell r="B250">
            <v>5302</v>
          </cell>
          <cell r="C250">
            <v>61200</v>
          </cell>
          <cell r="D250">
            <v>0</v>
          </cell>
          <cell r="E250" t="str">
            <v>SPLIT AIRCONDITIONER E450CE CAP1.5TR</v>
          </cell>
          <cell r="F250">
            <v>1</v>
          </cell>
          <cell r="G250">
            <v>35479</v>
          </cell>
          <cell r="H250">
            <v>42755.5</v>
          </cell>
        </row>
        <row r="251">
          <cell r="A251">
            <v>3400003749</v>
          </cell>
          <cell r="B251">
            <v>5302</v>
          </cell>
          <cell r="C251">
            <v>61200</v>
          </cell>
          <cell r="D251">
            <v>0</v>
          </cell>
          <cell r="E251" t="str">
            <v>SPLIT AIRCONDITIONER E600CE CAP2TONS</v>
          </cell>
          <cell r="F251">
            <v>1</v>
          </cell>
          <cell r="G251">
            <v>35479</v>
          </cell>
          <cell r="H251">
            <v>52658</v>
          </cell>
        </row>
        <row r="252">
          <cell r="A252">
            <v>3400002738</v>
          </cell>
          <cell r="B252">
            <v>5303</v>
          </cell>
          <cell r="C252">
            <v>61200</v>
          </cell>
          <cell r="D252">
            <v>0</v>
          </cell>
          <cell r="E252" t="str">
            <v>ELECTRICAL FITTINGS</v>
          </cell>
          <cell r="F252">
            <v>1</v>
          </cell>
          <cell r="G252">
            <v>35339</v>
          </cell>
          <cell r="H252">
            <v>357800</v>
          </cell>
        </row>
        <row r="253">
          <cell r="A253">
            <v>3400002739</v>
          </cell>
          <cell r="B253">
            <v>5303</v>
          </cell>
          <cell r="C253">
            <v>61200</v>
          </cell>
          <cell r="D253">
            <v>0</v>
          </cell>
          <cell r="E253" t="str">
            <v>SNITCH BOARD</v>
          </cell>
          <cell r="F253">
            <v>1</v>
          </cell>
          <cell r="G253">
            <v>35339</v>
          </cell>
          <cell r="H253">
            <v>574200</v>
          </cell>
        </row>
        <row r="254">
          <cell r="A254">
            <v>3400002881</v>
          </cell>
          <cell r="B254">
            <v>5303</v>
          </cell>
          <cell r="C254">
            <v>61206</v>
          </cell>
          <cell r="D254">
            <v>0</v>
          </cell>
          <cell r="E254" t="str">
            <v>BATTERIES FOR INVERTOR</v>
          </cell>
          <cell r="F254">
            <v>1</v>
          </cell>
          <cell r="G254">
            <v>35339</v>
          </cell>
          <cell r="H254">
            <v>6000</v>
          </cell>
        </row>
        <row r="255">
          <cell r="A255">
            <v>3400002981</v>
          </cell>
          <cell r="B255">
            <v>5303</v>
          </cell>
          <cell r="C255">
            <v>61203</v>
          </cell>
          <cell r="D255">
            <v>0</v>
          </cell>
          <cell r="E255" t="str">
            <v>650VA AUTOMATIC INVERTER</v>
          </cell>
          <cell r="F255">
            <v>1</v>
          </cell>
          <cell r="G255">
            <v>35339</v>
          </cell>
          <cell r="H255">
            <v>6200</v>
          </cell>
        </row>
        <row r="256">
          <cell r="A256">
            <v>3400002982</v>
          </cell>
          <cell r="B256">
            <v>5303</v>
          </cell>
          <cell r="C256">
            <v>61157</v>
          </cell>
          <cell r="D256">
            <v>0</v>
          </cell>
          <cell r="E256" t="str">
            <v>AIR HEATING UNIT</v>
          </cell>
          <cell r="F256">
            <v>1</v>
          </cell>
          <cell r="G256">
            <v>35339</v>
          </cell>
          <cell r="H256">
            <v>5400</v>
          </cell>
        </row>
        <row r="257">
          <cell r="A257">
            <v>3400003210</v>
          </cell>
          <cell r="B257">
            <v>5303</v>
          </cell>
          <cell r="C257">
            <v>61162</v>
          </cell>
          <cell r="D257">
            <v>0</v>
          </cell>
          <cell r="E257" t="str">
            <v>ELECTRONIC PANABOARD KXB520 AND STAND</v>
          </cell>
          <cell r="F257">
            <v>1</v>
          </cell>
          <cell r="G257">
            <v>35339</v>
          </cell>
          <cell r="H257">
            <v>102400</v>
          </cell>
        </row>
        <row r="258">
          <cell r="A258">
            <v>3400003215</v>
          </cell>
          <cell r="B258">
            <v>5303</v>
          </cell>
          <cell r="C258">
            <v>61116</v>
          </cell>
          <cell r="D258">
            <v>0</v>
          </cell>
          <cell r="E258" t="str">
            <v>COAXIAL TO WAVE GUIDE ADAPTER</v>
          </cell>
          <cell r="F258">
            <v>1</v>
          </cell>
          <cell r="G258">
            <v>35339</v>
          </cell>
          <cell r="H258">
            <v>40300</v>
          </cell>
        </row>
        <row r="259">
          <cell r="A259">
            <v>3400002734</v>
          </cell>
          <cell r="B259">
            <v>5304</v>
          </cell>
          <cell r="C259">
            <v>61206</v>
          </cell>
          <cell r="D259">
            <v>0</v>
          </cell>
          <cell r="E259" t="str">
            <v>GENELINE BATTERIES FOR INVERTOR</v>
          </cell>
          <cell r="F259">
            <v>2</v>
          </cell>
          <cell r="G259">
            <v>35339</v>
          </cell>
          <cell r="H259">
            <v>3200</v>
          </cell>
        </row>
        <row r="260">
          <cell r="A260">
            <v>3400002736</v>
          </cell>
          <cell r="B260">
            <v>5304</v>
          </cell>
          <cell r="C260">
            <v>61200</v>
          </cell>
          <cell r="D260">
            <v>0</v>
          </cell>
          <cell r="E260" t="str">
            <v>HALLOGEN LAMPS</v>
          </cell>
          <cell r="F260">
            <v>1</v>
          </cell>
          <cell r="G260">
            <v>35339</v>
          </cell>
          <cell r="H260">
            <v>1100</v>
          </cell>
        </row>
        <row r="261">
          <cell r="A261">
            <v>3400003345</v>
          </cell>
          <cell r="B261">
            <v>5304</v>
          </cell>
          <cell r="C261">
            <v>61200</v>
          </cell>
          <cell r="D261">
            <v>0</v>
          </cell>
          <cell r="E261" t="str">
            <v>TUBE LIGHT SETS</v>
          </cell>
          <cell r="F261">
            <v>140</v>
          </cell>
          <cell r="G261">
            <v>35200</v>
          </cell>
          <cell r="H261">
            <v>223800</v>
          </cell>
        </row>
        <row r="262">
          <cell r="A262">
            <v>3400003346</v>
          </cell>
          <cell r="B262">
            <v>5304</v>
          </cell>
          <cell r="C262">
            <v>61200</v>
          </cell>
          <cell r="D262">
            <v>0</v>
          </cell>
          <cell r="E262" t="str">
            <v>TRULITE FLUORSCENT LAMP 36W/84</v>
          </cell>
          <cell r="F262">
            <v>280</v>
          </cell>
          <cell r="G262">
            <v>35200</v>
          </cell>
          <cell r="H262">
            <v>27300</v>
          </cell>
        </row>
        <row r="263">
          <cell r="A263">
            <v>3400003214</v>
          </cell>
          <cell r="B263">
            <v>5304</v>
          </cell>
          <cell r="C263">
            <v>61103</v>
          </cell>
          <cell r="D263">
            <v>0</v>
          </cell>
          <cell r="E263" t="str">
            <v>EPC-EXHAUST FAN 400V  920RPM</v>
          </cell>
          <cell r="F263">
            <v>1</v>
          </cell>
          <cell r="G263">
            <v>35112</v>
          </cell>
          <cell r="H263">
            <v>4900</v>
          </cell>
        </row>
        <row r="264">
          <cell r="A264">
            <v>3400003323</v>
          </cell>
          <cell r="B264">
            <v>5304</v>
          </cell>
          <cell r="C264">
            <v>61161</v>
          </cell>
          <cell r="D264">
            <v>0</v>
          </cell>
          <cell r="E264" t="str">
            <v>COIL STOVE &amp; 4 SLICE TOASTER</v>
          </cell>
          <cell r="F264">
            <v>1</v>
          </cell>
          <cell r="G264">
            <v>34932</v>
          </cell>
          <cell r="H264">
            <v>500</v>
          </cell>
        </row>
        <row r="265">
          <cell r="A265">
            <v>3400003356</v>
          </cell>
          <cell r="B265">
            <v>5304</v>
          </cell>
          <cell r="C265">
            <v>61200</v>
          </cell>
          <cell r="D265">
            <v>0</v>
          </cell>
          <cell r="E265" t="str">
            <v>24"/600MM SWEEP 4 BLADES FAN</v>
          </cell>
          <cell r="F265">
            <v>6</v>
          </cell>
          <cell r="G265">
            <v>35243</v>
          </cell>
          <cell r="H265">
            <v>26200</v>
          </cell>
        </row>
        <row r="266">
          <cell r="A266">
            <v>3400002914</v>
          </cell>
          <cell r="B266">
            <v>5400</v>
          </cell>
          <cell r="C266">
            <v>61109</v>
          </cell>
          <cell r="D266">
            <v>0</v>
          </cell>
          <cell r="E266" t="str">
            <v>CG -EQPT</v>
          </cell>
          <cell r="F266">
            <v>1</v>
          </cell>
          <cell r="G266">
            <v>35339</v>
          </cell>
          <cell r="H266">
            <v>8700</v>
          </cell>
        </row>
        <row r="267">
          <cell r="A267">
            <v>3400002932</v>
          </cell>
          <cell r="B267">
            <v>5400</v>
          </cell>
          <cell r="C267">
            <v>61108</v>
          </cell>
          <cell r="D267">
            <v>0</v>
          </cell>
          <cell r="E267" t="str">
            <v>TROLLEY FOR EWSD WIRES</v>
          </cell>
          <cell r="F267">
            <v>1</v>
          </cell>
          <cell r="G267">
            <v>35339</v>
          </cell>
          <cell r="H267">
            <v>2600</v>
          </cell>
        </row>
        <row r="268">
          <cell r="A268">
            <v>3400002936</v>
          </cell>
          <cell r="B268">
            <v>5400</v>
          </cell>
          <cell r="C268">
            <v>61101</v>
          </cell>
          <cell r="D268">
            <v>0</v>
          </cell>
          <cell r="E268" t="str">
            <v>TROLLEY WITH WOODEN BOX</v>
          </cell>
          <cell r="F268">
            <v>1</v>
          </cell>
          <cell r="G268">
            <v>35339</v>
          </cell>
          <cell r="H268">
            <v>2500</v>
          </cell>
        </row>
        <row r="269">
          <cell r="A269">
            <v>3400002955</v>
          </cell>
          <cell r="B269">
            <v>5400</v>
          </cell>
          <cell r="C269">
            <v>61116</v>
          </cell>
          <cell r="D269">
            <v>0</v>
          </cell>
          <cell r="E269" t="str">
            <v>TEST EQUIPMENT TROLLEY</v>
          </cell>
          <cell r="F269">
            <v>1</v>
          </cell>
          <cell r="G269">
            <v>35339</v>
          </cell>
          <cell r="H269">
            <v>9800</v>
          </cell>
        </row>
        <row r="270">
          <cell r="A270">
            <v>3400002968</v>
          </cell>
          <cell r="B270">
            <v>5400</v>
          </cell>
          <cell r="C270">
            <v>61109</v>
          </cell>
          <cell r="D270">
            <v>0</v>
          </cell>
          <cell r="E270" t="str">
            <v>TEST EQUIPMENT TROLLEY</v>
          </cell>
          <cell r="F270">
            <v>1</v>
          </cell>
          <cell r="G270">
            <v>35339</v>
          </cell>
          <cell r="H270">
            <v>9800</v>
          </cell>
        </row>
        <row r="271">
          <cell r="A271">
            <v>3400002969</v>
          </cell>
          <cell r="B271">
            <v>5400</v>
          </cell>
          <cell r="C271">
            <v>61109</v>
          </cell>
          <cell r="D271">
            <v>0</v>
          </cell>
          <cell r="E271" t="str">
            <v>TEST EQUIPMENT TROLLEY</v>
          </cell>
          <cell r="F271">
            <v>1</v>
          </cell>
          <cell r="G271">
            <v>35339</v>
          </cell>
          <cell r="H271">
            <v>9800</v>
          </cell>
        </row>
        <row r="272">
          <cell r="A272">
            <v>3400002970</v>
          </cell>
          <cell r="B272">
            <v>5400</v>
          </cell>
          <cell r="C272">
            <v>61109</v>
          </cell>
          <cell r="D272">
            <v>0</v>
          </cell>
          <cell r="E272" t="str">
            <v>TEST EQUIPMENT TROLLEY</v>
          </cell>
          <cell r="F272">
            <v>1</v>
          </cell>
          <cell r="G272">
            <v>35339</v>
          </cell>
          <cell r="H272">
            <v>9800</v>
          </cell>
        </row>
        <row r="273">
          <cell r="A273">
            <v>3400002971</v>
          </cell>
          <cell r="B273">
            <v>5400</v>
          </cell>
          <cell r="C273">
            <v>61109</v>
          </cell>
          <cell r="D273">
            <v>0</v>
          </cell>
          <cell r="E273" t="str">
            <v>TEST EQUIPMENT TROLLEY</v>
          </cell>
          <cell r="F273">
            <v>1</v>
          </cell>
          <cell r="G273">
            <v>35339</v>
          </cell>
          <cell r="H273">
            <v>9800</v>
          </cell>
        </row>
        <row r="274">
          <cell r="A274">
            <v>3400002986</v>
          </cell>
          <cell r="B274">
            <v>5400</v>
          </cell>
          <cell r="C274">
            <v>61116</v>
          </cell>
          <cell r="D274">
            <v>0</v>
          </cell>
          <cell r="E274" t="str">
            <v>TROLLEY</v>
          </cell>
          <cell r="F274">
            <v>1</v>
          </cell>
          <cell r="G274">
            <v>35339</v>
          </cell>
          <cell r="H274">
            <v>4600</v>
          </cell>
        </row>
        <row r="275">
          <cell r="A275">
            <v>3400002989</v>
          </cell>
          <cell r="B275">
            <v>5400</v>
          </cell>
          <cell r="C275">
            <v>61104</v>
          </cell>
          <cell r="D275">
            <v>0</v>
          </cell>
          <cell r="E275" t="str">
            <v>STEEL TROLLEY WITH ANTISTATIC CASTOR</v>
          </cell>
          <cell r="F275">
            <v>2</v>
          </cell>
          <cell r="G275">
            <v>35339</v>
          </cell>
          <cell r="H275">
            <v>7400</v>
          </cell>
        </row>
        <row r="276">
          <cell r="A276">
            <v>3400002990</v>
          </cell>
          <cell r="B276">
            <v>5400</v>
          </cell>
          <cell r="C276">
            <v>61104</v>
          </cell>
          <cell r="D276">
            <v>0</v>
          </cell>
          <cell r="E276" t="str">
            <v>CABLE HOLDER TROLLEY</v>
          </cell>
          <cell r="F276">
            <v>1</v>
          </cell>
          <cell r="G276">
            <v>35339</v>
          </cell>
          <cell r="H276">
            <v>3600</v>
          </cell>
        </row>
        <row r="277">
          <cell r="A277">
            <v>3400002991</v>
          </cell>
          <cell r="B277">
            <v>5400</v>
          </cell>
          <cell r="C277">
            <v>61101</v>
          </cell>
          <cell r="D277">
            <v>0</v>
          </cell>
          <cell r="E277" t="str">
            <v>BIN BOX TROLLEY</v>
          </cell>
          <cell r="F277">
            <v>1</v>
          </cell>
          <cell r="G277">
            <v>35339</v>
          </cell>
          <cell r="H277">
            <v>3000</v>
          </cell>
        </row>
        <row r="278">
          <cell r="A278">
            <v>3400003010</v>
          </cell>
          <cell r="B278">
            <v>5400</v>
          </cell>
          <cell r="C278">
            <v>61118</v>
          </cell>
          <cell r="D278">
            <v>0</v>
          </cell>
          <cell r="E278" t="str">
            <v>BATTERY OPERATED PALLET STACKER</v>
          </cell>
          <cell r="F278">
            <v>1</v>
          </cell>
          <cell r="G278">
            <v>35339</v>
          </cell>
          <cell r="H278">
            <v>175700</v>
          </cell>
        </row>
        <row r="279">
          <cell r="A279">
            <v>3400003011</v>
          </cell>
          <cell r="B279">
            <v>5400</v>
          </cell>
          <cell r="C279">
            <v>61118</v>
          </cell>
          <cell r="D279">
            <v>0</v>
          </cell>
          <cell r="E279" t="str">
            <v>TILTING FORK CARRIAGE</v>
          </cell>
          <cell r="F279">
            <v>1</v>
          </cell>
          <cell r="G279">
            <v>35339</v>
          </cell>
          <cell r="H279">
            <v>15000</v>
          </cell>
        </row>
        <row r="280">
          <cell r="A280">
            <v>3400003036</v>
          </cell>
          <cell r="B280">
            <v>5400</v>
          </cell>
          <cell r="C280">
            <v>61118</v>
          </cell>
          <cell r="D280">
            <v>0</v>
          </cell>
          <cell r="E280" t="str">
            <v>MODIFICATION CHARGES FOR HI-STAK</v>
          </cell>
          <cell r="F280">
            <v>1</v>
          </cell>
          <cell r="G280">
            <v>35339</v>
          </cell>
          <cell r="H280">
            <v>7700</v>
          </cell>
        </row>
        <row r="281">
          <cell r="A281">
            <v>3400003178</v>
          </cell>
          <cell r="B281">
            <v>5400</v>
          </cell>
          <cell r="C281">
            <v>61201</v>
          </cell>
          <cell r="D281">
            <v>0</v>
          </cell>
          <cell r="E281" t="str">
            <v>CONVERSION OF NON ESD TROLLEY TO ESD TYP</v>
          </cell>
          <cell r="F281">
            <v>7</v>
          </cell>
          <cell r="G281">
            <v>35339</v>
          </cell>
          <cell r="H281">
            <v>8600</v>
          </cell>
        </row>
        <row r="282">
          <cell r="A282">
            <v>3400003204</v>
          </cell>
          <cell r="B282">
            <v>5400</v>
          </cell>
          <cell r="C282">
            <v>61109</v>
          </cell>
          <cell r="D282">
            <v>0</v>
          </cell>
          <cell r="E282" t="str">
            <v>EQUIPMENT TROLLEY FOR 7GHZ</v>
          </cell>
          <cell r="F282">
            <v>1</v>
          </cell>
          <cell r="G282">
            <v>35339</v>
          </cell>
          <cell r="H282">
            <v>13000</v>
          </cell>
        </row>
        <row r="283">
          <cell r="A283">
            <v>3400003217</v>
          </cell>
          <cell r="B283">
            <v>5400</v>
          </cell>
          <cell r="C283">
            <v>61102</v>
          </cell>
          <cell r="D283">
            <v>0</v>
          </cell>
          <cell r="E283" t="str">
            <v>SMT COMPONENT TROLLEY</v>
          </cell>
          <cell r="F283">
            <v>1</v>
          </cell>
          <cell r="G283">
            <v>35339</v>
          </cell>
          <cell r="H283">
            <v>5300</v>
          </cell>
        </row>
        <row r="284">
          <cell r="A284">
            <v>3400003218</v>
          </cell>
          <cell r="B284">
            <v>5400</v>
          </cell>
          <cell r="C284">
            <v>61107</v>
          </cell>
          <cell r="D284">
            <v>0</v>
          </cell>
          <cell r="E284" t="str">
            <v>EWSD BACK PLANESTORAGETROLLEY</v>
          </cell>
          <cell r="F284">
            <v>1</v>
          </cell>
          <cell r="G284">
            <v>35339</v>
          </cell>
          <cell r="H284">
            <v>8600</v>
          </cell>
        </row>
        <row r="285">
          <cell r="A285">
            <v>3400003329</v>
          </cell>
          <cell r="B285">
            <v>5400</v>
          </cell>
          <cell r="C285">
            <v>61109</v>
          </cell>
          <cell r="D285">
            <v>0</v>
          </cell>
          <cell r="E285" t="str">
            <v>TROLLEY WITH 3SIDE COVER</v>
          </cell>
          <cell r="F285">
            <v>1</v>
          </cell>
          <cell r="G285">
            <v>35339</v>
          </cell>
          <cell r="H285">
            <v>2800</v>
          </cell>
        </row>
        <row r="286">
          <cell r="A286">
            <v>3400003330</v>
          </cell>
          <cell r="B286">
            <v>5400</v>
          </cell>
          <cell r="C286">
            <v>61109</v>
          </cell>
          <cell r="D286">
            <v>0</v>
          </cell>
          <cell r="E286" t="str">
            <v>TROLLEY</v>
          </cell>
          <cell r="F286">
            <v>1</v>
          </cell>
          <cell r="G286">
            <v>35339</v>
          </cell>
          <cell r="H286">
            <v>2300</v>
          </cell>
        </row>
        <row r="287">
          <cell r="A287">
            <v>3400003360</v>
          </cell>
          <cell r="B287">
            <v>5400</v>
          </cell>
          <cell r="C287">
            <v>61109</v>
          </cell>
          <cell r="D287">
            <v>0</v>
          </cell>
          <cell r="E287" t="str">
            <v>INST TROLLEY FOR 7 GHZ RACK</v>
          </cell>
          <cell r="F287">
            <v>1</v>
          </cell>
          <cell r="G287">
            <v>35339</v>
          </cell>
          <cell r="H287">
            <v>3900</v>
          </cell>
        </row>
        <row r="288">
          <cell r="A288">
            <v>3400003905</v>
          </cell>
          <cell r="B288">
            <v>5400</v>
          </cell>
          <cell r="C288">
            <v>61116</v>
          </cell>
          <cell r="D288">
            <v>0</v>
          </cell>
          <cell r="E288" t="str">
            <v>HSEGRUD MAKE RUBBER WHEELED TROLLY</v>
          </cell>
          <cell r="F288">
            <v>1</v>
          </cell>
          <cell r="G288">
            <v>35339</v>
          </cell>
          <cell r="H288">
            <v>18300</v>
          </cell>
        </row>
        <row r="289">
          <cell r="A289">
            <v>3400003908</v>
          </cell>
          <cell r="B289">
            <v>5400</v>
          </cell>
          <cell r="C289">
            <v>61116</v>
          </cell>
          <cell r="D289">
            <v>0</v>
          </cell>
          <cell r="E289" t="str">
            <v>HSEGRUD RUBBERUWHEELEDETROLLEY-20ENOS</v>
          </cell>
          <cell r="F289">
            <v>1</v>
          </cell>
          <cell r="G289">
            <v>35339</v>
          </cell>
          <cell r="H289">
            <v>12300</v>
          </cell>
        </row>
        <row r="290">
          <cell r="A290">
            <v>3400003941</v>
          </cell>
          <cell r="B290">
            <v>5400</v>
          </cell>
          <cell r="C290">
            <v>61116</v>
          </cell>
          <cell r="D290">
            <v>0</v>
          </cell>
          <cell r="E290" t="str">
            <v>HSEGRUD MAKE TESTING TROLLEY WITH WHEEL</v>
          </cell>
          <cell r="F290">
            <v>1</v>
          </cell>
          <cell r="G290">
            <v>35339</v>
          </cell>
          <cell r="H290">
            <v>3800</v>
          </cell>
        </row>
        <row r="291">
          <cell r="A291">
            <v>3400003942</v>
          </cell>
          <cell r="B291">
            <v>5400</v>
          </cell>
          <cell r="C291">
            <v>61116</v>
          </cell>
          <cell r="D291">
            <v>0</v>
          </cell>
          <cell r="E291" t="str">
            <v>HSEGRUD MAKE TESTING TROLLEY WITH WHEEL</v>
          </cell>
          <cell r="F291">
            <v>1</v>
          </cell>
          <cell r="G291">
            <v>35339</v>
          </cell>
          <cell r="H291">
            <v>3800</v>
          </cell>
        </row>
        <row r="292">
          <cell r="A292">
            <v>3400003943</v>
          </cell>
          <cell r="B292">
            <v>5400</v>
          </cell>
          <cell r="C292">
            <v>61116</v>
          </cell>
          <cell r="D292">
            <v>0</v>
          </cell>
          <cell r="E292" t="str">
            <v>TROLLEY FOR 7GWZ RACK TRANSMISSION</v>
          </cell>
          <cell r="F292">
            <v>1</v>
          </cell>
          <cell r="G292">
            <v>35339</v>
          </cell>
          <cell r="H292">
            <v>7800</v>
          </cell>
        </row>
        <row r="293">
          <cell r="A293">
            <v>3400003944</v>
          </cell>
          <cell r="B293">
            <v>5400</v>
          </cell>
          <cell r="C293">
            <v>61116</v>
          </cell>
          <cell r="D293">
            <v>0</v>
          </cell>
          <cell r="E293" t="str">
            <v>TROLLEY FOR 7GWZ RACK TRANSMISSION</v>
          </cell>
          <cell r="F293">
            <v>1</v>
          </cell>
          <cell r="G293">
            <v>35339</v>
          </cell>
          <cell r="H293">
            <v>5500</v>
          </cell>
        </row>
        <row r="294">
          <cell r="A294">
            <v>3400003948</v>
          </cell>
          <cell r="B294">
            <v>5400</v>
          </cell>
          <cell r="C294">
            <v>61116</v>
          </cell>
          <cell r="D294">
            <v>0</v>
          </cell>
          <cell r="E294" t="str">
            <v>TROLLEY FOR 7GWZ RACK TRANSMISSION</v>
          </cell>
          <cell r="F294">
            <v>1</v>
          </cell>
          <cell r="G294">
            <v>35339</v>
          </cell>
          <cell r="H294">
            <v>4700</v>
          </cell>
        </row>
        <row r="295">
          <cell r="A295">
            <v>3400004097</v>
          </cell>
          <cell r="B295">
            <v>5400</v>
          </cell>
          <cell r="C295">
            <v>61102</v>
          </cell>
          <cell r="D295">
            <v>0</v>
          </cell>
          <cell r="E295" t="str">
            <v>ESD TROLLEY</v>
          </cell>
          <cell r="F295">
            <v>1</v>
          </cell>
          <cell r="G295">
            <v>35339</v>
          </cell>
          <cell r="H295">
            <v>1800</v>
          </cell>
        </row>
        <row r="296">
          <cell r="A296">
            <v>3400004098</v>
          </cell>
          <cell r="B296">
            <v>5400</v>
          </cell>
          <cell r="C296">
            <v>61102</v>
          </cell>
          <cell r="D296">
            <v>0</v>
          </cell>
          <cell r="E296" t="str">
            <v>ESD TROLLEY</v>
          </cell>
          <cell r="F296">
            <v>1</v>
          </cell>
          <cell r="G296">
            <v>35339</v>
          </cell>
          <cell r="H296">
            <v>1100</v>
          </cell>
        </row>
        <row r="297">
          <cell r="A297">
            <v>3400004099</v>
          </cell>
          <cell r="B297">
            <v>5400</v>
          </cell>
          <cell r="C297">
            <v>61102</v>
          </cell>
          <cell r="D297">
            <v>0</v>
          </cell>
          <cell r="E297" t="str">
            <v>ESD TROLLEY</v>
          </cell>
          <cell r="F297">
            <v>1</v>
          </cell>
          <cell r="G297">
            <v>35339</v>
          </cell>
          <cell r="H297">
            <v>1100</v>
          </cell>
        </row>
        <row r="298">
          <cell r="A298">
            <v>3400004100</v>
          </cell>
          <cell r="B298">
            <v>5400</v>
          </cell>
          <cell r="C298">
            <v>61115</v>
          </cell>
          <cell r="D298">
            <v>0</v>
          </cell>
          <cell r="E298" t="str">
            <v>ESD TROLLEY</v>
          </cell>
          <cell r="F298">
            <v>1</v>
          </cell>
          <cell r="G298">
            <v>35339</v>
          </cell>
          <cell r="H298">
            <v>900</v>
          </cell>
        </row>
        <row r="299">
          <cell r="A299">
            <v>3400004101</v>
          </cell>
          <cell r="B299">
            <v>5400</v>
          </cell>
          <cell r="C299">
            <v>61115</v>
          </cell>
          <cell r="D299">
            <v>0</v>
          </cell>
          <cell r="E299" t="str">
            <v>ESD TROLLEY</v>
          </cell>
          <cell r="F299">
            <v>1</v>
          </cell>
          <cell r="G299">
            <v>35339</v>
          </cell>
          <cell r="H299">
            <v>900</v>
          </cell>
        </row>
        <row r="300">
          <cell r="A300">
            <v>3400004102</v>
          </cell>
          <cell r="B300">
            <v>5400</v>
          </cell>
          <cell r="C300">
            <v>61100</v>
          </cell>
          <cell r="D300">
            <v>0</v>
          </cell>
          <cell r="E300" t="str">
            <v>ESD TROLLEY</v>
          </cell>
          <cell r="F300">
            <v>1</v>
          </cell>
          <cell r="G300">
            <v>35339</v>
          </cell>
          <cell r="H300">
            <v>1100</v>
          </cell>
        </row>
        <row r="301">
          <cell r="A301">
            <v>3400004103</v>
          </cell>
          <cell r="B301">
            <v>5400</v>
          </cell>
          <cell r="C301">
            <v>61100</v>
          </cell>
          <cell r="D301">
            <v>0</v>
          </cell>
          <cell r="E301" t="str">
            <v>ESD TROLLEY</v>
          </cell>
          <cell r="F301">
            <v>1</v>
          </cell>
          <cell r="G301">
            <v>35339</v>
          </cell>
          <cell r="H301">
            <v>1100</v>
          </cell>
        </row>
        <row r="302">
          <cell r="A302">
            <v>3400004104</v>
          </cell>
          <cell r="B302">
            <v>5400</v>
          </cell>
          <cell r="C302">
            <v>61100</v>
          </cell>
          <cell r="D302">
            <v>0</v>
          </cell>
          <cell r="E302" t="str">
            <v>ESD TROLLEY</v>
          </cell>
          <cell r="F302">
            <v>1</v>
          </cell>
          <cell r="G302">
            <v>35339</v>
          </cell>
          <cell r="H302">
            <v>1100</v>
          </cell>
        </row>
        <row r="303">
          <cell r="A303">
            <v>3400004105</v>
          </cell>
          <cell r="B303">
            <v>5400</v>
          </cell>
          <cell r="C303">
            <v>61100</v>
          </cell>
          <cell r="D303">
            <v>0</v>
          </cell>
          <cell r="E303" t="str">
            <v>ESD TROLLEY</v>
          </cell>
          <cell r="F303">
            <v>1</v>
          </cell>
          <cell r="G303">
            <v>35339</v>
          </cell>
          <cell r="H303">
            <v>1100</v>
          </cell>
        </row>
        <row r="304">
          <cell r="A304">
            <v>3400004106</v>
          </cell>
          <cell r="B304">
            <v>5400</v>
          </cell>
          <cell r="C304">
            <v>61100</v>
          </cell>
          <cell r="D304">
            <v>0</v>
          </cell>
          <cell r="E304" t="str">
            <v>ESD TROLLEY</v>
          </cell>
          <cell r="F304">
            <v>1</v>
          </cell>
          <cell r="G304">
            <v>35339</v>
          </cell>
          <cell r="H304">
            <v>1100</v>
          </cell>
        </row>
        <row r="305">
          <cell r="A305">
            <v>3400004132</v>
          </cell>
          <cell r="B305">
            <v>5400</v>
          </cell>
          <cell r="C305">
            <v>61103</v>
          </cell>
          <cell r="D305">
            <v>0</v>
          </cell>
          <cell r="E305" t="str">
            <v>CONVEYAR UNIT SEHO</v>
          </cell>
          <cell r="F305">
            <v>1</v>
          </cell>
          <cell r="G305">
            <v>35339</v>
          </cell>
          <cell r="H305">
            <v>108900</v>
          </cell>
        </row>
        <row r="306">
          <cell r="A306">
            <v>3400004132</v>
          </cell>
          <cell r="B306">
            <v>5400</v>
          </cell>
          <cell r="C306">
            <v>61103</v>
          </cell>
          <cell r="D306">
            <v>1</v>
          </cell>
          <cell r="E306" t="str">
            <v>ESD CONVEYOR BELT FOR SEHO CONVEYOR UNIT</v>
          </cell>
          <cell r="F306">
            <v>1</v>
          </cell>
          <cell r="G306">
            <v>35339</v>
          </cell>
          <cell r="H306">
            <v>32000</v>
          </cell>
        </row>
        <row r="307">
          <cell r="A307">
            <v>3400004172</v>
          </cell>
          <cell r="B307">
            <v>5400</v>
          </cell>
          <cell r="C307">
            <v>61150</v>
          </cell>
          <cell r="D307">
            <v>0</v>
          </cell>
          <cell r="E307" t="str">
            <v>PALLET TRUCK</v>
          </cell>
          <cell r="F307">
            <v>1</v>
          </cell>
          <cell r="G307">
            <v>35339</v>
          </cell>
          <cell r="H307">
            <v>7900</v>
          </cell>
        </row>
        <row r="308">
          <cell r="A308">
            <v>3400004224</v>
          </cell>
          <cell r="B308">
            <v>5400</v>
          </cell>
          <cell r="C308">
            <v>61150</v>
          </cell>
          <cell r="D308">
            <v>0</v>
          </cell>
          <cell r="E308" t="str">
            <v>PALLETGTRUCKE</v>
          </cell>
          <cell r="F308">
            <v>1</v>
          </cell>
          <cell r="G308">
            <v>35339</v>
          </cell>
          <cell r="H308">
            <v>7900</v>
          </cell>
        </row>
        <row r="309">
          <cell r="A309">
            <v>3400004225</v>
          </cell>
          <cell r="B309">
            <v>5400</v>
          </cell>
          <cell r="C309">
            <v>61206</v>
          </cell>
          <cell r="D309">
            <v>0</v>
          </cell>
          <cell r="E309" t="str">
            <v>ANTISTATIC TROLLEY FOR STORAGE</v>
          </cell>
          <cell r="F309">
            <v>1</v>
          </cell>
          <cell r="G309">
            <v>35339</v>
          </cell>
          <cell r="H309">
            <v>3000</v>
          </cell>
        </row>
        <row r="310">
          <cell r="A310">
            <v>3400004226</v>
          </cell>
          <cell r="B310">
            <v>5400</v>
          </cell>
          <cell r="C310">
            <v>61206</v>
          </cell>
          <cell r="D310">
            <v>0</v>
          </cell>
          <cell r="E310" t="str">
            <v>ANTISTATIC TROLLEY FOR STORAGE</v>
          </cell>
          <cell r="F310">
            <v>1</v>
          </cell>
          <cell r="G310">
            <v>35339</v>
          </cell>
          <cell r="H310">
            <v>3700</v>
          </cell>
        </row>
        <row r="311">
          <cell r="A311">
            <v>3400004227</v>
          </cell>
          <cell r="B311">
            <v>5400</v>
          </cell>
          <cell r="C311">
            <v>61206</v>
          </cell>
          <cell r="D311">
            <v>0</v>
          </cell>
          <cell r="E311" t="str">
            <v>ANTISTATIC TROLLEY FOR STORAGE</v>
          </cell>
          <cell r="F311">
            <v>1</v>
          </cell>
          <cell r="G311">
            <v>35339</v>
          </cell>
          <cell r="H311">
            <v>3700</v>
          </cell>
        </row>
        <row r="312">
          <cell r="A312">
            <v>3400004228</v>
          </cell>
          <cell r="B312">
            <v>5400</v>
          </cell>
          <cell r="C312">
            <v>61206</v>
          </cell>
          <cell r="D312">
            <v>0</v>
          </cell>
          <cell r="E312" t="str">
            <v>ANTISTATIC TROLLEY FOR STORAGE</v>
          </cell>
          <cell r="F312">
            <v>1</v>
          </cell>
          <cell r="G312">
            <v>35339</v>
          </cell>
          <cell r="H312">
            <v>3700</v>
          </cell>
        </row>
        <row r="313">
          <cell r="A313">
            <v>3400004229</v>
          </cell>
          <cell r="B313">
            <v>5400</v>
          </cell>
          <cell r="C313">
            <v>61206</v>
          </cell>
          <cell r="D313">
            <v>0</v>
          </cell>
          <cell r="E313" t="str">
            <v>ANTISTATIC TROLLEY FOR STORAGE</v>
          </cell>
          <cell r="F313">
            <v>1</v>
          </cell>
          <cell r="G313">
            <v>35339</v>
          </cell>
          <cell r="H313">
            <v>3700</v>
          </cell>
        </row>
        <row r="314">
          <cell r="A314">
            <v>3400004230</v>
          </cell>
          <cell r="B314">
            <v>5400</v>
          </cell>
          <cell r="C314">
            <v>61206</v>
          </cell>
          <cell r="D314">
            <v>0</v>
          </cell>
          <cell r="E314" t="str">
            <v>ANTISTATIC TROLLEY FOR STORAGE</v>
          </cell>
          <cell r="F314">
            <v>1</v>
          </cell>
          <cell r="G314">
            <v>35339</v>
          </cell>
          <cell r="H314">
            <v>3700</v>
          </cell>
        </row>
        <row r="315">
          <cell r="A315">
            <v>3400004282</v>
          </cell>
          <cell r="B315">
            <v>5400</v>
          </cell>
          <cell r="C315">
            <v>61101</v>
          </cell>
          <cell r="D315">
            <v>0</v>
          </cell>
          <cell r="E315" t="str">
            <v>EQUIPMENT TROLLY</v>
          </cell>
          <cell r="F315">
            <v>1</v>
          </cell>
          <cell r="G315">
            <v>35339</v>
          </cell>
          <cell r="H315">
            <v>1100</v>
          </cell>
        </row>
        <row r="316">
          <cell r="A316">
            <v>3400004282</v>
          </cell>
          <cell r="B316">
            <v>5400</v>
          </cell>
          <cell r="C316">
            <v>61101</v>
          </cell>
          <cell r="D316">
            <v>1</v>
          </cell>
          <cell r="E316" t="str">
            <v>MODIFICATION INTO EQUIPMENT TROLLEY</v>
          </cell>
          <cell r="F316">
            <v>1</v>
          </cell>
          <cell r="G316">
            <v>35339</v>
          </cell>
          <cell r="H316">
            <v>4200</v>
          </cell>
        </row>
        <row r="317">
          <cell r="A317">
            <v>3400004283</v>
          </cell>
          <cell r="B317">
            <v>5400</v>
          </cell>
          <cell r="C317">
            <v>61101</v>
          </cell>
          <cell r="D317">
            <v>0</v>
          </cell>
          <cell r="E317" t="str">
            <v>EQUIPMENT TROLLY</v>
          </cell>
          <cell r="F317">
            <v>1</v>
          </cell>
          <cell r="G317">
            <v>35339</v>
          </cell>
          <cell r="H317">
            <v>1100</v>
          </cell>
        </row>
        <row r="318">
          <cell r="A318">
            <v>3400004283</v>
          </cell>
          <cell r="B318">
            <v>5400</v>
          </cell>
          <cell r="C318">
            <v>61101</v>
          </cell>
          <cell r="D318">
            <v>1</v>
          </cell>
          <cell r="E318" t="str">
            <v>MODIFICATION INTO EQUIPMENT TROLLY</v>
          </cell>
          <cell r="F318">
            <v>1</v>
          </cell>
          <cell r="G318">
            <v>35339</v>
          </cell>
          <cell r="H318">
            <v>4200</v>
          </cell>
        </row>
        <row r="319">
          <cell r="A319">
            <v>3400004284</v>
          </cell>
          <cell r="B319">
            <v>5400</v>
          </cell>
          <cell r="C319">
            <v>61101</v>
          </cell>
          <cell r="D319">
            <v>0</v>
          </cell>
          <cell r="E319" t="str">
            <v>EQUIPMENT TROLLY</v>
          </cell>
          <cell r="F319">
            <v>1</v>
          </cell>
          <cell r="G319">
            <v>35339</v>
          </cell>
          <cell r="H319">
            <v>1100</v>
          </cell>
        </row>
        <row r="320">
          <cell r="A320">
            <v>3400004284</v>
          </cell>
          <cell r="B320">
            <v>5400</v>
          </cell>
          <cell r="C320">
            <v>61101</v>
          </cell>
          <cell r="D320">
            <v>1</v>
          </cell>
          <cell r="E320" t="str">
            <v>MODIFICATION INTO EQUIPMENT TROLLY</v>
          </cell>
          <cell r="F320">
            <v>1</v>
          </cell>
          <cell r="G320">
            <v>35339</v>
          </cell>
          <cell r="H320">
            <v>4200</v>
          </cell>
        </row>
        <row r="321">
          <cell r="A321">
            <v>3400004285</v>
          </cell>
          <cell r="B321">
            <v>5400</v>
          </cell>
          <cell r="C321">
            <v>61206</v>
          </cell>
          <cell r="D321">
            <v>0</v>
          </cell>
          <cell r="E321" t="str">
            <v>EQUIPHENT TROLLY</v>
          </cell>
          <cell r="F321">
            <v>1</v>
          </cell>
          <cell r="G321">
            <v>35339</v>
          </cell>
          <cell r="H321">
            <v>1100</v>
          </cell>
        </row>
        <row r="322">
          <cell r="A322">
            <v>3400004286</v>
          </cell>
          <cell r="B322">
            <v>5400</v>
          </cell>
          <cell r="C322">
            <v>61206</v>
          </cell>
          <cell r="D322">
            <v>0</v>
          </cell>
          <cell r="E322" t="str">
            <v>EQUIPHENT TROLLY</v>
          </cell>
          <cell r="F322">
            <v>1</v>
          </cell>
          <cell r="G322">
            <v>35339</v>
          </cell>
          <cell r="H322">
            <v>1100</v>
          </cell>
        </row>
        <row r="323">
          <cell r="A323">
            <v>3400004287</v>
          </cell>
          <cell r="B323">
            <v>5400</v>
          </cell>
          <cell r="C323">
            <v>61206</v>
          </cell>
          <cell r="D323">
            <v>0</v>
          </cell>
          <cell r="E323" t="str">
            <v>EQUIPHENT TROLLY</v>
          </cell>
          <cell r="F323">
            <v>1</v>
          </cell>
          <cell r="G323">
            <v>35339</v>
          </cell>
          <cell r="H323">
            <v>1100</v>
          </cell>
        </row>
        <row r="324">
          <cell r="A324">
            <v>3400004288</v>
          </cell>
          <cell r="B324">
            <v>5400</v>
          </cell>
          <cell r="C324">
            <v>61206</v>
          </cell>
          <cell r="D324">
            <v>0</v>
          </cell>
          <cell r="E324" t="str">
            <v>EQUIPHENT TROLLY</v>
          </cell>
          <cell r="F324">
            <v>1</v>
          </cell>
          <cell r="G324">
            <v>35339</v>
          </cell>
          <cell r="H324">
            <v>1100</v>
          </cell>
        </row>
        <row r="325">
          <cell r="A325">
            <v>3400004289</v>
          </cell>
          <cell r="B325">
            <v>5400</v>
          </cell>
          <cell r="C325">
            <v>61206</v>
          </cell>
          <cell r="D325">
            <v>0</v>
          </cell>
          <cell r="E325" t="str">
            <v>EQUIPHENT TROLLY</v>
          </cell>
          <cell r="F325">
            <v>1</v>
          </cell>
          <cell r="G325">
            <v>35339</v>
          </cell>
          <cell r="H325">
            <v>1100</v>
          </cell>
        </row>
        <row r="326">
          <cell r="A326">
            <v>3400004290</v>
          </cell>
          <cell r="B326">
            <v>5400</v>
          </cell>
          <cell r="C326">
            <v>61206</v>
          </cell>
          <cell r="D326">
            <v>0</v>
          </cell>
          <cell r="E326" t="str">
            <v>EQUIPHENT TROLLY</v>
          </cell>
          <cell r="F326">
            <v>1</v>
          </cell>
          <cell r="G326">
            <v>35339</v>
          </cell>
          <cell r="H326">
            <v>1100</v>
          </cell>
        </row>
        <row r="327">
          <cell r="A327">
            <v>3400004291</v>
          </cell>
          <cell r="B327">
            <v>5400</v>
          </cell>
          <cell r="C327">
            <v>61206</v>
          </cell>
          <cell r="D327">
            <v>0</v>
          </cell>
          <cell r="E327" t="str">
            <v>EQUIPHENT TROLLY</v>
          </cell>
          <cell r="F327">
            <v>1</v>
          </cell>
          <cell r="G327">
            <v>35339</v>
          </cell>
          <cell r="H327">
            <v>1100</v>
          </cell>
        </row>
        <row r="328">
          <cell r="A328">
            <v>3400004292</v>
          </cell>
          <cell r="B328">
            <v>5400</v>
          </cell>
          <cell r="C328">
            <v>61206</v>
          </cell>
          <cell r="D328">
            <v>0</v>
          </cell>
          <cell r="E328" t="str">
            <v>EQUIPHENT TROLLY</v>
          </cell>
          <cell r="F328">
            <v>1</v>
          </cell>
          <cell r="G328">
            <v>35339</v>
          </cell>
          <cell r="H328">
            <v>1100</v>
          </cell>
        </row>
        <row r="329">
          <cell r="A329">
            <v>3400004293</v>
          </cell>
          <cell r="B329">
            <v>5400</v>
          </cell>
          <cell r="C329">
            <v>61206</v>
          </cell>
          <cell r="D329">
            <v>0</v>
          </cell>
          <cell r="E329" t="str">
            <v>EQUIPHENT TROLLY</v>
          </cell>
          <cell r="F329">
            <v>1</v>
          </cell>
          <cell r="G329">
            <v>35339</v>
          </cell>
          <cell r="H329">
            <v>1100</v>
          </cell>
        </row>
        <row r="330">
          <cell r="A330">
            <v>3400004294</v>
          </cell>
          <cell r="B330">
            <v>5400</v>
          </cell>
          <cell r="C330">
            <v>61206</v>
          </cell>
          <cell r="D330">
            <v>0</v>
          </cell>
          <cell r="E330" t="str">
            <v>EQUIPHENT TROLLY</v>
          </cell>
          <cell r="F330">
            <v>1</v>
          </cell>
          <cell r="G330">
            <v>35339</v>
          </cell>
          <cell r="H330">
            <v>1100</v>
          </cell>
        </row>
        <row r="331">
          <cell r="A331">
            <v>3400004295</v>
          </cell>
          <cell r="B331">
            <v>5400</v>
          </cell>
          <cell r="C331">
            <v>61206</v>
          </cell>
          <cell r="D331">
            <v>0</v>
          </cell>
          <cell r="E331" t="str">
            <v>EQUIPHENT TROLLY</v>
          </cell>
          <cell r="F331">
            <v>1</v>
          </cell>
          <cell r="G331">
            <v>35339</v>
          </cell>
          <cell r="H331">
            <v>1100</v>
          </cell>
        </row>
        <row r="332">
          <cell r="A332">
            <v>3400004296</v>
          </cell>
          <cell r="B332">
            <v>5400</v>
          </cell>
          <cell r="C332">
            <v>61206</v>
          </cell>
          <cell r="D332">
            <v>0</v>
          </cell>
          <cell r="E332" t="str">
            <v>EQUIPHENT TROLLY</v>
          </cell>
          <cell r="F332">
            <v>1</v>
          </cell>
          <cell r="G332">
            <v>35339</v>
          </cell>
          <cell r="H332">
            <v>1100</v>
          </cell>
        </row>
        <row r="333">
          <cell r="A333">
            <v>3400004355</v>
          </cell>
          <cell r="B333">
            <v>5400</v>
          </cell>
          <cell r="C333">
            <v>61206</v>
          </cell>
          <cell r="D333">
            <v>0</v>
          </cell>
          <cell r="E333" t="str">
            <v>EQUIPMENT TROLLY BIG</v>
          </cell>
          <cell r="F333">
            <v>1</v>
          </cell>
          <cell r="G333">
            <v>35339</v>
          </cell>
          <cell r="H333">
            <v>3800</v>
          </cell>
        </row>
        <row r="334">
          <cell r="A334">
            <v>3400004356</v>
          </cell>
          <cell r="B334">
            <v>5400</v>
          </cell>
          <cell r="C334">
            <v>61206</v>
          </cell>
          <cell r="D334">
            <v>0</v>
          </cell>
          <cell r="E334" t="str">
            <v>EQUIPMENT TROLLY BIG</v>
          </cell>
          <cell r="F334">
            <v>1</v>
          </cell>
          <cell r="G334">
            <v>35339</v>
          </cell>
          <cell r="H334">
            <v>4700</v>
          </cell>
        </row>
        <row r="335">
          <cell r="A335">
            <v>3400004357</v>
          </cell>
          <cell r="B335">
            <v>5400</v>
          </cell>
          <cell r="C335">
            <v>61206</v>
          </cell>
          <cell r="D335">
            <v>0</v>
          </cell>
          <cell r="E335" t="str">
            <v>EQUIPMENT TROLLY BIG</v>
          </cell>
          <cell r="F335">
            <v>1</v>
          </cell>
          <cell r="G335">
            <v>35339</v>
          </cell>
          <cell r="H335">
            <v>4700</v>
          </cell>
        </row>
        <row r="336">
          <cell r="A336">
            <v>3400004358</v>
          </cell>
          <cell r="B336">
            <v>5400</v>
          </cell>
          <cell r="C336">
            <v>61206</v>
          </cell>
          <cell r="D336">
            <v>0</v>
          </cell>
          <cell r="E336" t="str">
            <v>EQUIPMENT TROLLY BIG</v>
          </cell>
          <cell r="F336">
            <v>1</v>
          </cell>
          <cell r="G336">
            <v>35339</v>
          </cell>
          <cell r="H336">
            <v>4700</v>
          </cell>
        </row>
        <row r="337">
          <cell r="A337">
            <v>3400004481</v>
          </cell>
          <cell r="B337">
            <v>5400</v>
          </cell>
          <cell r="C337">
            <v>61104</v>
          </cell>
          <cell r="D337">
            <v>0</v>
          </cell>
          <cell r="E337" t="str">
            <v>CABLE TROLLEY TYPE "A' WITH WHEEL</v>
          </cell>
          <cell r="F337">
            <v>1</v>
          </cell>
          <cell r="G337">
            <v>35339</v>
          </cell>
          <cell r="H337">
            <v>11700</v>
          </cell>
        </row>
        <row r="338">
          <cell r="A338">
            <v>3400004530</v>
          </cell>
          <cell r="B338">
            <v>5400</v>
          </cell>
          <cell r="C338">
            <v>61118</v>
          </cell>
          <cell r="D338">
            <v>0</v>
          </cell>
          <cell r="E338" t="str">
            <v>CHAIN PULLY BLOCK WITH 42" SLING</v>
          </cell>
          <cell r="F338">
            <v>1</v>
          </cell>
          <cell r="G338">
            <v>35339</v>
          </cell>
          <cell r="H338">
            <v>6000</v>
          </cell>
        </row>
        <row r="339">
          <cell r="A339">
            <v>3400004535</v>
          </cell>
          <cell r="B339">
            <v>5400</v>
          </cell>
          <cell r="C339">
            <v>61118</v>
          </cell>
          <cell r="D339">
            <v>0</v>
          </cell>
          <cell r="E339" t="str">
            <v>DLU RACK LIFITING FIXURE WITH ACCESSORI</v>
          </cell>
          <cell r="F339">
            <v>1</v>
          </cell>
          <cell r="G339">
            <v>35339</v>
          </cell>
          <cell r="H339">
            <v>15800</v>
          </cell>
        </row>
        <row r="340">
          <cell r="A340">
            <v>3400004614</v>
          </cell>
          <cell r="B340">
            <v>5400</v>
          </cell>
          <cell r="C340">
            <v>61107</v>
          </cell>
          <cell r="D340">
            <v>0</v>
          </cell>
          <cell r="E340" t="str">
            <v>TRANSPORT EQUIPMENT FOR ASSEMBLED BACKS</v>
          </cell>
          <cell r="F340">
            <v>1</v>
          </cell>
          <cell r="G340">
            <v>35339</v>
          </cell>
          <cell r="H340">
            <v>1081700</v>
          </cell>
        </row>
        <row r="341">
          <cell r="A341">
            <v>3400003569</v>
          </cell>
          <cell r="B341">
            <v>5400</v>
          </cell>
          <cell r="C341">
            <v>61111</v>
          </cell>
          <cell r="D341">
            <v>0</v>
          </cell>
          <cell r="E341" t="str">
            <v>NILKAMAL CRATE BLACK-70NOS</v>
          </cell>
          <cell r="F341">
            <v>1</v>
          </cell>
          <cell r="G341">
            <v>35446</v>
          </cell>
          <cell r="H341">
            <v>78190</v>
          </cell>
        </row>
        <row r="342">
          <cell r="A342">
            <v>3400003570</v>
          </cell>
          <cell r="B342">
            <v>5400</v>
          </cell>
          <cell r="C342">
            <v>61103</v>
          </cell>
          <cell r="D342">
            <v>0</v>
          </cell>
          <cell r="E342" t="str">
            <v>NILKAMAL CRATE BLACK-100NOS</v>
          </cell>
          <cell r="F342">
            <v>1</v>
          </cell>
          <cell r="G342">
            <v>35446</v>
          </cell>
          <cell r="H342">
            <v>111700</v>
          </cell>
        </row>
        <row r="343">
          <cell r="A343">
            <v>3400003571</v>
          </cell>
          <cell r="B343">
            <v>5400</v>
          </cell>
          <cell r="C343">
            <v>61100</v>
          </cell>
          <cell r="D343">
            <v>0</v>
          </cell>
          <cell r="E343" t="str">
            <v>NILKAMAL CRATE BLACK-240NOS</v>
          </cell>
          <cell r="F343">
            <v>1</v>
          </cell>
          <cell r="G343">
            <v>35446</v>
          </cell>
          <cell r="H343">
            <v>268078</v>
          </cell>
        </row>
        <row r="344">
          <cell r="A344">
            <v>3400003572</v>
          </cell>
          <cell r="B344">
            <v>5400</v>
          </cell>
          <cell r="C344">
            <v>61101</v>
          </cell>
          <cell r="D344">
            <v>0</v>
          </cell>
          <cell r="E344" t="str">
            <v>NILKAMAL CRATE BLACK-140NOS</v>
          </cell>
          <cell r="F344">
            <v>1</v>
          </cell>
          <cell r="G344">
            <v>35446</v>
          </cell>
          <cell r="H344">
            <v>156378</v>
          </cell>
        </row>
        <row r="345">
          <cell r="A345">
            <v>3400003616</v>
          </cell>
          <cell r="B345">
            <v>5400</v>
          </cell>
          <cell r="C345">
            <v>61107</v>
          </cell>
          <cell r="D345">
            <v>0</v>
          </cell>
          <cell r="E345" t="str">
            <v>EWSD BACK PLANE STORAGE TROLLEY</v>
          </cell>
          <cell r="F345">
            <v>1</v>
          </cell>
          <cell r="G345">
            <v>35446</v>
          </cell>
          <cell r="H345">
            <v>6189</v>
          </cell>
        </row>
        <row r="346">
          <cell r="A346">
            <v>3400003742</v>
          </cell>
          <cell r="B346">
            <v>5400</v>
          </cell>
          <cell r="C346">
            <v>61160</v>
          </cell>
          <cell r="D346">
            <v>0</v>
          </cell>
          <cell r="E346" t="str">
            <v>EXIDE BATTERY 18TLF 17 FOR FORKLIFT</v>
          </cell>
          <cell r="F346">
            <v>1</v>
          </cell>
          <cell r="G346">
            <v>35479</v>
          </cell>
          <cell r="H346">
            <v>89500</v>
          </cell>
        </row>
        <row r="347">
          <cell r="A347">
            <v>3400003780</v>
          </cell>
          <cell r="B347">
            <v>5400</v>
          </cell>
          <cell r="C347">
            <v>61102</v>
          </cell>
          <cell r="D347">
            <v>0</v>
          </cell>
          <cell r="E347" t="str">
            <v>SMT FEEDER PREPARATION TROLLEY</v>
          </cell>
          <cell r="F347">
            <v>1</v>
          </cell>
          <cell r="G347">
            <v>35510</v>
          </cell>
          <cell r="H347">
            <v>6034.8</v>
          </cell>
        </row>
        <row r="348">
          <cell r="A348">
            <v>3400002952</v>
          </cell>
          <cell r="B348">
            <v>5600</v>
          </cell>
          <cell r="C348">
            <v>61115</v>
          </cell>
          <cell r="D348">
            <v>0</v>
          </cell>
          <cell r="E348" t="str">
            <v>LASER SCANNER WITH RS232 INTERFACE</v>
          </cell>
          <cell r="F348">
            <v>1</v>
          </cell>
          <cell r="G348">
            <v>35339</v>
          </cell>
          <cell r="H348">
            <v>25300</v>
          </cell>
        </row>
        <row r="349">
          <cell r="A349">
            <v>3400003340</v>
          </cell>
          <cell r="B349">
            <v>5600</v>
          </cell>
          <cell r="C349">
            <v>61116</v>
          </cell>
          <cell r="D349">
            <v>0</v>
          </cell>
          <cell r="E349" t="str">
            <v>HEATING MODULES</v>
          </cell>
          <cell r="F349">
            <v>1</v>
          </cell>
          <cell r="G349">
            <v>35339</v>
          </cell>
          <cell r="H349">
            <v>139500</v>
          </cell>
        </row>
        <row r="350">
          <cell r="A350">
            <v>3400003340</v>
          </cell>
          <cell r="B350">
            <v>5600</v>
          </cell>
          <cell r="C350">
            <v>61116</v>
          </cell>
          <cell r="D350">
            <v>1</v>
          </cell>
          <cell r="E350" t="str">
            <v>INSTALLATION &amp; SRVICE CHARGE</v>
          </cell>
          <cell r="F350">
            <v>1</v>
          </cell>
          <cell r="G350">
            <v>35339</v>
          </cell>
          <cell r="H350">
            <v>8400</v>
          </cell>
        </row>
        <row r="351">
          <cell r="A351">
            <v>3400003378</v>
          </cell>
          <cell r="B351">
            <v>5600</v>
          </cell>
          <cell r="C351">
            <v>61102</v>
          </cell>
          <cell r="D351">
            <v>0</v>
          </cell>
          <cell r="E351" t="str">
            <v>ADAPTER INC PROGRAMS30189U4911A190</v>
          </cell>
          <cell r="F351">
            <v>1</v>
          </cell>
          <cell r="G351">
            <v>35339</v>
          </cell>
          <cell r="H351">
            <v>40600</v>
          </cell>
        </row>
        <row r="352">
          <cell r="A352">
            <v>3400003379</v>
          </cell>
          <cell r="B352">
            <v>5600</v>
          </cell>
          <cell r="C352">
            <v>61102</v>
          </cell>
          <cell r="D352">
            <v>0</v>
          </cell>
          <cell r="E352" t="str">
            <v>ADAPTER INC PROGRAMS30189U4911A180</v>
          </cell>
          <cell r="F352">
            <v>1</v>
          </cell>
          <cell r="G352">
            <v>35339</v>
          </cell>
          <cell r="H352">
            <v>40600</v>
          </cell>
        </row>
        <row r="353">
          <cell r="A353">
            <v>3400003380</v>
          </cell>
          <cell r="B353">
            <v>5600</v>
          </cell>
          <cell r="C353">
            <v>61102</v>
          </cell>
          <cell r="D353">
            <v>0</v>
          </cell>
          <cell r="E353" t="str">
            <v>Z850 ADAPTER S30189 U4901 E682</v>
          </cell>
          <cell r="F353">
            <v>1</v>
          </cell>
          <cell r="G353">
            <v>35339</v>
          </cell>
          <cell r="H353">
            <v>445200</v>
          </cell>
        </row>
        <row r="354">
          <cell r="A354">
            <v>3400004270</v>
          </cell>
          <cell r="B354">
            <v>5600</v>
          </cell>
          <cell r="C354">
            <v>61119</v>
          </cell>
          <cell r="D354">
            <v>0</v>
          </cell>
          <cell r="E354" t="str">
            <v>DHT 100 DIGITAL HUMIDITY AND TEMP HETER</v>
          </cell>
          <cell r="F354">
            <v>1</v>
          </cell>
          <cell r="G354">
            <v>35339</v>
          </cell>
          <cell r="H354">
            <v>1600</v>
          </cell>
        </row>
        <row r="355">
          <cell r="A355">
            <v>3400004271</v>
          </cell>
          <cell r="B355">
            <v>5600</v>
          </cell>
          <cell r="C355">
            <v>61119</v>
          </cell>
          <cell r="D355">
            <v>0</v>
          </cell>
          <cell r="E355" t="str">
            <v>LYNX THERMOHYGROGRA PH</v>
          </cell>
          <cell r="F355">
            <v>1</v>
          </cell>
          <cell r="G355">
            <v>35339</v>
          </cell>
          <cell r="H355">
            <v>2700</v>
          </cell>
        </row>
        <row r="356">
          <cell r="A356">
            <v>3400004393</v>
          </cell>
          <cell r="B356">
            <v>5600</v>
          </cell>
          <cell r="C356">
            <v>61112</v>
          </cell>
          <cell r="D356">
            <v>0</v>
          </cell>
          <cell r="E356" t="str">
            <v>IN CIRCUIT TESTER</v>
          </cell>
          <cell r="F356">
            <v>1</v>
          </cell>
          <cell r="G356">
            <v>35339</v>
          </cell>
          <cell r="H356">
            <v>6222000</v>
          </cell>
        </row>
        <row r="357">
          <cell r="A357">
            <v>3400004619</v>
          </cell>
          <cell r="B357">
            <v>5600</v>
          </cell>
          <cell r="C357">
            <v>61112</v>
          </cell>
          <cell r="D357">
            <v>0</v>
          </cell>
          <cell r="E357" t="str">
            <v>INCIRCUIT TESTER SPEA MAKE WITH SPARES</v>
          </cell>
          <cell r="F357">
            <v>1</v>
          </cell>
          <cell r="G357">
            <v>35339</v>
          </cell>
          <cell r="H357">
            <v>5275700</v>
          </cell>
        </row>
        <row r="358">
          <cell r="A358">
            <v>3400004621</v>
          </cell>
          <cell r="B358">
            <v>5600</v>
          </cell>
          <cell r="C358">
            <v>61206</v>
          </cell>
          <cell r="D358">
            <v>0</v>
          </cell>
          <cell r="E358" t="str">
            <v>SETTING TOOL FOR IC</v>
          </cell>
          <cell r="F358">
            <v>1</v>
          </cell>
          <cell r="G358">
            <v>35339</v>
          </cell>
          <cell r="H358">
            <v>13600</v>
          </cell>
        </row>
        <row r="359">
          <cell r="A359">
            <v>3400004624</v>
          </cell>
          <cell r="B359">
            <v>5600</v>
          </cell>
          <cell r="C359">
            <v>61112</v>
          </cell>
          <cell r="D359">
            <v>0</v>
          </cell>
          <cell r="E359" t="str">
            <v>INTERFACE CABLE</v>
          </cell>
          <cell r="F359">
            <v>1</v>
          </cell>
          <cell r="G359">
            <v>35339</v>
          </cell>
          <cell r="H359">
            <v>5300</v>
          </cell>
        </row>
        <row r="360">
          <cell r="A360">
            <v>3400004625</v>
          </cell>
          <cell r="B360">
            <v>5600</v>
          </cell>
          <cell r="C360">
            <v>61112</v>
          </cell>
          <cell r="D360">
            <v>0</v>
          </cell>
          <cell r="E360" t="str">
            <v>INTERFACE CABLE</v>
          </cell>
          <cell r="F360">
            <v>1</v>
          </cell>
          <cell r="G360">
            <v>35339</v>
          </cell>
          <cell r="H360">
            <v>5300</v>
          </cell>
        </row>
        <row r="361">
          <cell r="A361">
            <v>3400004626</v>
          </cell>
          <cell r="B361">
            <v>5600</v>
          </cell>
          <cell r="C361">
            <v>61112</v>
          </cell>
          <cell r="D361">
            <v>0</v>
          </cell>
          <cell r="E361" t="str">
            <v>INTERFACE CABLE</v>
          </cell>
          <cell r="F361">
            <v>1</v>
          </cell>
          <cell r="G361">
            <v>35339</v>
          </cell>
          <cell r="H361">
            <v>5300</v>
          </cell>
        </row>
        <row r="362">
          <cell r="A362">
            <v>3400004627</v>
          </cell>
          <cell r="B362">
            <v>5600</v>
          </cell>
          <cell r="C362">
            <v>61112</v>
          </cell>
          <cell r="D362">
            <v>0</v>
          </cell>
          <cell r="E362" t="str">
            <v>INTERFACE CABLE</v>
          </cell>
          <cell r="F362">
            <v>1</v>
          </cell>
          <cell r="G362">
            <v>35339</v>
          </cell>
          <cell r="H362">
            <v>5300</v>
          </cell>
        </row>
        <row r="363">
          <cell r="A363">
            <v>3400004628</v>
          </cell>
          <cell r="B363">
            <v>5600</v>
          </cell>
          <cell r="C363">
            <v>61112</v>
          </cell>
          <cell r="D363">
            <v>0</v>
          </cell>
          <cell r="E363" t="str">
            <v>INTERFACE CABLE</v>
          </cell>
          <cell r="F363">
            <v>1</v>
          </cell>
          <cell r="G363">
            <v>35339</v>
          </cell>
          <cell r="H363">
            <v>5300</v>
          </cell>
        </row>
        <row r="364">
          <cell r="A364">
            <v>3400004629</v>
          </cell>
          <cell r="B364">
            <v>5600</v>
          </cell>
          <cell r="C364">
            <v>61112</v>
          </cell>
          <cell r="D364">
            <v>0</v>
          </cell>
          <cell r="E364" t="str">
            <v>ADAPTER FOR ICT-SPEA Q5619 R21 DCCCR</v>
          </cell>
          <cell r="F364">
            <v>1</v>
          </cell>
          <cell r="G364">
            <v>35339</v>
          </cell>
          <cell r="H364">
            <v>22500</v>
          </cell>
        </row>
        <row r="365">
          <cell r="A365">
            <v>3400004630</v>
          </cell>
          <cell r="B365">
            <v>5600</v>
          </cell>
          <cell r="C365">
            <v>61112</v>
          </cell>
          <cell r="D365">
            <v>0</v>
          </cell>
          <cell r="E365" t="str">
            <v>ADAPTER FOR ICT-SPEA Q5682 DCCDE</v>
          </cell>
          <cell r="F365">
            <v>1</v>
          </cell>
          <cell r="G365">
            <v>35339</v>
          </cell>
          <cell r="H365">
            <v>22500</v>
          </cell>
        </row>
        <row r="366">
          <cell r="A366">
            <v>3400004631</v>
          </cell>
          <cell r="B366">
            <v>5600</v>
          </cell>
          <cell r="C366">
            <v>61112</v>
          </cell>
          <cell r="D366">
            <v>0</v>
          </cell>
          <cell r="E366" t="str">
            <v>ADAPTER FOR ICT-SPEA  Q5862 DCCDC</v>
          </cell>
          <cell r="F366">
            <v>1</v>
          </cell>
          <cell r="G366">
            <v>35339</v>
          </cell>
          <cell r="H366">
            <v>22500</v>
          </cell>
        </row>
        <row r="367">
          <cell r="A367">
            <v>3400004632</v>
          </cell>
          <cell r="B367">
            <v>5600</v>
          </cell>
          <cell r="C367">
            <v>61112</v>
          </cell>
          <cell r="D367">
            <v>0</v>
          </cell>
          <cell r="E367" t="str">
            <v>ADAPTER FOR ICT-SPEA</v>
          </cell>
          <cell r="F367">
            <v>1</v>
          </cell>
          <cell r="G367">
            <v>35339</v>
          </cell>
          <cell r="H367">
            <v>225300</v>
          </cell>
        </row>
        <row r="368">
          <cell r="A368">
            <v>3400004633</v>
          </cell>
          <cell r="B368">
            <v>5600</v>
          </cell>
          <cell r="C368">
            <v>61112</v>
          </cell>
          <cell r="D368">
            <v>0</v>
          </cell>
          <cell r="E368" t="str">
            <v>SHORT CIRCUIT BOX FOR ICT SPEA</v>
          </cell>
          <cell r="F368">
            <v>1</v>
          </cell>
          <cell r="G368">
            <v>35339</v>
          </cell>
          <cell r="H368">
            <v>107500</v>
          </cell>
        </row>
        <row r="369">
          <cell r="A369">
            <v>3400004634</v>
          </cell>
          <cell r="B369">
            <v>5600</v>
          </cell>
          <cell r="C369">
            <v>61112</v>
          </cell>
          <cell r="D369">
            <v>0</v>
          </cell>
          <cell r="E369" t="str">
            <v>VACCUM PUMP FOR ICT SPEA</v>
          </cell>
          <cell r="F369">
            <v>1</v>
          </cell>
          <cell r="G369">
            <v>35339</v>
          </cell>
          <cell r="H369">
            <v>68500</v>
          </cell>
        </row>
        <row r="370">
          <cell r="A370">
            <v>3400004662</v>
          </cell>
          <cell r="B370">
            <v>5600</v>
          </cell>
          <cell r="C370">
            <v>61112</v>
          </cell>
          <cell r="D370">
            <v>0</v>
          </cell>
          <cell r="E370" t="str">
            <v>ADATER FOR ICT UNITEST 100</v>
          </cell>
          <cell r="F370">
            <v>1</v>
          </cell>
          <cell r="G370">
            <v>35339</v>
          </cell>
          <cell r="H370">
            <v>28600</v>
          </cell>
        </row>
        <row r="371">
          <cell r="A371">
            <v>3400004663</v>
          </cell>
          <cell r="B371">
            <v>5600</v>
          </cell>
          <cell r="C371">
            <v>61112</v>
          </cell>
          <cell r="D371">
            <v>0</v>
          </cell>
          <cell r="E371" t="str">
            <v>ADATER FOR ICT UNITEST 100</v>
          </cell>
          <cell r="F371">
            <v>1</v>
          </cell>
          <cell r="G371">
            <v>35339</v>
          </cell>
          <cell r="H371">
            <v>28600</v>
          </cell>
        </row>
        <row r="372">
          <cell r="A372">
            <v>3400004664</v>
          </cell>
          <cell r="B372">
            <v>5600</v>
          </cell>
          <cell r="C372">
            <v>61112</v>
          </cell>
          <cell r="D372">
            <v>0</v>
          </cell>
          <cell r="E372" t="str">
            <v>ADATER FOR ICT Z 850 Q812LUMM</v>
          </cell>
          <cell r="F372">
            <v>1</v>
          </cell>
          <cell r="G372">
            <v>35339</v>
          </cell>
          <cell r="H372">
            <v>22700</v>
          </cell>
        </row>
        <row r="373">
          <cell r="A373">
            <v>3400004665</v>
          </cell>
          <cell r="B373">
            <v>5600</v>
          </cell>
          <cell r="C373">
            <v>61112</v>
          </cell>
          <cell r="D373">
            <v>0</v>
          </cell>
          <cell r="E373" t="str">
            <v>ADATER FOR ICT Z 850 Q877 FTEM</v>
          </cell>
          <cell r="F373">
            <v>1</v>
          </cell>
          <cell r="G373">
            <v>35339</v>
          </cell>
          <cell r="H373">
            <v>227400</v>
          </cell>
        </row>
        <row r="374">
          <cell r="A374">
            <v>3400004666</v>
          </cell>
          <cell r="B374">
            <v>5600</v>
          </cell>
          <cell r="C374">
            <v>61112</v>
          </cell>
          <cell r="D374">
            <v>0</v>
          </cell>
          <cell r="E374" t="str">
            <v>ADATER FOR ICT Z 850 Q811 LMEM</v>
          </cell>
          <cell r="F374">
            <v>1</v>
          </cell>
          <cell r="G374">
            <v>35339</v>
          </cell>
          <cell r="H374">
            <v>227400</v>
          </cell>
        </row>
        <row r="375">
          <cell r="A375">
            <v>3400004667</v>
          </cell>
          <cell r="B375">
            <v>5600</v>
          </cell>
          <cell r="C375">
            <v>61112</v>
          </cell>
          <cell r="D375">
            <v>0</v>
          </cell>
          <cell r="E375" t="str">
            <v>ADATER FOR ICT Z 850</v>
          </cell>
          <cell r="F375">
            <v>1</v>
          </cell>
          <cell r="G375">
            <v>35339</v>
          </cell>
          <cell r="H375">
            <v>227400</v>
          </cell>
        </row>
        <row r="376">
          <cell r="A376">
            <v>3400003617</v>
          </cell>
          <cell r="B376">
            <v>5600</v>
          </cell>
          <cell r="C376">
            <v>61112</v>
          </cell>
          <cell r="D376">
            <v>0</v>
          </cell>
          <cell r="E376" t="str">
            <v>TEST ADAPTER FOR SLMDB FOR Z850</v>
          </cell>
          <cell r="F376">
            <v>1</v>
          </cell>
          <cell r="G376">
            <v>35450</v>
          </cell>
          <cell r="H376">
            <v>399316.89</v>
          </cell>
        </row>
        <row r="377">
          <cell r="A377">
            <v>3400003618</v>
          </cell>
          <cell r="B377">
            <v>5600</v>
          </cell>
          <cell r="C377">
            <v>61112</v>
          </cell>
          <cell r="D377">
            <v>0</v>
          </cell>
          <cell r="E377" t="str">
            <v>TEST ADAPTER FOR DCCDF ON SPEA-100</v>
          </cell>
          <cell r="F377">
            <v>1</v>
          </cell>
          <cell r="G377">
            <v>35450</v>
          </cell>
          <cell r="H377">
            <v>521503.98</v>
          </cell>
        </row>
        <row r="378">
          <cell r="A378">
            <v>3400003619</v>
          </cell>
          <cell r="B378">
            <v>5600</v>
          </cell>
          <cell r="C378">
            <v>61112</v>
          </cell>
          <cell r="D378">
            <v>0</v>
          </cell>
          <cell r="E378" t="str">
            <v>INCIRCUIT TEST SYSTEM SPEA501AD</v>
          </cell>
          <cell r="F378">
            <v>1</v>
          </cell>
          <cell r="G378">
            <v>35450</v>
          </cell>
          <cell r="H378">
            <v>12993699.470000001</v>
          </cell>
        </row>
        <row r="379">
          <cell r="A379">
            <v>3400003620</v>
          </cell>
          <cell r="B379">
            <v>5600</v>
          </cell>
          <cell r="C379">
            <v>61112</v>
          </cell>
          <cell r="D379">
            <v>0</v>
          </cell>
          <cell r="E379" t="str">
            <v>CHANNEL KIT TEST SOFTWARE-UNITEST501</v>
          </cell>
          <cell r="F379">
            <v>1</v>
          </cell>
          <cell r="G379">
            <v>35450</v>
          </cell>
          <cell r="H379">
            <v>159314.23000000001</v>
          </cell>
        </row>
        <row r="380">
          <cell r="A380">
            <v>3400003621</v>
          </cell>
          <cell r="B380">
            <v>5600</v>
          </cell>
          <cell r="C380">
            <v>61112</v>
          </cell>
          <cell r="D380">
            <v>0</v>
          </cell>
          <cell r="E380" t="str">
            <v>EXTENDED KIT TEST SOFTWARE-UNITEST501AD</v>
          </cell>
          <cell r="F380">
            <v>1</v>
          </cell>
          <cell r="G380">
            <v>35450</v>
          </cell>
          <cell r="H380">
            <v>316319.56</v>
          </cell>
        </row>
        <row r="381">
          <cell r="A381">
            <v>3400003622</v>
          </cell>
          <cell r="B381">
            <v>5600</v>
          </cell>
          <cell r="C381">
            <v>61112</v>
          </cell>
          <cell r="D381">
            <v>0</v>
          </cell>
          <cell r="E381" t="str">
            <v>EXTENDED SPARE PART KIT SPEA501AD</v>
          </cell>
          <cell r="F381">
            <v>1</v>
          </cell>
          <cell r="G381">
            <v>35450</v>
          </cell>
          <cell r="H381">
            <v>492904.38</v>
          </cell>
        </row>
        <row r="382">
          <cell r="A382">
            <v>3400003791</v>
          </cell>
          <cell r="B382">
            <v>5800</v>
          </cell>
          <cell r="C382">
            <v>61207</v>
          </cell>
          <cell r="D382">
            <v>0</v>
          </cell>
          <cell r="E382" t="str">
            <v>POWER DIVIDER 4313B-2</v>
          </cell>
          <cell r="F382">
            <v>1</v>
          </cell>
          <cell r="G382">
            <v>35521</v>
          </cell>
          <cell r="H382">
            <v>17770</v>
          </cell>
        </row>
        <row r="383">
          <cell r="A383">
            <v>3400003792</v>
          </cell>
          <cell r="B383">
            <v>5800</v>
          </cell>
          <cell r="C383">
            <v>61207</v>
          </cell>
          <cell r="D383">
            <v>0</v>
          </cell>
          <cell r="E383" t="str">
            <v>POWER DIVIDER 4314B-2</v>
          </cell>
          <cell r="F383">
            <v>1</v>
          </cell>
          <cell r="G383">
            <v>35521</v>
          </cell>
          <cell r="H383">
            <v>17770</v>
          </cell>
        </row>
        <row r="384">
          <cell r="A384">
            <v>3400003793</v>
          </cell>
          <cell r="B384">
            <v>5800</v>
          </cell>
          <cell r="C384">
            <v>61207</v>
          </cell>
          <cell r="D384">
            <v>0</v>
          </cell>
          <cell r="E384" t="str">
            <v>ATTENUATOR 793FM</v>
          </cell>
          <cell r="F384">
            <v>1</v>
          </cell>
          <cell r="G384">
            <v>35521</v>
          </cell>
          <cell r="H384">
            <v>202682</v>
          </cell>
        </row>
        <row r="385">
          <cell r="A385">
            <v>3400003795</v>
          </cell>
          <cell r="B385">
            <v>5800</v>
          </cell>
          <cell r="C385">
            <v>61207</v>
          </cell>
          <cell r="D385">
            <v>0</v>
          </cell>
          <cell r="E385" t="str">
            <v>ELEC SCREWDRIVER DLV 8340 + TRANSFORMER</v>
          </cell>
          <cell r="F385">
            <v>1</v>
          </cell>
          <cell r="G385">
            <v>35521</v>
          </cell>
          <cell r="H385">
            <v>78505</v>
          </cell>
        </row>
        <row r="386">
          <cell r="A386">
            <v>3400003796</v>
          </cell>
          <cell r="B386">
            <v>5800</v>
          </cell>
          <cell r="C386">
            <v>61207</v>
          </cell>
          <cell r="D386">
            <v>0</v>
          </cell>
          <cell r="E386" t="str">
            <v>ATTENUATOR 4799</v>
          </cell>
          <cell r="F386">
            <v>1</v>
          </cell>
          <cell r="G386">
            <v>35521</v>
          </cell>
          <cell r="H386">
            <v>68737</v>
          </cell>
        </row>
        <row r="387">
          <cell r="A387">
            <v>3400003797</v>
          </cell>
          <cell r="B387">
            <v>5800</v>
          </cell>
          <cell r="C387">
            <v>61207</v>
          </cell>
          <cell r="D387">
            <v>0</v>
          </cell>
          <cell r="E387" t="str">
            <v>POWER DIVIDER  4316-2</v>
          </cell>
          <cell r="F387">
            <v>1</v>
          </cell>
          <cell r="G387">
            <v>35521</v>
          </cell>
          <cell r="H387">
            <v>44749.52</v>
          </cell>
        </row>
        <row r="388">
          <cell r="A388">
            <v>3400003820</v>
          </cell>
          <cell r="B388">
            <v>5800</v>
          </cell>
          <cell r="C388">
            <v>61102</v>
          </cell>
          <cell r="D388">
            <v>0</v>
          </cell>
          <cell r="E388" t="str">
            <v>STENCIL CLEANING MACHINE</v>
          </cell>
          <cell r="F388">
            <v>1</v>
          </cell>
          <cell r="G388">
            <v>35521</v>
          </cell>
          <cell r="H388">
            <v>8600</v>
          </cell>
        </row>
        <row r="389">
          <cell r="A389">
            <v>3400003821</v>
          </cell>
          <cell r="B389">
            <v>5800</v>
          </cell>
          <cell r="C389">
            <v>61102</v>
          </cell>
          <cell r="D389">
            <v>0</v>
          </cell>
          <cell r="E389" t="str">
            <v>PUMP FOR CLEANING SMT STENCIL MACHINE</v>
          </cell>
          <cell r="F389">
            <v>1</v>
          </cell>
          <cell r="G389">
            <v>35521</v>
          </cell>
          <cell r="H389">
            <v>9193</v>
          </cell>
        </row>
        <row r="390">
          <cell r="A390">
            <v>3400002827</v>
          </cell>
          <cell r="B390">
            <v>5800</v>
          </cell>
          <cell r="C390">
            <v>61157</v>
          </cell>
          <cell r="D390">
            <v>0</v>
          </cell>
          <cell r="E390" t="str">
            <v>UPS SYSTEM WITH BATTERIES</v>
          </cell>
          <cell r="F390">
            <v>1</v>
          </cell>
          <cell r="G390">
            <v>35339</v>
          </cell>
          <cell r="H390">
            <v>110000</v>
          </cell>
        </row>
        <row r="391">
          <cell r="A391">
            <v>3400002828</v>
          </cell>
          <cell r="B391">
            <v>5800</v>
          </cell>
          <cell r="C391">
            <v>61158</v>
          </cell>
          <cell r="D391">
            <v>0</v>
          </cell>
          <cell r="E391" t="str">
            <v>UPS SYSTEM WITH BATTERIES</v>
          </cell>
          <cell r="F391">
            <v>1</v>
          </cell>
          <cell r="G391">
            <v>35339</v>
          </cell>
          <cell r="H391">
            <v>47700</v>
          </cell>
        </row>
        <row r="392">
          <cell r="A392">
            <v>3400002833</v>
          </cell>
          <cell r="B392">
            <v>5800</v>
          </cell>
          <cell r="C392">
            <v>61150</v>
          </cell>
          <cell r="D392">
            <v>0</v>
          </cell>
          <cell r="E392" t="str">
            <v>ELECTRONIC WEIGHING MACHINE</v>
          </cell>
          <cell r="F392">
            <v>1</v>
          </cell>
          <cell r="G392">
            <v>35339</v>
          </cell>
          <cell r="H392">
            <v>15000</v>
          </cell>
        </row>
        <row r="393">
          <cell r="A393">
            <v>3400002834</v>
          </cell>
          <cell r="B393">
            <v>5800</v>
          </cell>
          <cell r="C393">
            <v>61150</v>
          </cell>
          <cell r="D393">
            <v>0</v>
          </cell>
          <cell r="E393" t="str">
            <v>ELECTRONIC WEIGHING MACHINE 60 KGS</v>
          </cell>
          <cell r="F393">
            <v>1</v>
          </cell>
          <cell r="G393">
            <v>35339</v>
          </cell>
          <cell r="H393">
            <v>16900</v>
          </cell>
        </row>
        <row r="394">
          <cell r="A394">
            <v>3400002838</v>
          </cell>
          <cell r="B394">
            <v>5800</v>
          </cell>
          <cell r="C394">
            <v>61118</v>
          </cell>
          <cell r="D394">
            <v>0</v>
          </cell>
          <cell r="E394" t="str">
            <v>FORK LIFT TRUCK</v>
          </cell>
          <cell r="F394">
            <v>1</v>
          </cell>
          <cell r="G394">
            <v>35339</v>
          </cell>
          <cell r="H394">
            <v>305900</v>
          </cell>
        </row>
        <row r="395">
          <cell r="A395">
            <v>3400002839</v>
          </cell>
          <cell r="B395">
            <v>5800</v>
          </cell>
          <cell r="C395">
            <v>61157</v>
          </cell>
          <cell r="D395">
            <v>0</v>
          </cell>
          <cell r="E395" t="str">
            <v>AIR COMPRESSOR</v>
          </cell>
          <cell r="F395">
            <v>1</v>
          </cell>
          <cell r="G395">
            <v>35339</v>
          </cell>
          <cell r="H395">
            <v>125100</v>
          </cell>
        </row>
        <row r="396">
          <cell r="A396">
            <v>3400002853</v>
          </cell>
          <cell r="B396">
            <v>5800</v>
          </cell>
          <cell r="C396">
            <v>61206</v>
          </cell>
          <cell r="D396">
            <v>0</v>
          </cell>
          <cell r="E396" t="str">
            <v>BD HAND PRESS</v>
          </cell>
          <cell r="F396">
            <v>1</v>
          </cell>
          <cell r="G396">
            <v>35339</v>
          </cell>
          <cell r="H396">
            <v>9400</v>
          </cell>
        </row>
        <row r="397">
          <cell r="A397">
            <v>3400002873</v>
          </cell>
          <cell r="B397">
            <v>5800</v>
          </cell>
          <cell r="C397">
            <v>61203</v>
          </cell>
          <cell r="D397">
            <v>0</v>
          </cell>
          <cell r="E397" t="str">
            <v>FAXSIMILIE MACHINES</v>
          </cell>
          <cell r="F397">
            <v>1</v>
          </cell>
          <cell r="G397">
            <v>35339</v>
          </cell>
          <cell r="H397">
            <v>16900</v>
          </cell>
        </row>
        <row r="398">
          <cell r="A398">
            <v>3400002874</v>
          </cell>
          <cell r="B398">
            <v>5800</v>
          </cell>
          <cell r="C398">
            <v>61162</v>
          </cell>
          <cell r="D398">
            <v>0</v>
          </cell>
          <cell r="E398" t="str">
            <v>FAXSIMILIE MACHINES</v>
          </cell>
          <cell r="F398">
            <v>1</v>
          </cell>
          <cell r="G398">
            <v>35339</v>
          </cell>
          <cell r="H398">
            <v>16900</v>
          </cell>
        </row>
        <row r="399">
          <cell r="A399">
            <v>3400003369</v>
          </cell>
          <cell r="B399">
            <v>5800</v>
          </cell>
          <cell r="C399">
            <v>61150</v>
          </cell>
          <cell r="D399">
            <v>0</v>
          </cell>
          <cell r="E399" t="str">
            <v>ESSAE DIGI WEIGHING MACHINE</v>
          </cell>
          <cell r="F399">
            <v>1</v>
          </cell>
          <cell r="G399">
            <v>35339</v>
          </cell>
          <cell r="H399">
            <v>53400</v>
          </cell>
        </row>
        <row r="400">
          <cell r="A400">
            <v>3400003904</v>
          </cell>
          <cell r="B400">
            <v>5800</v>
          </cell>
          <cell r="C400">
            <v>61116</v>
          </cell>
          <cell r="D400">
            <v>0</v>
          </cell>
          <cell r="E400" t="str">
            <v>HEATING &amp; VENTILATION FOR BURN IN CHAMBR</v>
          </cell>
          <cell r="F400">
            <v>1</v>
          </cell>
          <cell r="G400">
            <v>35339</v>
          </cell>
          <cell r="H400">
            <v>85700</v>
          </cell>
        </row>
        <row r="401">
          <cell r="A401">
            <v>3400003922</v>
          </cell>
          <cell r="B401">
            <v>5800</v>
          </cell>
          <cell r="C401">
            <v>61116</v>
          </cell>
          <cell r="D401">
            <v>0</v>
          </cell>
          <cell r="E401" t="str">
            <v>BURN IN CHAMBER TRANSMISSION</v>
          </cell>
          <cell r="F401">
            <v>1</v>
          </cell>
          <cell r="G401">
            <v>35339</v>
          </cell>
          <cell r="H401">
            <v>80400</v>
          </cell>
        </row>
        <row r="402">
          <cell r="A402">
            <v>3400004090</v>
          </cell>
          <cell r="B402">
            <v>5800</v>
          </cell>
          <cell r="C402">
            <v>61115</v>
          </cell>
          <cell r="D402">
            <v>0</v>
          </cell>
          <cell r="E402" t="str">
            <v>RUN IN CHAMBER COMPLETE</v>
          </cell>
          <cell r="F402">
            <v>1</v>
          </cell>
          <cell r="G402">
            <v>35339</v>
          </cell>
          <cell r="H402">
            <v>187000</v>
          </cell>
        </row>
        <row r="403">
          <cell r="A403">
            <v>3400004263</v>
          </cell>
          <cell r="B403">
            <v>5800</v>
          </cell>
          <cell r="C403">
            <v>61153</v>
          </cell>
          <cell r="D403">
            <v>0</v>
          </cell>
          <cell r="E403" t="str">
            <v>SEHI AUTOMATIC BOX STRAPPING MACHINE</v>
          </cell>
          <cell r="F403">
            <v>1</v>
          </cell>
          <cell r="G403">
            <v>35339</v>
          </cell>
          <cell r="H403">
            <v>26600</v>
          </cell>
        </row>
        <row r="404">
          <cell r="A404">
            <v>3400004366</v>
          </cell>
          <cell r="B404">
            <v>5800</v>
          </cell>
          <cell r="C404">
            <v>61104</v>
          </cell>
          <cell r="D404">
            <v>0</v>
          </cell>
          <cell r="E404" t="str">
            <v>ROLL OF DEVICE FOR ADHE TAPE</v>
          </cell>
          <cell r="F404">
            <v>1</v>
          </cell>
          <cell r="G404">
            <v>35339</v>
          </cell>
          <cell r="H404">
            <v>5800</v>
          </cell>
        </row>
        <row r="405">
          <cell r="A405">
            <v>3400004368</v>
          </cell>
          <cell r="B405">
            <v>5800</v>
          </cell>
          <cell r="C405">
            <v>61104</v>
          </cell>
          <cell r="D405">
            <v>0</v>
          </cell>
          <cell r="E405" t="str">
            <v>CABLE SHEARS</v>
          </cell>
          <cell r="F405">
            <v>1</v>
          </cell>
          <cell r="G405">
            <v>35339</v>
          </cell>
          <cell r="H405">
            <v>4100</v>
          </cell>
        </row>
        <row r="406">
          <cell r="A406">
            <v>3400004369</v>
          </cell>
          <cell r="B406">
            <v>5800</v>
          </cell>
          <cell r="C406">
            <v>61104</v>
          </cell>
          <cell r="D406">
            <v>0</v>
          </cell>
          <cell r="E406" t="str">
            <v>CABLE SHEARS</v>
          </cell>
          <cell r="F406">
            <v>1</v>
          </cell>
          <cell r="G406">
            <v>35339</v>
          </cell>
          <cell r="H406">
            <v>4100</v>
          </cell>
        </row>
        <row r="407">
          <cell r="A407">
            <v>3400004370</v>
          </cell>
          <cell r="B407">
            <v>5800</v>
          </cell>
          <cell r="C407">
            <v>61104</v>
          </cell>
          <cell r="D407">
            <v>0</v>
          </cell>
          <cell r="E407" t="str">
            <v>ROLL OFF DEVICE ADHESIVA TAPE</v>
          </cell>
          <cell r="F407">
            <v>1</v>
          </cell>
          <cell r="G407">
            <v>35339</v>
          </cell>
          <cell r="H407">
            <v>12600</v>
          </cell>
        </row>
        <row r="408">
          <cell r="A408">
            <v>3400004371</v>
          </cell>
          <cell r="B408">
            <v>5800</v>
          </cell>
          <cell r="C408">
            <v>61104</v>
          </cell>
          <cell r="D408">
            <v>0</v>
          </cell>
          <cell r="E408" t="str">
            <v>HOT AIR BLOWER CHIBLI&amp;REFLECTOR FOR C</v>
          </cell>
          <cell r="F408">
            <v>1</v>
          </cell>
          <cell r="G408">
            <v>35339</v>
          </cell>
          <cell r="H408">
            <v>12000</v>
          </cell>
        </row>
        <row r="409">
          <cell r="A409">
            <v>3400004372</v>
          </cell>
          <cell r="B409">
            <v>5800</v>
          </cell>
          <cell r="C409">
            <v>61104</v>
          </cell>
          <cell r="D409">
            <v>0</v>
          </cell>
          <cell r="E409" t="str">
            <v>HOT AIR BLOWER CHIBLI&amp;REFLECTOR FOR C</v>
          </cell>
          <cell r="F409">
            <v>1</v>
          </cell>
          <cell r="G409">
            <v>35339</v>
          </cell>
          <cell r="H409">
            <v>12000</v>
          </cell>
        </row>
        <row r="410">
          <cell r="A410">
            <v>3400004374</v>
          </cell>
          <cell r="B410">
            <v>5800</v>
          </cell>
          <cell r="C410">
            <v>61104</v>
          </cell>
          <cell r="D410">
            <v>0</v>
          </cell>
          <cell r="E410" t="str">
            <v>REWIND MEASURE CUTTING EQ</v>
          </cell>
          <cell r="F410">
            <v>1</v>
          </cell>
          <cell r="G410">
            <v>35339</v>
          </cell>
          <cell r="H410">
            <v>433300</v>
          </cell>
        </row>
        <row r="411">
          <cell r="A411">
            <v>3400004375</v>
          </cell>
          <cell r="B411">
            <v>5800</v>
          </cell>
          <cell r="C411">
            <v>61104</v>
          </cell>
          <cell r="D411">
            <v>0</v>
          </cell>
          <cell r="E411" t="str">
            <v>MT-MATIC</v>
          </cell>
          <cell r="F411">
            <v>1</v>
          </cell>
          <cell r="G411">
            <v>35339</v>
          </cell>
          <cell r="H411">
            <v>1029900</v>
          </cell>
        </row>
        <row r="412">
          <cell r="A412">
            <v>3400004376</v>
          </cell>
          <cell r="B412">
            <v>5800</v>
          </cell>
          <cell r="C412">
            <v>61104</v>
          </cell>
          <cell r="D412">
            <v>0</v>
          </cell>
          <cell r="E412" t="str">
            <v>PLUG AND CABLE TEST ADAPTER AND SPARE</v>
          </cell>
          <cell r="F412">
            <v>1</v>
          </cell>
          <cell r="G412">
            <v>35339</v>
          </cell>
          <cell r="H412">
            <v>185000</v>
          </cell>
        </row>
        <row r="413">
          <cell r="A413">
            <v>3400004377</v>
          </cell>
          <cell r="B413">
            <v>5800</v>
          </cell>
          <cell r="C413">
            <v>61104</v>
          </cell>
          <cell r="D413">
            <v>0</v>
          </cell>
          <cell r="E413" t="str">
            <v>ISOLATION TESTER</v>
          </cell>
          <cell r="F413">
            <v>1</v>
          </cell>
          <cell r="G413">
            <v>35339</v>
          </cell>
          <cell r="H413">
            <v>22100</v>
          </cell>
        </row>
        <row r="414">
          <cell r="A414">
            <v>3400004379</v>
          </cell>
          <cell r="B414">
            <v>5800</v>
          </cell>
          <cell r="C414">
            <v>61104</v>
          </cell>
          <cell r="D414">
            <v>0</v>
          </cell>
          <cell r="E414" t="str">
            <v>MOUNTING DEVICE</v>
          </cell>
          <cell r="F414">
            <v>1</v>
          </cell>
          <cell r="G414">
            <v>35339</v>
          </cell>
          <cell r="H414">
            <v>279000</v>
          </cell>
        </row>
        <row r="415">
          <cell r="A415">
            <v>3400004380</v>
          </cell>
          <cell r="B415">
            <v>5800</v>
          </cell>
          <cell r="C415">
            <v>61104</v>
          </cell>
          <cell r="D415">
            <v>0</v>
          </cell>
          <cell r="E415" t="str">
            <v>PREMOUNTING DEVICE</v>
          </cell>
          <cell r="F415">
            <v>1</v>
          </cell>
          <cell r="G415">
            <v>35339</v>
          </cell>
          <cell r="H415">
            <v>193400</v>
          </cell>
        </row>
        <row r="416">
          <cell r="A416">
            <v>3400004381</v>
          </cell>
          <cell r="B416">
            <v>5800</v>
          </cell>
          <cell r="C416">
            <v>61104</v>
          </cell>
          <cell r="D416">
            <v>0</v>
          </cell>
          <cell r="E416" t="str">
            <v>PREMOUNTING DEVICE</v>
          </cell>
          <cell r="F416">
            <v>1</v>
          </cell>
          <cell r="G416">
            <v>35339</v>
          </cell>
          <cell r="H416">
            <v>193400</v>
          </cell>
        </row>
        <row r="417">
          <cell r="A417">
            <v>3400004382</v>
          </cell>
          <cell r="B417">
            <v>5800</v>
          </cell>
          <cell r="C417">
            <v>61104</v>
          </cell>
          <cell r="D417">
            <v>0</v>
          </cell>
          <cell r="E417" t="str">
            <v>FINAL ASSEMBLY DEVICE</v>
          </cell>
          <cell r="F417">
            <v>1</v>
          </cell>
          <cell r="G417">
            <v>35339</v>
          </cell>
          <cell r="H417">
            <v>1071700</v>
          </cell>
        </row>
        <row r="418">
          <cell r="A418">
            <v>3400004383</v>
          </cell>
          <cell r="B418">
            <v>5800</v>
          </cell>
          <cell r="C418">
            <v>61104</v>
          </cell>
          <cell r="D418">
            <v>0</v>
          </cell>
          <cell r="E418" t="str">
            <v>ADJUSTING GAUGE</v>
          </cell>
          <cell r="F418">
            <v>1</v>
          </cell>
          <cell r="G418">
            <v>35339</v>
          </cell>
          <cell r="H418">
            <v>23000</v>
          </cell>
        </row>
        <row r="419">
          <cell r="A419">
            <v>3400004385</v>
          </cell>
          <cell r="B419">
            <v>5800</v>
          </cell>
          <cell r="C419">
            <v>61104</v>
          </cell>
          <cell r="D419">
            <v>0</v>
          </cell>
          <cell r="E419" t="str">
            <v>SOLDERING STATION</v>
          </cell>
          <cell r="F419">
            <v>1</v>
          </cell>
          <cell r="G419">
            <v>35339</v>
          </cell>
          <cell r="H419">
            <v>8000</v>
          </cell>
        </row>
        <row r="420">
          <cell r="A420">
            <v>3400004386</v>
          </cell>
          <cell r="B420">
            <v>5800</v>
          </cell>
          <cell r="C420">
            <v>61104</v>
          </cell>
          <cell r="D420">
            <v>0</v>
          </cell>
          <cell r="E420" t="str">
            <v>SOLDERING STATION</v>
          </cell>
          <cell r="F420">
            <v>1</v>
          </cell>
          <cell r="G420">
            <v>35339</v>
          </cell>
          <cell r="H420">
            <v>8000</v>
          </cell>
        </row>
        <row r="421">
          <cell r="A421">
            <v>3400004387</v>
          </cell>
          <cell r="B421">
            <v>5800</v>
          </cell>
          <cell r="C421">
            <v>61104</v>
          </cell>
          <cell r="D421">
            <v>0</v>
          </cell>
          <cell r="E421" t="str">
            <v>SOLDERING STATION</v>
          </cell>
          <cell r="F421">
            <v>1</v>
          </cell>
          <cell r="G421">
            <v>35339</v>
          </cell>
          <cell r="H421">
            <v>8000</v>
          </cell>
        </row>
        <row r="422">
          <cell r="A422">
            <v>3400004420</v>
          </cell>
          <cell r="B422">
            <v>5800</v>
          </cell>
          <cell r="C422">
            <v>61104</v>
          </cell>
          <cell r="D422">
            <v>0</v>
          </cell>
          <cell r="E422" t="str">
            <v>PRE-MOUNTING DEVICE NO 1045768 WITH M S</v>
          </cell>
          <cell r="F422">
            <v>1</v>
          </cell>
          <cell r="G422">
            <v>35339</v>
          </cell>
          <cell r="H422">
            <v>9000</v>
          </cell>
        </row>
        <row r="423">
          <cell r="A423">
            <v>3400004421</v>
          </cell>
          <cell r="B423">
            <v>5800</v>
          </cell>
          <cell r="C423">
            <v>61104</v>
          </cell>
          <cell r="D423">
            <v>0</v>
          </cell>
          <cell r="E423" t="str">
            <v>PRE-MOUNTING DEVICE 1045768WITH M S TRAY</v>
          </cell>
          <cell r="F423">
            <v>1</v>
          </cell>
          <cell r="G423">
            <v>35339</v>
          </cell>
          <cell r="H423">
            <v>9000</v>
          </cell>
        </row>
        <row r="424">
          <cell r="A424">
            <v>3400004422</v>
          </cell>
          <cell r="B424">
            <v>5800</v>
          </cell>
          <cell r="C424">
            <v>61104</v>
          </cell>
          <cell r="D424">
            <v>0</v>
          </cell>
          <cell r="E424" t="str">
            <v>PRE MOUNTING DEVICE 1045768WITH M S TRAY</v>
          </cell>
          <cell r="F424">
            <v>1</v>
          </cell>
          <cell r="G424">
            <v>35339</v>
          </cell>
          <cell r="H424">
            <v>9000</v>
          </cell>
        </row>
        <row r="425">
          <cell r="A425">
            <v>3400004460</v>
          </cell>
          <cell r="B425">
            <v>5800</v>
          </cell>
          <cell r="C425">
            <v>61153</v>
          </cell>
          <cell r="D425">
            <v>0</v>
          </cell>
          <cell r="E425" t="str">
            <v>MODIFICATION DESK WITH TOOL CASES</v>
          </cell>
          <cell r="F425">
            <v>1</v>
          </cell>
          <cell r="G425">
            <v>35339</v>
          </cell>
          <cell r="H425">
            <v>226700</v>
          </cell>
        </row>
        <row r="426">
          <cell r="A426">
            <v>3400004469</v>
          </cell>
          <cell r="B426">
            <v>5800</v>
          </cell>
          <cell r="C426">
            <v>61153</v>
          </cell>
          <cell r="D426">
            <v>0</v>
          </cell>
          <cell r="E426" t="str">
            <v>LABEL PRINTING SYSTEM WITH ACCESSORIES</v>
          </cell>
          <cell r="F426">
            <v>1</v>
          </cell>
          <cell r="G426">
            <v>35339</v>
          </cell>
          <cell r="H426">
            <v>186800</v>
          </cell>
        </row>
        <row r="427">
          <cell r="A427">
            <v>3400004474</v>
          </cell>
          <cell r="B427">
            <v>5800</v>
          </cell>
          <cell r="C427">
            <v>61153</v>
          </cell>
          <cell r="D427">
            <v>0</v>
          </cell>
          <cell r="E427" t="str">
            <v>SPARE MEMORY MODULE FOR LABEL PRINTING S</v>
          </cell>
          <cell r="F427">
            <v>1</v>
          </cell>
          <cell r="G427">
            <v>35339</v>
          </cell>
          <cell r="H427">
            <v>12500</v>
          </cell>
        </row>
        <row r="428">
          <cell r="A428">
            <v>3400004483</v>
          </cell>
          <cell r="B428">
            <v>5800</v>
          </cell>
          <cell r="C428">
            <v>61112</v>
          </cell>
          <cell r="D428">
            <v>0</v>
          </cell>
          <cell r="E428" t="str">
            <v>DYNASCAN ILLUMINATED MAGNIFIERS</v>
          </cell>
          <cell r="F428">
            <v>1</v>
          </cell>
          <cell r="G428">
            <v>35339</v>
          </cell>
          <cell r="H428">
            <v>28300</v>
          </cell>
        </row>
        <row r="429">
          <cell r="A429">
            <v>3400004495</v>
          </cell>
          <cell r="B429">
            <v>5800</v>
          </cell>
          <cell r="C429">
            <v>61107</v>
          </cell>
          <cell r="D429">
            <v>0</v>
          </cell>
          <cell r="E429" t="str">
            <v>PNEUMATIC CRIMP TOOL</v>
          </cell>
          <cell r="F429">
            <v>1</v>
          </cell>
          <cell r="G429">
            <v>35339</v>
          </cell>
          <cell r="H429">
            <v>666100</v>
          </cell>
        </row>
        <row r="430">
          <cell r="A430">
            <v>3400004521</v>
          </cell>
          <cell r="B430">
            <v>5800</v>
          </cell>
          <cell r="C430">
            <v>61107</v>
          </cell>
          <cell r="D430">
            <v>0</v>
          </cell>
          <cell r="E430" t="str">
            <v>PNEUMATIC SCREW DRIVER IS-STC 0088</v>
          </cell>
          <cell r="F430">
            <v>1</v>
          </cell>
          <cell r="G430">
            <v>35339</v>
          </cell>
          <cell r="H430">
            <v>10100</v>
          </cell>
        </row>
        <row r="431">
          <cell r="A431">
            <v>3400004522</v>
          </cell>
          <cell r="B431">
            <v>5800</v>
          </cell>
          <cell r="C431">
            <v>61107</v>
          </cell>
          <cell r="D431">
            <v>0</v>
          </cell>
          <cell r="E431" t="str">
            <v>PNEUMATIC SCREW DRIVER IS-STC 0088</v>
          </cell>
          <cell r="F431">
            <v>1</v>
          </cell>
          <cell r="G431">
            <v>35339</v>
          </cell>
          <cell r="H431">
            <v>10100</v>
          </cell>
        </row>
        <row r="432">
          <cell r="A432">
            <v>3400004523</v>
          </cell>
          <cell r="B432">
            <v>5800</v>
          </cell>
          <cell r="C432">
            <v>61107</v>
          </cell>
          <cell r="D432">
            <v>0</v>
          </cell>
          <cell r="E432" t="str">
            <v>PNEUMATIC SCREW DRIVER IS 4TC 0064</v>
          </cell>
          <cell r="F432">
            <v>1</v>
          </cell>
          <cell r="G432">
            <v>35339</v>
          </cell>
          <cell r="H432">
            <v>7400</v>
          </cell>
        </row>
        <row r="433">
          <cell r="A433">
            <v>3400004524</v>
          </cell>
          <cell r="B433">
            <v>5800</v>
          </cell>
          <cell r="C433">
            <v>61107</v>
          </cell>
          <cell r="D433">
            <v>0</v>
          </cell>
          <cell r="E433" t="str">
            <v>PNEUMATIC SCREW DRIVER IS 4TC 0063</v>
          </cell>
          <cell r="F433">
            <v>1</v>
          </cell>
          <cell r="G433">
            <v>35339</v>
          </cell>
          <cell r="H433">
            <v>7400</v>
          </cell>
        </row>
        <row r="434">
          <cell r="A434">
            <v>3400004525</v>
          </cell>
          <cell r="B434">
            <v>5800</v>
          </cell>
          <cell r="C434">
            <v>61112</v>
          </cell>
          <cell r="D434">
            <v>0</v>
          </cell>
          <cell r="E434" t="str">
            <v>PNEUMATIC SCREW DRIVER IS 4TC 0062</v>
          </cell>
          <cell r="F434">
            <v>1</v>
          </cell>
          <cell r="G434">
            <v>35339</v>
          </cell>
          <cell r="H434">
            <v>7400</v>
          </cell>
        </row>
        <row r="435">
          <cell r="A435">
            <v>3400004526</v>
          </cell>
          <cell r="B435">
            <v>5800</v>
          </cell>
          <cell r="C435">
            <v>61107</v>
          </cell>
          <cell r="D435">
            <v>0</v>
          </cell>
          <cell r="E435" t="str">
            <v>PNEUMATIC SCREW DRIVER IS 4TC 0061</v>
          </cell>
          <cell r="F435">
            <v>1</v>
          </cell>
          <cell r="G435">
            <v>35339</v>
          </cell>
          <cell r="H435">
            <v>7400</v>
          </cell>
        </row>
        <row r="436">
          <cell r="A436">
            <v>3400004559</v>
          </cell>
          <cell r="B436">
            <v>5800</v>
          </cell>
          <cell r="C436">
            <v>61206</v>
          </cell>
          <cell r="D436">
            <v>0</v>
          </cell>
          <cell r="E436" t="str">
            <v>PNEUMATIC SCREW DRIVER WITH FITTINGS</v>
          </cell>
          <cell r="F436">
            <v>1</v>
          </cell>
          <cell r="G436">
            <v>35339</v>
          </cell>
          <cell r="H436">
            <v>54500</v>
          </cell>
        </row>
        <row r="437">
          <cell r="A437">
            <v>3400004560</v>
          </cell>
          <cell r="B437">
            <v>5800</v>
          </cell>
          <cell r="C437">
            <v>61107</v>
          </cell>
          <cell r="D437">
            <v>0</v>
          </cell>
          <cell r="E437" t="str">
            <v>PULL TEST GAUGE FOR WIRE WRAP</v>
          </cell>
          <cell r="F437">
            <v>1</v>
          </cell>
          <cell r="G437">
            <v>35339</v>
          </cell>
          <cell r="H437">
            <v>24200</v>
          </cell>
        </row>
        <row r="438">
          <cell r="A438">
            <v>3400004561</v>
          </cell>
          <cell r="B438">
            <v>5800</v>
          </cell>
          <cell r="C438">
            <v>61109</v>
          </cell>
          <cell r="D438">
            <v>0</v>
          </cell>
          <cell r="E438" t="str">
            <v>GUIDING SLEEVE</v>
          </cell>
          <cell r="F438">
            <v>1</v>
          </cell>
          <cell r="G438">
            <v>35339</v>
          </cell>
          <cell r="H438">
            <v>5900</v>
          </cell>
        </row>
        <row r="439">
          <cell r="A439">
            <v>3400004562</v>
          </cell>
          <cell r="B439">
            <v>5800</v>
          </cell>
          <cell r="C439">
            <v>61109</v>
          </cell>
          <cell r="D439">
            <v>0</v>
          </cell>
          <cell r="E439" t="str">
            <v>WRAPPING INSERT TYPE 507063</v>
          </cell>
          <cell r="F439">
            <v>1</v>
          </cell>
          <cell r="G439">
            <v>35339</v>
          </cell>
          <cell r="H439">
            <v>4500</v>
          </cell>
        </row>
        <row r="440">
          <cell r="A440">
            <v>3400004563</v>
          </cell>
          <cell r="B440">
            <v>5800</v>
          </cell>
          <cell r="C440">
            <v>61109</v>
          </cell>
          <cell r="D440">
            <v>0</v>
          </cell>
          <cell r="E440" t="str">
            <v>WIRE WRAP TOOL BATTERY POWERED 14 R3</v>
          </cell>
          <cell r="F440">
            <v>1</v>
          </cell>
          <cell r="G440">
            <v>35339</v>
          </cell>
          <cell r="H440">
            <v>17400</v>
          </cell>
        </row>
        <row r="441">
          <cell r="A441">
            <v>3400004564</v>
          </cell>
          <cell r="B441">
            <v>5800</v>
          </cell>
          <cell r="C441">
            <v>61109</v>
          </cell>
          <cell r="D441">
            <v>0</v>
          </cell>
          <cell r="E441" t="str">
            <v>WIRE WRAP GUN AIR POWERED</v>
          </cell>
          <cell r="F441">
            <v>1</v>
          </cell>
          <cell r="G441">
            <v>35339</v>
          </cell>
          <cell r="H441">
            <v>30400</v>
          </cell>
        </row>
        <row r="442">
          <cell r="A442">
            <v>3400004565</v>
          </cell>
          <cell r="B442">
            <v>5800</v>
          </cell>
          <cell r="C442">
            <v>61104</v>
          </cell>
          <cell r="D442">
            <v>0</v>
          </cell>
          <cell r="E442" t="str">
            <v>SOLDERING STATION HAND SET</v>
          </cell>
          <cell r="F442">
            <v>1</v>
          </cell>
          <cell r="G442">
            <v>35339</v>
          </cell>
          <cell r="H442">
            <v>9600</v>
          </cell>
        </row>
        <row r="443">
          <cell r="A443">
            <v>3400004566</v>
          </cell>
          <cell r="B443">
            <v>5800</v>
          </cell>
          <cell r="C443">
            <v>61112</v>
          </cell>
          <cell r="D443">
            <v>0</v>
          </cell>
          <cell r="E443" t="str">
            <v>SOLDERING STATION HAND SET</v>
          </cell>
          <cell r="F443">
            <v>1</v>
          </cell>
          <cell r="G443">
            <v>35339</v>
          </cell>
          <cell r="H443">
            <v>8200</v>
          </cell>
        </row>
        <row r="444">
          <cell r="A444">
            <v>3400004567</v>
          </cell>
          <cell r="B444">
            <v>5800</v>
          </cell>
          <cell r="C444">
            <v>61107</v>
          </cell>
          <cell r="D444">
            <v>0</v>
          </cell>
          <cell r="E444" t="str">
            <v>PNEUMATIC SCREW DRIVER WITH BITS</v>
          </cell>
          <cell r="F444">
            <v>1</v>
          </cell>
          <cell r="G444">
            <v>35339</v>
          </cell>
          <cell r="H444">
            <v>38800</v>
          </cell>
        </row>
        <row r="445">
          <cell r="A445">
            <v>3400004568</v>
          </cell>
          <cell r="B445">
            <v>5800</v>
          </cell>
          <cell r="C445">
            <v>61107</v>
          </cell>
          <cell r="D445">
            <v>0</v>
          </cell>
          <cell r="E445" t="str">
            <v>STRIPPING DEVICE</v>
          </cell>
          <cell r="F445">
            <v>1</v>
          </cell>
          <cell r="G445">
            <v>35339</v>
          </cell>
          <cell r="H445">
            <v>80600</v>
          </cell>
        </row>
        <row r="446">
          <cell r="A446">
            <v>3400004569</v>
          </cell>
          <cell r="B446">
            <v>5800</v>
          </cell>
          <cell r="C446">
            <v>61107</v>
          </cell>
          <cell r="D446">
            <v>0</v>
          </cell>
          <cell r="E446" t="str">
            <v>STAMPING DEVICE</v>
          </cell>
          <cell r="F446">
            <v>1</v>
          </cell>
          <cell r="G446">
            <v>35339</v>
          </cell>
          <cell r="H446">
            <v>158600</v>
          </cell>
        </row>
        <row r="447">
          <cell r="A447">
            <v>3400004573</v>
          </cell>
          <cell r="B447">
            <v>5800</v>
          </cell>
          <cell r="C447">
            <v>61102</v>
          </cell>
          <cell r="D447">
            <v>0</v>
          </cell>
          <cell r="E447" t="str">
            <v>DRILLING MACHINE FOR BOARDS</v>
          </cell>
          <cell r="F447">
            <v>1</v>
          </cell>
          <cell r="G447">
            <v>35339</v>
          </cell>
          <cell r="H447">
            <v>14000</v>
          </cell>
        </row>
        <row r="448">
          <cell r="A448">
            <v>3400004595</v>
          </cell>
          <cell r="B448">
            <v>5800</v>
          </cell>
          <cell r="C448">
            <v>61150</v>
          </cell>
          <cell r="D448">
            <v>0</v>
          </cell>
          <cell r="E448" t="str">
            <v>COUNTING UNIT &amp; WINDING DEVICE</v>
          </cell>
          <cell r="F448">
            <v>1</v>
          </cell>
          <cell r="G448">
            <v>35339</v>
          </cell>
          <cell r="H448">
            <v>54800</v>
          </cell>
        </row>
        <row r="449">
          <cell r="A449">
            <v>3400004596</v>
          </cell>
          <cell r="B449">
            <v>5800</v>
          </cell>
          <cell r="C449">
            <v>61150</v>
          </cell>
          <cell r="D449">
            <v>0</v>
          </cell>
          <cell r="E449" t="str">
            <v>COUNTING UNIT &amp; WINDING DEVICE</v>
          </cell>
          <cell r="F449">
            <v>1</v>
          </cell>
          <cell r="G449">
            <v>35339</v>
          </cell>
          <cell r="H449">
            <v>54800</v>
          </cell>
        </row>
        <row r="450">
          <cell r="A450">
            <v>3400004597</v>
          </cell>
          <cell r="B450">
            <v>5800</v>
          </cell>
          <cell r="C450">
            <v>61150</v>
          </cell>
          <cell r="D450">
            <v>0</v>
          </cell>
          <cell r="E450" t="str">
            <v>MOUNTING UNIT &amp; WINDING DEVICE</v>
          </cell>
          <cell r="F450">
            <v>1</v>
          </cell>
          <cell r="G450">
            <v>35339</v>
          </cell>
          <cell r="H450">
            <v>65200</v>
          </cell>
        </row>
        <row r="451">
          <cell r="A451">
            <v>3400004599</v>
          </cell>
          <cell r="B451">
            <v>5800</v>
          </cell>
          <cell r="C451">
            <v>61107</v>
          </cell>
          <cell r="D451">
            <v>0</v>
          </cell>
          <cell r="E451" t="str">
            <v>TURN TABLE FOR FINAL ASSEMBLY</v>
          </cell>
          <cell r="F451">
            <v>1</v>
          </cell>
          <cell r="G451">
            <v>35339</v>
          </cell>
          <cell r="H451">
            <v>168200</v>
          </cell>
        </row>
        <row r="452">
          <cell r="A452">
            <v>3400004600</v>
          </cell>
          <cell r="B452">
            <v>5800</v>
          </cell>
          <cell r="C452">
            <v>61107</v>
          </cell>
          <cell r="D452">
            <v>0</v>
          </cell>
          <cell r="E452" t="str">
            <v>SEPARATOR FOR PSEUDO VECTORS</v>
          </cell>
          <cell r="F452">
            <v>1</v>
          </cell>
          <cell r="G452">
            <v>35339</v>
          </cell>
          <cell r="H452">
            <v>46700</v>
          </cell>
        </row>
        <row r="453">
          <cell r="A453">
            <v>3400004601</v>
          </cell>
          <cell r="B453">
            <v>5800</v>
          </cell>
          <cell r="C453">
            <v>61107</v>
          </cell>
          <cell r="D453">
            <v>0</v>
          </cell>
          <cell r="E453" t="str">
            <v>PULL OUT TOOL STANDARD</v>
          </cell>
          <cell r="F453">
            <v>1</v>
          </cell>
          <cell r="G453">
            <v>35339</v>
          </cell>
          <cell r="H453">
            <v>105500</v>
          </cell>
        </row>
        <row r="454">
          <cell r="A454">
            <v>3400004602</v>
          </cell>
          <cell r="B454">
            <v>5800</v>
          </cell>
          <cell r="C454">
            <v>61107</v>
          </cell>
          <cell r="D454">
            <v>0</v>
          </cell>
          <cell r="E454" t="str">
            <v>PULL-OUT TOOL FOR BROKEN BLADE CONTACTS</v>
          </cell>
          <cell r="F454">
            <v>1</v>
          </cell>
          <cell r="G454">
            <v>35339</v>
          </cell>
          <cell r="H454">
            <v>89400</v>
          </cell>
        </row>
        <row r="455">
          <cell r="A455">
            <v>3400004603</v>
          </cell>
          <cell r="B455">
            <v>5800</v>
          </cell>
          <cell r="C455">
            <v>61107</v>
          </cell>
          <cell r="D455">
            <v>0</v>
          </cell>
          <cell r="E455" t="str">
            <v>INSERT TOOL</v>
          </cell>
          <cell r="F455">
            <v>1</v>
          </cell>
          <cell r="G455">
            <v>35339</v>
          </cell>
          <cell r="H455">
            <v>37400</v>
          </cell>
        </row>
        <row r="456">
          <cell r="A456">
            <v>3400004606</v>
          </cell>
          <cell r="B456">
            <v>5800</v>
          </cell>
          <cell r="C456">
            <v>61107</v>
          </cell>
          <cell r="D456">
            <v>0</v>
          </cell>
          <cell r="E456" t="str">
            <v>MOUNTING DEVICE FOR RACK</v>
          </cell>
          <cell r="F456">
            <v>1</v>
          </cell>
          <cell r="G456">
            <v>35339</v>
          </cell>
          <cell r="H456">
            <v>520700</v>
          </cell>
        </row>
        <row r="457">
          <cell r="A457">
            <v>3400004607</v>
          </cell>
          <cell r="B457">
            <v>5800</v>
          </cell>
          <cell r="C457">
            <v>61108</v>
          </cell>
          <cell r="D457">
            <v>0</v>
          </cell>
          <cell r="E457" t="str">
            <v>PNEUMATIC SCREW DRIVER WITH BALANCER 5NM</v>
          </cell>
          <cell r="F457">
            <v>1</v>
          </cell>
          <cell r="G457">
            <v>35339</v>
          </cell>
          <cell r="H457">
            <v>56000</v>
          </cell>
        </row>
        <row r="458">
          <cell r="A458">
            <v>3400004608</v>
          </cell>
          <cell r="B458">
            <v>5800</v>
          </cell>
          <cell r="C458">
            <v>61107</v>
          </cell>
          <cell r="D458">
            <v>0</v>
          </cell>
          <cell r="E458" t="str">
            <v>PNEUMATIC SCREW DRIVER BALANCER 12NM</v>
          </cell>
          <cell r="F458">
            <v>1</v>
          </cell>
          <cell r="G458">
            <v>35339</v>
          </cell>
          <cell r="H458">
            <v>109900</v>
          </cell>
        </row>
        <row r="459">
          <cell r="A459">
            <v>3400004609</v>
          </cell>
          <cell r="B459">
            <v>5800</v>
          </cell>
          <cell r="C459">
            <v>61107</v>
          </cell>
          <cell r="D459">
            <v>0</v>
          </cell>
          <cell r="E459" t="str">
            <v>PNEUMATIC SCREW DRIVER WITH BALANCER 5NM</v>
          </cell>
          <cell r="F459">
            <v>1</v>
          </cell>
          <cell r="G459">
            <v>35339</v>
          </cell>
          <cell r="H459">
            <v>74400</v>
          </cell>
        </row>
        <row r="460">
          <cell r="A460">
            <v>3400004610</v>
          </cell>
          <cell r="B460">
            <v>5800</v>
          </cell>
          <cell r="C460">
            <v>61107</v>
          </cell>
          <cell r="D460">
            <v>0</v>
          </cell>
          <cell r="E460" t="str">
            <v>PNEUMATIC SCREW DRIVER WITH BALANCER 20N</v>
          </cell>
          <cell r="F460">
            <v>1</v>
          </cell>
          <cell r="G460">
            <v>35339</v>
          </cell>
          <cell r="H460">
            <v>109900</v>
          </cell>
        </row>
        <row r="461">
          <cell r="A461">
            <v>3400004611</v>
          </cell>
          <cell r="B461">
            <v>5800</v>
          </cell>
          <cell r="C461">
            <v>61108</v>
          </cell>
          <cell r="D461">
            <v>0</v>
          </cell>
          <cell r="E461" t="str">
            <v>MOUNTING DEVICE L03</v>
          </cell>
          <cell r="F461">
            <v>1</v>
          </cell>
          <cell r="G461">
            <v>35339</v>
          </cell>
          <cell r="H461">
            <v>870000</v>
          </cell>
        </row>
        <row r="462">
          <cell r="A462">
            <v>3400004612</v>
          </cell>
          <cell r="B462">
            <v>5800</v>
          </cell>
          <cell r="C462">
            <v>61107</v>
          </cell>
          <cell r="D462">
            <v>0</v>
          </cell>
          <cell r="E462" t="str">
            <v>PNEUMATIC SCREW DRIVER 12NM</v>
          </cell>
          <cell r="F462">
            <v>1</v>
          </cell>
          <cell r="G462">
            <v>35339</v>
          </cell>
          <cell r="H462">
            <v>87000</v>
          </cell>
        </row>
        <row r="463">
          <cell r="A463">
            <v>3400004613</v>
          </cell>
          <cell r="B463">
            <v>5800</v>
          </cell>
          <cell r="C463">
            <v>61107</v>
          </cell>
          <cell r="D463">
            <v>0</v>
          </cell>
          <cell r="E463" t="str">
            <v>PNEUMATIC SCREW DRIVE 1.6NM</v>
          </cell>
          <cell r="F463">
            <v>1</v>
          </cell>
          <cell r="G463">
            <v>35339</v>
          </cell>
          <cell r="H463">
            <v>30300</v>
          </cell>
        </row>
        <row r="464">
          <cell r="A464">
            <v>3400004637</v>
          </cell>
          <cell r="B464">
            <v>5800</v>
          </cell>
          <cell r="C464">
            <v>61112</v>
          </cell>
          <cell r="D464">
            <v>0</v>
          </cell>
          <cell r="E464" t="str">
            <v>DESOLDERING STATION</v>
          </cell>
          <cell r="F464">
            <v>1</v>
          </cell>
          <cell r="G464">
            <v>35339</v>
          </cell>
          <cell r="H464">
            <v>41600</v>
          </cell>
        </row>
        <row r="465">
          <cell r="A465">
            <v>3400004638</v>
          </cell>
          <cell r="B465">
            <v>5800</v>
          </cell>
          <cell r="C465">
            <v>61112</v>
          </cell>
          <cell r="D465">
            <v>0</v>
          </cell>
          <cell r="E465" t="str">
            <v>DESOLDERING STATION</v>
          </cell>
          <cell r="F465">
            <v>1</v>
          </cell>
          <cell r="G465">
            <v>35339</v>
          </cell>
          <cell r="H465">
            <v>41600</v>
          </cell>
        </row>
        <row r="466">
          <cell r="A466">
            <v>3400004639</v>
          </cell>
          <cell r="B466">
            <v>5800</v>
          </cell>
          <cell r="C466">
            <v>61102</v>
          </cell>
          <cell r="D466">
            <v>0</v>
          </cell>
          <cell r="E466" t="str">
            <v>SOLDERING STATION</v>
          </cell>
          <cell r="F466">
            <v>1</v>
          </cell>
          <cell r="G466">
            <v>35339</v>
          </cell>
          <cell r="H466">
            <v>9600</v>
          </cell>
        </row>
        <row r="467">
          <cell r="A467">
            <v>3400004640</v>
          </cell>
          <cell r="B467">
            <v>5800</v>
          </cell>
          <cell r="C467">
            <v>61111</v>
          </cell>
          <cell r="D467">
            <v>0</v>
          </cell>
          <cell r="E467" t="str">
            <v>SOLDERING STATION</v>
          </cell>
          <cell r="F467">
            <v>1</v>
          </cell>
          <cell r="G467">
            <v>35339</v>
          </cell>
          <cell r="H467">
            <v>8200</v>
          </cell>
        </row>
        <row r="468">
          <cell r="A468">
            <v>3400004641</v>
          </cell>
          <cell r="B468">
            <v>5800</v>
          </cell>
          <cell r="C468">
            <v>61112</v>
          </cell>
          <cell r="D468">
            <v>0</v>
          </cell>
          <cell r="E468" t="str">
            <v>SOLDERING STATION</v>
          </cell>
          <cell r="F468">
            <v>1</v>
          </cell>
          <cell r="G468">
            <v>35339</v>
          </cell>
          <cell r="H468">
            <v>8200</v>
          </cell>
        </row>
        <row r="469">
          <cell r="A469">
            <v>3400004642</v>
          </cell>
          <cell r="B469">
            <v>5800</v>
          </cell>
          <cell r="C469">
            <v>61111</v>
          </cell>
          <cell r="D469">
            <v>0</v>
          </cell>
          <cell r="E469" t="str">
            <v>SOLDERING STATION</v>
          </cell>
          <cell r="F469">
            <v>1</v>
          </cell>
          <cell r="G469">
            <v>35339</v>
          </cell>
          <cell r="H469">
            <v>8200</v>
          </cell>
        </row>
        <row r="470">
          <cell r="A470">
            <v>3400004643</v>
          </cell>
          <cell r="B470">
            <v>5800</v>
          </cell>
          <cell r="C470">
            <v>61112</v>
          </cell>
          <cell r="D470">
            <v>0</v>
          </cell>
          <cell r="E470" t="str">
            <v>SOLDERING STATION</v>
          </cell>
          <cell r="F470">
            <v>1</v>
          </cell>
          <cell r="G470">
            <v>35339</v>
          </cell>
          <cell r="H470">
            <v>8200</v>
          </cell>
        </row>
        <row r="471">
          <cell r="A471">
            <v>3400004795</v>
          </cell>
          <cell r="B471">
            <v>5800</v>
          </cell>
          <cell r="C471">
            <v>61203</v>
          </cell>
          <cell r="D471">
            <v>0</v>
          </cell>
          <cell r="E471" t="str">
            <v>VERNIER CALIPER ELECTRONIC MITUTOYO</v>
          </cell>
          <cell r="F471">
            <v>1</v>
          </cell>
          <cell r="G471">
            <v>35339</v>
          </cell>
          <cell r="H471">
            <v>1900</v>
          </cell>
        </row>
        <row r="472">
          <cell r="A472">
            <v>3400003817</v>
          </cell>
          <cell r="B472">
            <v>5800</v>
          </cell>
          <cell r="C472">
            <v>61150</v>
          </cell>
          <cell r="D472">
            <v>0</v>
          </cell>
          <cell r="E472" t="str">
            <v>TROLLEY FOR STORAGE OF C240 BAR</v>
          </cell>
          <cell r="F472">
            <v>1</v>
          </cell>
          <cell r="G472">
            <v>35615</v>
          </cell>
          <cell r="H472">
            <v>7035</v>
          </cell>
        </row>
        <row r="473">
          <cell r="A473">
            <v>3400003818</v>
          </cell>
          <cell r="B473">
            <v>5800</v>
          </cell>
          <cell r="C473">
            <v>61150</v>
          </cell>
          <cell r="D473">
            <v>0</v>
          </cell>
          <cell r="E473" t="str">
            <v>TROLLEY FOR STORAGE OF C240 BAR</v>
          </cell>
          <cell r="F473">
            <v>1</v>
          </cell>
          <cell r="G473">
            <v>35615</v>
          </cell>
          <cell r="H473">
            <v>7035</v>
          </cell>
        </row>
        <row r="474">
          <cell r="A474">
            <v>3400003798</v>
          </cell>
          <cell r="B474">
            <v>5800</v>
          </cell>
          <cell r="C474">
            <v>61100</v>
          </cell>
          <cell r="D474">
            <v>0</v>
          </cell>
          <cell r="E474" t="str">
            <v>VERTICAL CAROUSEL</v>
          </cell>
          <cell r="F474">
            <v>1</v>
          </cell>
          <cell r="G474">
            <v>35677</v>
          </cell>
          <cell r="H474">
            <v>800800</v>
          </cell>
        </row>
        <row r="475">
          <cell r="A475">
            <v>3400003826</v>
          </cell>
          <cell r="B475">
            <v>5800</v>
          </cell>
          <cell r="C475">
            <v>61155</v>
          </cell>
          <cell r="D475">
            <v>0</v>
          </cell>
          <cell r="E475" t="str">
            <v>TOOL C39324-A9476-B3 COMB</v>
          </cell>
          <cell r="F475">
            <v>1</v>
          </cell>
          <cell r="G475">
            <v>35689</v>
          </cell>
          <cell r="H475">
            <v>57500</v>
          </cell>
        </row>
        <row r="476">
          <cell r="A476">
            <v>3400003827</v>
          </cell>
          <cell r="B476">
            <v>5800</v>
          </cell>
          <cell r="C476">
            <v>61155</v>
          </cell>
          <cell r="D476">
            <v>0</v>
          </cell>
          <cell r="E476" t="str">
            <v>TRANSMISSION RACK 2GHZ</v>
          </cell>
          <cell r="F476">
            <v>1</v>
          </cell>
          <cell r="G476">
            <v>35689</v>
          </cell>
          <cell r="H476">
            <v>17250</v>
          </cell>
        </row>
        <row r="477">
          <cell r="A477">
            <v>3400003828</v>
          </cell>
          <cell r="B477">
            <v>5800</v>
          </cell>
          <cell r="C477">
            <v>61155</v>
          </cell>
          <cell r="D477">
            <v>0</v>
          </cell>
          <cell r="E477" t="str">
            <v>TOOL C39324-A96-B291 COMB</v>
          </cell>
          <cell r="F477">
            <v>1</v>
          </cell>
          <cell r="G477">
            <v>35689</v>
          </cell>
          <cell r="H477">
            <v>18400</v>
          </cell>
        </row>
        <row r="478">
          <cell r="A478">
            <v>3400003632</v>
          </cell>
          <cell r="B478">
            <v>5800</v>
          </cell>
          <cell r="C478">
            <v>61206</v>
          </cell>
          <cell r="D478">
            <v>0</v>
          </cell>
          <cell r="E478" t="str">
            <v>PRESS BRAKE HFBO 170.3 WITH ACCS.-KHAN</v>
          </cell>
          <cell r="F478">
            <v>1</v>
          </cell>
          <cell r="G478">
            <v>35452</v>
          </cell>
          <cell r="H478">
            <v>6095258</v>
          </cell>
        </row>
        <row r="479">
          <cell r="A479">
            <v>3400003633</v>
          </cell>
          <cell r="B479">
            <v>5800</v>
          </cell>
          <cell r="C479">
            <v>61154</v>
          </cell>
          <cell r="D479">
            <v>0</v>
          </cell>
          <cell r="E479" t="str">
            <v>CAD DATA FOR SLMA:FPE</v>
          </cell>
          <cell r="F479">
            <v>1</v>
          </cell>
          <cell r="G479">
            <v>35452</v>
          </cell>
          <cell r="H479">
            <v>70661</v>
          </cell>
        </row>
        <row r="480">
          <cell r="A480">
            <v>3400003738</v>
          </cell>
          <cell r="B480">
            <v>5800</v>
          </cell>
          <cell r="C480">
            <v>61101</v>
          </cell>
          <cell r="D480">
            <v>0</v>
          </cell>
          <cell r="E480" t="str">
            <v>SIPAC CONNECTOR ASSY. DEVICE HAP103</v>
          </cell>
          <cell r="F480">
            <v>1</v>
          </cell>
          <cell r="G480">
            <v>35453</v>
          </cell>
          <cell r="H480">
            <v>1698007.45</v>
          </cell>
        </row>
        <row r="481">
          <cell r="A481">
            <v>3400003833</v>
          </cell>
          <cell r="B481">
            <v>5801</v>
          </cell>
          <cell r="C481">
            <v>61102</v>
          </cell>
          <cell r="D481">
            <v>0</v>
          </cell>
          <cell r="E481" t="str">
            <v>FEEDER MODULE 1*16MM TAPE</v>
          </cell>
          <cell r="F481">
            <v>1</v>
          </cell>
          <cell r="G481">
            <v>35521</v>
          </cell>
          <cell r="H481">
            <v>609162.11</v>
          </cell>
        </row>
        <row r="482">
          <cell r="A482">
            <v>3400002775</v>
          </cell>
          <cell r="B482">
            <v>5801</v>
          </cell>
          <cell r="C482">
            <v>61157</v>
          </cell>
          <cell r="D482">
            <v>0</v>
          </cell>
          <cell r="E482" t="str">
            <v>HEAT EXCHANGER UNIT WITH ITS ACCES</v>
          </cell>
          <cell r="F482">
            <v>1</v>
          </cell>
          <cell r="G482">
            <v>35339</v>
          </cell>
          <cell r="H482">
            <v>10900</v>
          </cell>
        </row>
        <row r="483">
          <cell r="A483">
            <v>3400002776</v>
          </cell>
          <cell r="B483">
            <v>5801</v>
          </cell>
          <cell r="C483">
            <v>61206</v>
          </cell>
          <cell r="D483">
            <v>0</v>
          </cell>
          <cell r="E483" t="str">
            <v>AIR COOLER (SYMPHONY K-3000)</v>
          </cell>
          <cell r="F483">
            <v>1</v>
          </cell>
          <cell r="G483">
            <v>35339</v>
          </cell>
          <cell r="H483">
            <v>4300</v>
          </cell>
        </row>
        <row r="484">
          <cell r="A484">
            <v>3400002777</v>
          </cell>
          <cell r="B484">
            <v>5801</v>
          </cell>
          <cell r="C484">
            <v>61161</v>
          </cell>
          <cell r="D484">
            <v>0</v>
          </cell>
          <cell r="E484" t="str">
            <v>COMPACT DISC PLAYER</v>
          </cell>
          <cell r="F484">
            <v>1</v>
          </cell>
          <cell r="G484">
            <v>35339</v>
          </cell>
          <cell r="H484">
            <v>3700</v>
          </cell>
        </row>
        <row r="485">
          <cell r="A485">
            <v>3400002778</v>
          </cell>
          <cell r="B485">
            <v>5801</v>
          </cell>
          <cell r="C485">
            <v>61161</v>
          </cell>
          <cell r="D485">
            <v>0</v>
          </cell>
          <cell r="E485" t="str">
            <v>GEYSER (50 LITRES)</v>
          </cell>
          <cell r="F485">
            <v>1</v>
          </cell>
          <cell r="G485">
            <v>35339</v>
          </cell>
          <cell r="H485">
            <v>4100</v>
          </cell>
        </row>
        <row r="486">
          <cell r="A486">
            <v>3400002779</v>
          </cell>
          <cell r="B486">
            <v>5801</v>
          </cell>
          <cell r="C486">
            <v>61161</v>
          </cell>
          <cell r="D486">
            <v>0</v>
          </cell>
          <cell r="E486" t="str">
            <v>GEYSER (50 LITRES)</v>
          </cell>
          <cell r="F486">
            <v>1</v>
          </cell>
          <cell r="G486">
            <v>35339</v>
          </cell>
          <cell r="H486">
            <v>4100</v>
          </cell>
        </row>
        <row r="487">
          <cell r="A487">
            <v>3400002780</v>
          </cell>
          <cell r="B487">
            <v>5801</v>
          </cell>
          <cell r="C487">
            <v>61206</v>
          </cell>
          <cell r="D487">
            <v>0</v>
          </cell>
          <cell r="E487" t="str">
            <v>INVERTOR (500 WATT)</v>
          </cell>
          <cell r="F487">
            <v>1</v>
          </cell>
          <cell r="G487">
            <v>35339</v>
          </cell>
          <cell r="H487">
            <v>3300</v>
          </cell>
        </row>
        <row r="488">
          <cell r="A488">
            <v>3400002781</v>
          </cell>
          <cell r="B488">
            <v>5801</v>
          </cell>
          <cell r="C488">
            <v>61206</v>
          </cell>
          <cell r="D488">
            <v>0</v>
          </cell>
          <cell r="E488" t="str">
            <v>INVERTOR (500 WATT)</v>
          </cell>
          <cell r="F488">
            <v>1</v>
          </cell>
          <cell r="G488">
            <v>35339</v>
          </cell>
          <cell r="H488">
            <v>3300</v>
          </cell>
        </row>
        <row r="489">
          <cell r="A489">
            <v>3400002782</v>
          </cell>
          <cell r="B489">
            <v>5801</v>
          </cell>
          <cell r="C489">
            <v>61206</v>
          </cell>
          <cell r="D489">
            <v>0</v>
          </cell>
          <cell r="E489" t="str">
            <v>LASER POINTER TORCH</v>
          </cell>
          <cell r="F489">
            <v>1</v>
          </cell>
          <cell r="G489">
            <v>35339</v>
          </cell>
          <cell r="H489">
            <v>5400</v>
          </cell>
        </row>
        <row r="490">
          <cell r="A490">
            <v>3400002783</v>
          </cell>
          <cell r="B490">
            <v>5801</v>
          </cell>
          <cell r="C490">
            <v>61162</v>
          </cell>
          <cell r="D490">
            <v>0</v>
          </cell>
          <cell r="E490" t="str">
            <v>OVERHEAD PROJECTOR</v>
          </cell>
          <cell r="F490">
            <v>1</v>
          </cell>
          <cell r="G490">
            <v>35339</v>
          </cell>
          <cell r="H490">
            <v>15500</v>
          </cell>
        </row>
        <row r="491">
          <cell r="A491">
            <v>3400002784</v>
          </cell>
          <cell r="B491">
            <v>5801</v>
          </cell>
          <cell r="C491">
            <v>61200</v>
          </cell>
          <cell r="D491">
            <v>0</v>
          </cell>
          <cell r="E491" t="str">
            <v>SOFT MUSIC &amp; PA SYSTEM</v>
          </cell>
          <cell r="F491">
            <v>1</v>
          </cell>
          <cell r="G491">
            <v>35339</v>
          </cell>
          <cell r="H491">
            <v>44300</v>
          </cell>
        </row>
        <row r="492">
          <cell r="A492">
            <v>3400002801</v>
          </cell>
          <cell r="B492">
            <v>5801</v>
          </cell>
          <cell r="C492">
            <v>61206</v>
          </cell>
          <cell r="D492">
            <v>0</v>
          </cell>
          <cell r="E492" t="str">
            <v>HEAVY DUTY BATTERY</v>
          </cell>
          <cell r="F492">
            <v>1</v>
          </cell>
          <cell r="G492">
            <v>35339</v>
          </cell>
          <cell r="H492">
            <v>15800</v>
          </cell>
        </row>
        <row r="493">
          <cell r="A493">
            <v>3400002803</v>
          </cell>
          <cell r="B493">
            <v>5801</v>
          </cell>
          <cell r="C493">
            <v>61153</v>
          </cell>
          <cell r="D493">
            <v>0</v>
          </cell>
          <cell r="E493" t="str">
            <v>SOLDERING DESOLDERINS STATION</v>
          </cell>
          <cell r="F493">
            <v>1</v>
          </cell>
          <cell r="G493">
            <v>35339</v>
          </cell>
          <cell r="H493">
            <v>9500</v>
          </cell>
        </row>
        <row r="494">
          <cell r="A494">
            <v>3400002805</v>
          </cell>
          <cell r="B494">
            <v>5801</v>
          </cell>
          <cell r="C494">
            <v>61206</v>
          </cell>
          <cell r="D494">
            <v>0</v>
          </cell>
          <cell r="E494" t="str">
            <v>GPIB CARD AND SOFTWARE</v>
          </cell>
          <cell r="F494">
            <v>1</v>
          </cell>
          <cell r="G494">
            <v>35339</v>
          </cell>
          <cell r="H494">
            <v>5600</v>
          </cell>
        </row>
        <row r="495">
          <cell r="A495">
            <v>3400002807</v>
          </cell>
          <cell r="B495">
            <v>5801</v>
          </cell>
          <cell r="C495">
            <v>61151</v>
          </cell>
          <cell r="D495">
            <v>0</v>
          </cell>
          <cell r="E495" t="str">
            <v>PHILIPS MAKE MODEL PM 2718</v>
          </cell>
          <cell r="F495">
            <v>1</v>
          </cell>
          <cell r="G495">
            <v>35339</v>
          </cell>
          <cell r="H495">
            <v>5600</v>
          </cell>
        </row>
        <row r="496">
          <cell r="A496">
            <v>3400002808</v>
          </cell>
          <cell r="B496">
            <v>5801</v>
          </cell>
          <cell r="C496">
            <v>61206</v>
          </cell>
          <cell r="D496">
            <v>0</v>
          </cell>
          <cell r="E496" t="str">
            <v>AUTOMATIC TEST EQUIPMENT</v>
          </cell>
          <cell r="F496">
            <v>1</v>
          </cell>
          <cell r="G496">
            <v>35339</v>
          </cell>
          <cell r="H496">
            <v>154900</v>
          </cell>
        </row>
        <row r="497">
          <cell r="A497">
            <v>3400002809</v>
          </cell>
          <cell r="B497">
            <v>5801</v>
          </cell>
          <cell r="C497">
            <v>61155</v>
          </cell>
          <cell r="D497">
            <v>0</v>
          </cell>
          <cell r="E497" t="str">
            <v>PC AT 286</v>
          </cell>
          <cell r="F497">
            <v>1</v>
          </cell>
          <cell r="G497">
            <v>35339</v>
          </cell>
          <cell r="H497">
            <v>24800</v>
          </cell>
        </row>
        <row r="498">
          <cell r="A498">
            <v>3400002810</v>
          </cell>
          <cell r="B498">
            <v>5801</v>
          </cell>
          <cell r="C498">
            <v>61151</v>
          </cell>
          <cell r="D498">
            <v>0</v>
          </cell>
          <cell r="E498" t="str">
            <v>LONGITUDINAL BALANCE TESTER</v>
          </cell>
          <cell r="F498">
            <v>1</v>
          </cell>
          <cell r="G498">
            <v>35339</v>
          </cell>
          <cell r="H498">
            <v>4600</v>
          </cell>
        </row>
        <row r="499">
          <cell r="A499">
            <v>3400002811</v>
          </cell>
          <cell r="B499">
            <v>5801</v>
          </cell>
          <cell r="C499">
            <v>61112</v>
          </cell>
          <cell r="D499">
            <v>0</v>
          </cell>
          <cell r="E499" t="str">
            <v>OSCILLOSCOPE 100MHZ MODEL PM</v>
          </cell>
          <cell r="F499">
            <v>1</v>
          </cell>
          <cell r="G499">
            <v>35339</v>
          </cell>
          <cell r="H499">
            <v>50800</v>
          </cell>
        </row>
        <row r="500">
          <cell r="A500">
            <v>3400002812</v>
          </cell>
          <cell r="B500">
            <v>5801</v>
          </cell>
          <cell r="C500">
            <v>61206</v>
          </cell>
          <cell r="D500">
            <v>0</v>
          </cell>
          <cell r="E500" t="str">
            <v>SYSTRONICS 20MHZ PULSE</v>
          </cell>
          <cell r="F500">
            <v>1</v>
          </cell>
          <cell r="G500">
            <v>35339</v>
          </cell>
          <cell r="H500">
            <v>14200</v>
          </cell>
        </row>
        <row r="501">
          <cell r="A501">
            <v>3400002813</v>
          </cell>
          <cell r="B501">
            <v>5801</v>
          </cell>
          <cell r="C501">
            <v>61206</v>
          </cell>
          <cell r="D501">
            <v>0</v>
          </cell>
          <cell r="E501" t="str">
            <v>PROGRAMMER KIT</v>
          </cell>
          <cell r="F501">
            <v>1</v>
          </cell>
          <cell r="G501">
            <v>35339</v>
          </cell>
          <cell r="H501">
            <v>12600</v>
          </cell>
        </row>
        <row r="502">
          <cell r="A502">
            <v>3400002815</v>
          </cell>
          <cell r="B502">
            <v>5801</v>
          </cell>
          <cell r="C502">
            <v>61100</v>
          </cell>
          <cell r="D502">
            <v>0</v>
          </cell>
          <cell r="E502" t="str">
            <v>DEGASSING OVEN</v>
          </cell>
          <cell r="F502">
            <v>1</v>
          </cell>
          <cell r="G502">
            <v>35339</v>
          </cell>
          <cell r="H502">
            <v>70000</v>
          </cell>
        </row>
        <row r="503">
          <cell r="A503">
            <v>3400002819</v>
          </cell>
          <cell r="B503">
            <v>5801</v>
          </cell>
          <cell r="C503">
            <v>61157</v>
          </cell>
          <cell r="D503">
            <v>0</v>
          </cell>
          <cell r="E503" t="str">
            <v>WATER TREATMENT PLANT</v>
          </cell>
          <cell r="F503">
            <v>1</v>
          </cell>
          <cell r="G503">
            <v>35339</v>
          </cell>
          <cell r="H503">
            <v>78000</v>
          </cell>
        </row>
        <row r="504">
          <cell r="A504">
            <v>3400002820</v>
          </cell>
          <cell r="B504">
            <v>5801</v>
          </cell>
          <cell r="C504">
            <v>61157</v>
          </cell>
          <cell r="D504">
            <v>0</v>
          </cell>
          <cell r="E504" t="str">
            <v>PNEUMATIC LINE</v>
          </cell>
          <cell r="F504">
            <v>1</v>
          </cell>
          <cell r="G504">
            <v>35339</v>
          </cell>
          <cell r="H504">
            <v>38000</v>
          </cell>
        </row>
        <row r="505">
          <cell r="A505">
            <v>3400002821</v>
          </cell>
          <cell r="B505">
            <v>5801</v>
          </cell>
          <cell r="C505">
            <v>61157</v>
          </cell>
          <cell r="D505">
            <v>0</v>
          </cell>
          <cell r="E505" t="str">
            <v>COMPRESSED AIR DRYER</v>
          </cell>
          <cell r="F505">
            <v>1</v>
          </cell>
          <cell r="G505">
            <v>35339</v>
          </cell>
          <cell r="H505">
            <v>34600</v>
          </cell>
        </row>
        <row r="506">
          <cell r="A506">
            <v>3400002822</v>
          </cell>
          <cell r="B506">
            <v>5801</v>
          </cell>
          <cell r="C506">
            <v>61115</v>
          </cell>
          <cell r="D506">
            <v>0</v>
          </cell>
          <cell r="E506" t="str">
            <v>PIGMY HYDRAULIC PALLET TRUCK</v>
          </cell>
          <cell r="F506">
            <v>1</v>
          </cell>
          <cell r="G506">
            <v>35339</v>
          </cell>
          <cell r="H506">
            <v>5500</v>
          </cell>
        </row>
        <row r="507">
          <cell r="A507">
            <v>3400002823</v>
          </cell>
          <cell r="B507">
            <v>5801</v>
          </cell>
          <cell r="C507">
            <v>61115</v>
          </cell>
          <cell r="D507">
            <v>0</v>
          </cell>
          <cell r="E507" t="str">
            <v>PIGMY HYDRAULIC PALLET TRUCK</v>
          </cell>
          <cell r="F507">
            <v>1</v>
          </cell>
          <cell r="G507">
            <v>35339</v>
          </cell>
          <cell r="H507">
            <v>5500</v>
          </cell>
        </row>
        <row r="508">
          <cell r="A508">
            <v>3400002832</v>
          </cell>
          <cell r="B508">
            <v>5801</v>
          </cell>
          <cell r="C508">
            <v>61151</v>
          </cell>
          <cell r="D508">
            <v>0</v>
          </cell>
          <cell r="E508" t="str">
            <v>UDEY MAKE TYPE DHT 5 HIPOTTESTER</v>
          </cell>
          <cell r="F508">
            <v>1</v>
          </cell>
          <cell r="G508">
            <v>35339</v>
          </cell>
          <cell r="H508">
            <v>3200</v>
          </cell>
        </row>
        <row r="509">
          <cell r="A509">
            <v>3400002835</v>
          </cell>
          <cell r="B509">
            <v>5801</v>
          </cell>
          <cell r="C509">
            <v>61157</v>
          </cell>
          <cell r="D509">
            <v>0</v>
          </cell>
          <cell r="E509" t="str">
            <v>ELECTRIC DRILL MACHINE</v>
          </cell>
          <cell r="F509">
            <v>1</v>
          </cell>
          <cell r="G509">
            <v>35339</v>
          </cell>
          <cell r="H509">
            <v>3200</v>
          </cell>
        </row>
        <row r="510">
          <cell r="A510">
            <v>3400002837</v>
          </cell>
          <cell r="B510">
            <v>5801</v>
          </cell>
          <cell r="C510">
            <v>61150</v>
          </cell>
          <cell r="D510">
            <v>0</v>
          </cell>
          <cell r="E510" t="str">
            <v>ELECTRONIC COMPUTER COUNTER</v>
          </cell>
          <cell r="F510">
            <v>1</v>
          </cell>
          <cell r="G510">
            <v>35339</v>
          </cell>
          <cell r="H510">
            <v>57100</v>
          </cell>
        </row>
        <row r="511">
          <cell r="A511">
            <v>3400002840</v>
          </cell>
          <cell r="B511">
            <v>5801</v>
          </cell>
          <cell r="C511">
            <v>61206</v>
          </cell>
          <cell r="D511">
            <v>0</v>
          </cell>
          <cell r="E511" t="str">
            <v>TORQUE SCRENDRIVER M3 M4</v>
          </cell>
          <cell r="F511">
            <v>1</v>
          </cell>
          <cell r="G511">
            <v>35339</v>
          </cell>
          <cell r="H511">
            <v>15600</v>
          </cell>
        </row>
        <row r="512">
          <cell r="A512">
            <v>3400002841</v>
          </cell>
          <cell r="B512">
            <v>5801</v>
          </cell>
          <cell r="C512">
            <v>61206</v>
          </cell>
          <cell r="D512">
            <v>0</v>
          </cell>
          <cell r="E512" t="str">
            <v>TORQUE SCRENDRIVER M3 M4</v>
          </cell>
          <cell r="F512">
            <v>1</v>
          </cell>
          <cell r="G512">
            <v>35339</v>
          </cell>
          <cell r="H512">
            <v>15600</v>
          </cell>
        </row>
        <row r="513">
          <cell r="A513">
            <v>3400002842</v>
          </cell>
          <cell r="B513">
            <v>5801</v>
          </cell>
          <cell r="C513">
            <v>61206</v>
          </cell>
          <cell r="D513">
            <v>0</v>
          </cell>
          <cell r="E513" t="str">
            <v>UNIVERSAL COUNTER</v>
          </cell>
          <cell r="F513">
            <v>1</v>
          </cell>
          <cell r="G513">
            <v>35339</v>
          </cell>
          <cell r="H513">
            <v>15800</v>
          </cell>
        </row>
        <row r="514">
          <cell r="A514">
            <v>3400002843</v>
          </cell>
          <cell r="B514">
            <v>5801</v>
          </cell>
          <cell r="C514">
            <v>61206</v>
          </cell>
          <cell r="D514">
            <v>0</v>
          </cell>
          <cell r="E514" t="str">
            <v>TEST ADAPTER &amp; SOFTWARE</v>
          </cell>
          <cell r="F514">
            <v>1</v>
          </cell>
          <cell r="G514">
            <v>35339</v>
          </cell>
          <cell r="H514">
            <v>176000</v>
          </cell>
        </row>
        <row r="515">
          <cell r="A515">
            <v>3400002844</v>
          </cell>
          <cell r="B515">
            <v>5801</v>
          </cell>
          <cell r="C515">
            <v>61206</v>
          </cell>
          <cell r="D515">
            <v>0</v>
          </cell>
          <cell r="E515" t="str">
            <v>TEST EQUIPMENT FOR POWER SUPPLY</v>
          </cell>
          <cell r="F515">
            <v>1</v>
          </cell>
          <cell r="G515">
            <v>35339</v>
          </cell>
          <cell r="H515">
            <v>71900</v>
          </cell>
        </row>
        <row r="516">
          <cell r="A516">
            <v>3400002845</v>
          </cell>
          <cell r="B516">
            <v>5801</v>
          </cell>
          <cell r="C516">
            <v>61101</v>
          </cell>
          <cell r="D516">
            <v>0</v>
          </cell>
          <cell r="E516" t="str">
            <v>SEMI AUTO POPU MACH 6NOS &amp; A071,C042,C05</v>
          </cell>
          <cell r="F516">
            <v>1</v>
          </cell>
          <cell r="G516">
            <v>35339</v>
          </cell>
          <cell r="H516">
            <v>4393200</v>
          </cell>
        </row>
        <row r="517">
          <cell r="A517">
            <v>3400002846</v>
          </cell>
          <cell r="B517">
            <v>5801</v>
          </cell>
          <cell r="C517">
            <v>61100</v>
          </cell>
          <cell r="D517">
            <v>0</v>
          </cell>
          <cell r="E517" t="str">
            <v>AUTOMATIC LEAD COMP FORMING DEVICE SBA80</v>
          </cell>
          <cell r="F517">
            <v>1</v>
          </cell>
          <cell r="G517">
            <v>35339</v>
          </cell>
          <cell r="H517">
            <v>313600</v>
          </cell>
        </row>
        <row r="518">
          <cell r="A518">
            <v>3400002847</v>
          </cell>
          <cell r="B518">
            <v>5801</v>
          </cell>
          <cell r="C518">
            <v>61100</v>
          </cell>
          <cell r="D518">
            <v>0</v>
          </cell>
          <cell r="E518" t="str">
            <v>COMPONENT PREP RCD CUTTER</v>
          </cell>
          <cell r="F518">
            <v>1</v>
          </cell>
          <cell r="G518">
            <v>35339</v>
          </cell>
          <cell r="H518">
            <v>253100</v>
          </cell>
        </row>
        <row r="519">
          <cell r="A519">
            <v>3400002848</v>
          </cell>
          <cell r="B519">
            <v>5801</v>
          </cell>
          <cell r="C519">
            <v>61206</v>
          </cell>
          <cell r="D519">
            <v>0</v>
          </cell>
          <cell r="E519" t="str">
            <v>2900 PROGRAMMING SYSTEM</v>
          </cell>
          <cell r="F519">
            <v>1</v>
          </cell>
          <cell r="G519">
            <v>35339</v>
          </cell>
          <cell r="H519">
            <v>293400</v>
          </cell>
        </row>
        <row r="520">
          <cell r="A520">
            <v>3400002849</v>
          </cell>
          <cell r="B520">
            <v>5801</v>
          </cell>
          <cell r="C520">
            <v>61157</v>
          </cell>
          <cell r="D520">
            <v>0</v>
          </cell>
          <cell r="E520" t="str">
            <v>AIR COMPRESSOR &amp; MOISTERER</v>
          </cell>
          <cell r="F520">
            <v>1</v>
          </cell>
          <cell r="G520">
            <v>35339</v>
          </cell>
          <cell r="H520">
            <v>15800</v>
          </cell>
        </row>
        <row r="521">
          <cell r="A521">
            <v>3400002851</v>
          </cell>
          <cell r="B521">
            <v>5801</v>
          </cell>
          <cell r="C521">
            <v>61151</v>
          </cell>
          <cell r="D521">
            <v>0</v>
          </cell>
          <cell r="E521" t="str">
            <v>LCR SORTESTER</v>
          </cell>
          <cell r="F521">
            <v>2</v>
          </cell>
          <cell r="G521">
            <v>35339</v>
          </cell>
          <cell r="H521">
            <v>10400</v>
          </cell>
        </row>
        <row r="522">
          <cell r="A522">
            <v>3400002859</v>
          </cell>
          <cell r="B522">
            <v>5801</v>
          </cell>
          <cell r="C522">
            <v>61150</v>
          </cell>
          <cell r="D522">
            <v>0</v>
          </cell>
          <cell r="E522" t="str">
            <v>ELECTRONIC DEIGHING MACHINE</v>
          </cell>
          <cell r="F522">
            <v>1</v>
          </cell>
          <cell r="G522">
            <v>35339</v>
          </cell>
          <cell r="H522">
            <v>7700</v>
          </cell>
        </row>
        <row r="523">
          <cell r="A523">
            <v>3400002861</v>
          </cell>
          <cell r="B523">
            <v>5801</v>
          </cell>
          <cell r="C523">
            <v>61206</v>
          </cell>
          <cell r="D523">
            <v>0</v>
          </cell>
          <cell r="E523" t="str">
            <v>DIGITAL MULTIMETER</v>
          </cell>
          <cell r="F523">
            <v>1</v>
          </cell>
          <cell r="G523">
            <v>35339</v>
          </cell>
          <cell r="H523">
            <v>17500</v>
          </cell>
        </row>
        <row r="524">
          <cell r="A524">
            <v>3400002862</v>
          </cell>
          <cell r="B524">
            <v>5801</v>
          </cell>
          <cell r="C524">
            <v>61206</v>
          </cell>
          <cell r="D524">
            <v>0</v>
          </cell>
          <cell r="E524" t="str">
            <v>DIGITAL MULTIMETER</v>
          </cell>
          <cell r="F524">
            <v>1</v>
          </cell>
          <cell r="G524">
            <v>35339</v>
          </cell>
          <cell r="H524">
            <v>17500</v>
          </cell>
        </row>
        <row r="525">
          <cell r="A525">
            <v>3400002864</v>
          </cell>
          <cell r="B525">
            <v>5801</v>
          </cell>
          <cell r="C525">
            <v>61206</v>
          </cell>
          <cell r="D525">
            <v>0</v>
          </cell>
          <cell r="E525" t="str">
            <v>ADJUSTING GAUGE FOR MIC SWITCH</v>
          </cell>
          <cell r="F525">
            <v>1</v>
          </cell>
          <cell r="G525">
            <v>35339</v>
          </cell>
          <cell r="H525">
            <v>52200</v>
          </cell>
        </row>
        <row r="526">
          <cell r="A526">
            <v>3400002865</v>
          </cell>
          <cell r="B526">
            <v>5801</v>
          </cell>
          <cell r="C526">
            <v>61206</v>
          </cell>
          <cell r="D526">
            <v>0</v>
          </cell>
          <cell r="E526" t="str">
            <v>ASSEMBLY AND SOLDERING DEVICE</v>
          </cell>
          <cell r="F526">
            <v>1</v>
          </cell>
          <cell r="G526">
            <v>35339</v>
          </cell>
          <cell r="H526">
            <v>99400</v>
          </cell>
        </row>
        <row r="527">
          <cell r="A527">
            <v>3400002866</v>
          </cell>
          <cell r="B527">
            <v>5801</v>
          </cell>
          <cell r="C527">
            <v>61112</v>
          </cell>
          <cell r="D527">
            <v>0</v>
          </cell>
          <cell r="E527" t="str">
            <v>CHANNEL OSCILLOSCOPE</v>
          </cell>
          <cell r="F527">
            <v>1</v>
          </cell>
          <cell r="G527">
            <v>35339</v>
          </cell>
          <cell r="H527">
            <v>49800</v>
          </cell>
        </row>
        <row r="528">
          <cell r="A528">
            <v>3400002867</v>
          </cell>
          <cell r="B528">
            <v>5801</v>
          </cell>
          <cell r="C528">
            <v>61206</v>
          </cell>
          <cell r="D528">
            <v>0</v>
          </cell>
          <cell r="E528" t="str">
            <v>SLDG STN WITH VACUUM PUMP</v>
          </cell>
          <cell r="F528">
            <v>1</v>
          </cell>
          <cell r="G528">
            <v>35339</v>
          </cell>
          <cell r="H528">
            <v>11200</v>
          </cell>
        </row>
        <row r="529">
          <cell r="A529">
            <v>3400002868</v>
          </cell>
          <cell r="B529">
            <v>5801</v>
          </cell>
          <cell r="C529">
            <v>61206</v>
          </cell>
          <cell r="D529">
            <v>0</v>
          </cell>
          <cell r="E529" t="str">
            <v>SLDG STN WITH VACUUM PUMP</v>
          </cell>
          <cell r="F529">
            <v>1</v>
          </cell>
          <cell r="G529">
            <v>35339</v>
          </cell>
          <cell r="H529">
            <v>11200</v>
          </cell>
        </row>
        <row r="530">
          <cell r="A530">
            <v>3400002869</v>
          </cell>
          <cell r="B530">
            <v>5801</v>
          </cell>
          <cell r="C530">
            <v>61206</v>
          </cell>
          <cell r="D530">
            <v>0</v>
          </cell>
          <cell r="E530" t="str">
            <v>SLDG STN WITH VACUUM PUMP</v>
          </cell>
          <cell r="F530">
            <v>1</v>
          </cell>
          <cell r="G530">
            <v>35339</v>
          </cell>
          <cell r="H530">
            <v>11200</v>
          </cell>
        </row>
        <row r="531">
          <cell r="A531">
            <v>3400002870</v>
          </cell>
          <cell r="B531">
            <v>5801</v>
          </cell>
          <cell r="C531">
            <v>61208</v>
          </cell>
          <cell r="D531">
            <v>0</v>
          </cell>
          <cell r="E531" t="str">
            <v>ELECTRIC SCREWDRIVER</v>
          </cell>
          <cell r="F531">
            <v>1</v>
          </cell>
          <cell r="G531">
            <v>35339</v>
          </cell>
          <cell r="H531">
            <v>15100</v>
          </cell>
        </row>
        <row r="532">
          <cell r="A532">
            <v>3400002871</v>
          </cell>
          <cell r="B532">
            <v>5801</v>
          </cell>
          <cell r="C532">
            <v>61208</v>
          </cell>
          <cell r="D532">
            <v>0</v>
          </cell>
          <cell r="E532" t="str">
            <v>ELECTRIC SCREWDRIVER</v>
          </cell>
          <cell r="F532">
            <v>1</v>
          </cell>
          <cell r="G532">
            <v>35339</v>
          </cell>
          <cell r="H532">
            <v>15100</v>
          </cell>
        </row>
        <row r="533">
          <cell r="A533">
            <v>3400002872</v>
          </cell>
          <cell r="B533">
            <v>5801</v>
          </cell>
          <cell r="C533">
            <v>61100</v>
          </cell>
          <cell r="D533">
            <v>0</v>
          </cell>
          <cell r="E533" t="str">
            <v>CANCELLING UNIT FOR EPROMS</v>
          </cell>
          <cell r="F533">
            <v>1</v>
          </cell>
          <cell r="G533">
            <v>35339</v>
          </cell>
          <cell r="H533">
            <v>22800</v>
          </cell>
        </row>
        <row r="534">
          <cell r="A534">
            <v>3400002876</v>
          </cell>
          <cell r="B534">
            <v>5801</v>
          </cell>
          <cell r="C534">
            <v>61100</v>
          </cell>
          <cell r="D534">
            <v>0</v>
          </cell>
          <cell r="E534" t="str">
            <v>EPROM PROGRAMMER FA STAG PP41</v>
          </cell>
          <cell r="F534">
            <v>1</v>
          </cell>
          <cell r="G534">
            <v>35339</v>
          </cell>
          <cell r="H534">
            <v>131700</v>
          </cell>
        </row>
        <row r="535">
          <cell r="A535">
            <v>3400002877</v>
          </cell>
          <cell r="B535">
            <v>5801</v>
          </cell>
          <cell r="C535">
            <v>61101</v>
          </cell>
          <cell r="D535">
            <v>0</v>
          </cell>
          <cell r="E535" t="str">
            <v>SET OF MAGAZINES AND GRIPPERS</v>
          </cell>
          <cell r="F535">
            <v>1</v>
          </cell>
          <cell r="G535">
            <v>35339</v>
          </cell>
          <cell r="H535">
            <v>5500</v>
          </cell>
        </row>
        <row r="536">
          <cell r="A536">
            <v>3400002878</v>
          </cell>
          <cell r="B536">
            <v>5801</v>
          </cell>
          <cell r="C536">
            <v>61102</v>
          </cell>
          <cell r="D536">
            <v>0</v>
          </cell>
          <cell r="E536" t="str">
            <v>SOLDERING SYSTEM FOR SMD</v>
          </cell>
          <cell r="F536">
            <v>1</v>
          </cell>
          <cell r="G536">
            <v>35339</v>
          </cell>
          <cell r="H536">
            <v>324900</v>
          </cell>
        </row>
        <row r="537">
          <cell r="A537">
            <v>3400002879</v>
          </cell>
          <cell r="B537">
            <v>5801</v>
          </cell>
          <cell r="C537">
            <v>61208</v>
          </cell>
          <cell r="D537">
            <v>0</v>
          </cell>
          <cell r="E537" t="str">
            <v>TELEPRINTER T1200SD WITH ACC</v>
          </cell>
          <cell r="F537">
            <v>1</v>
          </cell>
          <cell r="G537">
            <v>35339</v>
          </cell>
          <cell r="H537">
            <v>23700</v>
          </cell>
        </row>
        <row r="538">
          <cell r="A538">
            <v>3400002950</v>
          </cell>
          <cell r="B538">
            <v>5801</v>
          </cell>
          <cell r="C538">
            <v>61112</v>
          </cell>
          <cell r="D538">
            <v>0</v>
          </cell>
          <cell r="E538" t="str">
            <v>`BUSCH` VACCUM PUMP</v>
          </cell>
          <cell r="F538">
            <v>1</v>
          </cell>
          <cell r="G538">
            <v>35339</v>
          </cell>
          <cell r="H538">
            <v>113300</v>
          </cell>
        </row>
        <row r="539">
          <cell r="A539">
            <v>3400002951</v>
          </cell>
          <cell r="B539">
            <v>5801</v>
          </cell>
          <cell r="C539">
            <v>61112</v>
          </cell>
          <cell r="D539">
            <v>0</v>
          </cell>
          <cell r="E539" t="str">
            <v>`BUSCH` VACCUM PUMP</v>
          </cell>
          <cell r="F539">
            <v>1</v>
          </cell>
          <cell r="G539">
            <v>35339</v>
          </cell>
          <cell r="H539">
            <v>113300</v>
          </cell>
        </row>
        <row r="540">
          <cell r="A540">
            <v>3400002956</v>
          </cell>
          <cell r="B540">
            <v>5801</v>
          </cell>
          <cell r="C540">
            <v>61104</v>
          </cell>
          <cell r="D540">
            <v>0</v>
          </cell>
          <cell r="E540" t="str">
            <v>`BOSCH `</v>
          </cell>
          <cell r="F540">
            <v>1</v>
          </cell>
          <cell r="G540">
            <v>35339</v>
          </cell>
          <cell r="H540">
            <v>5000</v>
          </cell>
        </row>
        <row r="541">
          <cell r="A541">
            <v>3400003043</v>
          </cell>
          <cell r="B541">
            <v>5801</v>
          </cell>
          <cell r="C541">
            <v>61102</v>
          </cell>
          <cell r="D541">
            <v>0</v>
          </cell>
          <cell r="E541" t="str">
            <v>AL. ALLOY BUTTERFLY VALVES, DAMPER TYPE</v>
          </cell>
          <cell r="F541">
            <v>1</v>
          </cell>
          <cell r="G541">
            <v>35339</v>
          </cell>
          <cell r="H541">
            <v>9800</v>
          </cell>
        </row>
        <row r="542">
          <cell r="A542">
            <v>3400003044</v>
          </cell>
          <cell r="B542">
            <v>5801</v>
          </cell>
          <cell r="C542">
            <v>61102</v>
          </cell>
          <cell r="D542">
            <v>0</v>
          </cell>
          <cell r="E542" t="str">
            <v>AL. ALLOY BUTTERFLY VALVES, DAMPER TYPE</v>
          </cell>
          <cell r="F542">
            <v>1</v>
          </cell>
          <cell r="G542">
            <v>35339</v>
          </cell>
          <cell r="H542">
            <v>9800</v>
          </cell>
        </row>
        <row r="543">
          <cell r="A543">
            <v>3400003045</v>
          </cell>
          <cell r="B543">
            <v>5801</v>
          </cell>
          <cell r="C543">
            <v>61102</v>
          </cell>
          <cell r="D543">
            <v>0</v>
          </cell>
          <cell r="E543" t="str">
            <v>AL. ALLOY BUTTERFLY VALVES, DAMPER TYPE</v>
          </cell>
          <cell r="F543">
            <v>1</v>
          </cell>
          <cell r="G543">
            <v>35339</v>
          </cell>
          <cell r="H543">
            <v>9800</v>
          </cell>
        </row>
        <row r="544">
          <cell r="A544">
            <v>3400003050</v>
          </cell>
          <cell r="B544">
            <v>5801</v>
          </cell>
          <cell r="C544">
            <v>61102</v>
          </cell>
          <cell r="D544">
            <v>0</v>
          </cell>
          <cell r="E544" t="str">
            <v>SMT MACHINE -HS/180</v>
          </cell>
          <cell r="F544">
            <v>1</v>
          </cell>
          <cell r="G544">
            <v>35339</v>
          </cell>
          <cell r="H544">
            <v>2125700</v>
          </cell>
        </row>
        <row r="545">
          <cell r="A545">
            <v>3400003051</v>
          </cell>
          <cell r="B545">
            <v>5801</v>
          </cell>
          <cell r="C545">
            <v>61102</v>
          </cell>
          <cell r="D545">
            <v>0</v>
          </cell>
          <cell r="E545" t="str">
            <v>SMT MACHINE SP/120-PLACEMENT STATION ,WI</v>
          </cell>
          <cell r="F545">
            <v>1</v>
          </cell>
          <cell r="G545">
            <v>35339</v>
          </cell>
          <cell r="H545">
            <v>5589000</v>
          </cell>
        </row>
        <row r="546">
          <cell r="A546">
            <v>3400003052</v>
          </cell>
          <cell r="B546">
            <v>5801</v>
          </cell>
          <cell r="C546">
            <v>61102</v>
          </cell>
          <cell r="D546">
            <v>0</v>
          </cell>
          <cell r="E546" t="str">
            <v>SMT MACHINE HR/180-PLACEMENT STATION ,WI</v>
          </cell>
          <cell r="F546">
            <v>1</v>
          </cell>
          <cell r="G546">
            <v>35339</v>
          </cell>
          <cell r="H546">
            <v>5929000</v>
          </cell>
        </row>
        <row r="547">
          <cell r="A547">
            <v>3400003053</v>
          </cell>
          <cell r="B547">
            <v>5801</v>
          </cell>
          <cell r="C547">
            <v>61102</v>
          </cell>
          <cell r="D547">
            <v>0</v>
          </cell>
          <cell r="E547" t="str">
            <v>SMT MACHINE LINE COMPUTER</v>
          </cell>
          <cell r="F547">
            <v>1</v>
          </cell>
          <cell r="G547">
            <v>35339</v>
          </cell>
          <cell r="H547">
            <v>1986400</v>
          </cell>
        </row>
        <row r="548">
          <cell r="A548">
            <v>3400003054</v>
          </cell>
          <cell r="B548">
            <v>5801</v>
          </cell>
          <cell r="C548">
            <v>61102</v>
          </cell>
          <cell r="D548">
            <v>0</v>
          </cell>
          <cell r="E548" t="str">
            <v>SMT SPARES</v>
          </cell>
          <cell r="F548">
            <v>1</v>
          </cell>
          <cell r="G548">
            <v>35339</v>
          </cell>
          <cell r="H548">
            <v>542400</v>
          </cell>
        </row>
        <row r="549">
          <cell r="A549">
            <v>3400003055</v>
          </cell>
          <cell r="B549">
            <v>5801</v>
          </cell>
          <cell r="C549">
            <v>61102</v>
          </cell>
          <cell r="D549">
            <v>0</v>
          </cell>
          <cell r="E549" t="str">
            <v>58COMP MAGZ &amp; LEMOSA BINDER&amp;POTENTIOMETE</v>
          </cell>
          <cell r="F549">
            <v>1</v>
          </cell>
          <cell r="G549">
            <v>35339</v>
          </cell>
          <cell r="H549">
            <v>368100</v>
          </cell>
        </row>
        <row r="550">
          <cell r="A550">
            <v>3400003056</v>
          </cell>
          <cell r="B550">
            <v>5801</v>
          </cell>
          <cell r="C550">
            <v>61102</v>
          </cell>
          <cell r="D550">
            <v>0</v>
          </cell>
          <cell r="E550" t="str">
            <v>SMT MACHINE-FEEDER WITH MAGAZINE AND ADA</v>
          </cell>
          <cell r="F550">
            <v>1</v>
          </cell>
          <cell r="G550">
            <v>35339</v>
          </cell>
          <cell r="H550">
            <v>26400</v>
          </cell>
        </row>
        <row r="551">
          <cell r="A551">
            <v>3400003057</v>
          </cell>
          <cell r="B551">
            <v>5801</v>
          </cell>
          <cell r="C551">
            <v>61102</v>
          </cell>
          <cell r="D551">
            <v>0</v>
          </cell>
          <cell r="E551" t="str">
            <v>SMT MACHINE-FEEDER WITH MAGAZINE AND ADA</v>
          </cell>
          <cell r="F551">
            <v>1</v>
          </cell>
          <cell r="G551">
            <v>35339</v>
          </cell>
          <cell r="H551">
            <v>26400</v>
          </cell>
        </row>
        <row r="552">
          <cell r="A552">
            <v>3400003058</v>
          </cell>
          <cell r="B552">
            <v>5801</v>
          </cell>
          <cell r="C552">
            <v>61102</v>
          </cell>
          <cell r="D552">
            <v>0</v>
          </cell>
          <cell r="E552" t="str">
            <v>SMT MACHINE-FEEDER WITH MAGAZINE AND ADA</v>
          </cell>
          <cell r="F552">
            <v>1</v>
          </cell>
          <cell r="G552">
            <v>35339</v>
          </cell>
          <cell r="H552">
            <v>26400</v>
          </cell>
        </row>
        <row r="553">
          <cell r="A553">
            <v>3400003059</v>
          </cell>
          <cell r="B553">
            <v>5801</v>
          </cell>
          <cell r="C553">
            <v>61102</v>
          </cell>
          <cell r="D553">
            <v>0</v>
          </cell>
          <cell r="E553" t="str">
            <v>SMT MACHINE-FEEDER WITH MAGAZINE AND ADA</v>
          </cell>
          <cell r="F553">
            <v>1</v>
          </cell>
          <cell r="G553">
            <v>35339</v>
          </cell>
          <cell r="H553">
            <v>26400</v>
          </cell>
        </row>
        <row r="554">
          <cell r="A554">
            <v>3400003060</v>
          </cell>
          <cell r="B554">
            <v>5801</v>
          </cell>
          <cell r="C554">
            <v>61102</v>
          </cell>
          <cell r="D554">
            <v>0</v>
          </cell>
          <cell r="E554" t="str">
            <v>SMT MACHINE-FEEDER WITH MAGAZINE AND ADA</v>
          </cell>
          <cell r="F554">
            <v>1</v>
          </cell>
          <cell r="G554">
            <v>35339</v>
          </cell>
          <cell r="H554">
            <v>26400</v>
          </cell>
        </row>
        <row r="555">
          <cell r="A555">
            <v>3400003061</v>
          </cell>
          <cell r="B555">
            <v>5801</v>
          </cell>
          <cell r="C555">
            <v>61102</v>
          </cell>
          <cell r="D555">
            <v>0</v>
          </cell>
          <cell r="E555" t="str">
            <v>SMT MACHINE-FEEDER WITH MAGAZINE AND ADA</v>
          </cell>
          <cell r="F555">
            <v>1</v>
          </cell>
          <cell r="G555">
            <v>35339</v>
          </cell>
          <cell r="H555">
            <v>26400</v>
          </cell>
        </row>
        <row r="556">
          <cell r="A556">
            <v>3400003062</v>
          </cell>
          <cell r="B556">
            <v>5801</v>
          </cell>
          <cell r="C556">
            <v>61102</v>
          </cell>
          <cell r="D556">
            <v>0</v>
          </cell>
          <cell r="E556" t="str">
            <v>SMT MACHINE-FEEDER WITH MAGAZINE AND ADA</v>
          </cell>
          <cell r="F556">
            <v>1</v>
          </cell>
          <cell r="G556">
            <v>35339</v>
          </cell>
          <cell r="H556">
            <v>26400</v>
          </cell>
        </row>
        <row r="557">
          <cell r="A557">
            <v>3400003063</v>
          </cell>
          <cell r="B557">
            <v>5801</v>
          </cell>
          <cell r="C557">
            <v>61102</v>
          </cell>
          <cell r="D557">
            <v>0</v>
          </cell>
          <cell r="E557" t="str">
            <v>SMT MACHINE-FEEDER WITH MAGAZINE AND ADA</v>
          </cell>
          <cell r="F557">
            <v>1</v>
          </cell>
          <cell r="G557">
            <v>35339</v>
          </cell>
          <cell r="H557">
            <v>26400</v>
          </cell>
        </row>
        <row r="558">
          <cell r="A558">
            <v>3400003064</v>
          </cell>
          <cell r="B558">
            <v>5801</v>
          </cell>
          <cell r="C558">
            <v>61102</v>
          </cell>
          <cell r="D558">
            <v>0</v>
          </cell>
          <cell r="E558" t="str">
            <v>SMT MACHINE-FEEDER WITH MAGAZINE AND ADA</v>
          </cell>
          <cell r="F558">
            <v>1</v>
          </cell>
          <cell r="G558">
            <v>35339</v>
          </cell>
          <cell r="H558">
            <v>26400</v>
          </cell>
        </row>
        <row r="559">
          <cell r="A559">
            <v>3400003065</v>
          </cell>
          <cell r="B559">
            <v>5801</v>
          </cell>
          <cell r="C559">
            <v>61102</v>
          </cell>
          <cell r="D559">
            <v>0</v>
          </cell>
          <cell r="E559" t="str">
            <v>SMT MACHINE-FEEDER WITH MAGAZINE AND ADA</v>
          </cell>
          <cell r="F559">
            <v>1</v>
          </cell>
          <cell r="G559">
            <v>35339</v>
          </cell>
          <cell r="H559">
            <v>26400</v>
          </cell>
        </row>
        <row r="560">
          <cell r="A560">
            <v>3400003066</v>
          </cell>
          <cell r="B560">
            <v>5801</v>
          </cell>
          <cell r="C560">
            <v>61102</v>
          </cell>
          <cell r="D560">
            <v>0</v>
          </cell>
          <cell r="E560" t="str">
            <v>SMT MACHINE-FEEDER WITH MAGAZINE AND ADA</v>
          </cell>
          <cell r="F560">
            <v>1</v>
          </cell>
          <cell r="G560">
            <v>35339</v>
          </cell>
          <cell r="H560">
            <v>26400</v>
          </cell>
        </row>
        <row r="561">
          <cell r="A561">
            <v>3400003067</v>
          </cell>
          <cell r="B561">
            <v>5801</v>
          </cell>
          <cell r="C561">
            <v>61102</v>
          </cell>
          <cell r="D561">
            <v>0</v>
          </cell>
          <cell r="E561" t="str">
            <v>SMT MACHINE-FEEDER WITH MAGAZINE AND ADA</v>
          </cell>
          <cell r="F561">
            <v>1</v>
          </cell>
          <cell r="G561">
            <v>35339</v>
          </cell>
          <cell r="H561">
            <v>26400</v>
          </cell>
        </row>
        <row r="562">
          <cell r="A562">
            <v>3400003068</v>
          </cell>
          <cell r="B562">
            <v>5801</v>
          </cell>
          <cell r="C562">
            <v>61102</v>
          </cell>
          <cell r="D562">
            <v>0</v>
          </cell>
          <cell r="E562" t="str">
            <v>SMT MACHINE-FEEDER WITH MAGAZINE AND ADA</v>
          </cell>
          <cell r="F562">
            <v>1</v>
          </cell>
          <cell r="G562">
            <v>35339</v>
          </cell>
          <cell r="H562">
            <v>26400</v>
          </cell>
        </row>
        <row r="563">
          <cell r="A563">
            <v>3400003069</v>
          </cell>
          <cell r="B563">
            <v>5801</v>
          </cell>
          <cell r="C563">
            <v>61102</v>
          </cell>
          <cell r="D563">
            <v>0</v>
          </cell>
          <cell r="E563" t="str">
            <v>SMT MACHINE-FEEDER WITH MAGAZINE AND ADA</v>
          </cell>
          <cell r="F563">
            <v>1</v>
          </cell>
          <cell r="G563">
            <v>35339</v>
          </cell>
          <cell r="H563">
            <v>26400</v>
          </cell>
        </row>
        <row r="564">
          <cell r="A564">
            <v>3400003070</v>
          </cell>
          <cell r="B564">
            <v>5801</v>
          </cell>
          <cell r="C564">
            <v>61102</v>
          </cell>
          <cell r="D564">
            <v>0</v>
          </cell>
          <cell r="E564" t="str">
            <v>SMT MACHINE-FEEDER WITH MAGAZINE AND ADA</v>
          </cell>
          <cell r="F564">
            <v>1</v>
          </cell>
          <cell r="G564">
            <v>35339</v>
          </cell>
          <cell r="H564">
            <v>26400</v>
          </cell>
        </row>
        <row r="565">
          <cell r="A565">
            <v>3400003071</v>
          </cell>
          <cell r="B565">
            <v>5801</v>
          </cell>
          <cell r="C565">
            <v>61102</v>
          </cell>
          <cell r="D565">
            <v>0</v>
          </cell>
          <cell r="E565" t="str">
            <v>SMT MACHINE-FEEDER WITH MAGAZINE AND ADA</v>
          </cell>
          <cell r="F565">
            <v>1</v>
          </cell>
          <cell r="G565">
            <v>35339</v>
          </cell>
          <cell r="H565">
            <v>26400</v>
          </cell>
        </row>
        <row r="566">
          <cell r="A566">
            <v>3400003072</v>
          </cell>
          <cell r="B566">
            <v>5801</v>
          </cell>
          <cell r="C566">
            <v>61102</v>
          </cell>
          <cell r="D566">
            <v>0</v>
          </cell>
          <cell r="E566" t="str">
            <v>SMT MACHINE-FEEDER WITH MAGAZINE AND ADA</v>
          </cell>
          <cell r="F566">
            <v>1</v>
          </cell>
          <cell r="G566">
            <v>35339</v>
          </cell>
          <cell r="H566">
            <v>26400</v>
          </cell>
        </row>
        <row r="567">
          <cell r="A567">
            <v>3400003073</v>
          </cell>
          <cell r="B567">
            <v>5801</v>
          </cell>
          <cell r="C567">
            <v>61102</v>
          </cell>
          <cell r="D567">
            <v>0</v>
          </cell>
          <cell r="E567" t="str">
            <v>SMT MACHINE-FEEDER WITH MAGAZINE AND ADA</v>
          </cell>
          <cell r="F567">
            <v>1</v>
          </cell>
          <cell r="G567">
            <v>35339</v>
          </cell>
          <cell r="H567">
            <v>26400</v>
          </cell>
        </row>
        <row r="568">
          <cell r="A568">
            <v>3400003074</v>
          </cell>
          <cell r="B568">
            <v>5801</v>
          </cell>
          <cell r="C568">
            <v>61102</v>
          </cell>
          <cell r="D568">
            <v>0</v>
          </cell>
          <cell r="E568" t="str">
            <v>SMT MACHINE-FEEDER WITH MAGAZINE AND ADA</v>
          </cell>
          <cell r="F568">
            <v>1</v>
          </cell>
          <cell r="G568">
            <v>35339</v>
          </cell>
          <cell r="H568">
            <v>26400</v>
          </cell>
        </row>
        <row r="569">
          <cell r="A569">
            <v>3400003075</v>
          </cell>
          <cell r="B569">
            <v>5801</v>
          </cell>
          <cell r="C569">
            <v>61102</v>
          </cell>
          <cell r="D569">
            <v>0</v>
          </cell>
          <cell r="E569" t="str">
            <v>SMT MACHINE-FEEDER WITH MAGAZINE AND ADA</v>
          </cell>
          <cell r="F569">
            <v>1</v>
          </cell>
          <cell r="G569">
            <v>35339</v>
          </cell>
          <cell r="H569">
            <v>26400</v>
          </cell>
        </row>
        <row r="570">
          <cell r="A570">
            <v>3400003076</v>
          </cell>
          <cell r="B570">
            <v>5801</v>
          </cell>
          <cell r="C570">
            <v>61102</v>
          </cell>
          <cell r="D570">
            <v>0</v>
          </cell>
          <cell r="E570" t="str">
            <v>SMT MACHINE-FEEDER WITH MAGAZINE AND ADA</v>
          </cell>
          <cell r="F570">
            <v>1</v>
          </cell>
          <cell r="G570">
            <v>35339</v>
          </cell>
          <cell r="H570">
            <v>26400</v>
          </cell>
        </row>
        <row r="571">
          <cell r="A571">
            <v>3400003077</v>
          </cell>
          <cell r="B571">
            <v>5801</v>
          </cell>
          <cell r="C571">
            <v>61102</v>
          </cell>
          <cell r="D571">
            <v>0</v>
          </cell>
          <cell r="E571" t="str">
            <v>SMT MACHINE-FEEDER WITH MAGAZINE AND ADA</v>
          </cell>
          <cell r="F571">
            <v>1</v>
          </cell>
          <cell r="G571">
            <v>35339</v>
          </cell>
          <cell r="H571">
            <v>26400</v>
          </cell>
        </row>
        <row r="572">
          <cell r="A572">
            <v>3400003078</v>
          </cell>
          <cell r="B572">
            <v>5801</v>
          </cell>
          <cell r="C572">
            <v>61102</v>
          </cell>
          <cell r="D572">
            <v>0</v>
          </cell>
          <cell r="E572" t="str">
            <v>SMT MACHINE-FEEDER WITH MAGAZINE AND ADA</v>
          </cell>
          <cell r="F572">
            <v>1</v>
          </cell>
          <cell r="G572">
            <v>35339</v>
          </cell>
          <cell r="H572">
            <v>26400</v>
          </cell>
        </row>
        <row r="573">
          <cell r="A573">
            <v>3400003079</v>
          </cell>
          <cell r="B573">
            <v>5801</v>
          </cell>
          <cell r="C573">
            <v>61102</v>
          </cell>
          <cell r="D573">
            <v>0</v>
          </cell>
          <cell r="E573" t="str">
            <v>SMT MACHINE-FEEDER WITH MAGAZINE AND ADA</v>
          </cell>
          <cell r="F573">
            <v>1</v>
          </cell>
          <cell r="G573">
            <v>35339</v>
          </cell>
          <cell r="H573">
            <v>26400</v>
          </cell>
        </row>
        <row r="574">
          <cell r="A574">
            <v>3400003080</v>
          </cell>
          <cell r="B574">
            <v>5801</v>
          </cell>
          <cell r="C574">
            <v>61102</v>
          </cell>
          <cell r="D574">
            <v>0</v>
          </cell>
          <cell r="E574" t="str">
            <v>SMT MACHINE-FEEDER WITH MAGAZINE AND ADA</v>
          </cell>
          <cell r="F574">
            <v>1</v>
          </cell>
          <cell r="G574">
            <v>35339</v>
          </cell>
          <cell r="H574">
            <v>26400</v>
          </cell>
        </row>
        <row r="575">
          <cell r="A575">
            <v>3400003081</v>
          </cell>
          <cell r="B575">
            <v>5801</v>
          </cell>
          <cell r="C575">
            <v>61102</v>
          </cell>
          <cell r="D575">
            <v>0</v>
          </cell>
          <cell r="E575" t="str">
            <v>SMT MACHINE-FEEDER WITH MAGAZINE AND ADA</v>
          </cell>
          <cell r="F575">
            <v>1</v>
          </cell>
          <cell r="G575">
            <v>35339</v>
          </cell>
          <cell r="H575">
            <v>26400</v>
          </cell>
        </row>
        <row r="576">
          <cell r="A576">
            <v>3400003082</v>
          </cell>
          <cell r="B576">
            <v>5801</v>
          </cell>
          <cell r="C576">
            <v>61102</v>
          </cell>
          <cell r="D576">
            <v>0</v>
          </cell>
          <cell r="E576" t="str">
            <v>SMT MACHINE-FEEDER WITH MAGAZINE AND ADA</v>
          </cell>
          <cell r="F576">
            <v>1</v>
          </cell>
          <cell r="G576">
            <v>35339</v>
          </cell>
          <cell r="H576">
            <v>26400</v>
          </cell>
        </row>
        <row r="577">
          <cell r="A577">
            <v>3400003083</v>
          </cell>
          <cell r="B577">
            <v>5801</v>
          </cell>
          <cell r="C577">
            <v>61102</v>
          </cell>
          <cell r="D577">
            <v>0</v>
          </cell>
          <cell r="E577" t="str">
            <v>SMT MACHINE-FEEDER WITH MAGAZINE AND ADA</v>
          </cell>
          <cell r="F577">
            <v>1</v>
          </cell>
          <cell r="G577">
            <v>35339</v>
          </cell>
          <cell r="H577">
            <v>26400</v>
          </cell>
        </row>
        <row r="578">
          <cell r="A578">
            <v>3400003084</v>
          </cell>
          <cell r="B578">
            <v>5801</v>
          </cell>
          <cell r="C578">
            <v>61102</v>
          </cell>
          <cell r="D578">
            <v>0</v>
          </cell>
          <cell r="E578" t="str">
            <v>SMT MACHINE-FEEDER WITH MAGAZINE AND ADA</v>
          </cell>
          <cell r="F578">
            <v>1</v>
          </cell>
          <cell r="G578">
            <v>35339</v>
          </cell>
          <cell r="H578">
            <v>26400</v>
          </cell>
        </row>
        <row r="579">
          <cell r="A579">
            <v>3400003085</v>
          </cell>
          <cell r="B579">
            <v>5801</v>
          </cell>
          <cell r="C579">
            <v>61102</v>
          </cell>
          <cell r="D579">
            <v>0</v>
          </cell>
          <cell r="E579" t="str">
            <v>SMT MACHINE-FEEDER WITH MAGAZINE AND ADA</v>
          </cell>
          <cell r="F579">
            <v>1</v>
          </cell>
          <cell r="G579">
            <v>35339</v>
          </cell>
          <cell r="H579">
            <v>26400</v>
          </cell>
        </row>
        <row r="580">
          <cell r="A580">
            <v>3400003086</v>
          </cell>
          <cell r="B580">
            <v>5801</v>
          </cell>
          <cell r="C580">
            <v>61102</v>
          </cell>
          <cell r="D580">
            <v>0</v>
          </cell>
          <cell r="E580" t="str">
            <v>SMT MACHINE-FEEDER WITH MAGAZINE AND ADA</v>
          </cell>
          <cell r="F580">
            <v>1</v>
          </cell>
          <cell r="G580">
            <v>35339</v>
          </cell>
          <cell r="H580">
            <v>26400</v>
          </cell>
        </row>
        <row r="581">
          <cell r="A581">
            <v>3400003087</v>
          </cell>
          <cell r="B581">
            <v>5801</v>
          </cell>
          <cell r="C581">
            <v>61102</v>
          </cell>
          <cell r="D581">
            <v>0</v>
          </cell>
          <cell r="E581" t="str">
            <v>SMT MACHINE-FEEDER WITH MAGAZINE AND ADA</v>
          </cell>
          <cell r="F581">
            <v>1</v>
          </cell>
          <cell r="G581">
            <v>35339</v>
          </cell>
          <cell r="H581">
            <v>26400</v>
          </cell>
        </row>
        <row r="582">
          <cell r="A582">
            <v>3400003088</v>
          </cell>
          <cell r="B582">
            <v>5801</v>
          </cell>
          <cell r="C582">
            <v>61102</v>
          </cell>
          <cell r="D582">
            <v>0</v>
          </cell>
          <cell r="E582" t="str">
            <v>SMT MACHINE-FEEDER WITH MAGAZINE AND ADA</v>
          </cell>
          <cell r="F582">
            <v>1</v>
          </cell>
          <cell r="G582">
            <v>35339</v>
          </cell>
          <cell r="H582">
            <v>26400</v>
          </cell>
        </row>
        <row r="583">
          <cell r="A583">
            <v>3400003089</v>
          </cell>
          <cell r="B583">
            <v>5801</v>
          </cell>
          <cell r="C583">
            <v>61102</v>
          </cell>
          <cell r="D583">
            <v>0</v>
          </cell>
          <cell r="E583" t="str">
            <v>SMT MACHINE-FEEDER WITH MAGAZINE AND ADA</v>
          </cell>
          <cell r="F583">
            <v>1</v>
          </cell>
          <cell r="G583">
            <v>35339</v>
          </cell>
          <cell r="H583">
            <v>26400</v>
          </cell>
        </row>
        <row r="584">
          <cell r="A584">
            <v>3400003090</v>
          </cell>
          <cell r="B584">
            <v>5801</v>
          </cell>
          <cell r="C584">
            <v>61102</v>
          </cell>
          <cell r="D584">
            <v>0</v>
          </cell>
          <cell r="E584" t="str">
            <v>SMT MACHINE-FEEDER WITH MAGAZINE AND ADA</v>
          </cell>
          <cell r="F584">
            <v>1</v>
          </cell>
          <cell r="G584">
            <v>35339</v>
          </cell>
          <cell r="H584">
            <v>26400</v>
          </cell>
        </row>
        <row r="585">
          <cell r="A585">
            <v>3400003091</v>
          </cell>
          <cell r="B585">
            <v>5801</v>
          </cell>
          <cell r="C585">
            <v>61102</v>
          </cell>
          <cell r="D585">
            <v>0</v>
          </cell>
          <cell r="E585" t="str">
            <v>SMT MACHINE-FEEDER WITH MAGAZINE AND ADA</v>
          </cell>
          <cell r="F585">
            <v>1</v>
          </cell>
          <cell r="G585">
            <v>35339</v>
          </cell>
          <cell r="H585">
            <v>26400</v>
          </cell>
        </row>
        <row r="586">
          <cell r="A586">
            <v>3400003092</v>
          </cell>
          <cell r="B586">
            <v>5801</v>
          </cell>
          <cell r="C586">
            <v>61102</v>
          </cell>
          <cell r="D586">
            <v>0</v>
          </cell>
          <cell r="E586" t="str">
            <v>SMT MACHINE-FEEDER WITH MAGAZINE AND ADA</v>
          </cell>
          <cell r="F586">
            <v>1</v>
          </cell>
          <cell r="G586">
            <v>35339</v>
          </cell>
          <cell r="H586">
            <v>26400</v>
          </cell>
        </row>
        <row r="587">
          <cell r="A587">
            <v>3400003093</v>
          </cell>
          <cell r="B587">
            <v>5801</v>
          </cell>
          <cell r="C587">
            <v>61102</v>
          </cell>
          <cell r="D587">
            <v>0</v>
          </cell>
          <cell r="E587" t="str">
            <v>SMT MACHINE-FEEDER WITH MAGAZINE AND ADA</v>
          </cell>
          <cell r="F587">
            <v>1</v>
          </cell>
          <cell r="G587">
            <v>35339</v>
          </cell>
          <cell r="H587">
            <v>26400</v>
          </cell>
        </row>
        <row r="588">
          <cell r="A588">
            <v>3400003094</v>
          </cell>
          <cell r="B588">
            <v>5801</v>
          </cell>
          <cell r="C588">
            <v>61102</v>
          </cell>
          <cell r="D588">
            <v>0</v>
          </cell>
          <cell r="E588" t="str">
            <v>SMT MACHINE-FEEDER WITH MAGAZINE AND ADA</v>
          </cell>
          <cell r="F588">
            <v>1</v>
          </cell>
          <cell r="G588">
            <v>35339</v>
          </cell>
          <cell r="H588">
            <v>26400</v>
          </cell>
        </row>
        <row r="589">
          <cell r="A589">
            <v>3400003095</v>
          </cell>
          <cell r="B589">
            <v>5801</v>
          </cell>
          <cell r="C589">
            <v>61102</v>
          </cell>
          <cell r="D589">
            <v>0</v>
          </cell>
          <cell r="E589" t="str">
            <v>SMT MACHINE-FEEDER WITH MAGAZINE AND ADA</v>
          </cell>
          <cell r="F589">
            <v>1</v>
          </cell>
          <cell r="G589">
            <v>35339</v>
          </cell>
          <cell r="H589">
            <v>26400</v>
          </cell>
        </row>
        <row r="590">
          <cell r="A590">
            <v>3400003096</v>
          </cell>
          <cell r="B590">
            <v>5801</v>
          </cell>
          <cell r="C590">
            <v>61102</v>
          </cell>
          <cell r="D590">
            <v>0</v>
          </cell>
          <cell r="E590" t="str">
            <v>SMT MACHINE-FEEDER WITH MAGAZINE AND ADA</v>
          </cell>
          <cell r="F590">
            <v>1</v>
          </cell>
          <cell r="G590">
            <v>35339</v>
          </cell>
          <cell r="H590">
            <v>26400</v>
          </cell>
        </row>
        <row r="591">
          <cell r="A591">
            <v>3400003097</v>
          </cell>
          <cell r="B591">
            <v>5801</v>
          </cell>
          <cell r="C591">
            <v>61102</v>
          </cell>
          <cell r="D591">
            <v>0</v>
          </cell>
          <cell r="E591" t="str">
            <v>SMT MACHINE-FEEDER WITH MAGAZINE AND ADA</v>
          </cell>
          <cell r="F591">
            <v>1</v>
          </cell>
          <cell r="G591">
            <v>35339</v>
          </cell>
          <cell r="H591">
            <v>26400</v>
          </cell>
        </row>
        <row r="592">
          <cell r="A592">
            <v>3400003098</v>
          </cell>
          <cell r="B592">
            <v>5801</v>
          </cell>
          <cell r="C592">
            <v>61102</v>
          </cell>
          <cell r="D592">
            <v>0</v>
          </cell>
          <cell r="E592" t="str">
            <v>SMT MACHINE-FEEDER WITH MAGAZINE AND ADA</v>
          </cell>
          <cell r="F592">
            <v>1</v>
          </cell>
          <cell r="G592">
            <v>35339</v>
          </cell>
          <cell r="H592">
            <v>26400</v>
          </cell>
        </row>
        <row r="593">
          <cell r="A593">
            <v>3400003099</v>
          </cell>
          <cell r="B593">
            <v>5801</v>
          </cell>
          <cell r="C593">
            <v>61102</v>
          </cell>
          <cell r="D593">
            <v>0</v>
          </cell>
          <cell r="E593" t="str">
            <v>SMT MACHINE-FEEDER WITH MAGAZINE AND ADA</v>
          </cell>
          <cell r="F593">
            <v>1</v>
          </cell>
          <cell r="G593">
            <v>35339</v>
          </cell>
          <cell r="H593">
            <v>26400</v>
          </cell>
        </row>
        <row r="594">
          <cell r="A594">
            <v>3400003100</v>
          </cell>
          <cell r="B594">
            <v>5801</v>
          </cell>
          <cell r="C594">
            <v>61102</v>
          </cell>
          <cell r="D594">
            <v>0</v>
          </cell>
          <cell r="E594" t="str">
            <v>SMT MACHINE-FEEDER WITH MAGAZINE AND ADA</v>
          </cell>
          <cell r="F594">
            <v>1</v>
          </cell>
          <cell r="G594">
            <v>35339</v>
          </cell>
          <cell r="H594">
            <v>26400</v>
          </cell>
        </row>
        <row r="595">
          <cell r="A595">
            <v>3400003101</v>
          </cell>
          <cell r="B595">
            <v>5801</v>
          </cell>
          <cell r="C595">
            <v>61102</v>
          </cell>
          <cell r="D595">
            <v>0</v>
          </cell>
          <cell r="E595" t="str">
            <v>SMT MACHINE-FEEDER WITH MAGAZINE AND ADA</v>
          </cell>
          <cell r="F595">
            <v>1</v>
          </cell>
          <cell r="G595">
            <v>35339</v>
          </cell>
          <cell r="H595">
            <v>26400</v>
          </cell>
        </row>
        <row r="596">
          <cell r="A596">
            <v>3400003102</v>
          </cell>
          <cell r="B596">
            <v>5801</v>
          </cell>
          <cell r="C596">
            <v>61102</v>
          </cell>
          <cell r="D596">
            <v>0</v>
          </cell>
          <cell r="E596" t="str">
            <v>SMT MACHINE-FEEDER WITH MAGAZINE AND ADA</v>
          </cell>
          <cell r="F596">
            <v>1</v>
          </cell>
          <cell r="G596">
            <v>35339</v>
          </cell>
          <cell r="H596">
            <v>26400</v>
          </cell>
        </row>
        <row r="597">
          <cell r="A597">
            <v>3400003103</v>
          </cell>
          <cell r="B597">
            <v>5801</v>
          </cell>
          <cell r="C597">
            <v>61102</v>
          </cell>
          <cell r="D597">
            <v>0</v>
          </cell>
          <cell r="E597" t="str">
            <v>SMT MACHINE-FEEDER WITH MAGAZINE AND ADA</v>
          </cell>
          <cell r="F597">
            <v>1</v>
          </cell>
          <cell r="G597">
            <v>35339</v>
          </cell>
          <cell r="H597">
            <v>26400</v>
          </cell>
        </row>
        <row r="598">
          <cell r="A598">
            <v>3400003104</v>
          </cell>
          <cell r="B598">
            <v>5801</v>
          </cell>
          <cell r="C598">
            <v>61102</v>
          </cell>
          <cell r="D598">
            <v>0</v>
          </cell>
          <cell r="E598" t="str">
            <v>SMT MACHINE-FEEDER WITH MAGAZINE AND ADA</v>
          </cell>
          <cell r="F598">
            <v>1</v>
          </cell>
          <cell r="G598">
            <v>35339</v>
          </cell>
          <cell r="H598">
            <v>26400</v>
          </cell>
        </row>
        <row r="599">
          <cell r="A599">
            <v>3400003105</v>
          </cell>
          <cell r="B599">
            <v>5801</v>
          </cell>
          <cell r="C599">
            <v>61102</v>
          </cell>
          <cell r="D599">
            <v>0</v>
          </cell>
          <cell r="E599" t="str">
            <v>SMT MACHINE-FEEDER WITH MAGAZINE AND ADA</v>
          </cell>
          <cell r="F599">
            <v>1</v>
          </cell>
          <cell r="G599">
            <v>35339</v>
          </cell>
          <cell r="H599">
            <v>26400</v>
          </cell>
        </row>
        <row r="600">
          <cell r="A600">
            <v>3400003106</v>
          </cell>
          <cell r="B600">
            <v>5801</v>
          </cell>
          <cell r="C600">
            <v>61102</v>
          </cell>
          <cell r="D600">
            <v>0</v>
          </cell>
          <cell r="E600" t="str">
            <v>SMT MACHINE-FEEDER WITH MAGAZINE AND ADA</v>
          </cell>
          <cell r="F600">
            <v>1</v>
          </cell>
          <cell r="G600">
            <v>35339</v>
          </cell>
          <cell r="H600">
            <v>24300</v>
          </cell>
        </row>
        <row r="601">
          <cell r="A601">
            <v>3400003107</v>
          </cell>
          <cell r="B601">
            <v>5801</v>
          </cell>
          <cell r="C601">
            <v>61102</v>
          </cell>
          <cell r="D601">
            <v>0</v>
          </cell>
          <cell r="E601" t="str">
            <v>SMT MACHINE-FEEDER WITH MAGAZINE AND ADA</v>
          </cell>
          <cell r="F601">
            <v>1</v>
          </cell>
          <cell r="G601">
            <v>35339</v>
          </cell>
          <cell r="H601">
            <v>24300</v>
          </cell>
        </row>
        <row r="602">
          <cell r="A602">
            <v>3400003108</v>
          </cell>
          <cell r="B602">
            <v>5801</v>
          </cell>
          <cell r="C602">
            <v>61102</v>
          </cell>
          <cell r="D602">
            <v>0</v>
          </cell>
          <cell r="E602" t="str">
            <v>SMT MACHINE-FEEDER WITH MAGAZINE AND ADA</v>
          </cell>
          <cell r="F602">
            <v>1</v>
          </cell>
          <cell r="G602">
            <v>35339</v>
          </cell>
          <cell r="H602">
            <v>24300</v>
          </cell>
        </row>
        <row r="603">
          <cell r="A603">
            <v>3400003109</v>
          </cell>
          <cell r="B603">
            <v>5801</v>
          </cell>
          <cell r="C603">
            <v>61102</v>
          </cell>
          <cell r="D603">
            <v>0</v>
          </cell>
          <cell r="E603" t="str">
            <v>SMT MACHINE-FEEDER WITH MAGAZINE AND ADA</v>
          </cell>
          <cell r="F603">
            <v>1</v>
          </cell>
          <cell r="G603">
            <v>35339</v>
          </cell>
          <cell r="H603">
            <v>24300</v>
          </cell>
        </row>
        <row r="604">
          <cell r="A604">
            <v>3400003110</v>
          </cell>
          <cell r="B604">
            <v>5801</v>
          </cell>
          <cell r="C604">
            <v>61102</v>
          </cell>
          <cell r="D604">
            <v>0</v>
          </cell>
          <cell r="E604" t="str">
            <v>SMT MACHINE-FEEDER WITH MAGAZINE AND ADA</v>
          </cell>
          <cell r="F604">
            <v>1</v>
          </cell>
          <cell r="G604">
            <v>35339</v>
          </cell>
          <cell r="H604">
            <v>24300</v>
          </cell>
        </row>
        <row r="605">
          <cell r="A605">
            <v>3400003111</v>
          </cell>
          <cell r="B605">
            <v>5801</v>
          </cell>
          <cell r="C605">
            <v>61102</v>
          </cell>
          <cell r="D605">
            <v>0</v>
          </cell>
          <cell r="E605" t="str">
            <v>SMT MACHINE-FEEDER WITH MAGAZINE AND ADA</v>
          </cell>
          <cell r="F605">
            <v>1</v>
          </cell>
          <cell r="G605">
            <v>35339</v>
          </cell>
          <cell r="H605">
            <v>24300</v>
          </cell>
        </row>
        <row r="606">
          <cell r="A606">
            <v>3400003112</v>
          </cell>
          <cell r="B606">
            <v>5801</v>
          </cell>
          <cell r="C606">
            <v>61102</v>
          </cell>
          <cell r="D606">
            <v>0</v>
          </cell>
          <cell r="E606" t="str">
            <v>SMT MACHINE-FEEDER WITH MAGAZINE AND ADA</v>
          </cell>
          <cell r="F606">
            <v>1</v>
          </cell>
          <cell r="G606">
            <v>35339</v>
          </cell>
          <cell r="H606">
            <v>24300</v>
          </cell>
        </row>
        <row r="607">
          <cell r="A607">
            <v>3400003113</v>
          </cell>
          <cell r="B607">
            <v>5801</v>
          </cell>
          <cell r="C607">
            <v>61102</v>
          </cell>
          <cell r="D607">
            <v>0</v>
          </cell>
          <cell r="E607" t="str">
            <v>SMT MACHINE-FEEDER WITH MAGAZINE AND ADA</v>
          </cell>
          <cell r="F607">
            <v>1</v>
          </cell>
          <cell r="G607">
            <v>35339</v>
          </cell>
          <cell r="H607">
            <v>24300</v>
          </cell>
        </row>
        <row r="608">
          <cell r="A608">
            <v>3400003114</v>
          </cell>
          <cell r="B608">
            <v>5801</v>
          </cell>
          <cell r="C608">
            <v>61102</v>
          </cell>
          <cell r="D608">
            <v>0</v>
          </cell>
          <cell r="E608" t="str">
            <v>SMT MACHINE-FEEDER WITH MAGAZINE AND ADA</v>
          </cell>
          <cell r="F608">
            <v>1</v>
          </cell>
          <cell r="G608">
            <v>35339</v>
          </cell>
          <cell r="H608">
            <v>24300</v>
          </cell>
        </row>
        <row r="609">
          <cell r="A609">
            <v>3400003115</v>
          </cell>
          <cell r="B609">
            <v>5801</v>
          </cell>
          <cell r="C609">
            <v>61102</v>
          </cell>
          <cell r="D609">
            <v>0</v>
          </cell>
          <cell r="E609" t="str">
            <v>SMT MACHINE-FEEDER WITH MAGAZINE AND ADA</v>
          </cell>
          <cell r="F609">
            <v>1</v>
          </cell>
          <cell r="G609">
            <v>35339</v>
          </cell>
          <cell r="H609">
            <v>24300</v>
          </cell>
        </row>
        <row r="610">
          <cell r="A610">
            <v>3400003116</v>
          </cell>
          <cell r="B610">
            <v>5801</v>
          </cell>
          <cell r="C610">
            <v>61102</v>
          </cell>
          <cell r="D610">
            <v>0</v>
          </cell>
          <cell r="E610" t="str">
            <v>SMT MACHINE-FEEDER WITH MAGAZINE AND ADA</v>
          </cell>
          <cell r="F610">
            <v>1</v>
          </cell>
          <cell r="G610">
            <v>35339</v>
          </cell>
          <cell r="H610">
            <v>24300</v>
          </cell>
        </row>
        <row r="611">
          <cell r="A611">
            <v>3400003117</v>
          </cell>
          <cell r="B611">
            <v>5801</v>
          </cell>
          <cell r="C611">
            <v>61102</v>
          </cell>
          <cell r="D611">
            <v>0</v>
          </cell>
          <cell r="E611" t="str">
            <v>SMT MACHINE-FEEDER WITH MAGAZINE AND ADA</v>
          </cell>
          <cell r="F611">
            <v>1</v>
          </cell>
          <cell r="G611">
            <v>35339</v>
          </cell>
          <cell r="H611">
            <v>24300</v>
          </cell>
        </row>
        <row r="612">
          <cell r="A612">
            <v>3400003118</v>
          </cell>
          <cell r="B612">
            <v>5801</v>
          </cell>
          <cell r="C612">
            <v>61102</v>
          </cell>
          <cell r="D612">
            <v>0</v>
          </cell>
          <cell r="E612" t="str">
            <v>SMT MACHINE-FEEDER WITH MAGAZINE AND ADA</v>
          </cell>
          <cell r="F612">
            <v>1</v>
          </cell>
          <cell r="G612">
            <v>35339</v>
          </cell>
          <cell r="H612">
            <v>24300</v>
          </cell>
        </row>
        <row r="613">
          <cell r="A613">
            <v>3400003119</v>
          </cell>
          <cell r="B613">
            <v>5801</v>
          </cell>
          <cell r="C613">
            <v>61102</v>
          </cell>
          <cell r="D613">
            <v>0</v>
          </cell>
          <cell r="E613" t="str">
            <v>SMT MACHINE-FEEDER WITH MAGAZINE AND ADA</v>
          </cell>
          <cell r="F613">
            <v>1</v>
          </cell>
          <cell r="G613">
            <v>35339</v>
          </cell>
          <cell r="H613">
            <v>24300</v>
          </cell>
        </row>
        <row r="614">
          <cell r="A614">
            <v>3400003120</v>
          </cell>
          <cell r="B614">
            <v>5801</v>
          </cell>
          <cell r="C614">
            <v>61102</v>
          </cell>
          <cell r="D614">
            <v>0</v>
          </cell>
          <cell r="E614" t="str">
            <v>SMT MACHINE-FEEDER WITH MAGAZINE AND ADA</v>
          </cell>
          <cell r="F614">
            <v>1</v>
          </cell>
          <cell r="G614">
            <v>35339</v>
          </cell>
          <cell r="H614">
            <v>24300</v>
          </cell>
        </row>
        <row r="615">
          <cell r="A615">
            <v>3400003121</v>
          </cell>
          <cell r="B615">
            <v>5801</v>
          </cell>
          <cell r="C615">
            <v>61102</v>
          </cell>
          <cell r="D615">
            <v>0</v>
          </cell>
          <cell r="E615" t="str">
            <v>SMT MACHINE-FEEDER WITH MAGAZINE AND ADA</v>
          </cell>
          <cell r="F615">
            <v>1</v>
          </cell>
          <cell r="G615">
            <v>35339</v>
          </cell>
          <cell r="H615">
            <v>24300</v>
          </cell>
        </row>
        <row r="616">
          <cell r="A616">
            <v>3400003122</v>
          </cell>
          <cell r="B616">
            <v>5801</v>
          </cell>
          <cell r="C616">
            <v>61102</v>
          </cell>
          <cell r="D616">
            <v>0</v>
          </cell>
          <cell r="E616" t="str">
            <v>SMT MACHINE-FEEDER WITH MAGAZINE AND ADA</v>
          </cell>
          <cell r="F616">
            <v>1</v>
          </cell>
          <cell r="G616">
            <v>35339</v>
          </cell>
          <cell r="H616">
            <v>24300</v>
          </cell>
        </row>
        <row r="617">
          <cell r="A617">
            <v>3400003123</v>
          </cell>
          <cell r="B617">
            <v>5801</v>
          </cell>
          <cell r="C617">
            <v>61102</v>
          </cell>
          <cell r="D617">
            <v>0</v>
          </cell>
          <cell r="E617" t="str">
            <v>SMT MACHINE-FEEDER WITH MAGAZINE AND ADA</v>
          </cell>
          <cell r="F617">
            <v>1</v>
          </cell>
          <cell r="G617">
            <v>35339</v>
          </cell>
          <cell r="H617">
            <v>24300</v>
          </cell>
        </row>
        <row r="618">
          <cell r="A618">
            <v>3400003124</v>
          </cell>
          <cell r="B618">
            <v>5801</v>
          </cell>
          <cell r="C618">
            <v>61102</v>
          </cell>
          <cell r="D618">
            <v>0</v>
          </cell>
          <cell r="E618" t="str">
            <v>SMT MACHINE-FEEDER WITH MAGAZINE AND ADA</v>
          </cell>
          <cell r="F618">
            <v>1</v>
          </cell>
          <cell r="G618">
            <v>35339</v>
          </cell>
          <cell r="H618">
            <v>24300</v>
          </cell>
        </row>
        <row r="619">
          <cell r="A619">
            <v>3400003125</v>
          </cell>
          <cell r="B619">
            <v>5801</v>
          </cell>
          <cell r="C619">
            <v>61102</v>
          </cell>
          <cell r="D619">
            <v>0</v>
          </cell>
          <cell r="E619" t="str">
            <v>SMT MACHINE-FEEDER WITH MAGAZINE AND ADA</v>
          </cell>
          <cell r="F619">
            <v>1</v>
          </cell>
          <cell r="G619">
            <v>35339</v>
          </cell>
          <cell r="H619">
            <v>24300</v>
          </cell>
        </row>
        <row r="620">
          <cell r="A620">
            <v>3400003126</v>
          </cell>
          <cell r="B620">
            <v>5801</v>
          </cell>
          <cell r="C620">
            <v>61102</v>
          </cell>
          <cell r="D620">
            <v>0</v>
          </cell>
          <cell r="E620" t="str">
            <v>SMT MACHINE-FEEDER WITH MAGAZINE AND ADA</v>
          </cell>
          <cell r="F620">
            <v>1</v>
          </cell>
          <cell r="G620">
            <v>35339</v>
          </cell>
          <cell r="H620">
            <v>24300</v>
          </cell>
        </row>
        <row r="621">
          <cell r="A621">
            <v>3400003127</v>
          </cell>
          <cell r="B621">
            <v>5801</v>
          </cell>
          <cell r="C621">
            <v>61102</v>
          </cell>
          <cell r="D621">
            <v>0</v>
          </cell>
          <cell r="E621" t="str">
            <v>SMT MACHINE-FEEDER WITH MAGAZINE AND ADA</v>
          </cell>
          <cell r="F621">
            <v>1</v>
          </cell>
          <cell r="G621">
            <v>35339</v>
          </cell>
          <cell r="H621">
            <v>24300</v>
          </cell>
        </row>
        <row r="622">
          <cell r="A622">
            <v>3400003128</v>
          </cell>
          <cell r="B622">
            <v>5801</v>
          </cell>
          <cell r="C622">
            <v>61102</v>
          </cell>
          <cell r="D622">
            <v>0</v>
          </cell>
          <cell r="E622" t="str">
            <v>SMT MACHINE-FEEDER WITH MAGAZINE AND ADA</v>
          </cell>
          <cell r="F622">
            <v>1</v>
          </cell>
          <cell r="G622">
            <v>35339</v>
          </cell>
          <cell r="H622">
            <v>24300</v>
          </cell>
        </row>
        <row r="623">
          <cell r="A623">
            <v>3400003129</v>
          </cell>
          <cell r="B623">
            <v>5801</v>
          </cell>
          <cell r="C623">
            <v>61102</v>
          </cell>
          <cell r="D623">
            <v>0</v>
          </cell>
          <cell r="E623" t="str">
            <v>SMT MACHINE-FEEDER WITH MAGAZINE AND ADA</v>
          </cell>
          <cell r="F623">
            <v>1</v>
          </cell>
          <cell r="G623">
            <v>35339</v>
          </cell>
          <cell r="H623">
            <v>32500</v>
          </cell>
        </row>
        <row r="624">
          <cell r="A624">
            <v>3400003130</v>
          </cell>
          <cell r="B624">
            <v>5801</v>
          </cell>
          <cell r="C624">
            <v>61102</v>
          </cell>
          <cell r="D624">
            <v>0</v>
          </cell>
          <cell r="E624" t="str">
            <v>SMT MACHINE-FEEDER WITH MAGAZINE AND ADA</v>
          </cell>
          <cell r="F624">
            <v>1</v>
          </cell>
          <cell r="G624">
            <v>35339</v>
          </cell>
          <cell r="H624">
            <v>32500</v>
          </cell>
        </row>
        <row r="625">
          <cell r="A625">
            <v>3400003131</v>
          </cell>
          <cell r="B625">
            <v>5801</v>
          </cell>
          <cell r="C625">
            <v>61102</v>
          </cell>
          <cell r="D625">
            <v>0</v>
          </cell>
          <cell r="E625" t="str">
            <v>SMT MACHINE-FEEDER WITH MAGAZINE AND ADA</v>
          </cell>
          <cell r="F625">
            <v>1</v>
          </cell>
          <cell r="G625">
            <v>35339</v>
          </cell>
          <cell r="H625">
            <v>32500</v>
          </cell>
        </row>
        <row r="626">
          <cell r="A626">
            <v>3400003132</v>
          </cell>
          <cell r="B626">
            <v>5801</v>
          </cell>
          <cell r="C626">
            <v>61102</v>
          </cell>
          <cell r="D626">
            <v>0</v>
          </cell>
          <cell r="E626" t="str">
            <v>SMT MACHINE-FEEDER WITH MAGAZINE AND ADA</v>
          </cell>
          <cell r="F626">
            <v>1</v>
          </cell>
          <cell r="G626">
            <v>35339</v>
          </cell>
          <cell r="H626">
            <v>32500</v>
          </cell>
        </row>
        <row r="627">
          <cell r="A627">
            <v>3400003133</v>
          </cell>
          <cell r="B627">
            <v>5801</v>
          </cell>
          <cell r="C627">
            <v>61102</v>
          </cell>
          <cell r="D627">
            <v>0</v>
          </cell>
          <cell r="E627" t="str">
            <v>SMT MACHINE-FEEDER WITH MAGAZINE AND ADA</v>
          </cell>
          <cell r="F627">
            <v>1</v>
          </cell>
          <cell r="G627">
            <v>35339</v>
          </cell>
          <cell r="H627">
            <v>32500</v>
          </cell>
        </row>
        <row r="628">
          <cell r="A628">
            <v>3400003134</v>
          </cell>
          <cell r="B628">
            <v>5801</v>
          </cell>
          <cell r="C628">
            <v>61102</v>
          </cell>
          <cell r="D628">
            <v>0</v>
          </cell>
          <cell r="E628" t="str">
            <v>SMT MACHINE-FEEDER WITH MAGAZINE AND ADA</v>
          </cell>
          <cell r="F628">
            <v>1</v>
          </cell>
          <cell r="G628">
            <v>35339</v>
          </cell>
          <cell r="H628">
            <v>32500</v>
          </cell>
        </row>
        <row r="629">
          <cell r="A629">
            <v>3400003135</v>
          </cell>
          <cell r="B629">
            <v>5801</v>
          </cell>
          <cell r="C629">
            <v>61102</v>
          </cell>
          <cell r="D629">
            <v>0</v>
          </cell>
          <cell r="E629" t="str">
            <v>SMT MACHINE-FEEDER WITH MAGAZINE AND ADA</v>
          </cell>
          <cell r="F629">
            <v>1</v>
          </cell>
          <cell r="G629">
            <v>35339</v>
          </cell>
          <cell r="H629">
            <v>32500</v>
          </cell>
        </row>
        <row r="630">
          <cell r="A630">
            <v>3400003136</v>
          </cell>
          <cell r="B630">
            <v>5801</v>
          </cell>
          <cell r="C630">
            <v>61102</v>
          </cell>
          <cell r="D630">
            <v>0</v>
          </cell>
          <cell r="E630" t="str">
            <v>SMT MACHINE-FEEDER WITH MAGAZINE AND ADA</v>
          </cell>
          <cell r="F630">
            <v>1</v>
          </cell>
          <cell r="G630">
            <v>35339</v>
          </cell>
          <cell r="H630">
            <v>32500</v>
          </cell>
        </row>
        <row r="631">
          <cell r="A631">
            <v>3400003137</v>
          </cell>
          <cell r="B631">
            <v>5801</v>
          </cell>
          <cell r="C631">
            <v>61102</v>
          </cell>
          <cell r="D631">
            <v>0</v>
          </cell>
          <cell r="E631" t="str">
            <v>SMT MACHINE-FEEDER WITH MAGAZINE AND ADA</v>
          </cell>
          <cell r="F631">
            <v>1</v>
          </cell>
          <cell r="G631">
            <v>35339</v>
          </cell>
          <cell r="H631">
            <v>32500</v>
          </cell>
        </row>
        <row r="632">
          <cell r="A632">
            <v>3400003138</v>
          </cell>
          <cell r="B632">
            <v>5801</v>
          </cell>
          <cell r="C632">
            <v>61102</v>
          </cell>
          <cell r="D632">
            <v>0</v>
          </cell>
          <cell r="E632" t="str">
            <v>SMT MACHINE-FEEDER WITH MAGAZINE AND ADA</v>
          </cell>
          <cell r="F632">
            <v>1</v>
          </cell>
          <cell r="G632">
            <v>35339</v>
          </cell>
          <cell r="H632">
            <v>32500</v>
          </cell>
        </row>
        <row r="633">
          <cell r="A633">
            <v>3400003139</v>
          </cell>
          <cell r="B633">
            <v>5801</v>
          </cell>
          <cell r="C633">
            <v>61102</v>
          </cell>
          <cell r="D633">
            <v>0</v>
          </cell>
          <cell r="E633" t="str">
            <v>SMT MACHINE-FEEDER WITH MAGAZINE AND ADA</v>
          </cell>
          <cell r="F633">
            <v>1</v>
          </cell>
          <cell r="G633">
            <v>35339</v>
          </cell>
          <cell r="H633">
            <v>32500</v>
          </cell>
        </row>
        <row r="634">
          <cell r="A634">
            <v>3400003140</v>
          </cell>
          <cell r="B634">
            <v>5801</v>
          </cell>
          <cell r="C634">
            <v>61102</v>
          </cell>
          <cell r="D634">
            <v>0</v>
          </cell>
          <cell r="E634" t="str">
            <v>SMT MACHINE-FEEDER WITH MAGAZINE AND ADA</v>
          </cell>
          <cell r="F634">
            <v>1</v>
          </cell>
          <cell r="G634">
            <v>35339</v>
          </cell>
          <cell r="H634">
            <v>32500</v>
          </cell>
        </row>
        <row r="635">
          <cell r="A635">
            <v>3400003141</v>
          </cell>
          <cell r="B635">
            <v>5801</v>
          </cell>
          <cell r="C635">
            <v>61102</v>
          </cell>
          <cell r="D635">
            <v>0</v>
          </cell>
          <cell r="E635" t="str">
            <v>SMT MACHINE-FEEDER WITH MAGAZINE AND ADA</v>
          </cell>
          <cell r="F635">
            <v>1</v>
          </cell>
          <cell r="G635">
            <v>35339</v>
          </cell>
          <cell r="H635">
            <v>32500</v>
          </cell>
        </row>
        <row r="636">
          <cell r="A636">
            <v>3400003142</v>
          </cell>
          <cell r="B636">
            <v>5801</v>
          </cell>
          <cell r="C636">
            <v>61102</v>
          </cell>
          <cell r="D636">
            <v>0</v>
          </cell>
          <cell r="E636" t="str">
            <v>SMT MACHINE-FEEDER WITH MAGAZINE AND ADA</v>
          </cell>
          <cell r="F636">
            <v>1</v>
          </cell>
          <cell r="G636">
            <v>35339</v>
          </cell>
          <cell r="H636">
            <v>32500</v>
          </cell>
        </row>
        <row r="637">
          <cell r="A637">
            <v>3400003143</v>
          </cell>
          <cell r="B637">
            <v>5801</v>
          </cell>
          <cell r="C637">
            <v>61102</v>
          </cell>
          <cell r="D637">
            <v>0</v>
          </cell>
          <cell r="E637" t="str">
            <v>SMT MACHINE-FEEDER WITH MAGAZINE AND ADA</v>
          </cell>
          <cell r="F637">
            <v>1</v>
          </cell>
          <cell r="G637">
            <v>35339</v>
          </cell>
          <cell r="H637">
            <v>32500</v>
          </cell>
        </row>
        <row r="638">
          <cell r="A638">
            <v>3400003144</v>
          </cell>
          <cell r="B638">
            <v>5801</v>
          </cell>
          <cell r="C638">
            <v>61102</v>
          </cell>
          <cell r="D638">
            <v>0</v>
          </cell>
          <cell r="E638" t="str">
            <v>SMT MACHINE-FEEDER WITH MAGAZINE AND ADA</v>
          </cell>
          <cell r="F638">
            <v>1</v>
          </cell>
          <cell r="G638">
            <v>35339</v>
          </cell>
          <cell r="H638">
            <v>41000</v>
          </cell>
        </row>
        <row r="639">
          <cell r="A639">
            <v>3400003145</v>
          </cell>
          <cell r="B639">
            <v>5801</v>
          </cell>
          <cell r="C639">
            <v>61102</v>
          </cell>
          <cell r="D639">
            <v>0</v>
          </cell>
          <cell r="E639" t="str">
            <v>SMT MACHINE-FEEDER WITH MAGAZINE AND ADA</v>
          </cell>
          <cell r="F639">
            <v>1</v>
          </cell>
          <cell r="G639">
            <v>35339</v>
          </cell>
          <cell r="H639">
            <v>41000</v>
          </cell>
        </row>
        <row r="640">
          <cell r="A640">
            <v>3400003146</v>
          </cell>
          <cell r="B640">
            <v>5801</v>
          </cell>
          <cell r="C640">
            <v>61102</v>
          </cell>
          <cell r="D640">
            <v>0</v>
          </cell>
          <cell r="E640" t="str">
            <v>SMT MACHINE-FEEDER WITH MAGAZINE AND ADA</v>
          </cell>
          <cell r="F640">
            <v>1</v>
          </cell>
          <cell r="G640">
            <v>35339</v>
          </cell>
          <cell r="H640">
            <v>41000</v>
          </cell>
        </row>
        <row r="641">
          <cell r="A641">
            <v>3400003147</v>
          </cell>
          <cell r="B641">
            <v>5801</v>
          </cell>
          <cell r="C641">
            <v>61102</v>
          </cell>
          <cell r="D641">
            <v>0</v>
          </cell>
          <cell r="E641" t="str">
            <v>SMT MACHINE-FEEDER WITH MAGAZINE AND ADA</v>
          </cell>
          <cell r="F641">
            <v>1</v>
          </cell>
          <cell r="G641">
            <v>35339</v>
          </cell>
          <cell r="H641">
            <v>41000</v>
          </cell>
        </row>
        <row r="642">
          <cell r="A642">
            <v>3400003148</v>
          </cell>
          <cell r="B642">
            <v>5801</v>
          </cell>
          <cell r="C642">
            <v>61102</v>
          </cell>
          <cell r="D642">
            <v>0</v>
          </cell>
          <cell r="E642" t="str">
            <v>SMT LINEAR VIB FEEDER WITH ACCS</v>
          </cell>
          <cell r="F642">
            <v>1</v>
          </cell>
          <cell r="G642">
            <v>35339</v>
          </cell>
          <cell r="H642">
            <v>5200</v>
          </cell>
        </row>
        <row r="643">
          <cell r="A643">
            <v>3400003149</v>
          </cell>
          <cell r="B643">
            <v>5801</v>
          </cell>
          <cell r="C643">
            <v>61102</v>
          </cell>
          <cell r="D643">
            <v>0</v>
          </cell>
          <cell r="E643" t="str">
            <v>SMT LINEAR VIB FEEDER WITH ACCS</v>
          </cell>
          <cell r="F643">
            <v>1</v>
          </cell>
          <cell r="G643">
            <v>35339</v>
          </cell>
          <cell r="H643">
            <v>5200</v>
          </cell>
        </row>
        <row r="644">
          <cell r="A644">
            <v>3400003150</v>
          </cell>
          <cell r="B644">
            <v>5801</v>
          </cell>
          <cell r="C644">
            <v>61102</v>
          </cell>
          <cell r="D644">
            <v>0</v>
          </cell>
          <cell r="E644" t="str">
            <v>SMT LINEAR VIB FEEDER WITH ACCS</v>
          </cell>
          <cell r="F644">
            <v>1</v>
          </cell>
          <cell r="G644">
            <v>35339</v>
          </cell>
          <cell r="H644">
            <v>5200</v>
          </cell>
        </row>
        <row r="645">
          <cell r="A645">
            <v>3400003151</v>
          </cell>
          <cell r="B645">
            <v>5801</v>
          </cell>
          <cell r="C645">
            <v>61102</v>
          </cell>
          <cell r="D645">
            <v>0</v>
          </cell>
          <cell r="E645" t="str">
            <v>SMT LINEAR VIB FEEDER WITH ACCS</v>
          </cell>
          <cell r="F645">
            <v>1</v>
          </cell>
          <cell r="G645">
            <v>35339</v>
          </cell>
          <cell r="H645">
            <v>5200</v>
          </cell>
        </row>
        <row r="646">
          <cell r="A646">
            <v>3400003152</v>
          </cell>
          <cell r="B646">
            <v>5801</v>
          </cell>
          <cell r="C646">
            <v>61102</v>
          </cell>
          <cell r="D646">
            <v>0</v>
          </cell>
          <cell r="E646" t="str">
            <v>SMT LINEAR VIB FEEDER WITH ACCS</v>
          </cell>
          <cell r="F646">
            <v>1</v>
          </cell>
          <cell r="G646">
            <v>35339</v>
          </cell>
          <cell r="H646">
            <v>5200</v>
          </cell>
        </row>
        <row r="647">
          <cell r="A647">
            <v>3400003153</v>
          </cell>
          <cell r="B647">
            <v>5801</v>
          </cell>
          <cell r="C647">
            <v>61102</v>
          </cell>
          <cell r="D647">
            <v>0</v>
          </cell>
          <cell r="E647" t="str">
            <v>SMT LINEAR VIB FEEDER WITH ACCS</v>
          </cell>
          <cell r="F647">
            <v>1</v>
          </cell>
          <cell r="G647">
            <v>35339</v>
          </cell>
          <cell r="H647">
            <v>5200</v>
          </cell>
        </row>
        <row r="648">
          <cell r="A648">
            <v>3400003154</v>
          </cell>
          <cell r="B648">
            <v>5801</v>
          </cell>
          <cell r="C648">
            <v>61102</v>
          </cell>
          <cell r="D648">
            <v>0</v>
          </cell>
          <cell r="E648" t="str">
            <v>SMT LINEAR VIB FEEDER WITH ACCS</v>
          </cell>
          <cell r="F648">
            <v>1</v>
          </cell>
          <cell r="G648">
            <v>35339</v>
          </cell>
          <cell r="H648">
            <v>5200</v>
          </cell>
        </row>
        <row r="649">
          <cell r="A649">
            <v>3400003155</v>
          </cell>
          <cell r="B649">
            <v>5801</v>
          </cell>
          <cell r="C649">
            <v>61102</v>
          </cell>
          <cell r="D649">
            <v>0</v>
          </cell>
          <cell r="E649" t="str">
            <v>SMT LINEAR VIB FEEDER WITH ACCS</v>
          </cell>
          <cell r="F649">
            <v>1</v>
          </cell>
          <cell r="G649">
            <v>35339</v>
          </cell>
          <cell r="H649">
            <v>5200</v>
          </cell>
        </row>
        <row r="650">
          <cell r="A650">
            <v>3400003156</v>
          </cell>
          <cell r="B650">
            <v>5801</v>
          </cell>
          <cell r="C650">
            <v>61102</v>
          </cell>
          <cell r="D650">
            <v>0</v>
          </cell>
          <cell r="E650" t="str">
            <v>SMT LINEAR VIB FEEDER WITH ACCS</v>
          </cell>
          <cell r="F650">
            <v>1</v>
          </cell>
          <cell r="G650">
            <v>35339</v>
          </cell>
          <cell r="H650">
            <v>52200</v>
          </cell>
        </row>
        <row r="651">
          <cell r="A651">
            <v>3400003157</v>
          </cell>
          <cell r="B651">
            <v>5801</v>
          </cell>
          <cell r="C651">
            <v>61102</v>
          </cell>
          <cell r="D651">
            <v>0</v>
          </cell>
          <cell r="E651" t="str">
            <v>SMT LINEAR VIB FEEDER WITH ACCS</v>
          </cell>
          <cell r="F651">
            <v>1</v>
          </cell>
          <cell r="G651">
            <v>35339</v>
          </cell>
          <cell r="H651">
            <v>52200</v>
          </cell>
        </row>
        <row r="652">
          <cell r="A652">
            <v>3400003158</v>
          </cell>
          <cell r="B652">
            <v>5801</v>
          </cell>
          <cell r="C652">
            <v>61102</v>
          </cell>
          <cell r="D652">
            <v>0</v>
          </cell>
          <cell r="E652" t="str">
            <v>SMT LINEAR VIB FEEDER WITH ACCS</v>
          </cell>
          <cell r="F652">
            <v>1</v>
          </cell>
          <cell r="G652">
            <v>35339</v>
          </cell>
          <cell r="H652">
            <v>52200</v>
          </cell>
        </row>
        <row r="653">
          <cell r="A653">
            <v>3400003159</v>
          </cell>
          <cell r="B653">
            <v>5801</v>
          </cell>
          <cell r="C653">
            <v>61102</v>
          </cell>
          <cell r="D653">
            <v>0</v>
          </cell>
          <cell r="E653" t="str">
            <v>SMT LINEAR VIB FEEDER WITH ACCS</v>
          </cell>
          <cell r="F653">
            <v>1</v>
          </cell>
          <cell r="G653">
            <v>35339</v>
          </cell>
          <cell r="H653">
            <v>52200</v>
          </cell>
        </row>
        <row r="654">
          <cell r="A654">
            <v>3400003160</v>
          </cell>
          <cell r="B654">
            <v>5801</v>
          </cell>
          <cell r="C654">
            <v>61102</v>
          </cell>
          <cell r="D654">
            <v>0</v>
          </cell>
          <cell r="E654" t="str">
            <v>SMT LINEAR VIB FEEDER WITH ACCS</v>
          </cell>
          <cell r="F654">
            <v>1</v>
          </cell>
          <cell r="G654">
            <v>35339</v>
          </cell>
          <cell r="H654">
            <v>52200</v>
          </cell>
        </row>
        <row r="655">
          <cell r="A655">
            <v>3400003161</v>
          </cell>
          <cell r="B655">
            <v>5801</v>
          </cell>
          <cell r="C655">
            <v>61102</v>
          </cell>
          <cell r="D655">
            <v>0</v>
          </cell>
          <cell r="E655" t="str">
            <v>SMT LINEAR VIB FEEDER WITH ACCS</v>
          </cell>
          <cell r="F655">
            <v>1</v>
          </cell>
          <cell r="G655">
            <v>35339</v>
          </cell>
          <cell r="H655">
            <v>52200</v>
          </cell>
        </row>
        <row r="656">
          <cell r="A656">
            <v>3400003162</v>
          </cell>
          <cell r="B656">
            <v>5801</v>
          </cell>
          <cell r="C656">
            <v>61102</v>
          </cell>
          <cell r="D656">
            <v>0</v>
          </cell>
          <cell r="E656" t="str">
            <v>SMT LINEAR VIB FEEDER WITH ACCS</v>
          </cell>
          <cell r="F656">
            <v>1</v>
          </cell>
          <cell r="G656">
            <v>35339</v>
          </cell>
          <cell r="H656">
            <v>52200</v>
          </cell>
        </row>
        <row r="657">
          <cell r="A657">
            <v>3400003163</v>
          </cell>
          <cell r="B657">
            <v>5801</v>
          </cell>
          <cell r="C657">
            <v>61102</v>
          </cell>
          <cell r="D657">
            <v>0</v>
          </cell>
          <cell r="E657" t="str">
            <v>SMT LINEAR VIB FEEDER WITH ACCS</v>
          </cell>
          <cell r="F657">
            <v>1</v>
          </cell>
          <cell r="G657">
            <v>35339</v>
          </cell>
          <cell r="H657">
            <v>52200</v>
          </cell>
        </row>
        <row r="658">
          <cell r="A658">
            <v>3400003164</v>
          </cell>
          <cell r="B658">
            <v>5801</v>
          </cell>
          <cell r="C658">
            <v>61102</v>
          </cell>
          <cell r="D658">
            <v>0</v>
          </cell>
          <cell r="E658" t="str">
            <v>SMT-INSPECTION CONVEYOR</v>
          </cell>
          <cell r="F658">
            <v>1</v>
          </cell>
          <cell r="G658">
            <v>35339</v>
          </cell>
          <cell r="H658">
            <v>312000</v>
          </cell>
        </row>
        <row r="659">
          <cell r="A659">
            <v>3400003165</v>
          </cell>
          <cell r="B659">
            <v>5801</v>
          </cell>
          <cell r="C659">
            <v>61102</v>
          </cell>
          <cell r="D659">
            <v>0</v>
          </cell>
          <cell r="E659" t="str">
            <v>SMT REFLOW OVEN</v>
          </cell>
          <cell r="F659">
            <v>1</v>
          </cell>
          <cell r="G659">
            <v>35339</v>
          </cell>
          <cell r="H659">
            <v>2776000</v>
          </cell>
        </row>
        <row r="660">
          <cell r="A660">
            <v>3400003165</v>
          </cell>
          <cell r="B660">
            <v>5801</v>
          </cell>
          <cell r="C660">
            <v>61102</v>
          </cell>
          <cell r="D660">
            <v>1</v>
          </cell>
          <cell r="E660" t="str">
            <v>INSTALLATION &amp; COMMISSIONING CHARGES</v>
          </cell>
          <cell r="F660">
            <v>1</v>
          </cell>
          <cell r="G660">
            <v>35339</v>
          </cell>
          <cell r="H660">
            <v>61640</v>
          </cell>
        </row>
        <row r="661">
          <cell r="A661">
            <v>3400003166</v>
          </cell>
          <cell r="B661">
            <v>5801</v>
          </cell>
          <cell r="C661">
            <v>61102</v>
          </cell>
          <cell r="D661">
            <v>0</v>
          </cell>
          <cell r="E661" t="str">
            <v>SMT-150MM PIPE</v>
          </cell>
          <cell r="F661">
            <v>1</v>
          </cell>
          <cell r="G661">
            <v>35339</v>
          </cell>
          <cell r="H661">
            <v>45100</v>
          </cell>
        </row>
        <row r="662">
          <cell r="A662">
            <v>3400003167</v>
          </cell>
          <cell r="B662">
            <v>5801</v>
          </cell>
          <cell r="C662">
            <v>61102</v>
          </cell>
          <cell r="D662">
            <v>0</v>
          </cell>
          <cell r="E662" t="str">
            <v>SMT TEMP CONT UNIT TR-4</v>
          </cell>
          <cell r="F662">
            <v>1</v>
          </cell>
          <cell r="G662">
            <v>35339</v>
          </cell>
          <cell r="H662">
            <v>78800</v>
          </cell>
        </row>
        <row r="663">
          <cell r="A663">
            <v>3400003168</v>
          </cell>
          <cell r="B663">
            <v>5801</v>
          </cell>
          <cell r="C663">
            <v>61102</v>
          </cell>
          <cell r="D663">
            <v>0</v>
          </cell>
          <cell r="E663" t="str">
            <v>SMT-SCREEN PRTR WITH ACCS</v>
          </cell>
          <cell r="F663">
            <v>1</v>
          </cell>
          <cell r="G663">
            <v>35339</v>
          </cell>
          <cell r="H663">
            <v>3519500</v>
          </cell>
        </row>
        <row r="664">
          <cell r="A664">
            <v>3400003168</v>
          </cell>
          <cell r="B664">
            <v>5801</v>
          </cell>
          <cell r="C664">
            <v>61102</v>
          </cell>
          <cell r="D664">
            <v>1</v>
          </cell>
          <cell r="E664" t="str">
            <v>INSTALLATION &amp; COMMISSIONING CHARGES</v>
          </cell>
          <cell r="F664">
            <v>1</v>
          </cell>
          <cell r="G664">
            <v>35339</v>
          </cell>
          <cell r="H664">
            <v>69345</v>
          </cell>
        </row>
        <row r="665">
          <cell r="A665">
            <v>3400003169</v>
          </cell>
          <cell r="B665">
            <v>5801</v>
          </cell>
          <cell r="C665">
            <v>61102</v>
          </cell>
          <cell r="D665">
            <v>0</v>
          </cell>
          <cell r="E665" t="str">
            <v>SMT PRINTING STENCIL</v>
          </cell>
          <cell r="F665">
            <v>1</v>
          </cell>
          <cell r="G665">
            <v>35339</v>
          </cell>
          <cell r="H665">
            <v>4700</v>
          </cell>
        </row>
        <row r="666">
          <cell r="A666">
            <v>3400003170</v>
          </cell>
          <cell r="B666">
            <v>5801</v>
          </cell>
          <cell r="C666">
            <v>61102</v>
          </cell>
          <cell r="D666">
            <v>0</v>
          </cell>
          <cell r="E666" t="str">
            <v>SMT PRINTING STENCIL</v>
          </cell>
          <cell r="F666">
            <v>1</v>
          </cell>
          <cell r="G666">
            <v>35339</v>
          </cell>
          <cell r="H666">
            <v>4700</v>
          </cell>
        </row>
        <row r="667">
          <cell r="A667">
            <v>3400003171</v>
          </cell>
          <cell r="B667">
            <v>5801</v>
          </cell>
          <cell r="C667">
            <v>61102</v>
          </cell>
          <cell r="D667">
            <v>0</v>
          </cell>
          <cell r="E667" t="str">
            <v>SMT PRINTING STENCIL</v>
          </cell>
          <cell r="F667">
            <v>1</v>
          </cell>
          <cell r="G667">
            <v>35339</v>
          </cell>
          <cell r="H667">
            <v>4700</v>
          </cell>
        </row>
        <row r="668">
          <cell r="A668">
            <v>3400003172</v>
          </cell>
          <cell r="B668">
            <v>5801</v>
          </cell>
          <cell r="C668">
            <v>61102</v>
          </cell>
          <cell r="D668">
            <v>0</v>
          </cell>
          <cell r="E668" t="str">
            <v>SMT PRINTING STENCIL</v>
          </cell>
          <cell r="F668">
            <v>1</v>
          </cell>
          <cell r="G668">
            <v>35339</v>
          </cell>
          <cell r="H668">
            <v>4700</v>
          </cell>
        </row>
        <row r="669">
          <cell r="A669">
            <v>3400003173</v>
          </cell>
          <cell r="B669">
            <v>5801</v>
          </cell>
          <cell r="C669">
            <v>61102</v>
          </cell>
          <cell r="D669">
            <v>0</v>
          </cell>
          <cell r="E669" t="str">
            <v>SMT PRINTING STENCIL</v>
          </cell>
          <cell r="F669">
            <v>1</v>
          </cell>
          <cell r="G669">
            <v>35339</v>
          </cell>
          <cell r="H669">
            <v>4700</v>
          </cell>
        </row>
        <row r="670">
          <cell r="A670">
            <v>3400003174</v>
          </cell>
          <cell r="B670">
            <v>5801</v>
          </cell>
          <cell r="C670">
            <v>61102</v>
          </cell>
          <cell r="D670">
            <v>0</v>
          </cell>
          <cell r="E670" t="str">
            <v>SMT PRINTING STENCIL</v>
          </cell>
          <cell r="F670">
            <v>1</v>
          </cell>
          <cell r="G670">
            <v>35339</v>
          </cell>
          <cell r="H670">
            <v>4700</v>
          </cell>
        </row>
        <row r="671">
          <cell r="A671">
            <v>3400003175</v>
          </cell>
          <cell r="B671">
            <v>5801</v>
          </cell>
          <cell r="C671">
            <v>61102</v>
          </cell>
          <cell r="D671">
            <v>0</v>
          </cell>
          <cell r="E671" t="str">
            <v>SMT PRINTING STENCIL</v>
          </cell>
          <cell r="F671">
            <v>1</v>
          </cell>
          <cell r="G671">
            <v>35339</v>
          </cell>
          <cell r="H671">
            <v>23700</v>
          </cell>
        </row>
        <row r="672">
          <cell r="A672">
            <v>3400003199</v>
          </cell>
          <cell r="B672">
            <v>5801</v>
          </cell>
          <cell r="C672">
            <v>61102</v>
          </cell>
          <cell r="D672">
            <v>0</v>
          </cell>
          <cell r="E672" t="str">
            <v>SMD 8000 SOLDERING/DESOLDERING MN WITH A</v>
          </cell>
          <cell r="F672">
            <v>1</v>
          </cell>
          <cell r="G672">
            <v>35339</v>
          </cell>
          <cell r="H672">
            <v>27400</v>
          </cell>
        </row>
        <row r="673">
          <cell r="A673">
            <v>3400003223</v>
          </cell>
          <cell r="B673">
            <v>5801</v>
          </cell>
          <cell r="C673">
            <v>61112</v>
          </cell>
          <cell r="D673">
            <v>0</v>
          </cell>
          <cell r="E673" t="str">
            <v>VACCUM ADAPTER F.BG S30189-U4901-F</v>
          </cell>
          <cell r="F673">
            <v>1</v>
          </cell>
          <cell r="G673">
            <v>35339</v>
          </cell>
          <cell r="H673">
            <v>41900</v>
          </cell>
        </row>
        <row r="674">
          <cell r="A674">
            <v>3400003224</v>
          </cell>
          <cell r="B674">
            <v>5801</v>
          </cell>
          <cell r="C674">
            <v>61112</v>
          </cell>
          <cell r="D674">
            <v>0</v>
          </cell>
          <cell r="E674" t="str">
            <v>VACCUM ADAPTER F.BG S30189-U4901-G</v>
          </cell>
          <cell r="F674">
            <v>1</v>
          </cell>
          <cell r="G674">
            <v>35339</v>
          </cell>
          <cell r="H674">
            <v>41900</v>
          </cell>
        </row>
        <row r="675">
          <cell r="A675">
            <v>3400003225</v>
          </cell>
          <cell r="B675">
            <v>5801</v>
          </cell>
          <cell r="C675">
            <v>61112</v>
          </cell>
          <cell r="D675">
            <v>0</v>
          </cell>
          <cell r="E675" t="str">
            <v>TEST ADAPTER S30189-U4901-G</v>
          </cell>
          <cell r="F675">
            <v>1</v>
          </cell>
          <cell r="G675">
            <v>35339</v>
          </cell>
          <cell r="H675">
            <v>301500</v>
          </cell>
        </row>
        <row r="676">
          <cell r="A676">
            <v>3400003226</v>
          </cell>
          <cell r="B676">
            <v>5801</v>
          </cell>
          <cell r="C676">
            <v>61112</v>
          </cell>
          <cell r="D676">
            <v>0</v>
          </cell>
          <cell r="E676" t="str">
            <v>Z 850ADAPTER S30189-U4901-F</v>
          </cell>
          <cell r="F676">
            <v>1</v>
          </cell>
          <cell r="G676">
            <v>35339</v>
          </cell>
          <cell r="H676">
            <v>41900</v>
          </cell>
        </row>
        <row r="677">
          <cell r="A677">
            <v>3400003227</v>
          </cell>
          <cell r="B677">
            <v>5801</v>
          </cell>
          <cell r="C677">
            <v>61112</v>
          </cell>
          <cell r="D677">
            <v>0</v>
          </cell>
          <cell r="E677" t="str">
            <v>Z 850ADAPTER S30189-U4901-F</v>
          </cell>
          <cell r="F677">
            <v>1</v>
          </cell>
          <cell r="G677">
            <v>35339</v>
          </cell>
          <cell r="H677">
            <v>41900</v>
          </cell>
        </row>
        <row r="678">
          <cell r="A678">
            <v>3400003228</v>
          </cell>
          <cell r="B678">
            <v>5801</v>
          </cell>
          <cell r="C678">
            <v>61112</v>
          </cell>
          <cell r="D678">
            <v>0</v>
          </cell>
          <cell r="E678" t="str">
            <v>Z 850ADAPTER S30189-U4901-F</v>
          </cell>
          <cell r="F678">
            <v>1</v>
          </cell>
          <cell r="G678">
            <v>35339</v>
          </cell>
          <cell r="H678">
            <v>41900</v>
          </cell>
        </row>
        <row r="679">
          <cell r="A679">
            <v>3400003229</v>
          </cell>
          <cell r="B679">
            <v>5801</v>
          </cell>
          <cell r="C679">
            <v>61112</v>
          </cell>
          <cell r="D679">
            <v>0</v>
          </cell>
          <cell r="E679" t="str">
            <v>Z 850 TESTADAPTER S30189-U4901-G</v>
          </cell>
          <cell r="F679">
            <v>1</v>
          </cell>
          <cell r="G679">
            <v>35339</v>
          </cell>
          <cell r="H679">
            <v>41900</v>
          </cell>
        </row>
        <row r="680">
          <cell r="A680">
            <v>3400003230</v>
          </cell>
          <cell r="B680">
            <v>5801</v>
          </cell>
          <cell r="C680">
            <v>61112</v>
          </cell>
          <cell r="D680">
            <v>0</v>
          </cell>
          <cell r="E680" t="str">
            <v>VACCUM ADAPTER S30189-U4901-F</v>
          </cell>
          <cell r="F680">
            <v>1</v>
          </cell>
          <cell r="G680">
            <v>35339</v>
          </cell>
          <cell r="H680">
            <v>418700</v>
          </cell>
        </row>
        <row r="681">
          <cell r="A681">
            <v>3400003231</v>
          </cell>
          <cell r="B681">
            <v>5801</v>
          </cell>
          <cell r="C681">
            <v>61112</v>
          </cell>
          <cell r="D681">
            <v>0</v>
          </cell>
          <cell r="E681" t="str">
            <v>Z850 ADAPTER S30189-U-4901-E</v>
          </cell>
          <cell r="F681">
            <v>1</v>
          </cell>
          <cell r="G681">
            <v>35339</v>
          </cell>
          <cell r="H681">
            <v>418700</v>
          </cell>
        </row>
        <row r="682">
          <cell r="A682">
            <v>3400003232</v>
          </cell>
          <cell r="B682">
            <v>5801</v>
          </cell>
          <cell r="C682">
            <v>61112</v>
          </cell>
          <cell r="D682">
            <v>0</v>
          </cell>
          <cell r="E682" t="str">
            <v>ADAPTER S-30189-U-4908-390</v>
          </cell>
          <cell r="F682">
            <v>1</v>
          </cell>
          <cell r="G682">
            <v>35339</v>
          </cell>
          <cell r="H682">
            <v>52700</v>
          </cell>
        </row>
        <row r="683">
          <cell r="A683">
            <v>3400003233</v>
          </cell>
          <cell r="B683">
            <v>5801</v>
          </cell>
          <cell r="C683">
            <v>61115</v>
          </cell>
          <cell r="D683">
            <v>0</v>
          </cell>
          <cell r="E683" t="str">
            <v>SHORT CIRCUIT PLUG KS:TSG A</v>
          </cell>
          <cell r="F683">
            <v>1</v>
          </cell>
          <cell r="G683">
            <v>35339</v>
          </cell>
          <cell r="H683">
            <v>16000</v>
          </cell>
        </row>
        <row r="684">
          <cell r="A684">
            <v>3400003234</v>
          </cell>
          <cell r="B684">
            <v>5801</v>
          </cell>
          <cell r="C684">
            <v>61115</v>
          </cell>
          <cell r="D684">
            <v>0</v>
          </cell>
          <cell r="E684" t="str">
            <v>SHORT CIRCUIT PLUG KS:TSG A</v>
          </cell>
          <cell r="F684">
            <v>1</v>
          </cell>
          <cell r="G684">
            <v>35339</v>
          </cell>
          <cell r="H684">
            <v>10100</v>
          </cell>
        </row>
        <row r="685">
          <cell r="A685">
            <v>3400003235</v>
          </cell>
          <cell r="B685">
            <v>5801</v>
          </cell>
          <cell r="C685">
            <v>61115</v>
          </cell>
          <cell r="D685">
            <v>0</v>
          </cell>
          <cell r="E685" t="str">
            <v>SHORT CIRCUIT PLUG KS:TSG A</v>
          </cell>
          <cell r="F685">
            <v>1</v>
          </cell>
          <cell r="G685">
            <v>35339</v>
          </cell>
          <cell r="H685">
            <v>16000</v>
          </cell>
        </row>
        <row r="686">
          <cell r="A686">
            <v>3400003236</v>
          </cell>
          <cell r="B686">
            <v>5801</v>
          </cell>
          <cell r="C686">
            <v>61115</v>
          </cell>
          <cell r="D686">
            <v>0</v>
          </cell>
          <cell r="E686" t="str">
            <v>SHORT CIRCUIT PLUG KS:TSG A</v>
          </cell>
          <cell r="F686">
            <v>1</v>
          </cell>
          <cell r="G686">
            <v>35339</v>
          </cell>
          <cell r="H686">
            <v>16000</v>
          </cell>
        </row>
        <row r="687">
          <cell r="A687">
            <v>3400003237</v>
          </cell>
          <cell r="B687">
            <v>5801</v>
          </cell>
          <cell r="C687">
            <v>61115</v>
          </cell>
          <cell r="D687">
            <v>0</v>
          </cell>
          <cell r="E687" t="str">
            <v>SHORT CIRCUIT PLUG KS:TSG A</v>
          </cell>
          <cell r="F687">
            <v>1</v>
          </cell>
          <cell r="G687">
            <v>35339</v>
          </cell>
          <cell r="H687">
            <v>16000</v>
          </cell>
        </row>
        <row r="688">
          <cell r="A688">
            <v>3400003238</v>
          </cell>
          <cell r="B688">
            <v>5801</v>
          </cell>
          <cell r="C688">
            <v>61115</v>
          </cell>
          <cell r="D688">
            <v>0</v>
          </cell>
          <cell r="E688" t="str">
            <v>SHORT CIRCUIT PLUG KS:TSG A</v>
          </cell>
          <cell r="F688">
            <v>1</v>
          </cell>
          <cell r="G688">
            <v>35339</v>
          </cell>
          <cell r="H688">
            <v>16000</v>
          </cell>
        </row>
        <row r="689">
          <cell r="A689">
            <v>3400003239</v>
          </cell>
          <cell r="B689">
            <v>5801</v>
          </cell>
          <cell r="C689">
            <v>61115</v>
          </cell>
          <cell r="D689">
            <v>0</v>
          </cell>
          <cell r="E689" t="str">
            <v>SHORT CIRCUIT PLUG KS:TSG A</v>
          </cell>
          <cell r="F689">
            <v>1</v>
          </cell>
          <cell r="G689">
            <v>35339</v>
          </cell>
          <cell r="H689">
            <v>16000</v>
          </cell>
        </row>
        <row r="690">
          <cell r="A690">
            <v>3400003240</v>
          </cell>
          <cell r="B690">
            <v>5801</v>
          </cell>
          <cell r="C690">
            <v>61115</v>
          </cell>
          <cell r="D690">
            <v>0</v>
          </cell>
          <cell r="E690" t="str">
            <v>SHORT CIRCUIT PLUG KS:TSG A</v>
          </cell>
          <cell r="F690">
            <v>1</v>
          </cell>
          <cell r="G690">
            <v>35339</v>
          </cell>
          <cell r="H690">
            <v>16000</v>
          </cell>
        </row>
        <row r="691">
          <cell r="A691">
            <v>3400003241</v>
          </cell>
          <cell r="B691">
            <v>5801</v>
          </cell>
          <cell r="C691">
            <v>61115</v>
          </cell>
          <cell r="D691">
            <v>0</v>
          </cell>
          <cell r="E691" t="str">
            <v>SHORT CIRCUIT PLUG KS:TSG A</v>
          </cell>
          <cell r="F691">
            <v>1</v>
          </cell>
          <cell r="G691">
            <v>35339</v>
          </cell>
          <cell r="H691">
            <v>16000</v>
          </cell>
        </row>
        <row r="692">
          <cell r="A692">
            <v>3400003242</v>
          </cell>
          <cell r="B692">
            <v>5801</v>
          </cell>
          <cell r="C692">
            <v>61115</v>
          </cell>
          <cell r="D692">
            <v>0</v>
          </cell>
          <cell r="E692" t="str">
            <v>SHORT CIRCUIT PLUG KS:TSG A</v>
          </cell>
          <cell r="F692">
            <v>1</v>
          </cell>
          <cell r="G692">
            <v>35339</v>
          </cell>
          <cell r="H692">
            <v>16000</v>
          </cell>
        </row>
        <row r="693">
          <cell r="A693">
            <v>3400003243</v>
          </cell>
          <cell r="B693">
            <v>5801</v>
          </cell>
          <cell r="C693">
            <v>61115</v>
          </cell>
          <cell r="D693">
            <v>0</v>
          </cell>
          <cell r="E693" t="str">
            <v>SHORT CIRCUIT PLUG KS:TSG A</v>
          </cell>
          <cell r="F693">
            <v>1</v>
          </cell>
          <cell r="G693">
            <v>35339</v>
          </cell>
          <cell r="H693">
            <v>16000</v>
          </cell>
        </row>
        <row r="694">
          <cell r="A694">
            <v>3400003244</v>
          </cell>
          <cell r="B694">
            <v>5801</v>
          </cell>
          <cell r="C694">
            <v>61115</v>
          </cell>
          <cell r="D694">
            <v>0</v>
          </cell>
          <cell r="E694" t="str">
            <v>SHORT CIRCUIT PLUG KS:TSG A</v>
          </cell>
          <cell r="F694">
            <v>1</v>
          </cell>
          <cell r="G694">
            <v>35339</v>
          </cell>
          <cell r="H694">
            <v>16000</v>
          </cell>
        </row>
        <row r="695">
          <cell r="A695">
            <v>3400003245</v>
          </cell>
          <cell r="B695">
            <v>5801</v>
          </cell>
          <cell r="C695">
            <v>61115</v>
          </cell>
          <cell r="D695">
            <v>0</v>
          </cell>
          <cell r="E695" t="str">
            <v>SHORT CIRCUIT PLUG KS:TSG A</v>
          </cell>
          <cell r="F695">
            <v>1</v>
          </cell>
          <cell r="G695">
            <v>35339</v>
          </cell>
          <cell r="H695">
            <v>16000</v>
          </cell>
        </row>
        <row r="696">
          <cell r="A696">
            <v>3400003246</v>
          </cell>
          <cell r="B696">
            <v>5801</v>
          </cell>
          <cell r="C696">
            <v>61115</v>
          </cell>
          <cell r="D696">
            <v>0</v>
          </cell>
          <cell r="E696" t="str">
            <v>SHORT CIRCUIT PLUG KS:TSG A</v>
          </cell>
          <cell r="F696">
            <v>1</v>
          </cell>
          <cell r="G696">
            <v>35339</v>
          </cell>
          <cell r="H696">
            <v>16000</v>
          </cell>
        </row>
        <row r="697">
          <cell r="A697">
            <v>3400003247</v>
          </cell>
          <cell r="B697">
            <v>5801</v>
          </cell>
          <cell r="C697">
            <v>61115</v>
          </cell>
          <cell r="D697">
            <v>0</v>
          </cell>
          <cell r="E697" t="str">
            <v>SHORT CIRCUIT PLUG KS:TSG A</v>
          </cell>
          <cell r="F697">
            <v>1</v>
          </cell>
          <cell r="G697">
            <v>35339</v>
          </cell>
          <cell r="H697">
            <v>16000</v>
          </cell>
        </row>
        <row r="698">
          <cell r="A698">
            <v>3400003248</v>
          </cell>
          <cell r="B698">
            <v>5801</v>
          </cell>
          <cell r="C698">
            <v>61115</v>
          </cell>
          <cell r="D698">
            <v>0</v>
          </cell>
          <cell r="E698" t="str">
            <v>SHORT CIRCUIT PLUG KS:TSG A</v>
          </cell>
          <cell r="F698">
            <v>1</v>
          </cell>
          <cell r="G698">
            <v>35339</v>
          </cell>
          <cell r="H698">
            <v>16000</v>
          </cell>
        </row>
        <row r="699">
          <cell r="A699">
            <v>3400003249</v>
          </cell>
          <cell r="B699">
            <v>5801</v>
          </cell>
          <cell r="C699">
            <v>61115</v>
          </cell>
          <cell r="D699">
            <v>0</v>
          </cell>
          <cell r="E699" t="str">
            <v>SHORT CIRCUIT PLUG KS:SSG A</v>
          </cell>
          <cell r="F699">
            <v>1</v>
          </cell>
          <cell r="G699">
            <v>35339</v>
          </cell>
          <cell r="H699">
            <v>20400</v>
          </cell>
        </row>
        <row r="700">
          <cell r="A700">
            <v>3400003250</v>
          </cell>
          <cell r="B700">
            <v>5801</v>
          </cell>
          <cell r="C700">
            <v>61115</v>
          </cell>
          <cell r="D700">
            <v>0</v>
          </cell>
          <cell r="E700" t="str">
            <v>SHORT CIRCUIT PLUG KS:SSG A</v>
          </cell>
          <cell r="F700">
            <v>1</v>
          </cell>
          <cell r="G700">
            <v>35339</v>
          </cell>
          <cell r="H700">
            <v>20400</v>
          </cell>
        </row>
        <row r="701">
          <cell r="A701">
            <v>3400003251</v>
          </cell>
          <cell r="B701">
            <v>5801</v>
          </cell>
          <cell r="C701">
            <v>61115</v>
          </cell>
          <cell r="D701">
            <v>0</v>
          </cell>
          <cell r="E701" t="str">
            <v>SHORT CIRCUIT PLUG KS:SSG A</v>
          </cell>
          <cell r="F701">
            <v>1</v>
          </cell>
          <cell r="G701">
            <v>35339</v>
          </cell>
          <cell r="H701">
            <v>20400</v>
          </cell>
        </row>
        <row r="702">
          <cell r="A702">
            <v>3400003252</v>
          </cell>
          <cell r="B702">
            <v>5801</v>
          </cell>
          <cell r="C702">
            <v>61115</v>
          </cell>
          <cell r="D702">
            <v>0</v>
          </cell>
          <cell r="E702" t="str">
            <v>SHORT CIRCUIT PLUG KS:SSG A</v>
          </cell>
          <cell r="F702">
            <v>1</v>
          </cell>
          <cell r="G702">
            <v>35339</v>
          </cell>
          <cell r="H702">
            <v>20400</v>
          </cell>
        </row>
        <row r="703">
          <cell r="A703">
            <v>3400003253</v>
          </cell>
          <cell r="B703">
            <v>5801</v>
          </cell>
          <cell r="C703">
            <v>61115</v>
          </cell>
          <cell r="D703">
            <v>0</v>
          </cell>
          <cell r="E703" t="str">
            <v>SHORT CIRCUIT PLUG KS:SSG A</v>
          </cell>
          <cell r="F703">
            <v>1</v>
          </cell>
          <cell r="G703">
            <v>35339</v>
          </cell>
          <cell r="H703">
            <v>20400</v>
          </cell>
        </row>
        <row r="704">
          <cell r="A704">
            <v>3400003254</v>
          </cell>
          <cell r="B704">
            <v>5801</v>
          </cell>
          <cell r="C704">
            <v>61115</v>
          </cell>
          <cell r="D704">
            <v>0</v>
          </cell>
          <cell r="E704" t="str">
            <v>SHORT CIRCUIT PLUG KS:SSG A</v>
          </cell>
          <cell r="F704">
            <v>1</v>
          </cell>
          <cell r="G704">
            <v>35339</v>
          </cell>
          <cell r="H704">
            <v>20400</v>
          </cell>
        </row>
        <row r="705">
          <cell r="A705">
            <v>3400003255</v>
          </cell>
          <cell r="B705">
            <v>5801</v>
          </cell>
          <cell r="C705">
            <v>61115</v>
          </cell>
          <cell r="D705">
            <v>0</v>
          </cell>
          <cell r="E705" t="str">
            <v>SHORT CIRCUIT PLUG KS:SSG A</v>
          </cell>
          <cell r="F705">
            <v>1</v>
          </cell>
          <cell r="G705">
            <v>35339</v>
          </cell>
          <cell r="H705">
            <v>20400</v>
          </cell>
        </row>
        <row r="706">
          <cell r="A706">
            <v>3400003256</v>
          </cell>
          <cell r="B706">
            <v>5801</v>
          </cell>
          <cell r="C706">
            <v>61115</v>
          </cell>
          <cell r="D706">
            <v>0</v>
          </cell>
          <cell r="E706" t="str">
            <v>SHORT CIRCUIT PLUG KS:SSG A</v>
          </cell>
          <cell r="F706">
            <v>1</v>
          </cell>
          <cell r="G706">
            <v>35339</v>
          </cell>
          <cell r="H706">
            <v>20400</v>
          </cell>
        </row>
        <row r="707">
          <cell r="A707">
            <v>3400003257</v>
          </cell>
          <cell r="B707">
            <v>5801</v>
          </cell>
          <cell r="C707">
            <v>61115</v>
          </cell>
          <cell r="D707">
            <v>0</v>
          </cell>
          <cell r="E707" t="str">
            <v>SHORT CIRCUIT PLUG KS:SSG A</v>
          </cell>
          <cell r="F707">
            <v>1</v>
          </cell>
          <cell r="G707">
            <v>35339</v>
          </cell>
          <cell r="H707">
            <v>20400</v>
          </cell>
        </row>
        <row r="708">
          <cell r="A708">
            <v>3400003258</v>
          </cell>
          <cell r="B708">
            <v>5801</v>
          </cell>
          <cell r="C708">
            <v>61115</v>
          </cell>
          <cell r="D708">
            <v>0</v>
          </cell>
          <cell r="E708" t="str">
            <v>SHORT CIRCUIT PLUG KS:SSG A</v>
          </cell>
          <cell r="F708">
            <v>1</v>
          </cell>
          <cell r="G708">
            <v>35339</v>
          </cell>
          <cell r="H708">
            <v>20400</v>
          </cell>
        </row>
        <row r="709">
          <cell r="A709">
            <v>3400003259</v>
          </cell>
          <cell r="B709">
            <v>5801</v>
          </cell>
          <cell r="C709">
            <v>61115</v>
          </cell>
          <cell r="D709">
            <v>0</v>
          </cell>
          <cell r="E709" t="str">
            <v>SHORT CIRCUIT PLUG KS:SSG A</v>
          </cell>
          <cell r="F709">
            <v>1</v>
          </cell>
          <cell r="G709">
            <v>35339</v>
          </cell>
          <cell r="H709">
            <v>20400</v>
          </cell>
        </row>
        <row r="710">
          <cell r="A710">
            <v>3400003260</v>
          </cell>
          <cell r="B710">
            <v>5801</v>
          </cell>
          <cell r="C710">
            <v>61115</v>
          </cell>
          <cell r="D710">
            <v>0</v>
          </cell>
          <cell r="E710" t="str">
            <v>SHORT CIRCUIT PLUG KS:SSG A</v>
          </cell>
          <cell r="F710">
            <v>1</v>
          </cell>
          <cell r="G710">
            <v>35339</v>
          </cell>
          <cell r="H710">
            <v>20400</v>
          </cell>
        </row>
        <row r="711">
          <cell r="A711">
            <v>3400003261</v>
          </cell>
          <cell r="B711">
            <v>5801</v>
          </cell>
          <cell r="C711">
            <v>61115</v>
          </cell>
          <cell r="D711">
            <v>0</v>
          </cell>
          <cell r="E711" t="str">
            <v>SHORT CIRCUIT PLUG KS:SSG A</v>
          </cell>
          <cell r="F711">
            <v>1</v>
          </cell>
          <cell r="G711">
            <v>35339</v>
          </cell>
          <cell r="H711">
            <v>20400</v>
          </cell>
        </row>
        <row r="712">
          <cell r="A712">
            <v>3400003262</v>
          </cell>
          <cell r="B712">
            <v>5801</v>
          </cell>
          <cell r="C712">
            <v>61115</v>
          </cell>
          <cell r="D712">
            <v>0</v>
          </cell>
          <cell r="E712" t="str">
            <v>SHORT CIRCUIT PLUG KS:SSG A</v>
          </cell>
          <cell r="F712">
            <v>1</v>
          </cell>
          <cell r="G712">
            <v>35339</v>
          </cell>
          <cell r="H712">
            <v>20400</v>
          </cell>
        </row>
        <row r="713">
          <cell r="A713">
            <v>3400003263</v>
          </cell>
          <cell r="B713">
            <v>5801</v>
          </cell>
          <cell r="C713">
            <v>61115</v>
          </cell>
          <cell r="D713">
            <v>0</v>
          </cell>
          <cell r="E713" t="str">
            <v>SHORT CIRCUIT PLUG KS:SSG A</v>
          </cell>
          <cell r="F713">
            <v>1</v>
          </cell>
          <cell r="G713">
            <v>35339</v>
          </cell>
          <cell r="H713">
            <v>20400</v>
          </cell>
        </row>
        <row r="714">
          <cell r="A714">
            <v>3400003264</v>
          </cell>
          <cell r="B714">
            <v>5801</v>
          </cell>
          <cell r="C714">
            <v>61115</v>
          </cell>
          <cell r="D714">
            <v>0</v>
          </cell>
          <cell r="E714" t="str">
            <v>SHORT CIRCUIT PLUG KS:SSG A</v>
          </cell>
          <cell r="F714">
            <v>1</v>
          </cell>
          <cell r="G714">
            <v>35339</v>
          </cell>
          <cell r="H714">
            <v>20400</v>
          </cell>
        </row>
        <row r="715">
          <cell r="A715">
            <v>3400003265</v>
          </cell>
          <cell r="B715">
            <v>5801</v>
          </cell>
          <cell r="C715">
            <v>61115</v>
          </cell>
          <cell r="D715">
            <v>0</v>
          </cell>
          <cell r="E715" t="str">
            <v>SHORT CIRCUIT PLUG KS:SSG A</v>
          </cell>
          <cell r="F715">
            <v>1</v>
          </cell>
          <cell r="G715">
            <v>35339</v>
          </cell>
          <cell r="H715">
            <v>20400</v>
          </cell>
        </row>
        <row r="716">
          <cell r="A716">
            <v>3400003266</v>
          </cell>
          <cell r="B716">
            <v>5801</v>
          </cell>
          <cell r="C716">
            <v>61115</v>
          </cell>
          <cell r="D716">
            <v>0</v>
          </cell>
          <cell r="E716" t="str">
            <v>SHORT CIRCUIT PLUG KS:SSG A</v>
          </cell>
          <cell r="F716">
            <v>1</v>
          </cell>
          <cell r="G716">
            <v>35339</v>
          </cell>
          <cell r="H716">
            <v>20400</v>
          </cell>
        </row>
        <row r="717">
          <cell r="A717">
            <v>3400003267</v>
          </cell>
          <cell r="B717">
            <v>5801</v>
          </cell>
          <cell r="C717">
            <v>61115</v>
          </cell>
          <cell r="D717">
            <v>0</v>
          </cell>
          <cell r="E717" t="str">
            <v>SHORT CIRCUIT PLUG KS:SSG A</v>
          </cell>
          <cell r="F717">
            <v>1</v>
          </cell>
          <cell r="G717">
            <v>35339</v>
          </cell>
          <cell r="H717">
            <v>20400</v>
          </cell>
        </row>
        <row r="718">
          <cell r="A718">
            <v>3400003268</v>
          </cell>
          <cell r="B718">
            <v>5801</v>
          </cell>
          <cell r="C718">
            <v>61115</v>
          </cell>
          <cell r="D718">
            <v>0</v>
          </cell>
          <cell r="E718" t="str">
            <v>SHORT CIRCUIT PLUG KS:SSG A</v>
          </cell>
          <cell r="F718">
            <v>1</v>
          </cell>
          <cell r="G718">
            <v>35339</v>
          </cell>
          <cell r="H718">
            <v>20400</v>
          </cell>
        </row>
        <row r="719">
          <cell r="A719">
            <v>3400003269</v>
          </cell>
          <cell r="B719">
            <v>5801</v>
          </cell>
          <cell r="C719">
            <v>61115</v>
          </cell>
          <cell r="D719">
            <v>0</v>
          </cell>
          <cell r="E719" t="str">
            <v>SHORT CIRCUIT PLUG KS:SSG A</v>
          </cell>
          <cell r="F719">
            <v>1</v>
          </cell>
          <cell r="G719">
            <v>35339</v>
          </cell>
          <cell r="H719">
            <v>20400</v>
          </cell>
        </row>
        <row r="720">
          <cell r="A720">
            <v>3400003270</v>
          </cell>
          <cell r="B720">
            <v>5801</v>
          </cell>
          <cell r="C720">
            <v>61115</v>
          </cell>
          <cell r="D720">
            <v>0</v>
          </cell>
          <cell r="E720" t="str">
            <v>SHORT CIRCUIT PLUG KS:SSG A</v>
          </cell>
          <cell r="F720">
            <v>1</v>
          </cell>
          <cell r="G720">
            <v>35339</v>
          </cell>
          <cell r="H720">
            <v>20400</v>
          </cell>
        </row>
        <row r="721">
          <cell r="A721">
            <v>3400003271</v>
          </cell>
          <cell r="B721">
            <v>5801</v>
          </cell>
          <cell r="C721">
            <v>61115</v>
          </cell>
          <cell r="D721">
            <v>0</v>
          </cell>
          <cell r="E721" t="str">
            <v>SHORT CIRCUIT PLUG KS:SSG A</v>
          </cell>
          <cell r="F721">
            <v>1</v>
          </cell>
          <cell r="G721">
            <v>35339</v>
          </cell>
          <cell r="H721">
            <v>20400</v>
          </cell>
        </row>
        <row r="722">
          <cell r="A722">
            <v>3400003272</v>
          </cell>
          <cell r="B722">
            <v>5801</v>
          </cell>
          <cell r="C722">
            <v>61115</v>
          </cell>
          <cell r="D722">
            <v>0</v>
          </cell>
          <cell r="E722" t="str">
            <v>SHORT CIRCUIT PLUG KS:SSG A</v>
          </cell>
          <cell r="F722">
            <v>1</v>
          </cell>
          <cell r="G722">
            <v>35339</v>
          </cell>
          <cell r="H722">
            <v>20400</v>
          </cell>
        </row>
        <row r="723">
          <cell r="A723">
            <v>3400003273</v>
          </cell>
          <cell r="B723">
            <v>5801</v>
          </cell>
          <cell r="C723">
            <v>61115</v>
          </cell>
          <cell r="D723">
            <v>0</v>
          </cell>
          <cell r="E723" t="str">
            <v>SHORT CIRCUIT PLUG KS:SSG A</v>
          </cell>
          <cell r="F723">
            <v>1</v>
          </cell>
          <cell r="G723">
            <v>35339</v>
          </cell>
          <cell r="H723">
            <v>20400</v>
          </cell>
        </row>
        <row r="724">
          <cell r="A724">
            <v>3400003274</v>
          </cell>
          <cell r="B724">
            <v>5801</v>
          </cell>
          <cell r="C724">
            <v>61115</v>
          </cell>
          <cell r="D724">
            <v>0</v>
          </cell>
          <cell r="E724" t="str">
            <v>SHORT CIRCUIT PLUG KS:SSG A</v>
          </cell>
          <cell r="F724">
            <v>1</v>
          </cell>
          <cell r="G724">
            <v>35339</v>
          </cell>
          <cell r="H724">
            <v>20400</v>
          </cell>
        </row>
        <row r="725">
          <cell r="A725">
            <v>3400003275</v>
          </cell>
          <cell r="B725">
            <v>5801</v>
          </cell>
          <cell r="C725">
            <v>61115</v>
          </cell>
          <cell r="D725">
            <v>0</v>
          </cell>
          <cell r="E725" t="str">
            <v>SHORT CIRCUIT PLUG KS:SSG A</v>
          </cell>
          <cell r="F725">
            <v>1</v>
          </cell>
          <cell r="G725">
            <v>35339</v>
          </cell>
          <cell r="H725">
            <v>20400</v>
          </cell>
        </row>
        <row r="726">
          <cell r="A726">
            <v>3400003276</v>
          </cell>
          <cell r="B726">
            <v>5801</v>
          </cell>
          <cell r="C726">
            <v>61115</v>
          </cell>
          <cell r="D726">
            <v>0</v>
          </cell>
          <cell r="E726" t="str">
            <v>SHORT CIRCUIT PLUG KS:SSG A</v>
          </cell>
          <cell r="F726">
            <v>1</v>
          </cell>
          <cell r="G726">
            <v>35339</v>
          </cell>
          <cell r="H726">
            <v>20400</v>
          </cell>
        </row>
        <row r="727">
          <cell r="A727">
            <v>3400003277</v>
          </cell>
          <cell r="B727">
            <v>5801</v>
          </cell>
          <cell r="C727">
            <v>61115</v>
          </cell>
          <cell r="D727">
            <v>0</v>
          </cell>
          <cell r="E727" t="str">
            <v>SHORT CIRCUIT PLUG KS:SSG A</v>
          </cell>
          <cell r="F727">
            <v>1</v>
          </cell>
          <cell r="G727">
            <v>35339</v>
          </cell>
          <cell r="H727">
            <v>20400</v>
          </cell>
        </row>
        <row r="728">
          <cell r="A728">
            <v>3400003278</v>
          </cell>
          <cell r="B728">
            <v>5801</v>
          </cell>
          <cell r="C728">
            <v>61115</v>
          </cell>
          <cell r="D728">
            <v>0</v>
          </cell>
          <cell r="E728" t="str">
            <v>SHORT CIRCUIT PLUG KS:SSG A</v>
          </cell>
          <cell r="F728">
            <v>1</v>
          </cell>
          <cell r="G728">
            <v>35339</v>
          </cell>
          <cell r="H728">
            <v>20400</v>
          </cell>
        </row>
        <row r="729">
          <cell r="A729">
            <v>3400003279</v>
          </cell>
          <cell r="B729">
            <v>5801</v>
          </cell>
          <cell r="C729">
            <v>61115</v>
          </cell>
          <cell r="D729">
            <v>0</v>
          </cell>
          <cell r="E729" t="str">
            <v>SHORT CIRCUIT PLUG KS:SSG A</v>
          </cell>
          <cell r="F729">
            <v>1</v>
          </cell>
          <cell r="G729">
            <v>35339</v>
          </cell>
          <cell r="H729">
            <v>20400</v>
          </cell>
        </row>
        <row r="730">
          <cell r="A730">
            <v>3400003280</v>
          </cell>
          <cell r="B730">
            <v>5801</v>
          </cell>
          <cell r="C730">
            <v>61115</v>
          </cell>
          <cell r="D730">
            <v>0</v>
          </cell>
          <cell r="E730" t="str">
            <v>SHORT CIRCUIT PLUG KS:SSG A</v>
          </cell>
          <cell r="F730">
            <v>1</v>
          </cell>
          <cell r="G730">
            <v>35339</v>
          </cell>
          <cell r="H730">
            <v>16000</v>
          </cell>
        </row>
        <row r="731">
          <cell r="A731">
            <v>3400003281</v>
          </cell>
          <cell r="B731">
            <v>5801</v>
          </cell>
          <cell r="C731">
            <v>61115</v>
          </cell>
          <cell r="D731">
            <v>0</v>
          </cell>
          <cell r="E731" t="str">
            <v>MODULE ADAPTER FOR SIPAC</v>
          </cell>
          <cell r="F731">
            <v>2</v>
          </cell>
          <cell r="G731">
            <v>35339</v>
          </cell>
          <cell r="H731">
            <v>37200</v>
          </cell>
        </row>
        <row r="732">
          <cell r="A732">
            <v>3400003282</v>
          </cell>
          <cell r="B732">
            <v>5801</v>
          </cell>
          <cell r="C732">
            <v>61153</v>
          </cell>
          <cell r="D732">
            <v>0</v>
          </cell>
          <cell r="E732" t="str">
            <v>EMULATOR UPGRADE L37409D6152300</v>
          </cell>
          <cell r="F732">
            <v>1</v>
          </cell>
          <cell r="G732">
            <v>35339</v>
          </cell>
          <cell r="H732">
            <v>235400</v>
          </cell>
        </row>
        <row r="733">
          <cell r="A733">
            <v>3400003283</v>
          </cell>
          <cell r="B733">
            <v>5801</v>
          </cell>
          <cell r="C733">
            <v>61115</v>
          </cell>
          <cell r="D733">
            <v>0</v>
          </cell>
          <cell r="E733" t="str">
            <v>TEST CLIP SOIC 8TO28 PINSL37409G1155-A10</v>
          </cell>
          <cell r="F733">
            <v>6</v>
          </cell>
          <cell r="G733">
            <v>35339</v>
          </cell>
          <cell r="H733">
            <v>8000</v>
          </cell>
        </row>
        <row r="734">
          <cell r="A734">
            <v>3400003285</v>
          </cell>
          <cell r="B734">
            <v>5801</v>
          </cell>
          <cell r="C734">
            <v>61115</v>
          </cell>
          <cell r="D734">
            <v>0</v>
          </cell>
          <cell r="E734" t="str">
            <v>PLUG IN CABLE S30257Z6114A105 FOR PCMUX</v>
          </cell>
          <cell r="F734">
            <v>12</v>
          </cell>
          <cell r="G734">
            <v>35339</v>
          </cell>
          <cell r="H734">
            <v>48400</v>
          </cell>
        </row>
        <row r="735">
          <cell r="A735">
            <v>3400003286</v>
          </cell>
          <cell r="B735">
            <v>5801</v>
          </cell>
          <cell r="C735">
            <v>61115</v>
          </cell>
          <cell r="D735">
            <v>0</v>
          </cell>
          <cell r="E735" t="str">
            <v>CABLE FOR UPGRADE PC MUX</v>
          </cell>
          <cell r="F735">
            <v>2</v>
          </cell>
          <cell r="G735">
            <v>35339</v>
          </cell>
          <cell r="H735">
            <v>6500</v>
          </cell>
        </row>
        <row r="736">
          <cell r="A736">
            <v>3400003287</v>
          </cell>
          <cell r="B736">
            <v>5801</v>
          </cell>
          <cell r="C736">
            <v>61115</v>
          </cell>
          <cell r="D736">
            <v>0</v>
          </cell>
          <cell r="E736" t="str">
            <v>POWER SUPPLY MODULE M;ACC 220V/20A</v>
          </cell>
          <cell r="F736">
            <v>1</v>
          </cell>
          <cell r="G736">
            <v>35339</v>
          </cell>
          <cell r="H736">
            <v>24300</v>
          </cell>
        </row>
        <row r="737">
          <cell r="A737">
            <v>3400003374</v>
          </cell>
          <cell r="B737">
            <v>5801</v>
          </cell>
          <cell r="C737">
            <v>61102</v>
          </cell>
          <cell r="D737">
            <v>0</v>
          </cell>
          <cell r="E737" t="str">
            <v>PRINTING STENCIL L37409-C5000-A380</v>
          </cell>
          <cell r="F737">
            <v>1</v>
          </cell>
          <cell r="G737">
            <v>35339</v>
          </cell>
          <cell r="H737">
            <v>5500</v>
          </cell>
        </row>
        <row r="738">
          <cell r="A738">
            <v>3400003375</v>
          </cell>
          <cell r="B738">
            <v>5801</v>
          </cell>
          <cell r="C738">
            <v>61102</v>
          </cell>
          <cell r="D738">
            <v>0</v>
          </cell>
          <cell r="E738" t="str">
            <v>PRINTING STENCIL L37409-C5000-A380</v>
          </cell>
          <cell r="F738">
            <v>1</v>
          </cell>
          <cell r="G738">
            <v>35339</v>
          </cell>
          <cell r="H738">
            <v>27500</v>
          </cell>
        </row>
        <row r="739">
          <cell r="A739">
            <v>3400003376</v>
          </cell>
          <cell r="B739">
            <v>5801</v>
          </cell>
          <cell r="C739">
            <v>61102</v>
          </cell>
          <cell r="D739">
            <v>0</v>
          </cell>
          <cell r="E739" t="str">
            <v>PRINTING STENCIL L37409-C5000-A328</v>
          </cell>
          <cell r="F739">
            <v>1</v>
          </cell>
          <cell r="G739">
            <v>35339</v>
          </cell>
          <cell r="H739">
            <v>27500</v>
          </cell>
        </row>
        <row r="740">
          <cell r="A740">
            <v>3400003377</v>
          </cell>
          <cell r="B740">
            <v>5801</v>
          </cell>
          <cell r="C740">
            <v>61102</v>
          </cell>
          <cell r="D740">
            <v>0</v>
          </cell>
          <cell r="E740" t="str">
            <v>PRINTING STENCIL L37409-C5000-A328</v>
          </cell>
          <cell r="F740">
            <v>1</v>
          </cell>
          <cell r="G740">
            <v>35339</v>
          </cell>
          <cell r="H740">
            <v>27500</v>
          </cell>
        </row>
        <row r="741">
          <cell r="A741">
            <v>3400003389</v>
          </cell>
          <cell r="B741">
            <v>5801</v>
          </cell>
          <cell r="C741">
            <v>61102</v>
          </cell>
          <cell r="D741">
            <v>0</v>
          </cell>
          <cell r="E741" t="str">
            <v>PRINTING STENCIL L37409-C5000-A511</v>
          </cell>
          <cell r="F741">
            <v>1</v>
          </cell>
          <cell r="G741">
            <v>35339</v>
          </cell>
          <cell r="H741">
            <v>5500</v>
          </cell>
        </row>
        <row r="742">
          <cell r="A742">
            <v>3400003390</v>
          </cell>
          <cell r="B742">
            <v>5801</v>
          </cell>
          <cell r="C742">
            <v>61102</v>
          </cell>
          <cell r="D742">
            <v>0</v>
          </cell>
          <cell r="E742" t="str">
            <v>PRINTING STENCIL L37409-C5000-A511</v>
          </cell>
          <cell r="F742">
            <v>1</v>
          </cell>
          <cell r="G742">
            <v>35339</v>
          </cell>
          <cell r="H742">
            <v>27500</v>
          </cell>
        </row>
        <row r="743">
          <cell r="A743">
            <v>3400003391</v>
          </cell>
          <cell r="B743">
            <v>5801</v>
          </cell>
          <cell r="C743">
            <v>61102</v>
          </cell>
          <cell r="D743">
            <v>0</v>
          </cell>
          <cell r="E743" t="str">
            <v>PRINTING STENCIL L37409-C5000-A336</v>
          </cell>
          <cell r="F743">
            <v>1</v>
          </cell>
          <cell r="G743">
            <v>35339</v>
          </cell>
          <cell r="H743">
            <v>5500</v>
          </cell>
        </row>
        <row r="744">
          <cell r="A744">
            <v>3400003392</v>
          </cell>
          <cell r="B744">
            <v>5801</v>
          </cell>
          <cell r="C744">
            <v>61102</v>
          </cell>
          <cell r="D744">
            <v>0</v>
          </cell>
          <cell r="E744" t="str">
            <v>PRINTING STENCIL L37409-C5000-A336</v>
          </cell>
          <cell r="F744">
            <v>1</v>
          </cell>
          <cell r="G744">
            <v>35339</v>
          </cell>
          <cell r="H744">
            <v>27500</v>
          </cell>
        </row>
        <row r="745">
          <cell r="A745">
            <v>3400003393</v>
          </cell>
          <cell r="B745">
            <v>5801</v>
          </cell>
          <cell r="C745">
            <v>61102</v>
          </cell>
          <cell r="D745">
            <v>0</v>
          </cell>
          <cell r="E745" t="str">
            <v>PRINTING STENCIL L37409-C5000-A512</v>
          </cell>
          <cell r="F745">
            <v>1</v>
          </cell>
          <cell r="G745">
            <v>35339</v>
          </cell>
          <cell r="H745">
            <v>5500</v>
          </cell>
        </row>
        <row r="746">
          <cell r="A746">
            <v>3400003394</v>
          </cell>
          <cell r="B746">
            <v>5801</v>
          </cell>
          <cell r="C746">
            <v>61102</v>
          </cell>
          <cell r="D746">
            <v>0</v>
          </cell>
          <cell r="E746" t="str">
            <v>PRINTING STENCIL L37409-C5000-A512</v>
          </cell>
          <cell r="F746">
            <v>1</v>
          </cell>
          <cell r="G746">
            <v>35339</v>
          </cell>
          <cell r="H746">
            <v>27500</v>
          </cell>
        </row>
        <row r="747">
          <cell r="A747">
            <v>3400003395</v>
          </cell>
          <cell r="B747">
            <v>5801</v>
          </cell>
          <cell r="C747">
            <v>61102</v>
          </cell>
          <cell r="D747">
            <v>0</v>
          </cell>
          <cell r="E747" t="str">
            <v>PRINTING STENCIL L37409-C5000-A513</v>
          </cell>
          <cell r="F747">
            <v>1</v>
          </cell>
          <cell r="G747">
            <v>35339</v>
          </cell>
          <cell r="H747">
            <v>5500</v>
          </cell>
        </row>
        <row r="748">
          <cell r="A748">
            <v>3400003396</v>
          </cell>
          <cell r="B748">
            <v>5801</v>
          </cell>
          <cell r="C748">
            <v>61102</v>
          </cell>
          <cell r="D748">
            <v>0</v>
          </cell>
          <cell r="E748" t="str">
            <v>PRINTING STENCIL L37409-C5000-A513</v>
          </cell>
          <cell r="F748">
            <v>1</v>
          </cell>
          <cell r="G748">
            <v>35339</v>
          </cell>
          <cell r="H748">
            <v>5500</v>
          </cell>
        </row>
        <row r="749">
          <cell r="A749">
            <v>3400003397</v>
          </cell>
          <cell r="B749">
            <v>5801</v>
          </cell>
          <cell r="C749">
            <v>61102</v>
          </cell>
          <cell r="D749">
            <v>0</v>
          </cell>
          <cell r="E749" t="str">
            <v>PRINTING STENCIL L37409-C5000-A521</v>
          </cell>
          <cell r="F749">
            <v>1</v>
          </cell>
          <cell r="G749">
            <v>35339</v>
          </cell>
          <cell r="H749">
            <v>5500</v>
          </cell>
        </row>
        <row r="750">
          <cell r="A750">
            <v>3400003398</v>
          </cell>
          <cell r="B750">
            <v>5801</v>
          </cell>
          <cell r="C750">
            <v>61102</v>
          </cell>
          <cell r="D750">
            <v>0</v>
          </cell>
          <cell r="E750" t="str">
            <v>PRINTING STENCIL L37409-C5000-A521</v>
          </cell>
          <cell r="F750">
            <v>1</v>
          </cell>
          <cell r="G750">
            <v>35339</v>
          </cell>
          <cell r="H750">
            <v>5500</v>
          </cell>
        </row>
        <row r="751">
          <cell r="A751">
            <v>3400003399</v>
          </cell>
          <cell r="B751">
            <v>5801</v>
          </cell>
          <cell r="C751">
            <v>61102</v>
          </cell>
          <cell r="D751">
            <v>0</v>
          </cell>
          <cell r="E751" t="str">
            <v>PRINTING STENCIL L37409-C5000-A527</v>
          </cell>
          <cell r="F751">
            <v>1</v>
          </cell>
          <cell r="G751">
            <v>35339</v>
          </cell>
          <cell r="H751">
            <v>5500</v>
          </cell>
        </row>
        <row r="752">
          <cell r="A752">
            <v>3400003400</v>
          </cell>
          <cell r="B752">
            <v>5801</v>
          </cell>
          <cell r="C752">
            <v>61102</v>
          </cell>
          <cell r="D752">
            <v>0</v>
          </cell>
          <cell r="E752" t="str">
            <v>PRINTING STENCIL L37409-C5000-A527</v>
          </cell>
          <cell r="F752">
            <v>1</v>
          </cell>
          <cell r="G752">
            <v>35339</v>
          </cell>
          <cell r="H752">
            <v>5500</v>
          </cell>
        </row>
        <row r="753">
          <cell r="A753">
            <v>3400003401</v>
          </cell>
          <cell r="B753">
            <v>5801</v>
          </cell>
          <cell r="C753">
            <v>61102</v>
          </cell>
          <cell r="D753">
            <v>0</v>
          </cell>
          <cell r="E753" t="str">
            <v>PRINTING STENCIL L37409-C5000-A529</v>
          </cell>
          <cell r="F753">
            <v>1</v>
          </cell>
          <cell r="G753">
            <v>35339</v>
          </cell>
          <cell r="H753">
            <v>5500</v>
          </cell>
        </row>
        <row r="754">
          <cell r="A754">
            <v>3400003402</v>
          </cell>
          <cell r="B754">
            <v>5801</v>
          </cell>
          <cell r="C754">
            <v>61102</v>
          </cell>
          <cell r="D754">
            <v>0</v>
          </cell>
          <cell r="E754" t="str">
            <v>PRINTING STENCIL L37409-C5000-A529</v>
          </cell>
          <cell r="F754">
            <v>1</v>
          </cell>
          <cell r="G754">
            <v>35339</v>
          </cell>
          <cell r="H754">
            <v>27500</v>
          </cell>
        </row>
        <row r="755">
          <cell r="A755">
            <v>3400003403</v>
          </cell>
          <cell r="B755">
            <v>5801</v>
          </cell>
          <cell r="C755">
            <v>61102</v>
          </cell>
          <cell r="D755">
            <v>0</v>
          </cell>
          <cell r="E755" t="str">
            <v>PRINTING STENCIL L37409-C5000-A530</v>
          </cell>
          <cell r="F755">
            <v>1</v>
          </cell>
          <cell r="G755">
            <v>35339</v>
          </cell>
          <cell r="H755">
            <v>5500</v>
          </cell>
        </row>
        <row r="756">
          <cell r="A756">
            <v>3400003404</v>
          </cell>
          <cell r="B756">
            <v>5801</v>
          </cell>
          <cell r="C756">
            <v>61102</v>
          </cell>
          <cell r="D756">
            <v>0</v>
          </cell>
          <cell r="E756" t="str">
            <v>PRINTING STENCIL L37409-C5000-A530</v>
          </cell>
          <cell r="F756">
            <v>1</v>
          </cell>
          <cell r="G756">
            <v>35339</v>
          </cell>
          <cell r="H756">
            <v>27500</v>
          </cell>
        </row>
        <row r="757">
          <cell r="A757">
            <v>3400003405</v>
          </cell>
          <cell r="B757">
            <v>5801</v>
          </cell>
          <cell r="C757">
            <v>61102</v>
          </cell>
          <cell r="D757">
            <v>0</v>
          </cell>
          <cell r="E757" t="str">
            <v>PRINTING STENCIL L37409-C5000-A372</v>
          </cell>
          <cell r="F757">
            <v>1</v>
          </cell>
          <cell r="G757">
            <v>35339</v>
          </cell>
          <cell r="H757">
            <v>5500</v>
          </cell>
        </row>
        <row r="758">
          <cell r="A758">
            <v>3400003406</v>
          </cell>
          <cell r="B758">
            <v>5801</v>
          </cell>
          <cell r="C758">
            <v>61102</v>
          </cell>
          <cell r="D758">
            <v>0</v>
          </cell>
          <cell r="E758" t="str">
            <v>PRINTING STENCIL L37409-C5000-A372</v>
          </cell>
          <cell r="F758">
            <v>1</v>
          </cell>
          <cell r="G758">
            <v>35339</v>
          </cell>
          <cell r="H758">
            <v>5500</v>
          </cell>
        </row>
        <row r="759">
          <cell r="A759">
            <v>3400003934</v>
          </cell>
          <cell r="B759">
            <v>5801</v>
          </cell>
          <cell r="C759">
            <v>61116</v>
          </cell>
          <cell r="D759">
            <v>0</v>
          </cell>
          <cell r="E759" t="str">
            <v>ANTISTATIC SOLDERING STATION NC 2002</v>
          </cell>
          <cell r="F759">
            <v>1</v>
          </cell>
          <cell r="G759">
            <v>35339</v>
          </cell>
          <cell r="H759">
            <v>4600</v>
          </cell>
        </row>
        <row r="760">
          <cell r="A760">
            <v>3400003935</v>
          </cell>
          <cell r="B760">
            <v>5801</v>
          </cell>
          <cell r="C760">
            <v>61116</v>
          </cell>
          <cell r="D760">
            <v>0</v>
          </cell>
          <cell r="E760" t="str">
            <v>ANTISTATIC SOLDERING STATION NC 2002</v>
          </cell>
          <cell r="F760">
            <v>1</v>
          </cell>
          <cell r="G760">
            <v>35339</v>
          </cell>
          <cell r="H760">
            <v>7300</v>
          </cell>
        </row>
        <row r="761">
          <cell r="A761">
            <v>3400003966</v>
          </cell>
          <cell r="B761">
            <v>5801</v>
          </cell>
          <cell r="C761">
            <v>61104</v>
          </cell>
          <cell r="D761">
            <v>0</v>
          </cell>
          <cell r="E761" t="str">
            <v>MODULER SOLDERING STATION</v>
          </cell>
          <cell r="F761">
            <v>1</v>
          </cell>
          <cell r="G761">
            <v>35339</v>
          </cell>
          <cell r="H761">
            <v>4000</v>
          </cell>
        </row>
        <row r="762">
          <cell r="A762">
            <v>3400003967</v>
          </cell>
          <cell r="B762">
            <v>5801</v>
          </cell>
          <cell r="C762">
            <v>61103</v>
          </cell>
          <cell r="D762">
            <v>0</v>
          </cell>
          <cell r="E762" t="str">
            <v>IC-DESOLDERING ATTACHMENT RETROFIT KIT</v>
          </cell>
          <cell r="F762">
            <v>1</v>
          </cell>
          <cell r="G762">
            <v>35339</v>
          </cell>
          <cell r="H762">
            <v>14300</v>
          </cell>
        </row>
        <row r="763">
          <cell r="A763">
            <v>3400003968</v>
          </cell>
          <cell r="B763">
            <v>5801</v>
          </cell>
          <cell r="C763">
            <v>61115</v>
          </cell>
          <cell r="D763">
            <v>0</v>
          </cell>
          <cell r="E763" t="str">
            <v>DLU  TEST EQUIPMENT FOR SUBSCRIBER MODUL</v>
          </cell>
          <cell r="F763">
            <v>1</v>
          </cell>
          <cell r="G763">
            <v>35339</v>
          </cell>
          <cell r="H763">
            <v>208600</v>
          </cell>
        </row>
        <row r="764">
          <cell r="A764">
            <v>3400003969</v>
          </cell>
          <cell r="B764">
            <v>5801</v>
          </cell>
          <cell r="C764">
            <v>61115</v>
          </cell>
          <cell r="D764">
            <v>0</v>
          </cell>
          <cell r="E764" t="str">
            <v>KEYBOARD FOR TESMOD</v>
          </cell>
          <cell r="F764">
            <v>1</v>
          </cell>
          <cell r="G764">
            <v>35339</v>
          </cell>
          <cell r="H764">
            <v>43800</v>
          </cell>
        </row>
        <row r="765">
          <cell r="A765">
            <v>3400003970</v>
          </cell>
          <cell r="B765">
            <v>5801</v>
          </cell>
          <cell r="C765">
            <v>61115</v>
          </cell>
          <cell r="D765">
            <v>0</v>
          </cell>
          <cell r="E765" t="str">
            <v>KEYBOARD FOR TESMOD</v>
          </cell>
          <cell r="F765">
            <v>1</v>
          </cell>
          <cell r="G765">
            <v>35339</v>
          </cell>
          <cell r="H765">
            <v>43800</v>
          </cell>
        </row>
        <row r="766">
          <cell r="A766">
            <v>3400003971</v>
          </cell>
          <cell r="B766">
            <v>5801</v>
          </cell>
          <cell r="C766">
            <v>61115</v>
          </cell>
          <cell r="D766">
            <v>0</v>
          </cell>
          <cell r="E766" t="str">
            <v>KEYBOARD FOR TESMOD</v>
          </cell>
          <cell r="F766">
            <v>1</v>
          </cell>
          <cell r="G766">
            <v>35339</v>
          </cell>
          <cell r="H766">
            <v>43800</v>
          </cell>
        </row>
        <row r="767">
          <cell r="A767">
            <v>3400003972</v>
          </cell>
          <cell r="B767">
            <v>5801</v>
          </cell>
          <cell r="C767">
            <v>61153</v>
          </cell>
          <cell r="D767">
            <v>0</v>
          </cell>
          <cell r="E767" t="str">
            <v>SIGNATURE ANALYZER H</v>
          </cell>
          <cell r="F767">
            <v>1</v>
          </cell>
          <cell r="G767">
            <v>35339</v>
          </cell>
          <cell r="H767">
            <v>41300</v>
          </cell>
        </row>
        <row r="768">
          <cell r="A768">
            <v>3400003973</v>
          </cell>
          <cell r="B768">
            <v>5801</v>
          </cell>
          <cell r="C768">
            <v>61112</v>
          </cell>
          <cell r="D768">
            <v>0</v>
          </cell>
          <cell r="E768" t="str">
            <v>THER MOGENERATOR MTI 1</v>
          </cell>
          <cell r="F768">
            <v>1</v>
          </cell>
          <cell r="G768">
            <v>35339</v>
          </cell>
          <cell r="H768">
            <v>31000</v>
          </cell>
        </row>
        <row r="769">
          <cell r="A769">
            <v>3400003974</v>
          </cell>
          <cell r="B769">
            <v>5801</v>
          </cell>
          <cell r="C769">
            <v>61115</v>
          </cell>
          <cell r="D769">
            <v>0</v>
          </cell>
          <cell r="E769" t="str">
            <v>POWER SUPPLY</v>
          </cell>
          <cell r="F769">
            <v>1</v>
          </cell>
          <cell r="G769">
            <v>35339</v>
          </cell>
          <cell r="H769">
            <v>330300</v>
          </cell>
        </row>
        <row r="770">
          <cell r="A770">
            <v>3400003975</v>
          </cell>
          <cell r="B770">
            <v>5801</v>
          </cell>
          <cell r="C770">
            <v>61153</v>
          </cell>
          <cell r="D770">
            <v>0</v>
          </cell>
          <cell r="E770" t="str">
            <v>SOLDERING STATION WITH ACCESSORIES</v>
          </cell>
          <cell r="F770">
            <v>1</v>
          </cell>
          <cell r="G770">
            <v>35339</v>
          </cell>
          <cell r="H770">
            <v>4400</v>
          </cell>
        </row>
        <row r="771">
          <cell r="A771">
            <v>3400003976</v>
          </cell>
          <cell r="B771">
            <v>5801</v>
          </cell>
          <cell r="C771">
            <v>61115</v>
          </cell>
          <cell r="D771">
            <v>0</v>
          </cell>
          <cell r="E771" t="str">
            <v>KEYBOARD FOR TESMOD</v>
          </cell>
          <cell r="F771">
            <v>1</v>
          </cell>
          <cell r="G771">
            <v>35339</v>
          </cell>
          <cell r="H771">
            <v>4400</v>
          </cell>
        </row>
        <row r="772">
          <cell r="A772">
            <v>3400003977</v>
          </cell>
          <cell r="B772">
            <v>5801</v>
          </cell>
          <cell r="C772">
            <v>61153</v>
          </cell>
          <cell r="D772">
            <v>0</v>
          </cell>
          <cell r="E772" t="str">
            <v>THERMOGENERATOR MTI 1</v>
          </cell>
          <cell r="F772">
            <v>1</v>
          </cell>
          <cell r="G772">
            <v>35339</v>
          </cell>
          <cell r="H772">
            <v>20900</v>
          </cell>
        </row>
        <row r="773">
          <cell r="A773">
            <v>3400003978</v>
          </cell>
          <cell r="B773">
            <v>5801</v>
          </cell>
          <cell r="C773">
            <v>61115</v>
          </cell>
          <cell r="D773">
            <v>0</v>
          </cell>
          <cell r="E773" t="str">
            <v>KEYBOARD FOR TESMOD</v>
          </cell>
          <cell r="F773">
            <v>1</v>
          </cell>
          <cell r="G773">
            <v>35339</v>
          </cell>
          <cell r="H773">
            <v>1100</v>
          </cell>
        </row>
        <row r="774">
          <cell r="A774">
            <v>3400003979</v>
          </cell>
          <cell r="B774">
            <v>5801</v>
          </cell>
          <cell r="C774">
            <v>61153</v>
          </cell>
          <cell r="D774">
            <v>0</v>
          </cell>
          <cell r="E774" t="str">
            <v>KEYBOARD FOR TESMOD</v>
          </cell>
          <cell r="F774">
            <v>1</v>
          </cell>
          <cell r="G774">
            <v>35339</v>
          </cell>
          <cell r="H774">
            <v>11000</v>
          </cell>
        </row>
        <row r="775">
          <cell r="A775">
            <v>3400003980</v>
          </cell>
          <cell r="B775">
            <v>5801</v>
          </cell>
          <cell r="C775">
            <v>61115</v>
          </cell>
          <cell r="D775">
            <v>0</v>
          </cell>
          <cell r="E775" t="str">
            <v>KEYBOARD FOR TESMOD</v>
          </cell>
          <cell r="F775">
            <v>1</v>
          </cell>
          <cell r="G775">
            <v>35339</v>
          </cell>
          <cell r="H775">
            <v>1100</v>
          </cell>
        </row>
        <row r="776">
          <cell r="A776">
            <v>3400003981</v>
          </cell>
          <cell r="B776">
            <v>5801</v>
          </cell>
          <cell r="C776">
            <v>61115</v>
          </cell>
          <cell r="D776">
            <v>0</v>
          </cell>
          <cell r="E776" t="str">
            <v>KEYBOARD FOR TESMOD</v>
          </cell>
          <cell r="F776">
            <v>1</v>
          </cell>
          <cell r="G776">
            <v>35339</v>
          </cell>
          <cell r="H776">
            <v>1100</v>
          </cell>
        </row>
        <row r="777">
          <cell r="A777">
            <v>3400003982</v>
          </cell>
          <cell r="B777">
            <v>5801</v>
          </cell>
          <cell r="C777">
            <v>61103</v>
          </cell>
          <cell r="D777">
            <v>0</v>
          </cell>
          <cell r="E777" t="str">
            <v>SET OF IC INSERTION TOOLS</v>
          </cell>
          <cell r="F777">
            <v>1</v>
          </cell>
          <cell r="G777">
            <v>35339</v>
          </cell>
          <cell r="H777">
            <v>6200</v>
          </cell>
        </row>
        <row r="778">
          <cell r="A778">
            <v>3400003983</v>
          </cell>
          <cell r="B778">
            <v>5801</v>
          </cell>
          <cell r="C778">
            <v>61103</v>
          </cell>
          <cell r="D778">
            <v>0</v>
          </cell>
          <cell r="E778" t="str">
            <v>SET OF IC INSERTION TOOLS</v>
          </cell>
          <cell r="F778">
            <v>1</v>
          </cell>
          <cell r="G778">
            <v>35339</v>
          </cell>
          <cell r="H778">
            <v>6200</v>
          </cell>
        </row>
        <row r="779">
          <cell r="A779">
            <v>3400003984</v>
          </cell>
          <cell r="B779">
            <v>5801</v>
          </cell>
          <cell r="C779">
            <v>61103</v>
          </cell>
          <cell r="D779">
            <v>0</v>
          </cell>
          <cell r="E779" t="str">
            <v>SET OF IC INSERTION TOOLS</v>
          </cell>
          <cell r="F779">
            <v>1</v>
          </cell>
          <cell r="G779">
            <v>35339</v>
          </cell>
          <cell r="H779">
            <v>6200</v>
          </cell>
        </row>
        <row r="780">
          <cell r="A780">
            <v>3400003985</v>
          </cell>
          <cell r="B780">
            <v>5801</v>
          </cell>
          <cell r="C780">
            <v>61103</v>
          </cell>
          <cell r="D780">
            <v>0</v>
          </cell>
          <cell r="E780" t="str">
            <v>SET OF IC EXTRACTOR TOOLS</v>
          </cell>
          <cell r="F780">
            <v>1</v>
          </cell>
          <cell r="G780">
            <v>35339</v>
          </cell>
          <cell r="H780">
            <v>3200</v>
          </cell>
        </row>
        <row r="781">
          <cell r="A781">
            <v>3400003986</v>
          </cell>
          <cell r="B781">
            <v>5801</v>
          </cell>
          <cell r="C781">
            <v>61103</v>
          </cell>
          <cell r="D781">
            <v>0</v>
          </cell>
          <cell r="E781" t="str">
            <v>SET OF IC EXTRACTOR TOOLS</v>
          </cell>
          <cell r="F781">
            <v>1</v>
          </cell>
          <cell r="G781">
            <v>35339</v>
          </cell>
          <cell r="H781">
            <v>3200</v>
          </cell>
        </row>
        <row r="782">
          <cell r="A782">
            <v>3400003987</v>
          </cell>
          <cell r="B782">
            <v>5801</v>
          </cell>
          <cell r="C782">
            <v>61119</v>
          </cell>
          <cell r="D782">
            <v>0</v>
          </cell>
          <cell r="E782" t="str">
            <v>TORQUE SCREW DRIVER</v>
          </cell>
          <cell r="F782">
            <v>1</v>
          </cell>
          <cell r="G782">
            <v>35339</v>
          </cell>
          <cell r="H782">
            <v>3700</v>
          </cell>
        </row>
        <row r="783">
          <cell r="A783">
            <v>3400003988</v>
          </cell>
          <cell r="B783">
            <v>5801</v>
          </cell>
          <cell r="C783">
            <v>61119</v>
          </cell>
          <cell r="D783">
            <v>0</v>
          </cell>
          <cell r="E783" t="str">
            <v>TORQUE SCREWDRIVER</v>
          </cell>
          <cell r="F783">
            <v>1</v>
          </cell>
          <cell r="G783">
            <v>35339</v>
          </cell>
          <cell r="H783">
            <v>3500</v>
          </cell>
        </row>
        <row r="784">
          <cell r="A784">
            <v>3400003989</v>
          </cell>
          <cell r="B784">
            <v>5801</v>
          </cell>
          <cell r="C784">
            <v>61115</v>
          </cell>
          <cell r="D784">
            <v>0</v>
          </cell>
          <cell r="E784" t="str">
            <v>KEYBOARD FOR TESMOD</v>
          </cell>
          <cell r="F784">
            <v>1</v>
          </cell>
          <cell r="G784">
            <v>35339</v>
          </cell>
          <cell r="H784">
            <v>1100</v>
          </cell>
        </row>
        <row r="785">
          <cell r="A785">
            <v>3400003990</v>
          </cell>
          <cell r="B785">
            <v>5801</v>
          </cell>
          <cell r="C785">
            <v>61115</v>
          </cell>
          <cell r="D785">
            <v>0</v>
          </cell>
          <cell r="E785" t="str">
            <v>KEYBOARD FOR TESMOD</v>
          </cell>
          <cell r="F785">
            <v>1</v>
          </cell>
          <cell r="G785">
            <v>35339</v>
          </cell>
          <cell r="H785">
            <v>11000</v>
          </cell>
        </row>
        <row r="786">
          <cell r="A786">
            <v>3400003991</v>
          </cell>
          <cell r="B786">
            <v>5801</v>
          </cell>
          <cell r="C786">
            <v>61115</v>
          </cell>
          <cell r="D786">
            <v>0</v>
          </cell>
          <cell r="E786" t="str">
            <v>KEYBOARD FOR TESMOD</v>
          </cell>
          <cell r="F786">
            <v>1</v>
          </cell>
          <cell r="G786">
            <v>35339</v>
          </cell>
          <cell r="H786">
            <v>11000</v>
          </cell>
        </row>
        <row r="787">
          <cell r="A787">
            <v>3400003992</v>
          </cell>
          <cell r="B787">
            <v>5801</v>
          </cell>
          <cell r="C787">
            <v>61115</v>
          </cell>
          <cell r="D787">
            <v>0</v>
          </cell>
          <cell r="E787" t="str">
            <v>KEYBOARD FOR TESMOD</v>
          </cell>
          <cell r="F787">
            <v>1</v>
          </cell>
          <cell r="G787">
            <v>35339</v>
          </cell>
          <cell r="H787">
            <v>11000</v>
          </cell>
        </row>
        <row r="788">
          <cell r="A788">
            <v>3400003993</v>
          </cell>
          <cell r="B788">
            <v>5801</v>
          </cell>
          <cell r="C788">
            <v>61100</v>
          </cell>
          <cell r="D788">
            <v>0</v>
          </cell>
          <cell r="E788" t="str">
            <v>COMP. PREP. MACHINE &amp; SPARE KIT C065</v>
          </cell>
          <cell r="F788">
            <v>1</v>
          </cell>
          <cell r="G788">
            <v>35339</v>
          </cell>
          <cell r="H788">
            <v>411800</v>
          </cell>
        </row>
        <row r="789">
          <cell r="A789">
            <v>3400003994</v>
          </cell>
          <cell r="B789">
            <v>5801</v>
          </cell>
          <cell r="C789">
            <v>61100</v>
          </cell>
          <cell r="D789">
            <v>0</v>
          </cell>
          <cell r="E789" t="str">
            <v>COMP PREP MACHINE &amp; SPARE PART KIT C058</v>
          </cell>
          <cell r="F789">
            <v>1</v>
          </cell>
          <cell r="G789">
            <v>35339</v>
          </cell>
          <cell r="H789">
            <v>68000</v>
          </cell>
        </row>
        <row r="790">
          <cell r="A790">
            <v>3400003995</v>
          </cell>
          <cell r="B790">
            <v>5801</v>
          </cell>
          <cell r="C790">
            <v>61103</v>
          </cell>
          <cell r="D790">
            <v>0</v>
          </cell>
          <cell r="E790" t="str">
            <v>SET OF IC INSERTION TOOLS</v>
          </cell>
          <cell r="F790">
            <v>1</v>
          </cell>
          <cell r="G790">
            <v>35339</v>
          </cell>
          <cell r="H790">
            <v>6200</v>
          </cell>
        </row>
        <row r="791">
          <cell r="A791">
            <v>3400003996</v>
          </cell>
          <cell r="B791">
            <v>5801</v>
          </cell>
          <cell r="C791">
            <v>61103</v>
          </cell>
          <cell r="D791">
            <v>0</v>
          </cell>
          <cell r="E791" t="str">
            <v>SET OF IC INSERTION TOOLS</v>
          </cell>
          <cell r="F791">
            <v>1</v>
          </cell>
          <cell r="G791">
            <v>35339</v>
          </cell>
          <cell r="H791">
            <v>6200</v>
          </cell>
        </row>
        <row r="792">
          <cell r="A792">
            <v>3400003997</v>
          </cell>
          <cell r="B792">
            <v>5801</v>
          </cell>
          <cell r="C792">
            <v>61103</v>
          </cell>
          <cell r="D792">
            <v>0</v>
          </cell>
          <cell r="E792" t="str">
            <v>SET OF IC INSERTION TOOLS</v>
          </cell>
          <cell r="F792">
            <v>1</v>
          </cell>
          <cell r="G792">
            <v>35339</v>
          </cell>
          <cell r="H792">
            <v>6200</v>
          </cell>
        </row>
        <row r="793">
          <cell r="A793">
            <v>3400003998</v>
          </cell>
          <cell r="B793">
            <v>5801</v>
          </cell>
          <cell r="C793">
            <v>61103</v>
          </cell>
          <cell r="D793">
            <v>0</v>
          </cell>
          <cell r="E793" t="str">
            <v>TORQUE SCREW DRIVER</v>
          </cell>
          <cell r="F793">
            <v>1</v>
          </cell>
          <cell r="G793">
            <v>35339</v>
          </cell>
          <cell r="H793">
            <v>2100</v>
          </cell>
        </row>
        <row r="794">
          <cell r="A794">
            <v>3400003999</v>
          </cell>
          <cell r="B794">
            <v>5801</v>
          </cell>
          <cell r="C794">
            <v>61100</v>
          </cell>
          <cell r="D794">
            <v>0</v>
          </cell>
          <cell r="E794" t="str">
            <v>TAPE WINDER FOR ZE 240</v>
          </cell>
          <cell r="F794">
            <v>1</v>
          </cell>
          <cell r="G794">
            <v>35339</v>
          </cell>
          <cell r="H794">
            <v>8200</v>
          </cell>
        </row>
        <row r="795">
          <cell r="A795">
            <v>3400004000</v>
          </cell>
          <cell r="B795">
            <v>5801</v>
          </cell>
          <cell r="C795">
            <v>61100</v>
          </cell>
          <cell r="D795">
            <v>0</v>
          </cell>
          <cell r="E795" t="str">
            <v>ELECTRONIC COMPONET COUNTER</v>
          </cell>
          <cell r="F795">
            <v>1</v>
          </cell>
          <cell r="G795">
            <v>35339</v>
          </cell>
          <cell r="H795">
            <v>14000</v>
          </cell>
        </row>
        <row r="796">
          <cell r="A796">
            <v>3400004001</v>
          </cell>
          <cell r="B796">
            <v>5801</v>
          </cell>
          <cell r="C796">
            <v>61112</v>
          </cell>
          <cell r="D796">
            <v>0</v>
          </cell>
          <cell r="E796" t="str">
            <v>LCR DATABRIDGE WITH ADAPTER AND TESTCLIP</v>
          </cell>
          <cell r="F796">
            <v>1</v>
          </cell>
          <cell r="G796">
            <v>35339</v>
          </cell>
          <cell r="H796">
            <v>3100</v>
          </cell>
        </row>
        <row r="797">
          <cell r="A797">
            <v>3400004002</v>
          </cell>
          <cell r="B797">
            <v>5801</v>
          </cell>
          <cell r="C797">
            <v>61101</v>
          </cell>
          <cell r="D797">
            <v>0</v>
          </cell>
          <cell r="E797" t="str">
            <v>SCREWDRIVER WITH BALANCER STAND PNEUMATI</v>
          </cell>
          <cell r="F797">
            <v>1</v>
          </cell>
          <cell r="G797">
            <v>35339</v>
          </cell>
          <cell r="H797">
            <v>12200</v>
          </cell>
        </row>
        <row r="798">
          <cell r="A798">
            <v>3400004003</v>
          </cell>
          <cell r="B798">
            <v>5801</v>
          </cell>
          <cell r="C798">
            <v>61103</v>
          </cell>
          <cell r="D798">
            <v>0</v>
          </cell>
          <cell r="E798" t="str">
            <v>SCREWDRIVER WITH BALANCERSTAND PNEUMATIC</v>
          </cell>
          <cell r="F798">
            <v>1</v>
          </cell>
          <cell r="G798">
            <v>35339</v>
          </cell>
          <cell r="H798">
            <v>12200</v>
          </cell>
        </row>
        <row r="799">
          <cell r="A799">
            <v>3400004004</v>
          </cell>
          <cell r="B799">
            <v>5801</v>
          </cell>
          <cell r="C799">
            <v>61112</v>
          </cell>
          <cell r="D799">
            <v>0</v>
          </cell>
          <cell r="E799" t="str">
            <v>CURRENT MEASUREMENT SYSTEM</v>
          </cell>
          <cell r="F799">
            <v>1</v>
          </cell>
          <cell r="G799">
            <v>35339</v>
          </cell>
          <cell r="H799">
            <v>47400</v>
          </cell>
        </row>
        <row r="800">
          <cell r="A800">
            <v>3400004005</v>
          </cell>
          <cell r="B800">
            <v>5801</v>
          </cell>
          <cell r="C800">
            <v>61112</v>
          </cell>
          <cell r="D800">
            <v>0</v>
          </cell>
          <cell r="E800" t="str">
            <v>DESOLDERING STATION</v>
          </cell>
          <cell r="F800">
            <v>1</v>
          </cell>
          <cell r="G800">
            <v>35339</v>
          </cell>
          <cell r="H800">
            <v>15300</v>
          </cell>
        </row>
        <row r="801">
          <cell r="A801">
            <v>3400004006</v>
          </cell>
          <cell r="B801">
            <v>5801</v>
          </cell>
          <cell r="C801">
            <v>61115</v>
          </cell>
          <cell r="D801">
            <v>0</v>
          </cell>
          <cell r="E801" t="str">
            <v>OSCILLOSCOPE 100 MHZ TEK 22</v>
          </cell>
          <cell r="F801">
            <v>1</v>
          </cell>
          <cell r="G801">
            <v>35339</v>
          </cell>
          <cell r="H801">
            <v>35000</v>
          </cell>
        </row>
        <row r="802">
          <cell r="A802">
            <v>3400004007</v>
          </cell>
          <cell r="B802">
            <v>5801</v>
          </cell>
          <cell r="C802">
            <v>61112</v>
          </cell>
          <cell r="D802">
            <v>0</v>
          </cell>
          <cell r="E802" t="str">
            <v>LCR DATABRIDGE WITH ADAPTER AND TESTCLIP</v>
          </cell>
          <cell r="F802">
            <v>1</v>
          </cell>
          <cell r="G802">
            <v>35339</v>
          </cell>
          <cell r="H802">
            <v>31100</v>
          </cell>
        </row>
        <row r="803">
          <cell r="A803">
            <v>3400004008</v>
          </cell>
          <cell r="B803">
            <v>5801</v>
          </cell>
          <cell r="C803">
            <v>61112</v>
          </cell>
          <cell r="D803">
            <v>0</v>
          </cell>
          <cell r="E803" t="str">
            <v>SOLDERING STATION WITH ACC ESSORIES</v>
          </cell>
          <cell r="F803">
            <v>1</v>
          </cell>
          <cell r="G803">
            <v>35339</v>
          </cell>
          <cell r="H803">
            <v>2600</v>
          </cell>
        </row>
        <row r="804">
          <cell r="A804">
            <v>3400004009</v>
          </cell>
          <cell r="B804">
            <v>5801</v>
          </cell>
          <cell r="C804">
            <v>61112</v>
          </cell>
          <cell r="D804">
            <v>0</v>
          </cell>
          <cell r="E804" t="str">
            <v>SOLDERING STATION WITH ACCESSORIES</v>
          </cell>
          <cell r="F804">
            <v>1</v>
          </cell>
          <cell r="G804">
            <v>35339</v>
          </cell>
          <cell r="H804">
            <v>2600</v>
          </cell>
        </row>
        <row r="805">
          <cell r="A805">
            <v>3400004010</v>
          </cell>
          <cell r="B805">
            <v>5801</v>
          </cell>
          <cell r="C805">
            <v>61112</v>
          </cell>
          <cell r="D805">
            <v>0</v>
          </cell>
          <cell r="E805" t="str">
            <v>SOLDERING STATION WITH ACCESSORIES</v>
          </cell>
          <cell r="F805">
            <v>1</v>
          </cell>
          <cell r="G805">
            <v>35339</v>
          </cell>
          <cell r="H805">
            <v>1800</v>
          </cell>
        </row>
        <row r="806">
          <cell r="A806">
            <v>3400004011</v>
          </cell>
          <cell r="B806">
            <v>5801</v>
          </cell>
          <cell r="C806">
            <v>61112</v>
          </cell>
          <cell r="D806">
            <v>0</v>
          </cell>
          <cell r="E806" t="str">
            <v>SOLDERING STATION WITH ACCESSORIES</v>
          </cell>
          <cell r="F806">
            <v>1</v>
          </cell>
          <cell r="G806">
            <v>35339</v>
          </cell>
          <cell r="H806">
            <v>2600</v>
          </cell>
        </row>
        <row r="807">
          <cell r="A807">
            <v>3400004012</v>
          </cell>
          <cell r="B807">
            <v>5801</v>
          </cell>
          <cell r="C807">
            <v>61206</v>
          </cell>
          <cell r="D807">
            <v>0</v>
          </cell>
          <cell r="E807" t="str">
            <v>SOLDERING STATION WITH ACCESSORIES</v>
          </cell>
          <cell r="F807">
            <v>1</v>
          </cell>
          <cell r="G807">
            <v>35339</v>
          </cell>
          <cell r="H807">
            <v>2600</v>
          </cell>
        </row>
        <row r="808">
          <cell r="A808">
            <v>3400004013</v>
          </cell>
          <cell r="B808">
            <v>5801</v>
          </cell>
          <cell r="C808">
            <v>61153</v>
          </cell>
          <cell r="D808">
            <v>0</v>
          </cell>
          <cell r="E808" t="str">
            <v>REFERENCE RACK WITH SPARES AND MODULES</v>
          </cell>
          <cell r="F808">
            <v>1</v>
          </cell>
          <cell r="G808">
            <v>35339</v>
          </cell>
          <cell r="H808">
            <v>641300</v>
          </cell>
        </row>
        <row r="809">
          <cell r="A809">
            <v>3400004014</v>
          </cell>
          <cell r="B809">
            <v>5801</v>
          </cell>
          <cell r="C809">
            <v>61112</v>
          </cell>
          <cell r="D809">
            <v>0</v>
          </cell>
          <cell r="E809" t="str">
            <v>IMPULSE GENERATOR 50MHZ PM 571</v>
          </cell>
          <cell r="F809">
            <v>1</v>
          </cell>
          <cell r="G809">
            <v>35339</v>
          </cell>
          <cell r="H809">
            <v>67300</v>
          </cell>
        </row>
        <row r="810">
          <cell r="A810">
            <v>3400004015</v>
          </cell>
          <cell r="B810">
            <v>5801</v>
          </cell>
          <cell r="C810">
            <v>61112</v>
          </cell>
          <cell r="D810">
            <v>0</v>
          </cell>
          <cell r="E810" t="str">
            <v>TTL-CMOS LOGIC PROBE</v>
          </cell>
          <cell r="F810">
            <v>1</v>
          </cell>
          <cell r="G810">
            <v>35339</v>
          </cell>
          <cell r="H810">
            <v>3500</v>
          </cell>
        </row>
        <row r="811">
          <cell r="A811">
            <v>3400004016</v>
          </cell>
          <cell r="B811">
            <v>5801</v>
          </cell>
          <cell r="C811">
            <v>61151</v>
          </cell>
          <cell r="D811">
            <v>0</v>
          </cell>
          <cell r="E811" t="str">
            <v>MICROFICHE READER</v>
          </cell>
          <cell r="F811">
            <v>1</v>
          </cell>
          <cell r="G811">
            <v>35339</v>
          </cell>
          <cell r="H811">
            <v>11000</v>
          </cell>
        </row>
        <row r="812">
          <cell r="A812">
            <v>3400004017</v>
          </cell>
          <cell r="B812">
            <v>5801</v>
          </cell>
          <cell r="C812">
            <v>61119</v>
          </cell>
          <cell r="D812">
            <v>0</v>
          </cell>
          <cell r="E812" t="str">
            <v>MFASURING ADAPTER VDE</v>
          </cell>
          <cell r="F812">
            <v>1</v>
          </cell>
          <cell r="G812">
            <v>35339</v>
          </cell>
          <cell r="H812">
            <v>1500</v>
          </cell>
        </row>
        <row r="813">
          <cell r="A813">
            <v>3400004018</v>
          </cell>
          <cell r="B813">
            <v>5801</v>
          </cell>
          <cell r="C813">
            <v>61112</v>
          </cell>
          <cell r="D813">
            <v>0</v>
          </cell>
          <cell r="E813" t="str">
            <v>FINCTION GENERATOR HP 3325</v>
          </cell>
          <cell r="F813">
            <v>1</v>
          </cell>
          <cell r="G813">
            <v>35339</v>
          </cell>
          <cell r="H813">
            <v>117200</v>
          </cell>
        </row>
        <row r="814">
          <cell r="A814">
            <v>3400004019</v>
          </cell>
          <cell r="B814">
            <v>5801</v>
          </cell>
          <cell r="C814">
            <v>61112</v>
          </cell>
          <cell r="D814">
            <v>0</v>
          </cell>
          <cell r="E814" t="str">
            <v>UNIVERS COUNTER WACC HP5335A WITH OPT</v>
          </cell>
          <cell r="F814">
            <v>1</v>
          </cell>
          <cell r="G814">
            <v>35339</v>
          </cell>
          <cell r="H814">
            <v>117600</v>
          </cell>
        </row>
        <row r="815">
          <cell r="A815">
            <v>3400004020</v>
          </cell>
          <cell r="B815">
            <v>5801</v>
          </cell>
          <cell r="C815">
            <v>61206</v>
          </cell>
          <cell r="D815">
            <v>0</v>
          </cell>
          <cell r="E815" t="str">
            <v>MODULER SOLDERING STATION</v>
          </cell>
          <cell r="F815">
            <v>1</v>
          </cell>
          <cell r="G815">
            <v>35339</v>
          </cell>
          <cell r="H815">
            <v>2700</v>
          </cell>
        </row>
        <row r="816">
          <cell r="A816">
            <v>3400004021</v>
          </cell>
          <cell r="B816">
            <v>5801</v>
          </cell>
          <cell r="C816">
            <v>61206</v>
          </cell>
          <cell r="D816">
            <v>0</v>
          </cell>
          <cell r="E816" t="str">
            <v>MODULAR SOLDERING STATION</v>
          </cell>
          <cell r="F816">
            <v>1</v>
          </cell>
          <cell r="G816">
            <v>35339</v>
          </cell>
          <cell r="H816">
            <v>2700</v>
          </cell>
        </row>
        <row r="817">
          <cell r="A817">
            <v>3400004022</v>
          </cell>
          <cell r="B817">
            <v>5801</v>
          </cell>
          <cell r="C817">
            <v>61112</v>
          </cell>
          <cell r="D817">
            <v>0</v>
          </cell>
          <cell r="E817" t="str">
            <v>ZENTHAL TEST SYSTEMR SPARES</v>
          </cell>
          <cell r="F817">
            <v>1</v>
          </cell>
          <cell r="G817">
            <v>35339</v>
          </cell>
          <cell r="H817">
            <v>3565900</v>
          </cell>
        </row>
        <row r="818">
          <cell r="A818">
            <v>3400004023</v>
          </cell>
          <cell r="B818">
            <v>5801</v>
          </cell>
          <cell r="C818">
            <v>61100</v>
          </cell>
          <cell r="D818">
            <v>0</v>
          </cell>
          <cell r="E818" t="str">
            <v>LABEL PRINTING UNIT WITH SPARE PARTS</v>
          </cell>
          <cell r="F818">
            <v>1</v>
          </cell>
          <cell r="G818">
            <v>35339</v>
          </cell>
          <cell r="H818">
            <v>243600</v>
          </cell>
        </row>
        <row r="819">
          <cell r="A819">
            <v>3400004024</v>
          </cell>
          <cell r="B819">
            <v>5801</v>
          </cell>
          <cell r="C819">
            <v>61119</v>
          </cell>
          <cell r="D819">
            <v>0</v>
          </cell>
          <cell r="E819" t="str">
            <v>ACCESS CHECK  PAWIKO</v>
          </cell>
          <cell r="F819">
            <v>1</v>
          </cell>
          <cell r="G819">
            <v>35339</v>
          </cell>
          <cell r="H819">
            <v>5900</v>
          </cell>
        </row>
        <row r="820">
          <cell r="A820">
            <v>3400004025</v>
          </cell>
          <cell r="B820">
            <v>5801</v>
          </cell>
          <cell r="C820">
            <v>61100</v>
          </cell>
          <cell r="D820">
            <v>0</v>
          </cell>
          <cell r="E820" t="str">
            <v>AUTOMATIC TAPE DISPENSER</v>
          </cell>
          <cell r="F820">
            <v>1</v>
          </cell>
          <cell r="G820">
            <v>35339</v>
          </cell>
          <cell r="H820">
            <v>8200</v>
          </cell>
        </row>
        <row r="821">
          <cell r="A821">
            <v>3400004026</v>
          </cell>
          <cell r="B821">
            <v>5801</v>
          </cell>
          <cell r="C821">
            <v>61103</v>
          </cell>
          <cell r="D821">
            <v>0</v>
          </cell>
          <cell r="E821" t="str">
            <v>DESOLDERING STATION</v>
          </cell>
          <cell r="F821">
            <v>1</v>
          </cell>
          <cell r="G821">
            <v>35339</v>
          </cell>
          <cell r="H821">
            <v>19100</v>
          </cell>
        </row>
        <row r="822">
          <cell r="A822">
            <v>3400004027</v>
          </cell>
          <cell r="B822">
            <v>5801</v>
          </cell>
          <cell r="C822">
            <v>61100</v>
          </cell>
          <cell r="D822">
            <v>0</v>
          </cell>
          <cell r="E822" t="str">
            <v>COMPONENT PREPARATION MACHINE C066/H</v>
          </cell>
          <cell r="F822">
            <v>1</v>
          </cell>
          <cell r="G822">
            <v>35339</v>
          </cell>
          <cell r="H822">
            <v>18700</v>
          </cell>
        </row>
        <row r="823">
          <cell r="A823">
            <v>3400004028</v>
          </cell>
          <cell r="B823">
            <v>5801</v>
          </cell>
          <cell r="C823">
            <v>61100</v>
          </cell>
          <cell r="D823">
            <v>0</v>
          </cell>
          <cell r="E823" t="str">
            <v>COMPONENT PREP. MACHINE C052B</v>
          </cell>
          <cell r="F823">
            <v>1</v>
          </cell>
          <cell r="G823">
            <v>35339</v>
          </cell>
          <cell r="H823">
            <v>68600</v>
          </cell>
        </row>
        <row r="824">
          <cell r="A824">
            <v>3400004029</v>
          </cell>
          <cell r="B824">
            <v>5801</v>
          </cell>
          <cell r="C824">
            <v>61100</v>
          </cell>
          <cell r="D824">
            <v>0</v>
          </cell>
          <cell r="E824" t="str">
            <v>COMPONENT PREP. MACHINE C052A</v>
          </cell>
          <cell r="F824">
            <v>1</v>
          </cell>
          <cell r="G824">
            <v>35339</v>
          </cell>
          <cell r="H824">
            <v>49100</v>
          </cell>
        </row>
        <row r="825">
          <cell r="A825">
            <v>3400004030</v>
          </cell>
          <cell r="B825">
            <v>5801</v>
          </cell>
          <cell r="C825">
            <v>61100</v>
          </cell>
          <cell r="D825">
            <v>0</v>
          </cell>
          <cell r="E825" t="str">
            <v>COMPONENT PREP MACHINE C034SL</v>
          </cell>
          <cell r="F825">
            <v>1</v>
          </cell>
          <cell r="G825">
            <v>35339</v>
          </cell>
          <cell r="H825">
            <v>36700</v>
          </cell>
        </row>
        <row r="826">
          <cell r="A826">
            <v>3400004031</v>
          </cell>
          <cell r="B826">
            <v>5801</v>
          </cell>
          <cell r="C826">
            <v>61100</v>
          </cell>
          <cell r="D826">
            <v>0</v>
          </cell>
          <cell r="E826" t="str">
            <v>COMPONENT PREP. MACHINE A073</v>
          </cell>
          <cell r="F826">
            <v>1</v>
          </cell>
          <cell r="G826">
            <v>35339</v>
          </cell>
          <cell r="H826">
            <v>66300</v>
          </cell>
        </row>
        <row r="827">
          <cell r="A827">
            <v>3400004032</v>
          </cell>
          <cell r="B827">
            <v>5801</v>
          </cell>
          <cell r="C827">
            <v>61112</v>
          </cell>
          <cell r="D827">
            <v>0</v>
          </cell>
          <cell r="E827" t="str">
            <v>PCM MODULE TEST SYSTEM</v>
          </cell>
          <cell r="F827">
            <v>1</v>
          </cell>
          <cell r="G827">
            <v>35339</v>
          </cell>
          <cell r="H827">
            <v>156100</v>
          </cell>
        </row>
        <row r="828">
          <cell r="A828">
            <v>3400004033</v>
          </cell>
          <cell r="B828">
            <v>5801</v>
          </cell>
          <cell r="C828">
            <v>61153</v>
          </cell>
          <cell r="D828">
            <v>0</v>
          </cell>
          <cell r="E828" t="str">
            <v>ADAPTOR 2X60 PINS</v>
          </cell>
          <cell r="F828">
            <v>1</v>
          </cell>
          <cell r="G828">
            <v>35339</v>
          </cell>
          <cell r="H828">
            <v>29400</v>
          </cell>
        </row>
        <row r="829">
          <cell r="A829">
            <v>3400004034</v>
          </cell>
          <cell r="B829">
            <v>5801</v>
          </cell>
          <cell r="C829">
            <v>61112</v>
          </cell>
          <cell r="D829">
            <v>0</v>
          </cell>
          <cell r="E829" t="str">
            <v>ADAPTER 2X60 PINS</v>
          </cell>
          <cell r="F829">
            <v>1</v>
          </cell>
          <cell r="G829">
            <v>35339</v>
          </cell>
          <cell r="H829">
            <v>17400</v>
          </cell>
        </row>
        <row r="830">
          <cell r="A830">
            <v>3400004035</v>
          </cell>
          <cell r="B830">
            <v>5801</v>
          </cell>
          <cell r="C830">
            <v>61115</v>
          </cell>
          <cell r="D830">
            <v>0</v>
          </cell>
          <cell r="E830" t="str">
            <v>PC-MUX WITH SPARE PARTS</v>
          </cell>
          <cell r="F830">
            <v>1</v>
          </cell>
          <cell r="G830">
            <v>35339</v>
          </cell>
          <cell r="H830">
            <v>285900</v>
          </cell>
        </row>
        <row r="831">
          <cell r="A831">
            <v>3400004036</v>
          </cell>
          <cell r="B831">
            <v>5801</v>
          </cell>
          <cell r="C831">
            <v>61115</v>
          </cell>
          <cell r="D831">
            <v>0</v>
          </cell>
          <cell r="E831" t="str">
            <v>TESMOD WITHOUT KEYBOARD</v>
          </cell>
          <cell r="F831">
            <v>1</v>
          </cell>
          <cell r="G831">
            <v>35339</v>
          </cell>
          <cell r="H831">
            <v>13900</v>
          </cell>
        </row>
        <row r="832">
          <cell r="A832">
            <v>3400004037</v>
          </cell>
          <cell r="B832">
            <v>5801</v>
          </cell>
          <cell r="C832">
            <v>61115</v>
          </cell>
          <cell r="D832">
            <v>0</v>
          </cell>
          <cell r="E832" t="str">
            <v>TESMOD WITHOUT KEYBOARD</v>
          </cell>
          <cell r="F832">
            <v>1</v>
          </cell>
          <cell r="G832">
            <v>35339</v>
          </cell>
          <cell r="H832">
            <v>1400</v>
          </cell>
        </row>
        <row r="833">
          <cell r="A833">
            <v>3400004038</v>
          </cell>
          <cell r="B833">
            <v>5801</v>
          </cell>
          <cell r="C833">
            <v>61115</v>
          </cell>
          <cell r="D833">
            <v>0</v>
          </cell>
          <cell r="E833" t="str">
            <v>TESMOD WITHOUT KEYBOARD</v>
          </cell>
          <cell r="F833">
            <v>1</v>
          </cell>
          <cell r="G833">
            <v>35339</v>
          </cell>
          <cell r="H833">
            <v>1400</v>
          </cell>
        </row>
        <row r="834">
          <cell r="A834">
            <v>3400004039</v>
          </cell>
          <cell r="B834">
            <v>5801</v>
          </cell>
          <cell r="C834">
            <v>61115</v>
          </cell>
          <cell r="D834">
            <v>0</v>
          </cell>
          <cell r="E834" t="str">
            <v>TESMOD WITHOUT KEYBOARD</v>
          </cell>
          <cell r="F834">
            <v>1</v>
          </cell>
          <cell r="G834">
            <v>35339</v>
          </cell>
          <cell r="H834">
            <v>1400</v>
          </cell>
        </row>
        <row r="835">
          <cell r="A835">
            <v>3400004040</v>
          </cell>
          <cell r="B835">
            <v>5801</v>
          </cell>
          <cell r="C835">
            <v>61115</v>
          </cell>
          <cell r="D835">
            <v>0</v>
          </cell>
          <cell r="E835" t="str">
            <v>TESMOD WITHOUT KEYBOARD</v>
          </cell>
          <cell r="F835">
            <v>1</v>
          </cell>
          <cell r="G835">
            <v>35339</v>
          </cell>
          <cell r="H835">
            <v>1400</v>
          </cell>
        </row>
        <row r="836">
          <cell r="A836">
            <v>3400004041</v>
          </cell>
          <cell r="B836">
            <v>5801</v>
          </cell>
          <cell r="C836">
            <v>61115</v>
          </cell>
          <cell r="D836">
            <v>0</v>
          </cell>
          <cell r="E836" t="str">
            <v>TESMOD WITHOUT KEYBOARD</v>
          </cell>
          <cell r="F836">
            <v>1</v>
          </cell>
          <cell r="G836">
            <v>35339</v>
          </cell>
          <cell r="H836">
            <v>1400</v>
          </cell>
        </row>
        <row r="837">
          <cell r="A837">
            <v>3400004042</v>
          </cell>
          <cell r="B837">
            <v>5801</v>
          </cell>
          <cell r="C837">
            <v>61115</v>
          </cell>
          <cell r="D837">
            <v>0</v>
          </cell>
          <cell r="E837" t="str">
            <v>TESMOD WITHOUT KEYBOARD</v>
          </cell>
          <cell r="F837">
            <v>1</v>
          </cell>
          <cell r="G837">
            <v>35339</v>
          </cell>
          <cell r="H837">
            <v>1400</v>
          </cell>
        </row>
        <row r="838">
          <cell r="A838">
            <v>3400004043</v>
          </cell>
          <cell r="B838">
            <v>5801</v>
          </cell>
          <cell r="C838">
            <v>61115</v>
          </cell>
          <cell r="D838">
            <v>0</v>
          </cell>
          <cell r="E838" t="str">
            <v>TESMOD WITHOUT KEYBOARD</v>
          </cell>
          <cell r="F838">
            <v>1</v>
          </cell>
          <cell r="G838">
            <v>35339</v>
          </cell>
          <cell r="H838">
            <v>1400</v>
          </cell>
        </row>
        <row r="839">
          <cell r="A839">
            <v>3400004044</v>
          </cell>
          <cell r="B839">
            <v>5801</v>
          </cell>
          <cell r="C839">
            <v>61115</v>
          </cell>
          <cell r="D839">
            <v>0</v>
          </cell>
          <cell r="E839" t="str">
            <v>TESMOD WITHOUT KEYBOARD</v>
          </cell>
          <cell r="F839">
            <v>1</v>
          </cell>
          <cell r="G839">
            <v>35339</v>
          </cell>
          <cell r="H839">
            <v>1400</v>
          </cell>
        </row>
        <row r="840">
          <cell r="A840">
            <v>3400004045</v>
          </cell>
          <cell r="B840">
            <v>5801</v>
          </cell>
          <cell r="C840">
            <v>61115</v>
          </cell>
          <cell r="D840">
            <v>0</v>
          </cell>
          <cell r="E840" t="str">
            <v>TESMOD WITHOUT KEYBOARD</v>
          </cell>
          <cell r="F840">
            <v>1</v>
          </cell>
          <cell r="G840">
            <v>35339</v>
          </cell>
          <cell r="H840">
            <v>1400</v>
          </cell>
        </row>
        <row r="841">
          <cell r="A841">
            <v>3400004046</v>
          </cell>
          <cell r="B841">
            <v>5801</v>
          </cell>
          <cell r="C841">
            <v>61115</v>
          </cell>
          <cell r="D841">
            <v>0</v>
          </cell>
          <cell r="E841" t="str">
            <v>TESMOD WITHOUT KEYBOARD</v>
          </cell>
          <cell r="F841">
            <v>1</v>
          </cell>
          <cell r="G841">
            <v>35339</v>
          </cell>
          <cell r="H841">
            <v>1400</v>
          </cell>
        </row>
        <row r="842">
          <cell r="A842">
            <v>3400004047</v>
          </cell>
          <cell r="B842">
            <v>5801</v>
          </cell>
          <cell r="C842">
            <v>61115</v>
          </cell>
          <cell r="D842">
            <v>0</v>
          </cell>
          <cell r="E842" t="str">
            <v>TESMOD WITHOUT KEYBOARD</v>
          </cell>
          <cell r="F842">
            <v>1</v>
          </cell>
          <cell r="G842">
            <v>35339</v>
          </cell>
          <cell r="H842">
            <v>1400</v>
          </cell>
        </row>
        <row r="843">
          <cell r="A843">
            <v>3400004048</v>
          </cell>
          <cell r="B843">
            <v>5801</v>
          </cell>
          <cell r="C843">
            <v>61115</v>
          </cell>
          <cell r="D843">
            <v>0</v>
          </cell>
          <cell r="E843" t="str">
            <v>TESMOD WITHOUT KEYBOARD</v>
          </cell>
          <cell r="F843">
            <v>1</v>
          </cell>
          <cell r="G843">
            <v>35339</v>
          </cell>
          <cell r="H843">
            <v>1400</v>
          </cell>
        </row>
        <row r="844">
          <cell r="A844">
            <v>3400004049</v>
          </cell>
          <cell r="B844">
            <v>5801</v>
          </cell>
          <cell r="C844">
            <v>61115</v>
          </cell>
          <cell r="D844">
            <v>0</v>
          </cell>
          <cell r="E844" t="str">
            <v>TESMOD WITHOUT KEYBOARD</v>
          </cell>
          <cell r="F844">
            <v>1</v>
          </cell>
          <cell r="G844">
            <v>35339</v>
          </cell>
          <cell r="H844">
            <v>1400</v>
          </cell>
        </row>
        <row r="845">
          <cell r="A845">
            <v>3400004050</v>
          </cell>
          <cell r="B845">
            <v>5801</v>
          </cell>
          <cell r="C845">
            <v>61115</v>
          </cell>
          <cell r="D845">
            <v>0</v>
          </cell>
          <cell r="E845" t="str">
            <v>TESMOD WITHOUT KEYBOARD</v>
          </cell>
          <cell r="F845">
            <v>1</v>
          </cell>
          <cell r="G845">
            <v>35339</v>
          </cell>
          <cell r="H845">
            <v>1400</v>
          </cell>
        </row>
        <row r="846">
          <cell r="A846">
            <v>3400004051</v>
          </cell>
          <cell r="B846">
            <v>5801</v>
          </cell>
          <cell r="C846">
            <v>61115</v>
          </cell>
          <cell r="D846">
            <v>0</v>
          </cell>
          <cell r="E846" t="str">
            <v>TESMOD WITHOUT KEYBOARD</v>
          </cell>
          <cell r="F846">
            <v>1</v>
          </cell>
          <cell r="G846">
            <v>35339</v>
          </cell>
          <cell r="H846">
            <v>1400</v>
          </cell>
        </row>
        <row r="847">
          <cell r="A847">
            <v>3400004052</v>
          </cell>
          <cell r="B847">
            <v>5801</v>
          </cell>
          <cell r="C847">
            <v>61115</v>
          </cell>
          <cell r="D847">
            <v>0</v>
          </cell>
          <cell r="E847" t="str">
            <v>TESMOD WITHOUT KEYBOARD</v>
          </cell>
          <cell r="F847">
            <v>1</v>
          </cell>
          <cell r="G847">
            <v>35339</v>
          </cell>
          <cell r="H847">
            <v>1400</v>
          </cell>
        </row>
        <row r="848">
          <cell r="A848">
            <v>3400004053</v>
          </cell>
          <cell r="B848">
            <v>5801</v>
          </cell>
          <cell r="C848">
            <v>61115</v>
          </cell>
          <cell r="D848">
            <v>0</v>
          </cell>
          <cell r="E848" t="str">
            <v>TESMOD WITHOUT KEYBOARD</v>
          </cell>
          <cell r="F848">
            <v>1</v>
          </cell>
          <cell r="G848">
            <v>35339</v>
          </cell>
          <cell r="H848">
            <v>1400</v>
          </cell>
        </row>
        <row r="849">
          <cell r="A849">
            <v>3400004054</v>
          </cell>
          <cell r="B849">
            <v>5801</v>
          </cell>
          <cell r="C849">
            <v>61115</v>
          </cell>
          <cell r="D849">
            <v>0</v>
          </cell>
          <cell r="E849" t="str">
            <v>TESMOD WITHOUT KEYBOARD</v>
          </cell>
          <cell r="F849">
            <v>1</v>
          </cell>
          <cell r="G849">
            <v>35339</v>
          </cell>
          <cell r="H849">
            <v>1400</v>
          </cell>
        </row>
        <row r="850">
          <cell r="A850">
            <v>3400004055</v>
          </cell>
          <cell r="B850">
            <v>5801</v>
          </cell>
          <cell r="C850">
            <v>61115</v>
          </cell>
          <cell r="D850">
            <v>0</v>
          </cell>
          <cell r="E850" t="str">
            <v>TESMOD WITHOUT KEYBOARD</v>
          </cell>
          <cell r="F850">
            <v>1</v>
          </cell>
          <cell r="G850">
            <v>35339</v>
          </cell>
          <cell r="H850">
            <v>1400</v>
          </cell>
        </row>
        <row r="851">
          <cell r="A851">
            <v>3400004056</v>
          </cell>
          <cell r="B851">
            <v>5801</v>
          </cell>
          <cell r="C851">
            <v>61115</v>
          </cell>
          <cell r="D851">
            <v>0</v>
          </cell>
          <cell r="E851" t="str">
            <v>TESMOD WITHOUT KEYBOARD</v>
          </cell>
          <cell r="F851">
            <v>1</v>
          </cell>
          <cell r="G851">
            <v>35339</v>
          </cell>
          <cell r="H851">
            <v>1400</v>
          </cell>
        </row>
        <row r="852">
          <cell r="A852">
            <v>3400004057</v>
          </cell>
          <cell r="B852">
            <v>5801</v>
          </cell>
          <cell r="C852">
            <v>61153</v>
          </cell>
          <cell r="D852">
            <v>0</v>
          </cell>
          <cell r="E852" t="str">
            <v>TESMOD WITHOUT KEYBOARD</v>
          </cell>
          <cell r="F852">
            <v>1</v>
          </cell>
          <cell r="G852">
            <v>35339</v>
          </cell>
          <cell r="H852">
            <v>13900</v>
          </cell>
        </row>
        <row r="853">
          <cell r="A853">
            <v>3400004058</v>
          </cell>
          <cell r="B853">
            <v>5801</v>
          </cell>
          <cell r="C853">
            <v>61115</v>
          </cell>
          <cell r="D853">
            <v>0</v>
          </cell>
          <cell r="E853" t="str">
            <v>TESMOD WITHOUT KEYBOARD</v>
          </cell>
          <cell r="F853">
            <v>1</v>
          </cell>
          <cell r="G853">
            <v>35339</v>
          </cell>
          <cell r="H853">
            <v>1400</v>
          </cell>
        </row>
        <row r="854">
          <cell r="A854">
            <v>3400004059</v>
          </cell>
          <cell r="B854">
            <v>5801</v>
          </cell>
          <cell r="C854">
            <v>61115</v>
          </cell>
          <cell r="D854">
            <v>0</v>
          </cell>
          <cell r="E854" t="str">
            <v>TESMOD WITHOUT KEYBOARD</v>
          </cell>
          <cell r="F854">
            <v>1</v>
          </cell>
          <cell r="G854">
            <v>35339</v>
          </cell>
          <cell r="H854">
            <v>1400</v>
          </cell>
        </row>
        <row r="855">
          <cell r="A855">
            <v>3400004060</v>
          </cell>
          <cell r="B855">
            <v>5801</v>
          </cell>
          <cell r="C855">
            <v>61115</v>
          </cell>
          <cell r="D855">
            <v>0</v>
          </cell>
          <cell r="E855" t="str">
            <v>TESMOD WITHOUT KEYBOARD</v>
          </cell>
          <cell r="F855">
            <v>1</v>
          </cell>
          <cell r="G855">
            <v>35339</v>
          </cell>
          <cell r="H855">
            <v>1400</v>
          </cell>
        </row>
        <row r="856">
          <cell r="A856">
            <v>3400004061</v>
          </cell>
          <cell r="B856">
            <v>5801</v>
          </cell>
          <cell r="C856">
            <v>61115</v>
          </cell>
          <cell r="D856">
            <v>0</v>
          </cell>
          <cell r="E856" t="str">
            <v>TESMOD WITHOUT KEYBOARD</v>
          </cell>
          <cell r="F856">
            <v>1</v>
          </cell>
          <cell r="G856">
            <v>35339</v>
          </cell>
          <cell r="H856">
            <v>1400</v>
          </cell>
        </row>
        <row r="857">
          <cell r="A857">
            <v>3400004062</v>
          </cell>
          <cell r="B857">
            <v>5801</v>
          </cell>
          <cell r="C857">
            <v>61115</v>
          </cell>
          <cell r="D857">
            <v>0</v>
          </cell>
          <cell r="E857" t="str">
            <v>TESMOD WITHOUT KEYBOARD</v>
          </cell>
          <cell r="F857">
            <v>1</v>
          </cell>
          <cell r="G857">
            <v>35339</v>
          </cell>
          <cell r="H857">
            <v>1400</v>
          </cell>
        </row>
        <row r="858">
          <cell r="A858">
            <v>3400004063</v>
          </cell>
          <cell r="B858">
            <v>5801</v>
          </cell>
          <cell r="C858">
            <v>61115</v>
          </cell>
          <cell r="D858">
            <v>0</v>
          </cell>
          <cell r="E858" t="str">
            <v>TESMOD WITHOUT KEYBOARD</v>
          </cell>
          <cell r="F858">
            <v>1</v>
          </cell>
          <cell r="G858">
            <v>35339</v>
          </cell>
          <cell r="H858">
            <v>1400</v>
          </cell>
        </row>
        <row r="859">
          <cell r="A859">
            <v>3400004064</v>
          </cell>
          <cell r="B859">
            <v>5801</v>
          </cell>
          <cell r="C859">
            <v>61115</v>
          </cell>
          <cell r="D859">
            <v>0</v>
          </cell>
          <cell r="E859" t="str">
            <v>TESMOD WITHOUT KEYBOARD</v>
          </cell>
          <cell r="F859">
            <v>1</v>
          </cell>
          <cell r="G859">
            <v>35339</v>
          </cell>
          <cell r="H859">
            <v>1400</v>
          </cell>
        </row>
        <row r="860">
          <cell r="A860">
            <v>3400004065</v>
          </cell>
          <cell r="B860">
            <v>5801</v>
          </cell>
          <cell r="C860">
            <v>61115</v>
          </cell>
          <cell r="D860">
            <v>0</v>
          </cell>
          <cell r="E860" t="str">
            <v>TESMOD WITHOUT KEYBOARD</v>
          </cell>
          <cell r="F860">
            <v>1</v>
          </cell>
          <cell r="G860">
            <v>35339</v>
          </cell>
          <cell r="H860">
            <v>1400</v>
          </cell>
        </row>
        <row r="861">
          <cell r="A861">
            <v>3400004066</v>
          </cell>
          <cell r="B861">
            <v>5801</v>
          </cell>
          <cell r="C861">
            <v>61115</v>
          </cell>
          <cell r="D861">
            <v>0</v>
          </cell>
          <cell r="E861" t="str">
            <v>TESMOD WITHOUT KEYBOARD</v>
          </cell>
          <cell r="F861">
            <v>1</v>
          </cell>
          <cell r="G861">
            <v>35339</v>
          </cell>
          <cell r="H861">
            <v>13900</v>
          </cell>
        </row>
        <row r="862">
          <cell r="A862">
            <v>3400004067</v>
          </cell>
          <cell r="B862">
            <v>5801</v>
          </cell>
          <cell r="C862">
            <v>61115</v>
          </cell>
          <cell r="D862">
            <v>0</v>
          </cell>
          <cell r="E862" t="str">
            <v>TESMOD WITHOUT KEYBOARD</v>
          </cell>
          <cell r="F862">
            <v>1</v>
          </cell>
          <cell r="G862">
            <v>35339</v>
          </cell>
          <cell r="H862">
            <v>13900</v>
          </cell>
        </row>
        <row r="863">
          <cell r="A863">
            <v>3400004068</v>
          </cell>
          <cell r="B863">
            <v>5801</v>
          </cell>
          <cell r="C863">
            <v>61115</v>
          </cell>
          <cell r="D863">
            <v>0</v>
          </cell>
          <cell r="E863" t="str">
            <v>TESMOD WITHOUT KEYBOARD</v>
          </cell>
          <cell r="F863">
            <v>1</v>
          </cell>
          <cell r="G863">
            <v>35339</v>
          </cell>
          <cell r="H863">
            <v>13900</v>
          </cell>
        </row>
        <row r="864">
          <cell r="A864">
            <v>3400004069</v>
          </cell>
          <cell r="B864">
            <v>5801</v>
          </cell>
          <cell r="C864">
            <v>61115</v>
          </cell>
          <cell r="D864">
            <v>0</v>
          </cell>
          <cell r="E864" t="str">
            <v>TESMOD WITHOUT KEYBOARD</v>
          </cell>
          <cell r="F864">
            <v>1</v>
          </cell>
          <cell r="G864">
            <v>35339</v>
          </cell>
          <cell r="H864">
            <v>13900</v>
          </cell>
        </row>
        <row r="865">
          <cell r="A865">
            <v>3400004070</v>
          </cell>
          <cell r="B865">
            <v>5801</v>
          </cell>
          <cell r="C865">
            <v>61115</v>
          </cell>
          <cell r="D865">
            <v>0</v>
          </cell>
          <cell r="E865" t="str">
            <v>TESMOD WITHOUT KEYBOARD</v>
          </cell>
          <cell r="F865">
            <v>1</v>
          </cell>
          <cell r="G865">
            <v>35339</v>
          </cell>
          <cell r="H865">
            <v>13900</v>
          </cell>
        </row>
        <row r="866">
          <cell r="A866">
            <v>3400004071</v>
          </cell>
          <cell r="B866">
            <v>5801</v>
          </cell>
          <cell r="C866">
            <v>61115</v>
          </cell>
          <cell r="D866">
            <v>0</v>
          </cell>
          <cell r="E866" t="str">
            <v>TESMOD WITHOUT KEYBOARD</v>
          </cell>
          <cell r="F866">
            <v>1</v>
          </cell>
          <cell r="G866">
            <v>35339</v>
          </cell>
          <cell r="H866">
            <v>13900</v>
          </cell>
        </row>
        <row r="867">
          <cell r="A867">
            <v>3400004072</v>
          </cell>
          <cell r="B867">
            <v>5801</v>
          </cell>
          <cell r="C867">
            <v>61115</v>
          </cell>
          <cell r="D867">
            <v>0</v>
          </cell>
          <cell r="E867" t="str">
            <v>TESMOD WITHOUT KEYBOARD</v>
          </cell>
          <cell r="F867">
            <v>1</v>
          </cell>
          <cell r="G867">
            <v>35339</v>
          </cell>
          <cell r="H867">
            <v>13900</v>
          </cell>
        </row>
        <row r="868">
          <cell r="A868">
            <v>3400004073</v>
          </cell>
          <cell r="B868">
            <v>5801</v>
          </cell>
          <cell r="C868">
            <v>61115</v>
          </cell>
          <cell r="D868">
            <v>0</v>
          </cell>
          <cell r="E868" t="str">
            <v>TESMOD WITHOUT KEYBOARD</v>
          </cell>
          <cell r="F868">
            <v>1</v>
          </cell>
          <cell r="G868">
            <v>35339</v>
          </cell>
          <cell r="H868">
            <v>13900</v>
          </cell>
        </row>
        <row r="869">
          <cell r="A869">
            <v>3400004074</v>
          </cell>
          <cell r="B869">
            <v>5801</v>
          </cell>
          <cell r="C869">
            <v>61153</v>
          </cell>
          <cell r="D869">
            <v>0</v>
          </cell>
          <cell r="E869" t="str">
            <v>TESMOD WITHOUT KEYBOARD</v>
          </cell>
          <cell r="F869">
            <v>1</v>
          </cell>
          <cell r="G869">
            <v>35339</v>
          </cell>
          <cell r="H869">
            <v>1400</v>
          </cell>
        </row>
        <row r="870">
          <cell r="A870">
            <v>3400004075</v>
          </cell>
          <cell r="B870">
            <v>5801</v>
          </cell>
          <cell r="C870">
            <v>61115</v>
          </cell>
          <cell r="D870">
            <v>0</v>
          </cell>
          <cell r="E870" t="str">
            <v>TESMOD WITHOUT KEYBOARD</v>
          </cell>
          <cell r="F870">
            <v>1</v>
          </cell>
          <cell r="G870">
            <v>35339</v>
          </cell>
          <cell r="H870">
            <v>13900</v>
          </cell>
        </row>
        <row r="871">
          <cell r="A871">
            <v>3400004076</v>
          </cell>
          <cell r="B871">
            <v>5801</v>
          </cell>
          <cell r="C871">
            <v>61115</v>
          </cell>
          <cell r="D871">
            <v>0</v>
          </cell>
          <cell r="E871" t="str">
            <v>TESMOD WITHOUT KEYBOARD</v>
          </cell>
          <cell r="F871">
            <v>1</v>
          </cell>
          <cell r="G871">
            <v>35339</v>
          </cell>
          <cell r="H871">
            <v>13900</v>
          </cell>
        </row>
        <row r="872">
          <cell r="A872">
            <v>3400004077</v>
          </cell>
          <cell r="B872">
            <v>5801</v>
          </cell>
          <cell r="C872">
            <v>61115</v>
          </cell>
          <cell r="D872">
            <v>0</v>
          </cell>
          <cell r="E872" t="str">
            <v>POWER SUPPLY</v>
          </cell>
          <cell r="F872">
            <v>1</v>
          </cell>
          <cell r="G872">
            <v>35339</v>
          </cell>
          <cell r="H872">
            <v>82900</v>
          </cell>
        </row>
        <row r="873">
          <cell r="A873">
            <v>3400004078</v>
          </cell>
          <cell r="B873">
            <v>5801</v>
          </cell>
          <cell r="C873">
            <v>61115</v>
          </cell>
          <cell r="D873">
            <v>0</v>
          </cell>
          <cell r="E873" t="str">
            <v>POWER SUPPLY</v>
          </cell>
          <cell r="F873">
            <v>1</v>
          </cell>
          <cell r="G873">
            <v>35339</v>
          </cell>
          <cell r="H873">
            <v>82900</v>
          </cell>
        </row>
        <row r="874">
          <cell r="A874">
            <v>3400004079</v>
          </cell>
          <cell r="B874">
            <v>5801</v>
          </cell>
          <cell r="C874">
            <v>61153</v>
          </cell>
          <cell r="D874">
            <v>0</v>
          </cell>
          <cell r="E874" t="str">
            <v>TESTMOBILE HP 1180A</v>
          </cell>
          <cell r="F874">
            <v>1</v>
          </cell>
          <cell r="G874">
            <v>35339</v>
          </cell>
          <cell r="H874">
            <v>5000</v>
          </cell>
        </row>
        <row r="875">
          <cell r="A875">
            <v>3400004080</v>
          </cell>
          <cell r="B875">
            <v>5801</v>
          </cell>
          <cell r="C875">
            <v>61112</v>
          </cell>
          <cell r="D875">
            <v>0</v>
          </cell>
          <cell r="E875" t="str">
            <v>TESTMOBILE HP 1180A</v>
          </cell>
          <cell r="F875">
            <v>1</v>
          </cell>
          <cell r="G875">
            <v>35339</v>
          </cell>
          <cell r="H875">
            <v>3400</v>
          </cell>
        </row>
        <row r="876">
          <cell r="A876">
            <v>3400004081</v>
          </cell>
          <cell r="B876">
            <v>5801</v>
          </cell>
          <cell r="C876">
            <v>61115</v>
          </cell>
          <cell r="D876">
            <v>0</v>
          </cell>
          <cell r="E876" t="str">
            <v>POWER SUPPLY</v>
          </cell>
          <cell r="F876">
            <v>1</v>
          </cell>
          <cell r="G876">
            <v>35339</v>
          </cell>
          <cell r="H876">
            <v>82900</v>
          </cell>
        </row>
        <row r="877">
          <cell r="A877">
            <v>3400004082</v>
          </cell>
          <cell r="B877">
            <v>5801</v>
          </cell>
          <cell r="C877">
            <v>61153</v>
          </cell>
          <cell r="D877">
            <v>0</v>
          </cell>
          <cell r="E877" t="str">
            <v>LOGIC PROBE</v>
          </cell>
          <cell r="F877">
            <v>1</v>
          </cell>
          <cell r="G877">
            <v>35339</v>
          </cell>
          <cell r="H877">
            <v>2400</v>
          </cell>
        </row>
        <row r="878">
          <cell r="A878">
            <v>3400004084</v>
          </cell>
          <cell r="B878">
            <v>5801</v>
          </cell>
          <cell r="C878">
            <v>61153</v>
          </cell>
          <cell r="D878">
            <v>0</v>
          </cell>
          <cell r="E878" t="str">
            <v>EMULATOR EMU 85</v>
          </cell>
          <cell r="F878">
            <v>1</v>
          </cell>
          <cell r="G878">
            <v>35339</v>
          </cell>
          <cell r="H878">
            <v>156800</v>
          </cell>
        </row>
        <row r="879">
          <cell r="A879">
            <v>3400004085</v>
          </cell>
          <cell r="B879">
            <v>5801</v>
          </cell>
          <cell r="C879">
            <v>61153</v>
          </cell>
          <cell r="D879">
            <v>0</v>
          </cell>
          <cell r="E879" t="str">
            <v>OSCILLOSCOPE 100 MHZ</v>
          </cell>
          <cell r="F879">
            <v>1</v>
          </cell>
          <cell r="G879">
            <v>35339</v>
          </cell>
          <cell r="H879">
            <v>36100</v>
          </cell>
        </row>
        <row r="880">
          <cell r="A880">
            <v>3400004086</v>
          </cell>
          <cell r="B880">
            <v>5801</v>
          </cell>
          <cell r="C880">
            <v>61112</v>
          </cell>
          <cell r="D880">
            <v>0</v>
          </cell>
          <cell r="E880" t="str">
            <v>OSCILLOSCOPE 100 MHZ 4 CHAN</v>
          </cell>
          <cell r="F880">
            <v>1</v>
          </cell>
          <cell r="G880">
            <v>35339</v>
          </cell>
          <cell r="H880">
            <v>53600</v>
          </cell>
        </row>
        <row r="881">
          <cell r="A881">
            <v>3400004087</v>
          </cell>
          <cell r="B881">
            <v>5801</v>
          </cell>
          <cell r="C881">
            <v>61153</v>
          </cell>
          <cell r="D881">
            <v>0</v>
          </cell>
          <cell r="E881" t="str">
            <v>DIGITAL MULTIMETER MOD 8050A</v>
          </cell>
          <cell r="F881">
            <v>1</v>
          </cell>
          <cell r="G881">
            <v>35339</v>
          </cell>
          <cell r="H881">
            <v>7900</v>
          </cell>
        </row>
        <row r="882">
          <cell r="A882">
            <v>3400004088</v>
          </cell>
          <cell r="B882">
            <v>5801</v>
          </cell>
          <cell r="C882">
            <v>61112</v>
          </cell>
          <cell r="D882">
            <v>0</v>
          </cell>
          <cell r="E882" t="str">
            <v>DIGITAL MULTIMETER MOD 8050A</v>
          </cell>
          <cell r="F882">
            <v>1</v>
          </cell>
          <cell r="G882">
            <v>35339</v>
          </cell>
          <cell r="H882">
            <v>11700</v>
          </cell>
        </row>
        <row r="883">
          <cell r="A883">
            <v>3400004089</v>
          </cell>
          <cell r="B883">
            <v>5801</v>
          </cell>
          <cell r="C883">
            <v>61101</v>
          </cell>
          <cell r="D883">
            <v>0</v>
          </cell>
          <cell r="E883" t="str">
            <v>RIVETING DEVICE WITH HAND LEVER PRESS</v>
          </cell>
          <cell r="F883">
            <v>1</v>
          </cell>
          <cell r="G883">
            <v>35339</v>
          </cell>
          <cell r="H883">
            <v>455800</v>
          </cell>
        </row>
        <row r="884">
          <cell r="A884">
            <v>3400004094</v>
          </cell>
          <cell r="B884">
            <v>5801</v>
          </cell>
          <cell r="C884">
            <v>61154</v>
          </cell>
          <cell r="D884">
            <v>0</v>
          </cell>
          <cell r="E884" t="str">
            <v>MF-A2 READER WITH ACCESSORIES</v>
          </cell>
          <cell r="F884">
            <v>1</v>
          </cell>
          <cell r="G884">
            <v>35339</v>
          </cell>
          <cell r="H884">
            <v>11100</v>
          </cell>
        </row>
        <row r="885">
          <cell r="A885">
            <v>3400004096</v>
          </cell>
          <cell r="B885">
            <v>5801</v>
          </cell>
          <cell r="C885">
            <v>61111</v>
          </cell>
          <cell r="D885">
            <v>0</v>
          </cell>
          <cell r="E885" t="str">
            <v>BISHOP COMPARATOR VIEWING LENSES</v>
          </cell>
          <cell r="F885">
            <v>1</v>
          </cell>
          <cell r="G885">
            <v>35339</v>
          </cell>
          <cell r="H885">
            <v>2000</v>
          </cell>
        </row>
        <row r="886">
          <cell r="A886">
            <v>3400004171</v>
          </cell>
          <cell r="B886">
            <v>5801</v>
          </cell>
          <cell r="C886">
            <v>61118</v>
          </cell>
          <cell r="D886">
            <v>0</v>
          </cell>
          <cell r="E886" t="str">
            <v>TONG SEALER</v>
          </cell>
          <cell r="F886">
            <v>1</v>
          </cell>
          <cell r="G886">
            <v>35339</v>
          </cell>
          <cell r="H886">
            <v>1800</v>
          </cell>
        </row>
        <row r="887">
          <cell r="A887">
            <v>3400004233</v>
          </cell>
          <cell r="B887">
            <v>5801</v>
          </cell>
          <cell r="C887">
            <v>61153</v>
          </cell>
          <cell r="D887">
            <v>0</v>
          </cell>
          <cell r="E887" t="str">
            <v>LOGIC ANALYZER 16508</v>
          </cell>
          <cell r="F887">
            <v>1</v>
          </cell>
          <cell r="G887">
            <v>35339</v>
          </cell>
          <cell r="H887">
            <v>29100</v>
          </cell>
        </row>
        <row r="888">
          <cell r="A888">
            <v>3400004234</v>
          </cell>
          <cell r="B888">
            <v>5801</v>
          </cell>
          <cell r="C888">
            <v>61112</v>
          </cell>
          <cell r="D888">
            <v>0</v>
          </cell>
          <cell r="E888" t="str">
            <v>LOGICANALYZER 16508</v>
          </cell>
          <cell r="F888">
            <v>1</v>
          </cell>
          <cell r="G888">
            <v>35339</v>
          </cell>
          <cell r="H888">
            <v>144200</v>
          </cell>
        </row>
        <row r="889">
          <cell r="A889">
            <v>3400004235</v>
          </cell>
          <cell r="B889">
            <v>5801</v>
          </cell>
          <cell r="C889">
            <v>61153</v>
          </cell>
          <cell r="D889">
            <v>0</v>
          </cell>
          <cell r="E889" t="str">
            <v>MICROPROCESSOR INTEREACE 103058</v>
          </cell>
          <cell r="F889">
            <v>1</v>
          </cell>
          <cell r="G889">
            <v>35339</v>
          </cell>
          <cell r="H889">
            <v>5300</v>
          </cell>
        </row>
        <row r="890">
          <cell r="A890">
            <v>3400004236</v>
          </cell>
          <cell r="B890">
            <v>5801</v>
          </cell>
          <cell r="C890">
            <v>61153</v>
          </cell>
          <cell r="D890">
            <v>0</v>
          </cell>
          <cell r="E890" t="str">
            <v>PROBE INTEREACE 10269C</v>
          </cell>
          <cell r="F890">
            <v>1</v>
          </cell>
          <cell r="G890">
            <v>35339</v>
          </cell>
          <cell r="H890">
            <v>1800</v>
          </cell>
        </row>
        <row r="891">
          <cell r="A891">
            <v>3400004237</v>
          </cell>
          <cell r="B891">
            <v>5801</v>
          </cell>
          <cell r="C891">
            <v>61153</v>
          </cell>
          <cell r="D891">
            <v>0</v>
          </cell>
          <cell r="E891" t="str">
            <v>PREPROCESSOR 10304B</v>
          </cell>
          <cell r="F891">
            <v>1</v>
          </cell>
          <cell r="G891">
            <v>35339</v>
          </cell>
          <cell r="H891">
            <v>29300</v>
          </cell>
        </row>
        <row r="892">
          <cell r="A892">
            <v>3400004238</v>
          </cell>
          <cell r="B892">
            <v>5801</v>
          </cell>
          <cell r="C892">
            <v>61153</v>
          </cell>
          <cell r="D892">
            <v>0</v>
          </cell>
          <cell r="E892" t="str">
            <v>DIGITAL MULTIMETER 41/2 DIGIT</v>
          </cell>
          <cell r="F892">
            <v>1</v>
          </cell>
          <cell r="G892">
            <v>35339</v>
          </cell>
          <cell r="H892">
            <v>4400</v>
          </cell>
        </row>
        <row r="893">
          <cell r="A893">
            <v>3400004239</v>
          </cell>
          <cell r="B893">
            <v>5801</v>
          </cell>
          <cell r="C893">
            <v>61153</v>
          </cell>
          <cell r="D893">
            <v>0</v>
          </cell>
          <cell r="E893" t="str">
            <v>DIGITAL MULTIMETER 41/2 DIGIDT</v>
          </cell>
          <cell r="F893">
            <v>1</v>
          </cell>
          <cell r="G893">
            <v>35339</v>
          </cell>
          <cell r="H893">
            <v>4400</v>
          </cell>
        </row>
        <row r="894">
          <cell r="A894">
            <v>3400004240</v>
          </cell>
          <cell r="B894">
            <v>5801</v>
          </cell>
          <cell r="C894">
            <v>61153</v>
          </cell>
          <cell r="D894">
            <v>0</v>
          </cell>
          <cell r="E894" t="str">
            <v>DIGITAL MULTIMETER 41/2 DIGIDT</v>
          </cell>
          <cell r="F894">
            <v>1</v>
          </cell>
          <cell r="G894">
            <v>35339</v>
          </cell>
          <cell r="H894">
            <v>4400</v>
          </cell>
        </row>
        <row r="895">
          <cell r="A895">
            <v>3400004241</v>
          </cell>
          <cell r="B895">
            <v>5801</v>
          </cell>
          <cell r="C895">
            <v>61153</v>
          </cell>
          <cell r="D895">
            <v>0</v>
          </cell>
          <cell r="E895" t="str">
            <v>DIGITAL MULTIMETER 41/2 DIGIDT</v>
          </cell>
          <cell r="F895">
            <v>1</v>
          </cell>
          <cell r="G895">
            <v>35339</v>
          </cell>
          <cell r="H895">
            <v>4400</v>
          </cell>
        </row>
        <row r="896">
          <cell r="A896">
            <v>3400004242</v>
          </cell>
          <cell r="B896">
            <v>5801</v>
          </cell>
          <cell r="C896">
            <v>61153</v>
          </cell>
          <cell r="D896">
            <v>0</v>
          </cell>
          <cell r="E896" t="str">
            <v>DIGITAL MULTIMETER 41/2 DIGIDT</v>
          </cell>
          <cell r="F896">
            <v>1</v>
          </cell>
          <cell r="G896">
            <v>35339</v>
          </cell>
          <cell r="H896">
            <v>4400</v>
          </cell>
        </row>
        <row r="897">
          <cell r="A897">
            <v>3400004246</v>
          </cell>
          <cell r="B897">
            <v>5801</v>
          </cell>
          <cell r="C897">
            <v>61112</v>
          </cell>
          <cell r="D897">
            <v>0</v>
          </cell>
          <cell r="E897" t="str">
            <v>DIGITAL MULTIMETER 4-1/2 DIGIT</v>
          </cell>
          <cell r="F897">
            <v>1</v>
          </cell>
          <cell r="G897">
            <v>35339</v>
          </cell>
          <cell r="H897">
            <v>6600</v>
          </cell>
        </row>
        <row r="898">
          <cell r="A898">
            <v>3400004247</v>
          </cell>
          <cell r="B898">
            <v>5801</v>
          </cell>
          <cell r="C898">
            <v>61112</v>
          </cell>
          <cell r="D898">
            <v>0</v>
          </cell>
          <cell r="E898" t="str">
            <v>DIGIDTAL MULTIMETER 4-1/2 DIGIT</v>
          </cell>
          <cell r="F898">
            <v>1</v>
          </cell>
          <cell r="G898">
            <v>35339</v>
          </cell>
          <cell r="H898">
            <v>6600</v>
          </cell>
        </row>
        <row r="899">
          <cell r="A899">
            <v>3400004248</v>
          </cell>
          <cell r="B899">
            <v>5801</v>
          </cell>
          <cell r="C899">
            <v>61112</v>
          </cell>
          <cell r="D899">
            <v>0</v>
          </cell>
          <cell r="E899" t="str">
            <v>DIGITAL MULTIMETER 61/2 DIGIT</v>
          </cell>
          <cell r="F899">
            <v>1</v>
          </cell>
          <cell r="G899">
            <v>35339</v>
          </cell>
          <cell r="H899">
            <v>23300</v>
          </cell>
        </row>
        <row r="900">
          <cell r="A900">
            <v>3400004249</v>
          </cell>
          <cell r="B900">
            <v>5801</v>
          </cell>
          <cell r="C900">
            <v>61112</v>
          </cell>
          <cell r="D900">
            <v>0</v>
          </cell>
          <cell r="E900" t="str">
            <v>OSCILLOSCOPE 400 MHZ HP</v>
          </cell>
          <cell r="F900">
            <v>1</v>
          </cell>
          <cell r="G900">
            <v>35339</v>
          </cell>
          <cell r="H900">
            <v>82000</v>
          </cell>
        </row>
        <row r="901">
          <cell r="A901">
            <v>3400004250</v>
          </cell>
          <cell r="B901">
            <v>5801</v>
          </cell>
          <cell r="C901">
            <v>61153</v>
          </cell>
          <cell r="D901">
            <v>0</v>
          </cell>
          <cell r="E901" t="str">
            <v>OSCILLOSCOPE 400 MHZ HP</v>
          </cell>
          <cell r="F901">
            <v>1</v>
          </cell>
          <cell r="G901">
            <v>35339</v>
          </cell>
          <cell r="H901">
            <v>136700</v>
          </cell>
        </row>
        <row r="902">
          <cell r="A902">
            <v>3400004251</v>
          </cell>
          <cell r="B902">
            <v>5801</v>
          </cell>
          <cell r="C902">
            <v>61111</v>
          </cell>
          <cell r="D902">
            <v>0</v>
          </cell>
          <cell r="E902" t="str">
            <v>STERO MICRSCOPE</v>
          </cell>
          <cell r="F902">
            <v>1</v>
          </cell>
          <cell r="G902">
            <v>35339</v>
          </cell>
          <cell r="H902">
            <v>41200</v>
          </cell>
        </row>
        <row r="903">
          <cell r="A903">
            <v>3400004252</v>
          </cell>
          <cell r="B903">
            <v>5801</v>
          </cell>
          <cell r="C903">
            <v>61100</v>
          </cell>
          <cell r="D903">
            <v>0</v>
          </cell>
          <cell r="E903" t="str">
            <v>SET OF TOOLS 2</v>
          </cell>
          <cell r="F903">
            <v>1</v>
          </cell>
          <cell r="G903">
            <v>35339</v>
          </cell>
          <cell r="H903">
            <v>6000</v>
          </cell>
        </row>
        <row r="904">
          <cell r="A904">
            <v>3400004253</v>
          </cell>
          <cell r="B904">
            <v>5801</v>
          </cell>
          <cell r="C904">
            <v>61100</v>
          </cell>
          <cell r="D904">
            <v>0</v>
          </cell>
          <cell r="E904" t="str">
            <v>SET OF TOOLS 2</v>
          </cell>
          <cell r="F904">
            <v>1</v>
          </cell>
          <cell r="G904">
            <v>35339</v>
          </cell>
          <cell r="H904">
            <v>6000</v>
          </cell>
        </row>
        <row r="905">
          <cell r="A905">
            <v>3400004254</v>
          </cell>
          <cell r="B905">
            <v>5801</v>
          </cell>
          <cell r="C905">
            <v>61100</v>
          </cell>
          <cell r="D905">
            <v>0</v>
          </cell>
          <cell r="E905" t="str">
            <v>SET OF TOOLS 2</v>
          </cell>
          <cell r="F905">
            <v>1</v>
          </cell>
          <cell r="G905">
            <v>35339</v>
          </cell>
          <cell r="H905">
            <v>6000</v>
          </cell>
        </row>
        <row r="906">
          <cell r="A906">
            <v>3400004256</v>
          </cell>
          <cell r="B906">
            <v>5801</v>
          </cell>
          <cell r="C906">
            <v>61157</v>
          </cell>
          <cell r="D906">
            <v>0</v>
          </cell>
          <cell r="E906" t="str">
            <v>UPS SYSTEM WITH BATTERIES</v>
          </cell>
          <cell r="F906">
            <v>1</v>
          </cell>
          <cell r="G906">
            <v>35339</v>
          </cell>
          <cell r="H906">
            <v>192000</v>
          </cell>
        </row>
        <row r="907">
          <cell r="A907">
            <v>3400004256</v>
          </cell>
          <cell r="B907">
            <v>5801</v>
          </cell>
          <cell r="C907">
            <v>61157</v>
          </cell>
          <cell r="D907">
            <v>1</v>
          </cell>
          <cell r="E907" t="str">
            <v>BATTERY FOR UPS VALUE WRITE UP</v>
          </cell>
          <cell r="F907">
            <v>1</v>
          </cell>
          <cell r="G907">
            <v>35339</v>
          </cell>
          <cell r="H907">
            <v>7800</v>
          </cell>
        </row>
        <row r="908">
          <cell r="A908">
            <v>3400004257</v>
          </cell>
          <cell r="B908">
            <v>5801</v>
          </cell>
          <cell r="C908">
            <v>61119</v>
          </cell>
          <cell r="D908">
            <v>0</v>
          </cell>
          <cell r="E908" t="str">
            <v>STAWIKO ESD TESTINSTRUMENT WITH ADAPTOR</v>
          </cell>
          <cell r="F908">
            <v>1</v>
          </cell>
          <cell r="G908">
            <v>35339</v>
          </cell>
          <cell r="H908">
            <v>45000</v>
          </cell>
        </row>
        <row r="909">
          <cell r="A909">
            <v>3400004267</v>
          </cell>
          <cell r="B909">
            <v>5801</v>
          </cell>
          <cell r="C909">
            <v>61151</v>
          </cell>
          <cell r="D909">
            <v>0</v>
          </cell>
          <cell r="E909" t="str">
            <v>SOLDERABILITY TEST DEVICE</v>
          </cell>
          <cell r="F909">
            <v>1</v>
          </cell>
          <cell r="G909">
            <v>35339</v>
          </cell>
          <cell r="H909">
            <v>311300</v>
          </cell>
        </row>
        <row r="910">
          <cell r="A910">
            <v>3400004476</v>
          </cell>
          <cell r="B910">
            <v>5801</v>
          </cell>
          <cell r="C910">
            <v>61112</v>
          </cell>
          <cell r="D910">
            <v>0</v>
          </cell>
          <cell r="E910" t="str">
            <v>ZEHNTAL ICT CLEARING CHARGES</v>
          </cell>
          <cell r="F910">
            <v>1</v>
          </cell>
          <cell r="G910">
            <v>35339</v>
          </cell>
          <cell r="H910">
            <v>28700</v>
          </cell>
        </row>
        <row r="911">
          <cell r="A911">
            <v>3400004496</v>
          </cell>
          <cell r="B911">
            <v>5801</v>
          </cell>
          <cell r="C911">
            <v>61100</v>
          </cell>
          <cell r="D911">
            <v>0</v>
          </cell>
          <cell r="E911" t="str">
            <v>PROGRAMMING UNIT UNISITE 48TH WITH TERMI</v>
          </cell>
          <cell r="F911">
            <v>1</v>
          </cell>
          <cell r="G911">
            <v>35339</v>
          </cell>
          <cell r="H911">
            <v>963900</v>
          </cell>
        </row>
        <row r="912">
          <cell r="A912">
            <v>3400004497</v>
          </cell>
          <cell r="B912">
            <v>5801</v>
          </cell>
          <cell r="C912">
            <v>61100</v>
          </cell>
          <cell r="D912">
            <v>0</v>
          </cell>
          <cell r="E912" t="str">
            <v>CANCELLING UNIT FOR SINGLE E PROM</v>
          </cell>
          <cell r="F912">
            <v>1</v>
          </cell>
          <cell r="G912">
            <v>35339</v>
          </cell>
          <cell r="H912">
            <v>24300</v>
          </cell>
        </row>
        <row r="913">
          <cell r="A913">
            <v>3400004504</v>
          </cell>
          <cell r="B913">
            <v>5801</v>
          </cell>
          <cell r="C913">
            <v>61153</v>
          </cell>
          <cell r="D913">
            <v>0</v>
          </cell>
          <cell r="E913" t="str">
            <v>DESOLDERING SYSTEM EAS 1000</v>
          </cell>
          <cell r="F913">
            <v>1</v>
          </cell>
          <cell r="G913">
            <v>35339</v>
          </cell>
          <cell r="H913">
            <v>92500</v>
          </cell>
        </row>
        <row r="914">
          <cell r="A914">
            <v>3400004505</v>
          </cell>
          <cell r="B914">
            <v>5801</v>
          </cell>
          <cell r="C914">
            <v>61112</v>
          </cell>
          <cell r="D914">
            <v>0</v>
          </cell>
          <cell r="E914" t="str">
            <v>DESOLDERING STATION BTR 25A WITH TIPS</v>
          </cell>
          <cell r="F914">
            <v>1</v>
          </cell>
          <cell r="G914">
            <v>35339</v>
          </cell>
          <cell r="H914">
            <v>39600</v>
          </cell>
        </row>
        <row r="915">
          <cell r="A915">
            <v>3400004506</v>
          </cell>
          <cell r="B915">
            <v>5801</v>
          </cell>
          <cell r="C915">
            <v>61107</v>
          </cell>
          <cell r="D915">
            <v>0</v>
          </cell>
          <cell r="E915" t="str">
            <v>DEPRAG SCREW DRIVER</v>
          </cell>
          <cell r="F915">
            <v>1</v>
          </cell>
          <cell r="G915">
            <v>35339</v>
          </cell>
          <cell r="H915">
            <v>28800</v>
          </cell>
        </row>
        <row r="916">
          <cell r="A916">
            <v>3400004507</v>
          </cell>
          <cell r="B916">
            <v>5801</v>
          </cell>
          <cell r="C916">
            <v>61107</v>
          </cell>
          <cell r="D916">
            <v>0</v>
          </cell>
          <cell r="E916" t="str">
            <v>DEPRAG SCREW DRIVER</v>
          </cell>
          <cell r="F916">
            <v>1</v>
          </cell>
          <cell r="G916">
            <v>35339</v>
          </cell>
          <cell r="H916">
            <v>28800</v>
          </cell>
        </row>
        <row r="917">
          <cell r="A917">
            <v>3400004509</v>
          </cell>
          <cell r="B917">
            <v>5801</v>
          </cell>
          <cell r="C917">
            <v>61111</v>
          </cell>
          <cell r="D917">
            <v>0</v>
          </cell>
          <cell r="E917" t="str">
            <v>ILLUMINATED MAGNIFYING GLASS</v>
          </cell>
          <cell r="F917">
            <v>1</v>
          </cell>
          <cell r="G917">
            <v>35339</v>
          </cell>
          <cell r="H917">
            <v>11200</v>
          </cell>
        </row>
        <row r="918">
          <cell r="A918">
            <v>3400004510</v>
          </cell>
          <cell r="B918">
            <v>5801</v>
          </cell>
          <cell r="C918">
            <v>61111</v>
          </cell>
          <cell r="D918">
            <v>0</v>
          </cell>
          <cell r="E918" t="str">
            <v>ILLUMINATED MAGNIFYING GLASS</v>
          </cell>
          <cell r="F918">
            <v>1</v>
          </cell>
          <cell r="G918">
            <v>35339</v>
          </cell>
          <cell r="H918">
            <v>11200</v>
          </cell>
        </row>
        <row r="919">
          <cell r="A919">
            <v>3400004511</v>
          </cell>
          <cell r="B919">
            <v>5801</v>
          </cell>
          <cell r="C919">
            <v>61111</v>
          </cell>
          <cell r="D919">
            <v>0</v>
          </cell>
          <cell r="E919" t="str">
            <v>ILLUMINATED MAGNIFYING GLASS</v>
          </cell>
          <cell r="F919">
            <v>1</v>
          </cell>
          <cell r="G919">
            <v>35339</v>
          </cell>
          <cell r="H919">
            <v>11200</v>
          </cell>
        </row>
        <row r="920">
          <cell r="A920">
            <v>3400004512</v>
          </cell>
          <cell r="B920">
            <v>5801</v>
          </cell>
          <cell r="C920">
            <v>61111</v>
          </cell>
          <cell r="D920">
            <v>0</v>
          </cell>
          <cell r="E920" t="str">
            <v>ILLUMINATED MAGNIFYING GLASS</v>
          </cell>
          <cell r="F920">
            <v>1</v>
          </cell>
          <cell r="G920">
            <v>35339</v>
          </cell>
          <cell r="H920">
            <v>11200</v>
          </cell>
        </row>
        <row r="921">
          <cell r="A921">
            <v>3400004514</v>
          </cell>
          <cell r="B921">
            <v>5801</v>
          </cell>
          <cell r="C921">
            <v>61100</v>
          </cell>
          <cell r="D921">
            <v>0</v>
          </cell>
          <cell r="E921" t="str">
            <v>HAND LEVER PRESS</v>
          </cell>
          <cell r="F921">
            <v>1</v>
          </cell>
          <cell r="G921">
            <v>35339</v>
          </cell>
          <cell r="H921">
            <v>30200</v>
          </cell>
        </row>
        <row r="922">
          <cell r="A922">
            <v>3400004515</v>
          </cell>
          <cell r="B922">
            <v>5801</v>
          </cell>
          <cell r="C922">
            <v>61100</v>
          </cell>
          <cell r="D922">
            <v>0</v>
          </cell>
          <cell r="E922" t="str">
            <v>HAND LEVER PRESS</v>
          </cell>
          <cell r="F922">
            <v>1</v>
          </cell>
          <cell r="G922">
            <v>35339</v>
          </cell>
          <cell r="H922">
            <v>30200</v>
          </cell>
        </row>
        <row r="923">
          <cell r="A923">
            <v>3400004586</v>
          </cell>
          <cell r="B923">
            <v>5801</v>
          </cell>
          <cell r="C923">
            <v>61100</v>
          </cell>
          <cell r="D923">
            <v>0</v>
          </cell>
          <cell r="E923" t="str">
            <v>COMPONENT PREP MACHINE A075</v>
          </cell>
          <cell r="F923">
            <v>1</v>
          </cell>
          <cell r="G923">
            <v>35339</v>
          </cell>
          <cell r="H923">
            <v>396800</v>
          </cell>
        </row>
        <row r="924">
          <cell r="A924">
            <v>3400004587</v>
          </cell>
          <cell r="B924">
            <v>5801</v>
          </cell>
          <cell r="C924">
            <v>61100</v>
          </cell>
          <cell r="D924">
            <v>0</v>
          </cell>
          <cell r="E924" t="str">
            <v>COMPONENT PREP MACHINE C049</v>
          </cell>
          <cell r="F924">
            <v>1</v>
          </cell>
          <cell r="G924">
            <v>35339</v>
          </cell>
          <cell r="H924">
            <v>112100</v>
          </cell>
        </row>
        <row r="925">
          <cell r="A925">
            <v>3400004588</v>
          </cell>
          <cell r="B925">
            <v>5801</v>
          </cell>
          <cell r="C925">
            <v>61100</v>
          </cell>
          <cell r="D925">
            <v>0</v>
          </cell>
          <cell r="E925" t="str">
            <v>COMPONENT PREP MACHINE C036/7</v>
          </cell>
          <cell r="F925">
            <v>1</v>
          </cell>
          <cell r="G925">
            <v>35339</v>
          </cell>
          <cell r="H925">
            <v>1836900</v>
          </cell>
        </row>
        <row r="926">
          <cell r="A926">
            <v>3400004589</v>
          </cell>
          <cell r="B926">
            <v>5801</v>
          </cell>
          <cell r="C926">
            <v>61100</v>
          </cell>
          <cell r="D926">
            <v>0</v>
          </cell>
          <cell r="E926" t="str">
            <v>COMPONENT PREP MACHINE C052A</v>
          </cell>
          <cell r="F926">
            <v>1</v>
          </cell>
          <cell r="G926">
            <v>35339</v>
          </cell>
          <cell r="H926">
            <v>103800</v>
          </cell>
        </row>
        <row r="927">
          <cell r="A927">
            <v>3400004590</v>
          </cell>
          <cell r="B927">
            <v>5801</v>
          </cell>
          <cell r="C927">
            <v>61100</v>
          </cell>
          <cell r="D927">
            <v>0</v>
          </cell>
          <cell r="E927" t="str">
            <v>COMPONENT PREP MACHINE C 052B</v>
          </cell>
          <cell r="F927">
            <v>1</v>
          </cell>
          <cell r="G927">
            <v>35339</v>
          </cell>
          <cell r="H927">
            <v>161900</v>
          </cell>
        </row>
        <row r="928">
          <cell r="A928">
            <v>3400004591</v>
          </cell>
          <cell r="B928">
            <v>5801</v>
          </cell>
          <cell r="C928">
            <v>61100</v>
          </cell>
          <cell r="D928">
            <v>0</v>
          </cell>
          <cell r="E928" t="str">
            <v>COMPONENT PREP MACHINE C058</v>
          </cell>
          <cell r="F928">
            <v>1</v>
          </cell>
          <cell r="G928">
            <v>35339</v>
          </cell>
          <cell r="H928">
            <v>112900</v>
          </cell>
        </row>
        <row r="929">
          <cell r="A929">
            <v>3400004592</v>
          </cell>
          <cell r="B929">
            <v>5801</v>
          </cell>
          <cell r="C929">
            <v>61100</v>
          </cell>
          <cell r="D929">
            <v>0</v>
          </cell>
          <cell r="E929" t="str">
            <v>BENDING AND CUTTING TOOL  FOR LED PREP</v>
          </cell>
          <cell r="F929">
            <v>1</v>
          </cell>
          <cell r="G929">
            <v>35339</v>
          </cell>
          <cell r="H929">
            <v>342700</v>
          </cell>
        </row>
        <row r="930">
          <cell r="A930">
            <v>3400004593</v>
          </cell>
          <cell r="B930">
            <v>5801</v>
          </cell>
          <cell r="C930">
            <v>61101</v>
          </cell>
          <cell r="D930">
            <v>0</v>
          </cell>
          <cell r="E930" t="str">
            <v>SOLDER TERMINAL INSERTION</v>
          </cell>
          <cell r="F930">
            <v>1</v>
          </cell>
          <cell r="G930">
            <v>35339</v>
          </cell>
          <cell r="H930">
            <v>76500</v>
          </cell>
        </row>
        <row r="931">
          <cell r="A931">
            <v>3400004594</v>
          </cell>
          <cell r="B931">
            <v>5801</v>
          </cell>
          <cell r="C931">
            <v>61103</v>
          </cell>
          <cell r="D931">
            <v>0</v>
          </cell>
          <cell r="E931" t="str">
            <v>WAVE SOLDERING PLANT</v>
          </cell>
          <cell r="F931">
            <v>1</v>
          </cell>
          <cell r="G931">
            <v>35339</v>
          </cell>
          <cell r="H931">
            <v>6219700</v>
          </cell>
        </row>
        <row r="932">
          <cell r="A932">
            <v>3400004618</v>
          </cell>
          <cell r="B932">
            <v>5801</v>
          </cell>
          <cell r="C932">
            <v>61100</v>
          </cell>
          <cell r="D932">
            <v>0</v>
          </cell>
          <cell r="E932" t="str">
            <v>GAUGE FOR TESTING</v>
          </cell>
          <cell r="F932">
            <v>1</v>
          </cell>
          <cell r="G932">
            <v>35339</v>
          </cell>
          <cell r="H932">
            <v>199200</v>
          </cell>
        </row>
        <row r="933">
          <cell r="A933">
            <v>3400004620</v>
          </cell>
          <cell r="B933">
            <v>5801</v>
          </cell>
          <cell r="C933">
            <v>61100</v>
          </cell>
          <cell r="D933">
            <v>0</v>
          </cell>
          <cell r="E933" t="str">
            <v>IC BUTLER</v>
          </cell>
          <cell r="F933">
            <v>1</v>
          </cell>
          <cell r="G933">
            <v>35339</v>
          </cell>
          <cell r="H933">
            <v>3700</v>
          </cell>
        </row>
        <row r="934">
          <cell r="A934">
            <v>3400004679</v>
          </cell>
          <cell r="B934">
            <v>5801</v>
          </cell>
          <cell r="C934">
            <v>61102</v>
          </cell>
          <cell r="D934">
            <v>0</v>
          </cell>
          <cell r="E934" t="str">
            <v>CUTTING DEVICE</v>
          </cell>
          <cell r="F934">
            <v>1</v>
          </cell>
          <cell r="G934">
            <v>35339</v>
          </cell>
          <cell r="H934">
            <v>131700</v>
          </cell>
        </row>
        <row r="935">
          <cell r="A935">
            <v>3400004679</v>
          </cell>
          <cell r="B935">
            <v>5801</v>
          </cell>
          <cell r="C935">
            <v>61102</v>
          </cell>
          <cell r="D935">
            <v>1</v>
          </cell>
          <cell r="E935" t="str">
            <v>SPINNER WRENCHES</v>
          </cell>
          <cell r="F935">
            <v>1</v>
          </cell>
          <cell r="G935">
            <v>35339</v>
          </cell>
          <cell r="H935">
            <v>500</v>
          </cell>
        </row>
        <row r="936">
          <cell r="A936">
            <v>3400004680</v>
          </cell>
          <cell r="B936">
            <v>5801</v>
          </cell>
          <cell r="C936">
            <v>61102</v>
          </cell>
          <cell r="D936">
            <v>0</v>
          </cell>
          <cell r="E936" t="str">
            <v>JOINING TOOL WITH STRIPS</v>
          </cell>
          <cell r="F936">
            <v>1</v>
          </cell>
          <cell r="G936">
            <v>35339</v>
          </cell>
          <cell r="H936">
            <v>14600</v>
          </cell>
        </row>
        <row r="937">
          <cell r="A937">
            <v>3400004680</v>
          </cell>
          <cell r="B937">
            <v>5801</v>
          </cell>
          <cell r="C937">
            <v>61102</v>
          </cell>
          <cell r="D937">
            <v>1</v>
          </cell>
          <cell r="E937" t="str">
            <v>SET OF OPEN END WRENCHES</v>
          </cell>
          <cell r="F937">
            <v>1</v>
          </cell>
          <cell r="G937">
            <v>35339</v>
          </cell>
          <cell r="H937">
            <v>1200</v>
          </cell>
        </row>
        <row r="938">
          <cell r="A938">
            <v>3400004681</v>
          </cell>
          <cell r="B938">
            <v>5801</v>
          </cell>
          <cell r="C938">
            <v>61102</v>
          </cell>
          <cell r="D938">
            <v>0</v>
          </cell>
          <cell r="E938" t="str">
            <v>US PIN DRIVER</v>
          </cell>
          <cell r="F938">
            <v>1</v>
          </cell>
          <cell r="G938">
            <v>35339</v>
          </cell>
          <cell r="H938">
            <v>41000</v>
          </cell>
        </row>
        <row r="939">
          <cell r="A939">
            <v>3400004681</v>
          </cell>
          <cell r="B939">
            <v>5801</v>
          </cell>
          <cell r="C939">
            <v>61102</v>
          </cell>
          <cell r="D939">
            <v>1</v>
          </cell>
          <cell r="E939" t="str">
            <v>CABLE SHEARS</v>
          </cell>
          <cell r="F939">
            <v>1</v>
          </cell>
          <cell r="G939">
            <v>35339</v>
          </cell>
          <cell r="H939">
            <v>200</v>
          </cell>
        </row>
        <row r="940">
          <cell r="A940">
            <v>3400004682</v>
          </cell>
          <cell r="B940">
            <v>5801</v>
          </cell>
          <cell r="C940">
            <v>61107</v>
          </cell>
          <cell r="D940">
            <v>0</v>
          </cell>
          <cell r="E940" t="str">
            <v>US PIN DRIVER</v>
          </cell>
          <cell r="F940">
            <v>1</v>
          </cell>
          <cell r="G940">
            <v>35339</v>
          </cell>
          <cell r="H940">
            <v>45400</v>
          </cell>
        </row>
        <row r="941">
          <cell r="A941">
            <v>3400004682</v>
          </cell>
          <cell r="B941">
            <v>5801</v>
          </cell>
          <cell r="C941">
            <v>61107</v>
          </cell>
          <cell r="D941">
            <v>1</v>
          </cell>
          <cell r="E941" t="str">
            <v>SCISSORS</v>
          </cell>
          <cell r="F941">
            <v>1</v>
          </cell>
          <cell r="G941">
            <v>35339</v>
          </cell>
          <cell r="H941">
            <v>1400</v>
          </cell>
        </row>
        <row r="942">
          <cell r="A942">
            <v>3400004683</v>
          </cell>
          <cell r="B942">
            <v>5801</v>
          </cell>
          <cell r="C942">
            <v>61102</v>
          </cell>
          <cell r="D942">
            <v>0</v>
          </cell>
          <cell r="E942" t="str">
            <v>US PIN DRIVER</v>
          </cell>
          <cell r="F942">
            <v>1</v>
          </cell>
          <cell r="G942">
            <v>35339</v>
          </cell>
          <cell r="H942">
            <v>41000</v>
          </cell>
        </row>
        <row r="943">
          <cell r="A943">
            <v>3400004683</v>
          </cell>
          <cell r="B943">
            <v>5801</v>
          </cell>
          <cell r="C943">
            <v>61102</v>
          </cell>
          <cell r="D943">
            <v>1</v>
          </cell>
          <cell r="E943" t="str">
            <v>POCKET MICROSCOPE</v>
          </cell>
          <cell r="F943">
            <v>1</v>
          </cell>
          <cell r="G943">
            <v>35339</v>
          </cell>
          <cell r="H943">
            <v>7900</v>
          </cell>
        </row>
        <row r="944">
          <cell r="A944">
            <v>3400004684</v>
          </cell>
          <cell r="B944">
            <v>5801</v>
          </cell>
          <cell r="C944">
            <v>61112</v>
          </cell>
          <cell r="D944">
            <v>0</v>
          </cell>
          <cell r="E944" t="str">
            <v>US PIN DRIVER</v>
          </cell>
          <cell r="F944">
            <v>1</v>
          </cell>
          <cell r="G944">
            <v>35339</v>
          </cell>
          <cell r="H944">
            <v>41000</v>
          </cell>
        </row>
        <row r="945">
          <cell r="A945">
            <v>3400004684</v>
          </cell>
          <cell r="B945">
            <v>5801</v>
          </cell>
          <cell r="C945">
            <v>61112</v>
          </cell>
          <cell r="D945">
            <v>1</v>
          </cell>
          <cell r="E945" t="str">
            <v>SET OF TOOLS</v>
          </cell>
          <cell r="F945">
            <v>1</v>
          </cell>
          <cell r="G945">
            <v>35339</v>
          </cell>
          <cell r="H945">
            <v>31700</v>
          </cell>
        </row>
        <row r="946">
          <cell r="A946">
            <v>3400004685</v>
          </cell>
          <cell r="B946">
            <v>5801</v>
          </cell>
          <cell r="C946">
            <v>61102</v>
          </cell>
          <cell r="D946">
            <v>0</v>
          </cell>
          <cell r="E946" t="str">
            <v>US PIN DRIVER</v>
          </cell>
          <cell r="F946">
            <v>1</v>
          </cell>
          <cell r="G946">
            <v>35339</v>
          </cell>
          <cell r="H946">
            <v>41000</v>
          </cell>
        </row>
        <row r="947">
          <cell r="A947">
            <v>3400004686</v>
          </cell>
          <cell r="B947">
            <v>5801</v>
          </cell>
          <cell r="C947">
            <v>61102</v>
          </cell>
          <cell r="D947">
            <v>0</v>
          </cell>
          <cell r="E947" t="str">
            <v>PROGRAMMING ADAPTER FOR PINSITE</v>
          </cell>
          <cell r="F947">
            <v>1</v>
          </cell>
          <cell r="G947">
            <v>35339</v>
          </cell>
          <cell r="H947">
            <v>60800</v>
          </cell>
        </row>
        <row r="948">
          <cell r="A948">
            <v>3400004687</v>
          </cell>
          <cell r="B948">
            <v>5801</v>
          </cell>
          <cell r="C948">
            <v>61102</v>
          </cell>
          <cell r="D948">
            <v>0</v>
          </cell>
          <cell r="E948" t="str">
            <v>PROGRAMMING ADAPTER FOR PINSITE</v>
          </cell>
          <cell r="F948">
            <v>1</v>
          </cell>
          <cell r="G948">
            <v>35339</v>
          </cell>
          <cell r="H948">
            <v>40700</v>
          </cell>
        </row>
        <row r="949">
          <cell r="A949">
            <v>3400004688</v>
          </cell>
          <cell r="B949">
            <v>5801</v>
          </cell>
          <cell r="C949">
            <v>61102</v>
          </cell>
          <cell r="D949">
            <v>0</v>
          </cell>
          <cell r="E949" t="str">
            <v>PROGARMMER MODULE PINSITE</v>
          </cell>
          <cell r="F949">
            <v>1</v>
          </cell>
          <cell r="G949">
            <v>35339</v>
          </cell>
          <cell r="H949">
            <v>290800</v>
          </cell>
        </row>
        <row r="950">
          <cell r="A950">
            <v>3400004692</v>
          </cell>
          <cell r="B950">
            <v>5801</v>
          </cell>
          <cell r="C950">
            <v>61115</v>
          </cell>
          <cell r="D950">
            <v>0</v>
          </cell>
          <cell r="E950" t="str">
            <v>MODULE ADL WITH FIRMWARE</v>
          </cell>
          <cell r="F950">
            <v>1</v>
          </cell>
          <cell r="G950">
            <v>35339</v>
          </cell>
          <cell r="H950">
            <v>40100</v>
          </cell>
        </row>
        <row r="951">
          <cell r="A951">
            <v>3400004693</v>
          </cell>
          <cell r="B951">
            <v>5801</v>
          </cell>
          <cell r="C951">
            <v>61115</v>
          </cell>
          <cell r="D951">
            <v>0</v>
          </cell>
          <cell r="E951" t="str">
            <v>MODULE ADL WITH FIRMWARE</v>
          </cell>
          <cell r="F951">
            <v>1</v>
          </cell>
          <cell r="G951">
            <v>35339</v>
          </cell>
          <cell r="H951">
            <v>40100</v>
          </cell>
        </row>
        <row r="952">
          <cell r="A952">
            <v>3400004694</v>
          </cell>
          <cell r="B952">
            <v>5801</v>
          </cell>
          <cell r="C952">
            <v>61115</v>
          </cell>
          <cell r="D952">
            <v>0</v>
          </cell>
          <cell r="E952" t="str">
            <v>MODULE ADL WITH FIRMWARE</v>
          </cell>
          <cell r="F952">
            <v>1</v>
          </cell>
          <cell r="G952">
            <v>35339</v>
          </cell>
          <cell r="H952">
            <v>15900</v>
          </cell>
        </row>
        <row r="953">
          <cell r="A953">
            <v>3400004695</v>
          </cell>
          <cell r="B953">
            <v>5801</v>
          </cell>
          <cell r="C953">
            <v>61115</v>
          </cell>
          <cell r="D953">
            <v>0</v>
          </cell>
          <cell r="E953" t="str">
            <v>MODULE ADL WITH FIRMWARE</v>
          </cell>
          <cell r="F953">
            <v>1</v>
          </cell>
          <cell r="G953">
            <v>35339</v>
          </cell>
          <cell r="H953">
            <v>15900</v>
          </cell>
        </row>
        <row r="954">
          <cell r="A954">
            <v>3400004696</v>
          </cell>
          <cell r="B954">
            <v>5801</v>
          </cell>
          <cell r="C954">
            <v>61115</v>
          </cell>
          <cell r="D954">
            <v>0</v>
          </cell>
          <cell r="E954" t="str">
            <v>MODULE ADL WITH FIRMWARE</v>
          </cell>
          <cell r="F954">
            <v>1</v>
          </cell>
          <cell r="G954">
            <v>35339</v>
          </cell>
          <cell r="H954">
            <v>15900</v>
          </cell>
        </row>
        <row r="955">
          <cell r="A955">
            <v>3400004697</v>
          </cell>
          <cell r="B955">
            <v>5801</v>
          </cell>
          <cell r="C955">
            <v>61115</v>
          </cell>
          <cell r="D955">
            <v>0</v>
          </cell>
          <cell r="E955" t="str">
            <v>MODULE ADL WITH FIRMWARE</v>
          </cell>
          <cell r="F955">
            <v>1</v>
          </cell>
          <cell r="G955">
            <v>35339</v>
          </cell>
          <cell r="H955">
            <v>15900</v>
          </cell>
        </row>
        <row r="956">
          <cell r="A956">
            <v>3400004698</v>
          </cell>
          <cell r="B956">
            <v>5801</v>
          </cell>
          <cell r="C956">
            <v>61115</v>
          </cell>
          <cell r="D956">
            <v>0</v>
          </cell>
          <cell r="E956" t="str">
            <v>MODULE ADL WITH FIRMWARE</v>
          </cell>
          <cell r="F956">
            <v>1</v>
          </cell>
          <cell r="G956">
            <v>35339</v>
          </cell>
          <cell r="H956">
            <v>15900</v>
          </cell>
        </row>
        <row r="957">
          <cell r="A957">
            <v>3400004699</v>
          </cell>
          <cell r="B957">
            <v>5801</v>
          </cell>
          <cell r="C957">
            <v>61115</v>
          </cell>
          <cell r="D957">
            <v>0</v>
          </cell>
          <cell r="E957" t="str">
            <v>MODULE ADL WITH FIRMWARE</v>
          </cell>
          <cell r="F957">
            <v>1</v>
          </cell>
          <cell r="G957">
            <v>35339</v>
          </cell>
          <cell r="H957">
            <v>15900</v>
          </cell>
        </row>
        <row r="958">
          <cell r="A958">
            <v>3400004700</v>
          </cell>
          <cell r="B958">
            <v>5801</v>
          </cell>
          <cell r="C958">
            <v>61115</v>
          </cell>
          <cell r="D958">
            <v>0</v>
          </cell>
          <cell r="E958" t="str">
            <v>MODULE ADL WITH FIRMWARE</v>
          </cell>
          <cell r="F958">
            <v>1</v>
          </cell>
          <cell r="G958">
            <v>35339</v>
          </cell>
          <cell r="H958">
            <v>15900</v>
          </cell>
        </row>
        <row r="959">
          <cell r="A959">
            <v>3400004701</v>
          </cell>
          <cell r="B959">
            <v>5801</v>
          </cell>
          <cell r="C959">
            <v>61115</v>
          </cell>
          <cell r="D959">
            <v>0</v>
          </cell>
          <cell r="E959" t="str">
            <v>TESMOL V</v>
          </cell>
          <cell r="F959">
            <v>1</v>
          </cell>
          <cell r="G959">
            <v>35339</v>
          </cell>
          <cell r="H959">
            <v>293500</v>
          </cell>
        </row>
        <row r="960">
          <cell r="A960">
            <v>3400004702</v>
          </cell>
          <cell r="B960">
            <v>5801</v>
          </cell>
          <cell r="C960">
            <v>61102</v>
          </cell>
          <cell r="D960">
            <v>0</v>
          </cell>
          <cell r="E960" t="str">
            <v>MISC TOOLS FOR SMT</v>
          </cell>
          <cell r="F960">
            <v>1</v>
          </cell>
          <cell r="G960">
            <v>35339</v>
          </cell>
          <cell r="H960">
            <v>18200</v>
          </cell>
        </row>
        <row r="961">
          <cell r="A961">
            <v>3400004703</v>
          </cell>
          <cell r="B961">
            <v>5801</v>
          </cell>
          <cell r="C961">
            <v>61102</v>
          </cell>
          <cell r="D961">
            <v>0</v>
          </cell>
          <cell r="E961" t="str">
            <v>STEREO MICROSKOP M 715 FOR SMT</v>
          </cell>
          <cell r="F961">
            <v>1</v>
          </cell>
          <cell r="G961">
            <v>35339</v>
          </cell>
          <cell r="H961">
            <v>270500</v>
          </cell>
        </row>
        <row r="962">
          <cell r="A962">
            <v>3400004704</v>
          </cell>
          <cell r="B962">
            <v>5801</v>
          </cell>
          <cell r="C962">
            <v>61102</v>
          </cell>
          <cell r="D962">
            <v>0</v>
          </cell>
          <cell r="E962" t="str">
            <v>STEREO MICROSKOP M 715 FOR SMT</v>
          </cell>
          <cell r="F962">
            <v>1</v>
          </cell>
          <cell r="G962">
            <v>35339</v>
          </cell>
          <cell r="H962">
            <v>270500</v>
          </cell>
        </row>
        <row r="963">
          <cell r="A963">
            <v>3400004705</v>
          </cell>
          <cell r="B963">
            <v>5801</v>
          </cell>
          <cell r="C963">
            <v>61102</v>
          </cell>
          <cell r="D963">
            <v>0</v>
          </cell>
          <cell r="E963" t="str">
            <v>STEREO MICROSKOP M 715 FOR SMT</v>
          </cell>
          <cell r="F963">
            <v>1</v>
          </cell>
          <cell r="G963">
            <v>35339</v>
          </cell>
          <cell r="H963">
            <v>270500</v>
          </cell>
        </row>
        <row r="964">
          <cell r="A964">
            <v>3400004706</v>
          </cell>
          <cell r="B964">
            <v>5801</v>
          </cell>
          <cell r="C964">
            <v>61102</v>
          </cell>
          <cell r="D964">
            <v>0</v>
          </cell>
          <cell r="E964" t="str">
            <v>SPARE PARTS FOR SMT</v>
          </cell>
          <cell r="F964">
            <v>1</v>
          </cell>
          <cell r="G964">
            <v>35339</v>
          </cell>
          <cell r="H964">
            <v>13100</v>
          </cell>
        </row>
        <row r="965">
          <cell r="A965">
            <v>3400004707</v>
          </cell>
          <cell r="B965">
            <v>5801</v>
          </cell>
          <cell r="C965">
            <v>61102</v>
          </cell>
          <cell r="D965">
            <v>0</v>
          </cell>
          <cell r="E965" t="str">
            <v>SPARE PARTS FOR SMT</v>
          </cell>
          <cell r="F965">
            <v>1</v>
          </cell>
          <cell r="G965">
            <v>35339</v>
          </cell>
          <cell r="H965">
            <v>13100</v>
          </cell>
        </row>
        <row r="966">
          <cell r="A966">
            <v>3400004708</v>
          </cell>
          <cell r="B966">
            <v>5801</v>
          </cell>
          <cell r="C966">
            <v>61102</v>
          </cell>
          <cell r="D966">
            <v>0</v>
          </cell>
          <cell r="E966" t="str">
            <v>SOLDERING TOOL FOR SMT</v>
          </cell>
          <cell r="F966">
            <v>1</v>
          </cell>
          <cell r="G966">
            <v>35339</v>
          </cell>
          <cell r="H966">
            <v>12000</v>
          </cell>
        </row>
        <row r="967">
          <cell r="A967">
            <v>3400004709</v>
          </cell>
          <cell r="B967">
            <v>5801</v>
          </cell>
          <cell r="C967">
            <v>61102</v>
          </cell>
          <cell r="D967">
            <v>0</v>
          </cell>
          <cell r="E967" t="str">
            <v>SOLDERING TOOL FOR SMT</v>
          </cell>
          <cell r="F967">
            <v>1</v>
          </cell>
          <cell r="G967">
            <v>35339</v>
          </cell>
          <cell r="H967">
            <v>12000</v>
          </cell>
        </row>
        <row r="968">
          <cell r="A968">
            <v>3400003284</v>
          </cell>
          <cell r="B968">
            <v>5801</v>
          </cell>
          <cell r="C968">
            <v>61115</v>
          </cell>
          <cell r="D968">
            <v>0</v>
          </cell>
          <cell r="E968" t="str">
            <v>MODULE SPARE PART S30189Q4101C100</v>
          </cell>
          <cell r="F968">
            <v>2</v>
          </cell>
          <cell r="G968">
            <v>35128</v>
          </cell>
          <cell r="H968">
            <v>52600</v>
          </cell>
        </row>
        <row r="969">
          <cell r="A969">
            <v>3400003623</v>
          </cell>
          <cell r="B969">
            <v>5801</v>
          </cell>
          <cell r="C969">
            <v>61115</v>
          </cell>
          <cell r="D969">
            <v>0</v>
          </cell>
          <cell r="E969" t="str">
            <v>UPGRADE SIM:SDC</v>
          </cell>
          <cell r="F969">
            <v>1</v>
          </cell>
          <cell r="G969">
            <v>35450</v>
          </cell>
          <cell r="H969">
            <v>646492.53</v>
          </cell>
        </row>
        <row r="970">
          <cell r="A970">
            <v>3400003624</v>
          </cell>
          <cell r="B970">
            <v>5801</v>
          </cell>
          <cell r="C970">
            <v>61115</v>
          </cell>
          <cell r="D970">
            <v>0</v>
          </cell>
          <cell r="E970" t="str">
            <v>PLUG IN CABLE FOR LTGM</v>
          </cell>
          <cell r="F970">
            <v>30</v>
          </cell>
          <cell r="G970">
            <v>35450</v>
          </cell>
          <cell r="H970">
            <v>96050.32</v>
          </cell>
        </row>
        <row r="971">
          <cell r="A971">
            <v>3400003625</v>
          </cell>
          <cell r="B971">
            <v>5801</v>
          </cell>
          <cell r="C971">
            <v>61102</v>
          </cell>
          <cell r="D971">
            <v>0</v>
          </cell>
          <cell r="E971" t="str">
            <v>PRINTING STENCIL FOR M:SLMA:FPE(Q1325).</v>
          </cell>
          <cell r="F971">
            <v>1</v>
          </cell>
          <cell r="G971">
            <v>35450</v>
          </cell>
          <cell r="H971">
            <v>29284</v>
          </cell>
        </row>
        <row r="972">
          <cell r="A972">
            <v>3400003781</v>
          </cell>
          <cell r="B972">
            <v>5801</v>
          </cell>
          <cell r="C972">
            <v>61115</v>
          </cell>
          <cell r="D972">
            <v>0</v>
          </cell>
          <cell r="E972" t="str">
            <v>BRACKET FOR TESMOD</v>
          </cell>
          <cell r="F972">
            <v>1</v>
          </cell>
          <cell r="G972">
            <v>35510</v>
          </cell>
          <cell r="H972">
            <v>4000</v>
          </cell>
        </row>
        <row r="973">
          <cell r="A973">
            <v>3400003634</v>
          </cell>
          <cell r="B973">
            <v>5801</v>
          </cell>
          <cell r="C973">
            <v>61115</v>
          </cell>
          <cell r="D973">
            <v>0</v>
          </cell>
          <cell r="E973" t="str">
            <v>UPGRADE KIT FOR TESMOD 2E</v>
          </cell>
          <cell r="F973">
            <v>1</v>
          </cell>
          <cell r="G973">
            <v>35453</v>
          </cell>
          <cell r="H973">
            <v>53042.5</v>
          </cell>
        </row>
        <row r="974">
          <cell r="A974">
            <v>3400003635</v>
          </cell>
          <cell r="B974">
            <v>5801</v>
          </cell>
          <cell r="C974">
            <v>61115</v>
          </cell>
          <cell r="D974">
            <v>0</v>
          </cell>
          <cell r="E974" t="str">
            <v>UPGRADE KIT FOR TESMOD 2E</v>
          </cell>
          <cell r="F974">
            <v>1</v>
          </cell>
          <cell r="G974">
            <v>35453</v>
          </cell>
          <cell r="H974">
            <v>53042.52</v>
          </cell>
        </row>
        <row r="975">
          <cell r="A975">
            <v>3400003636</v>
          </cell>
          <cell r="B975">
            <v>5801</v>
          </cell>
          <cell r="C975">
            <v>61115</v>
          </cell>
          <cell r="D975">
            <v>0</v>
          </cell>
          <cell r="E975" t="str">
            <v>UPGRADE KIT FOR TESMOD 2E</v>
          </cell>
          <cell r="F975">
            <v>1</v>
          </cell>
          <cell r="G975">
            <v>35453</v>
          </cell>
          <cell r="H975">
            <v>53042.52</v>
          </cell>
        </row>
        <row r="976">
          <cell r="A976">
            <v>3400003637</v>
          </cell>
          <cell r="B976">
            <v>5801</v>
          </cell>
          <cell r="C976">
            <v>61115</v>
          </cell>
          <cell r="D976">
            <v>0</v>
          </cell>
          <cell r="E976" t="str">
            <v>UPGRADE KIT FOR TESMOD 2E</v>
          </cell>
          <cell r="F976">
            <v>1</v>
          </cell>
          <cell r="G976">
            <v>35453</v>
          </cell>
          <cell r="H976">
            <v>53042.52</v>
          </cell>
        </row>
        <row r="977">
          <cell r="A977">
            <v>3400003638</v>
          </cell>
          <cell r="B977">
            <v>5801</v>
          </cell>
          <cell r="C977">
            <v>61115</v>
          </cell>
          <cell r="D977">
            <v>0</v>
          </cell>
          <cell r="E977" t="str">
            <v>UPGRADE KIT FOR TESMOD 2E</v>
          </cell>
          <cell r="F977">
            <v>1</v>
          </cell>
          <cell r="G977">
            <v>35453</v>
          </cell>
          <cell r="H977">
            <v>53042.52</v>
          </cell>
        </row>
        <row r="978">
          <cell r="A978">
            <v>3400003639</v>
          </cell>
          <cell r="B978">
            <v>5801</v>
          </cell>
          <cell r="C978">
            <v>61115</v>
          </cell>
          <cell r="D978">
            <v>0</v>
          </cell>
          <cell r="E978" t="str">
            <v>UPGRADE KIT FOR TESMOD 2E</v>
          </cell>
          <cell r="F978">
            <v>1</v>
          </cell>
          <cell r="G978">
            <v>35453</v>
          </cell>
          <cell r="H978">
            <v>53042.52</v>
          </cell>
        </row>
        <row r="979">
          <cell r="A979">
            <v>3400003640</v>
          </cell>
          <cell r="B979">
            <v>5801</v>
          </cell>
          <cell r="C979">
            <v>61115</v>
          </cell>
          <cell r="D979">
            <v>0</v>
          </cell>
          <cell r="E979" t="str">
            <v>UPGRADE KIT FOR TESMOD 2E</v>
          </cell>
          <cell r="F979">
            <v>1</v>
          </cell>
          <cell r="G979">
            <v>35453</v>
          </cell>
          <cell r="H979">
            <v>53042.52</v>
          </cell>
        </row>
        <row r="980">
          <cell r="A980">
            <v>3400003641</v>
          </cell>
          <cell r="B980">
            <v>5801</v>
          </cell>
          <cell r="C980">
            <v>61115</v>
          </cell>
          <cell r="D980">
            <v>0</v>
          </cell>
          <cell r="E980" t="str">
            <v>UPGRADE KIT FOR TESMOD 2E</v>
          </cell>
          <cell r="F980">
            <v>1</v>
          </cell>
          <cell r="G980">
            <v>35453</v>
          </cell>
          <cell r="H980">
            <v>53042.52</v>
          </cell>
        </row>
        <row r="981">
          <cell r="A981">
            <v>3400003642</v>
          </cell>
          <cell r="B981">
            <v>5801</v>
          </cell>
          <cell r="C981">
            <v>61115</v>
          </cell>
          <cell r="D981">
            <v>0</v>
          </cell>
          <cell r="E981" t="str">
            <v>UPGRADE KIT FOR TESMOD 2E</v>
          </cell>
          <cell r="F981">
            <v>1</v>
          </cell>
          <cell r="G981">
            <v>35453</v>
          </cell>
          <cell r="H981">
            <v>53042.52</v>
          </cell>
        </row>
        <row r="982">
          <cell r="A982">
            <v>3400003643</v>
          </cell>
          <cell r="B982">
            <v>5801</v>
          </cell>
          <cell r="C982">
            <v>61115</v>
          </cell>
          <cell r="D982">
            <v>0</v>
          </cell>
          <cell r="E982" t="str">
            <v>UPGRAE KIT FOR TESMOD 2E</v>
          </cell>
          <cell r="F982">
            <v>1</v>
          </cell>
          <cell r="G982">
            <v>35453</v>
          </cell>
          <cell r="H982">
            <v>53042.52</v>
          </cell>
        </row>
        <row r="983">
          <cell r="A983">
            <v>3400003644</v>
          </cell>
          <cell r="B983">
            <v>5801</v>
          </cell>
          <cell r="C983">
            <v>61115</v>
          </cell>
          <cell r="D983">
            <v>0</v>
          </cell>
          <cell r="E983" t="str">
            <v>UPGRADE KIT FOR TESMOD 2E</v>
          </cell>
          <cell r="F983">
            <v>1</v>
          </cell>
          <cell r="G983">
            <v>35453</v>
          </cell>
          <cell r="H983">
            <v>53042.52</v>
          </cell>
        </row>
        <row r="984">
          <cell r="A984">
            <v>3400003645</v>
          </cell>
          <cell r="B984">
            <v>5801</v>
          </cell>
          <cell r="C984">
            <v>61115</v>
          </cell>
          <cell r="D984">
            <v>0</v>
          </cell>
          <cell r="E984" t="str">
            <v>UPGRADE KIT FOR TESMOD 2E</v>
          </cell>
          <cell r="F984">
            <v>1</v>
          </cell>
          <cell r="G984">
            <v>35453</v>
          </cell>
          <cell r="H984">
            <v>53042.52</v>
          </cell>
        </row>
        <row r="985">
          <cell r="A985">
            <v>3400003646</v>
          </cell>
          <cell r="B985">
            <v>5801</v>
          </cell>
          <cell r="C985">
            <v>61115</v>
          </cell>
          <cell r="D985">
            <v>0</v>
          </cell>
          <cell r="E985" t="str">
            <v>UPGRADE KIT FOR TESMOD 2E</v>
          </cell>
          <cell r="F985">
            <v>1</v>
          </cell>
          <cell r="G985">
            <v>35453</v>
          </cell>
          <cell r="H985">
            <v>53042.52</v>
          </cell>
        </row>
        <row r="986">
          <cell r="A986">
            <v>3400003785</v>
          </cell>
          <cell r="B986">
            <v>5801</v>
          </cell>
          <cell r="C986">
            <v>61119</v>
          </cell>
          <cell r="D986">
            <v>0</v>
          </cell>
          <cell r="E986" t="str">
            <v>50 MHZ Pulse/Function Generator</v>
          </cell>
          <cell r="F986">
            <v>1</v>
          </cell>
          <cell r="G986">
            <v>35520</v>
          </cell>
          <cell r="H986">
            <v>214428.16</v>
          </cell>
        </row>
        <row r="987">
          <cell r="A987">
            <v>3400003786</v>
          </cell>
          <cell r="B987">
            <v>5801</v>
          </cell>
          <cell r="C987">
            <v>61119</v>
          </cell>
          <cell r="D987">
            <v>0</v>
          </cell>
          <cell r="E987" t="str">
            <v>0-110 dB Manual Step Attenuator</v>
          </cell>
          <cell r="F987">
            <v>1</v>
          </cell>
          <cell r="G987">
            <v>35520</v>
          </cell>
          <cell r="H987">
            <v>489704.75</v>
          </cell>
        </row>
        <row r="988">
          <cell r="A988">
            <v>3400003787</v>
          </cell>
          <cell r="B988">
            <v>5801</v>
          </cell>
          <cell r="C988">
            <v>61119</v>
          </cell>
          <cell r="D988">
            <v>0</v>
          </cell>
          <cell r="E988" t="str">
            <v>Vector Modulation/Constellation Analyser</v>
          </cell>
          <cell r="F988">
            <v>1</v>
          </cell>
          <cell r="G988">
            <v>35520</v>
          </cell>
          <cell r="H988">
            <v>1636239.06</v>
          </cell>
        </row>
        <row r="989">
          <cell r="A989">
            <v>3400004456</v>
          </cell>
          <cell r="B989">
            <v>5900</v>
          </cell>
          <cell r="C989">
            <v>61206</v>
          </cell>
          <cell r="D989">
            <v>0</v>
          </cell>
          <cell r="E989" t="str">
            <v>MOUNTING DEVICE FOR CONNECTOR SWIVEL</v>
          </cell>
          <cell r="F989">
            <v>1</v>
          </cell>
          <cell r="G989">
            <v>34731</v>
          </cell>
          <cell r="H989">
            <v>1600</v>
          </cell>
        </row>
        <row r="990">
          <cell r="A990">
            <v>3400002831</v>
          </cell>
          <cell r="B990">
            <v>5900</v>
          </cell>
          <cell r="C990">
            <v>61208</v>
          </cell>
          <cell r="D990">
            <v>0</v>
          </cell>
          <cell r="E990" t="str">
            <v>AE MAKE PRECISION GRADE POTABLE WATTMETR</v>
          </cell>
          <cell r="F990">
            <v>1</v>
          </cell>
          <cell r="G990">
            <v>34790</v>
          </cell>
          <cell r="H990">
            <v>800</v>
          </cell>
        </row>
        <row r="991">
          <cell r="A991">
            <v>3400002836</v>
          </cell>
          <cell r="B991">
            <v>5900</v>
          </cell>
          <cell r="C991">
            <v>61208</v>
          </cell>
          <cell r="D991">
            <v>0</v>
          </cell>
          <cell r="E991" t="str">
            <v>MECO MAKE MOLTIMETER</v>
          </cell>
          <cell r="F991">
            <v>1</v>
          </cell>
          <cell r="G991">
            <v>34790</v>
          </cell>
          <cell r="H991">
            <v>2900</v>
          </cell>
        </row>
        <row r="992">
          <cell r="A992">
            <v>3400002850</v>
          </cell>
          <cell r="B992">
            <v>5900</v>
          </cell>
          <cell r="C992">
            <v>61151</v>
          </cell>
          <cell r="D992">
            <v>0</v>
          </cell>
          <cell r="E992" t="str">
            <v>ANALOG MULTIMETER</v>
          </cell>
          <cell r="F992">
            <v>1</v>
          </cell>
          <cell r="G992">
            <v>34790</v>
          </cell>
          <cell r="H992">
            <v>2500</v>
          </cell>
        </row>
        <row r="993">
          <cell r="A993">
            <v>3400002852</v>
          </cell>
          <cell r="B993">
            <v>5900</v>
          </cell>
          <cell r="C993">
            <v>61206</v>
          </cell>
          <cell r="D993">
            <v>0</v>
          </cell>
          <cell r="E993" t="str">
            <v>AUTORANGING DIGITAL MULTIMETER</v>
          </cell>
          <cell r="F993">
            <v>3</v>
          </cell>
          <cell r="G993">
            <v>34790</v>
          </cell>
          <cell r="H993">
            <v>3100</v>
          </cell>
        </row>
        <row r="994">
          <cell r="A994">
            <v>3400002854</v>
          </cell>
          <cell r="B994">
            <v>5900</v>
          </cell>
          <cell r="C994">
            <v>61206</v>
          </cell>
          <cell r="D994">
            <v>0</v>
          </cell>
          <cell r="E994" t="str">
            <v>DC POWER SUPPLY</v>
          </cell>
          <cell r="F994">
            <v>2</v>
          </cell>
          <cell r="G994">
            <v>34790</v>
          </cell>
          <cell r="H994">
            <v>6500</v>
          </cell>
        </row>
        <row r="995">
          <cell r="A995">
            <v>3400002855</v>
          </cell>
          <cell r="B995">
            <v>5900</v>
          </cell>
          <cell r="C995">
            <v>61206</v>
          </cell>
          <cell r="D995">
            <v>0</v>
          </cell>
          <cell r="E995" t="str">
            <v>DC POWER SUPPLY</v>
          </cell>
          <cell r="F995">
            <v>3</v>
          </cell>
          <cell r="G995">
            <v>34790</v>
          </cell>
          <cell r="H995">
            <v>5400</v>
          </cell>
        </row>
        <row r="996">
          <cell r="A996">
            <v>3400002856</v>
          </cell>
          <cell r="B996">
            <v>5900</v>
          </cell>
          <cell r="C996">
            <v>61206</v>
          </cell>
          <cell r="D996">
            <v>0</v>
          </cell>
          <cell r="E996" t="str">
            <v>DIGITAL THERMOMETER</v>
          </cell>
          <cell r="F996">
            <v>1</v>
          </cell>
          <cell r="G996">
            <v>34790</v>
          </cell>
          <cell r="H996">
            <v>1800</v>
          </cell>
        </row>
        <row r="997">
          <cell r="A997">
            <v>3400002857</v>
          </cell>
          <cell r="B997">
            <v>5900</v>
          </cell>
          <cell r="C997">
            <v>61206</v>
          </cell>
          <cell r="D997">
            <v>0</v>
          </cell>
          <cell r="E997" t="str">
            <v>DRILLING M/W NITH STAND</v>
          </cell>
          <cell r="F997">
            <v>1</v>
          </cell>
          <cell r="G997">
            <v>34790</v>
          </cell>
          <cell r="H997">
            <v>2000</v>
          </cell>
        </row>
        <row r="998">
          <cell r="A998">
            <v>3400002858</v>
          </cell>
          <cell r="B998">
            <v>5900</v>
          </cell>
          <cell r="C998">
            <v>61101</v>
          </cell>
          <cell r="D998">
            <v>0</v>
          </cell>
          <cell r="E998" t="str">
            <v>DRILLING M/C WITH STAND</v>
          </cell>
          <cell r="F998">
            <v>1</v>
          </cell>
          <cell r="G998">
            <v>34790</v>
          </cell>
          <cell r="H998">
            <v>2500</v>
          </cell>
        </row>
        <row r="999">
          <cell r="A999">
            <v>3400002860</v>
          </cell>
          <cell r="B999">
            <v>5900</v>
          </cell>
          <cell r="C999">
            <v>61206</v>
          </cell>
          <cell r="D999">
            <v>0</v>
          </cell>
          <cell r="E999" t="str">
            <v>MAGNIFIERS MODEL</v>
          </cell>
          <cell r="F999">
            <v>2</v>
          </cell>
          <cell r="G999">
            <v>34790</v>
          </cell>
          <cell r="H999">
            <v>5800</v>
          </cell>
        </row>
        <row r="1000">
          <cell r="A1000">
            <v>3400002863</v>
          </cell>
          <cell r="B1000">
            <v>5900</v>
          </cell>
          <cell r="C1000">
            <v>61208</v>
          </cell>
          <cell r="D1000">
            <v>0</v>
          </cell>
          <cell r="E1000" t="str">
            <v>ADAPTABLE CABLE MAST TELEPRINTER</v>
          </cell>
          <cell r="F1000">
            <v>1</v>
          </cell>
          <cell r="G1000">
            <v>34790</v>
          </cell>
          <cell r="H1000">
            <v>1000</v>
          </cell>
        </row>
        <row r="1001">
          <cell r="A1001">
            <v>3400002875</v>
          </cell>
          <cell r="B1001">
            <v>5900</v>
          </cell>
          <cell r="C1001">
            <v>61156</v>
          </cell>
          <cell r="D1001">
            <v>0</v>
          </cell>
          <cell r="E1001" t="str">
            <v>FEELER GAUGE</v>
          </cell>
          <cell r="F1001">
            <v>1</v>
          </cell>
          <cell r="G1001">
            <v>34790</v>
          </cell>
          <cell r="H1001">
            <v>600</v>
          </cell>
        </row>
        <row r="1002">
          <cell r="A1002">
            <v>3400002880</v>
          </cell>
          <cell r="B1002">
            <v>5900</v>
          </cell>
          <cell r="C1002">
            <v>61206</v>
          </cell>
          <cell r="D1002">
            <v>0</v>
          </cell>
          <cell r="E1002" t="str">
            <v>TEMPERATURE PROBE</v>
          </cell>
          <cell r="F1002">
            <v>2</v>
          </cell>
          <cell r="G1002">
            <v>34790</v>
          </cell>
          <cell r="H1002">
            <v>4000</v>
          </cell>
        </row>
        <row r="1003">
          <cell r="A1003">
            <v>3400004529</v>
          </cell>
          <cell r="B1003">
            <v>5900</v>
          </cell>
          <cell r="C1003">
            <v>61206</v>
          </cell>
          <cell r="D1003">
            <v>0</v>
          </cell>
          <cell r="E1003" t="str">
            <v>SCREW DRIVER WITH PLATOSHEAR 09</v>
          </cell>
          <cell r="F1003">
            <v>13</v>
          </cell>
          <cell r="G1003">
            <v>34790</v>
          </cell>
          <cell r="H1003">
            <v>1600</v>
          </cell>
        </row>
        <row r="1004">
          <cell r="A1004">
            <v>3400004791</v>
          </cell>
          <cell r="B1004">
            <v>5900</v>
          </cell>
          <cell r="C1004">
            <v>61203</v>
          </cell>
          <cell r="D1004">
            <v>0</v>
          </cell>
          <cell r="E1004" t="str">
            <v>AGRONIC MAKE PANEL METER</v>
          </cell>
          <cell r="F1004">
            <v>1</v>
          </cell>
          <cell r="G1004">
            <v>34790</v>
          </cell>
          <cell r="H1004">
            <v>300</v>
          </cell>
        </row>
        <row r="1005">
          <cell r="A1005">
            <v>3400004572</v>
          </cell>
          <cell r="B1005">
            <v>5900</v>
          </cell>
          <cell r="C1005">
            <v>61107</v>
          </cell>
          <cell r="D1005">
            <v>0</v>
          </cell>
          <cell r="E1005" t="str">
            <v>UNWIRING HAND TOOL</v>
          </cell>
          <cell r="F1005">
            <v>2</v>
          </cell>
          <cell r="G1005">
            <v>34820</v>
          </cell>
          <cell r="H1005">
            <v>3500</v>
          </cell>
        </row>
        <row r="1006">
          <cell r="A1006">
            <v>3400004574</v>
          </cell>
          <cell r="B1006">
            <v>5900</v>
          </cell>
          <cell r="C1006">
            <v>61107</v>
          </cell>
          <cell r="D1006">
            <v>0</v>
          </cell>
          <cell r="E1006" t="str">
            <v>ADJUSTING TOOL FOR BOARDS</v>
          </cell>
          <cell r="F1006">
            <v>2</v>
          </cell>
          <cell r="G1006">
            <v>34820</v>
          </cell>
          <cell r="H1006">
            <v>1100</v>
          </cell>
        </row>
        <row r="1007">
          <cell r="A1007">
            <v>3400004604</v>
          </cell>
          <cell r="B1007">
            <v>5900</v>
          </cell>
          <cell r="C1007">
            <v>61107</v>
          </cell>
          <cell r="D1007">
            <v>0</v>
          </cell>
          <cell r="E1007" t="str">
            <v>SCISSORS 130MM</v>
          </cell>
          <cell r="F1007">
            <v>2</v>
          </cell>
          <cell r="G1007">
            <v>34820</v>
          </cell>
          <cell r="H1007">
            <v>800</v>
          </cell>
        </row>
        <row r="1008">
          <cell r="A1008">
            <v>3400004605</v>
          </cell>
          <cell r="B1008">
            <v>5900</v>
          </cell>
          <cell r="C1008">
            <v>61107</v>
          </cell>
          <cell r="D1008">
            <v>0</v>
          </cell>
          <cell r="E1008" t="str">
            <v>SIDE CUTTER FOR FRAME</v>
          </cell>
          <cell r="F1008">
            <v>6</v>
          </cell>
          <cell r="G1008">
            <v>34820</v>
          </cell>
          <cell r="H1008">
            <v>2500</v>
          </cell>
        </row>
        <row r="1009">
          <cell r="A1009">
            <v>3400004513</v>
          </cell>
          <cell r="B1009">
            <v>5900</v>
          </cell>
          <cell r="C1009">
            <v>61100</v>
          </cell>
          <cell r="D1009">
            <v>0</v>
          </cell>
          <cell r="E1009" t="str">
            <v>IC BUTLER</v>
          </cell>
          <cell r="F1009">
            <v>1</v>
          </cell>
          <cell r="G1009">
            <v>34851</v>
          </cell>
          <cell r="H1009">
            <v>3500</v>
          </cell>
        </row>
        <row r="1010">
          <cell r="A1010">
            <v>3400004691</v>
          </cell>
          <cell r="B1010">
            <v>5900</v>
          </cell>
          <cell r="C1010">
            <v>61102</v>
          </cell>
          <cell r="D1010">
            <v>0</v>
          </cell>
          <cell r="E1010" t="str">
            <v>ADJUSTABLE PCB HOLDER</v>
          </cell>
          <cell r="F1010">
            <v>1</v>
          </cell>
          <cell r="G1010">
            <v>34912</v>
          </cell>
          <cell r="H1010">
            <v>2200</v>
          </cell>
        </row>
        <row r="1011">
          <cell r="A1011">
            <v>3400003964</v>
          </cell>
          <cell r="B1011">
            <v>5900</v>
          </cell>
          <cell r="C1011">
            <v>61100</v>
          </cell>
          <cell r="D1011">
            <v>0</v>
          </cell>
          <cell r="E1011" t="str">
            <v>TEST-PCB FOR COMPONENT GRID (3NOS)</v>
          </cell>
          <cell r="F1011">
            <v>1</v>
          </cell>
          <cell r="G1011">
            <v>34213</v>
          </cell>
          <cell r="H1011">
            <v>6500</v>
          </cell>
        </row>
        <row r="1012">
          <cell r="A1012">
            <v>3400003965</v>
          </cell>
          <cell r="B1012">
            <v>5900</v>
          </cell>
          <cell r="C1012">
            <v>61100</v>
          </cell>
          <cell r="D1012">
            <v>0</v>
          </cell>
          <cell r="E1012" t="str">
            <v>TEST-PCB FOR COMPONENT GRID (3NOS)</v>
          </cell>
          <cell r="F1012">
            <v>1</v>
          </cell>
          <cell r="G1012">
            <v>34213</v>
          </cell>
          <cell r="H1012">
            <v>6500</v>
          </cell>
        </row>
        <row r="1013">
          <cell r="A1013">
            <v>3400004091</v>
          </cell>
          <cell r="B1013">
            <v>5900</v>
          </cell>
          <cell r="C1013">
            <v>61103</v>
          </cell>
          <cell r="D1013">
            <v>0</v>
          </cell>
          <cell r="E1013" t="str">
            <v>SOLDER FRAME WITH SCREW AND MAGNETS</v>
          </cell>
          <cell r="F1013">
            <v>1</v>
          </cell>
          <cell r="G1013">
            <v>34213</v>
          </cell>
          <cell r="H1013">
            <v>14300</v>
          </cell>
        </row>
        <row r="1014">
          <cell r="A1014">
            <v>3400004092</v>
          </cell>
          <cell r="B1014">
            <v>5900</v>
          </cell>
          <cell r="C1014">
            <v>61104</v>
          </cell>
          <cell r="D1014">
            <v>0</v>
          </cell>
          <cell r="E1014" t="str">
            <v>ILLUMINATED MAGNIFYING GLASS DYNASCAN</v>
          </cell>
          <cell r="F1014">
            <v>3</v>
          </cell>
          <cell r="G1014">
            <v>34213</v>
          </cell>
          <cell r="H1014">
            <v>5200</v>
          </cell>
        </row>
        <row r="1015">
          <cell r="A1015">
            <v>3400004093</v>
          </cell>
          <cell r="B1015">
            <v>5900</v>
          </cell>
          <cell r="C1015">
            <v>61103</v>
          </cell>
          <cell r="D1015">
            <v>0</v>
          </cell>
          <cell r="E1015" t="str">
            <v>POT 200C SOLDER BATH</v>
          </cell>
          <cell r="F1015">
            <v>1</v>
          </cell>
          <cell r="G1015">
            <v>34213</v>
          </cell>
          <cell r="H1015">
            <v>1200</v>
          </cell>
        </row>
        <row r="1016">
          <cell r="A1016">
            <v>3400004095</v>
          </cell>
          <cell r="B1016">
            <v>5900</v>
          </cell>
          <cell r="C1016">
            <v>61206</v>
          </cell>
          <cell r="D1016">
            <v>0</v>
          </cell>
          <cell r="E1016" t="str">
            <v>EYESCAN VIEWING LENS</v>
          </cell>
          <cell r="F1016">
            <v>5</v>
          </cell>
          <cell r="G1016">
            <v>34213</v>
          </cell>
          <cell r="H1016">
            <v>2400</v>
          </cell>
        </row>
        <row r="1017">
          <cell r="A1017">
            <v>3400004367</v>
          </cell>
          <cell r="B1017">
            <v>5900</v>
          </cell>
          <cell r="C1017">
            <v>61104</v>
          </cell>
          <cell r="D1017">
            <v>0</v>
          </cell>
          <cell r="E1017" t="str">
            <v>FOLDING MAGMFYING GLASS</v>
          </cell>
          <cell r="F1017">
            <v>4</v>
          </cell>
          <cell r="G1017">
            <v>34578</v>
          </cell>
          <cell r="H1017">
            <v>9900</v>
          </cell>
        </row>
        <row r="1018">
          <cell r="A1018">
            <v>3400004373</v>
          </cell>
          <cell r="B1018">
            <v>5900</v>
          </cell>
          <cell r="C1018">
            <v>61104</v>
          </cell>
          <cell r="D1018">
            <v>0</v>
          </cell>
          <cell r="E1018" t="str">
            <v>SET OF SCREW DRIVER</v>
          </cell>
          <cell r="F1018">
            <v>1</v>
          </cell>
          <cell r="G1018">
            <v>34578</v>
          </cell>
          <cell r="H1018">
            <v>700</v>
          </cell>
        </row>
        <row r="1019">
          <cell r="A1019">
            <v>3400004378</v>
          </cell>
          <cell r="B1019">
            <v>5900</v>
          </cell>
          <cell r="C1019">
            <v>61104</v>
          </cell>
          <cell r="D1019">
            <v>0</v>
          </cell>
          <cell r="E1019" t="str">
            <v>TEST DEVICE FOR WIRING</v>
          </cell>
          <cell r="F1019">
            <v>2</v>
          </cell>
          <cell r="G1019">
            <v>34578</v>
          </cell>
          <cell r="H1019">
            <v>3000</v>
          </cell>
        </row>
        <row r="1020">
          <cell r="A1020">
            <v>3400004264</v>
          </cell>
          <cell r="B1020">
            <v>5900</v>
          </cell>
          <cell r="C1020">
            <v>61115</v>
          </cell>
          <cell r="D1020">
            <v>0</v>
          </cell>
          <cell r="E1020" t="str">
            <v>AIR COOLED AUTO TRANSFORMERS S NOS</v>
          </cell>
          <cell r="F1020">
            <v>5</v>
          </cell>
          <cell r="G1020">
            <v>34243</v>
          </cell>
          <cell r="H1020">
            <v>8400</v>
          </cell>
        </row>
        <row r="1021">
          <cell r="A1021">
            <v>3400004265</v>
          </cell>
          <cell r="B1021">
            <v>5900</v>
          </cell>
          <cell r="C1021">
            <v>61104</v>
          </cell>
          <cell r="D1021">
            <v>0</v>
          </cell>
          <cell r="E1021" t="str">
            <v>DYNASCAN LLUMINATOR</v>
          </cell>
          <cell r="F1021">
            <v>1</v>
          </cell>
          <cell r="G1021">
            <v>34243</v>
          </cell>
          <cell r="H1021">
            <v>1500</v>
          </cell>
        </row>
        <row r="1022">
          <cell r="A1022">
            <v>3400002773</v>
          </cell>
          <cell r="B1022">
            <v>5900</v>
          </cell>
          <cell r="C1022">
            <v>61206</v>
          </cell>
          <cell r="D1022">
            <v>0</v>
          </cell>
          <cell r="E1022" t="str">
            <v>SLEEVES NOZZLE</v>
          </cell>
          <cell r="F1022">
            <v>1</v>
          </cell>
          <cell r="G1022">
            <v>35339</v>
          </cell>
          <cell r="H1022">
            <v>3300</v>
          </cell>
        </row>
        <row r="1023">
          <cell r="A1023">
            <v>3400002774</v>
          </cell>
          <cell r="B1023">
            <v>5900</v>
          </cell>
          <cell r="C1023">
            <v>61206</v>
          </cell>
          <cell r="D1023">
            <v>0</v>
          </cell>
          <cell r="E1023" t="str">
            <v>ELECTRONIC PUSH BUTTON TELEPHONE</v>
          </cell>
          <cell r="F1023">
            <v>14</v>
          </cell>
          <cell r="G1023">
            <v>35339</v>
          </cell>
          <cell r="H1023">
            <v>6800</v>
          </cell>
        </row>
        <row r="1024">
          <cell r="A1024">
            <v>3400002800</v>
          </cell>
          <cell r="B1024">
            <v>5900</v>
          </cell>
          <cell r="C1024">
            <v>61206</v>
          </cell>
          <cell r="D1024">
            <v>0</v>
          </cell>
          <cell r="E1024" t="str">
            <v>BACK MOUNT FRAME</v>
          </cell>
          <cell r="F1024">
            <v>2</v>
          </cell>
          <cell r="G1024">
            <v>35339</v>
          </cell>
          <cell r="H1024">
            <v>6300</v>
          </cell>
        </row>
        <row r="1025">
          <cell r="A1025">
            <v>3400002802</v>
          </cell>
          <cell r="B1025">
            <v>5900</v>
          </cell>
          <cell r="C1025">
            <v>61206</v>
          </cell>
          <cell r="D1025">
            <v>0</v>
          </cell>
          <cell r="E1025" t="str">
            <v>MONOCHROME MONITOR</v>
          </cell>
          <cell r="F1025">
            <v>1</v>
          </cell>
          <cell r="G1025">
            <v>35339</v>
          </cell>
          <cell r="H1025">
            <v>2100</v>
          </cell>
        </row>
        <row r="1026">
          <cell r="A1026">
            <v>3400002804</v>
          </cell>
          <cell r="B1026">
            <v>5900</v>
          </cell>
          <cell r="C1026">
            <v>61157</v>
          </cell>
          <cell r="D1026">
            <v>0</v>
          </cell>
          <cell r="E1026" t="str">
            <v>EXTENSION BOX</v>
          </cell>
          <cell r="F1026">
            <v>15</v>
          </cell>
          <cell r="G1026">
            <v>35339</v>
          </cell>
          <cell r="H1026">
            <v>1400</v>
          </cell>
        </row>
        <row r="1027">
          <cell r="A1027">
            <v>3400002806</v>
          </cell>
          <cell r="B1027">
            <v>5900</v>
          </cell>
          <cell r="C1027">
            <v>61206</v>
          </cell>
          <cell r="D1027">
            <v>0</v>
          </cell>
          <cell r="E1027" t="str">
            <v>ELECTRONIC PUSH BUTTON TELEPHONES</v>
          </cell>
          <cell r="F1027">
            <v>10</v>
          </cell>
          <cell r="G1027">
            <v>35339</v>
          </cell>
          <cell r="H1027">
            <v>5600</v>
          </cell>
        </row>
        <row r="1028">
          <cell r="A1028">
            <v>3400002814</v>
          </cell>
          <cell r="B1028">
            <v>5900</v>
          </cell>
          <cell r="C1028">
            <v>61206</v>
          </cell>
          <cell r="D1028">
            <v>0</v>
          </cell>
          <cell r="E1028" t="str">
            <v>STAINLESS STEEL SHELVES</v>
          </cell>
          <cell r="F1028">
            <v>3</v>
          </cell>
          <cell r="G1028">
            <v>35339</v>
          </cell>
          <cell r="H1028">
            <v>4200</v>
          </cell>
        </row>
        <row r="1029">
          <cell r="A1029">
            <v>3400002816</v>
          </cell>
          <cell r="B1029">
            <v>5900</v>
          </cell>
          <cell r="C1029">
            <v>61103</v>
          </cell>
          <cell r="D1029">
            <v>0</v>
          </cell>
          <cell r="E1029" t="str">
            <v>ALUMINIUM SOLDERING FIXTURE</v>
          </cell>
          <cell r="F1029">
            <v>1</v>
          </cell>
          <cell r="G1029">
            <v>35339</v>
          </cell>
          <cell r="H1029">
            <v>3300</v>
          </cell>
        </row>
        <row r="1030">
          <cell r="A1030">
            <v>3400002817</v>
          </cell>
          <cell r="B1030">
            <v>5900</v>
          </cell>
          <cell r="C1030">
            <v>61103</v>
          </cell>
          <cell r="D1030">
            <v>0</v>
          </cell>
          <cell r="E1030" t="str">
            <v>ALUMINIUM SOLDERING FIXTURE</v>
          </cell>
          <cell r="F1030">
            <v>1</v>
          </cell>
          <cell r="G1030">
            <v>35339</v>
          </cell>
          <cell r="H1030">
            <v>12900</v>
          </cell>
        </row>
        <row r="1031">
          <cell r="A1031">
            <v>3400002818</v>
          </cell>
          <cell r="B1031">
            <v>5900</v>
          </cell>
          <cell r="C1031">
            <v>61103</v>
          </cell>
          <cell r="D1031">
            <v>0</v>
          </cell>
          <cell r="E1031" t="str">
            <v>ALUMINIUM SOLDERING FIXTURE</v>
          </cell>
          <cell r="F1031">
            <v>1</v>
          </cell>
          <cell r="G1031">
            <v>35339</v>
          </cell>
          <cell r="H1031">
            <v>16200</v>
          </cell>
        </row>
        <row r="1032">
          <cell r="A1032">
            <v>3400002824</v>
          </cell>
          <cell r="B1032">
            <v>5900</v>
          </cell>
          <cell r="C1032">
            <v>61157</v>
          </cell>
          <cell r="D1032">
            <v>0</v>
          </cell>
          <cell r="E1032" t="str">
            <v>MICRO FILTER</v>
          </cell>
          <cell r="F1032">
            <v>1</v>
          </cell>
          <cell r="G1032">
            <v>35339</v>
          </cell>
          <cell r="H1032">
            <v>3700</v>
          </cell>
        </row>
        <row r="1033">
          <cell r="A1033">
            <v>3400002825</v>
          </cell>
          <cell r="B1033">
            <v>5900</v>
          </cell>
          <cell r="C1033">
            <v>61206</v>
          </cell>
          <cell r="D1033">
            <v>0</v>
          </cell>
          <cell r="E1033" t="str">
            <v>PACKING MACHINE</v>
          </cell>
          <cell r="F1033">
            <v>1</v>
          </cell>
          <cell r="G1033">
            <v>35339</v>
          </cell>
          <cell r="H1033">
            <v>900</v>
          </cell>
        </row>
        <row r="1034">
          <cell r="A1034">
            <v>3400002826</v>
          </cell>
          <cell r="B1034">
            <v>5900</v>
          </cell>
          <cell r="C1034">
            <v>61206</v>
          </cell>
          <cell r="D1034">
            <v>0</v>
          </cell>
          <cell r="E1034" t="str">
            <v>PORTABLE DRILL MACHINE</v>
          </cell>
          <cell r="F1034">
            <v>1</v>
          </cell>
          <cell r="G1034">
            <v>35339</v>
          </cell>
          <cell r="H1034">
            <v>2200</v>
          </cell>
        </row>
        <row r="1035">
          <cell r="A1035">
            <v>3400002829</v>
          </cell>
          <cell r="B1035">
            <v>5900</v>
          </cell>
          <cell r="C1035">
            <v>61154</v>
          </cell>
          <cell r="D1035">
            <v>0</v>
          </cell>
          <cell r="E1035" t="str">
            <v>DIN STANDARES</v>
          </cell>
          <cell r="F1035">
            <v>35</v>
          </cell>
          <cell r="G1035">
            <v>35339</v>
          </cell>
          <cell r="H1035">
            <v>1400</v>
          </cell>
        </row>
        <row r="1036">
          <cell r="A1036">
            <v>3400002830</v>
          </cell>
          <cell r="B1036">
            <v>5900</v>
          </cell>
          <cell r="C1036">
            <v>61157</v>
          </cell>
          <cell r="D1036">
            <v>0</v>
          </cell>
          <cell r="E1036" t="str">
            <v>SPIRIT LEVEL</v>
          </cell>
          <cell r="F1036">
            <v>1</v>
          </cell>
          <cell r="G1036">
            <v>35339</v>
          </cell>
          <cell r="H1036">
            <v>1200</v>
          </cell>
        </row>
        <row r="1037">
          <cell r="A1037">
            <v>3400004689</v>
          </cell>
          <cell r="B1037">
            <v>5900</v>
          </cell>
          <cell r="C1037">
            <v>61102</v>
          </cell>
          <cell r="D1037">
            <v>0</v>
          </cell>
          <cell r="E1037" t="str">
            <v>BOX FOR SMT COMPONETNS</v>
          </cell>
          <cell r="F1037">
            <v>1</v>
          </cell>
          <cell r="G1037">
            <v>35339</v>
          </cell>
          <cell r="H1037">
            <v>34600</v>
          </cell>
        </row>
        <row r="1038">
          <cell r="A1038">
            <v>3400004690</v>
          </cell>
          <cell r="B1038">
            <v>5900</v>
          </cell>
          <cell r="C1038">
            <v>61102</v>
          </cell>
          <cell r="D1038">
            <v>0</v>
          </cell>
          <cell r="E1038" t="str">
            <v>TRANSPORT CASE SK 730-06-10</v>
          </cell>
          <cell r="F1038">
            <v>1</v>
          </cell>
          <cell r="G1038">
            <v>35339</v>
          </cell>
          <cell r="H1038">
            <v>18700</v>
          </cell>
        </row>
        <row r="1039">
          <cell r="A1039">
            <v>3400004266</v>
          </cell>
          <cell r="B1039">
            <v>5900</v>
          </cell>
          <cell r="C1039">
            <v>61111</v>
          </cell>
          <cell r="D1039">
            <v>0</v>
          </cell>
          <cell r="E1039" t="str">
            <v>DY NASCAN ILLUMINATOR 11 NOS</v>
          </cell>
          <cell r="F1039">
            <v>1</v>
          </cell>
          <cell r="G1039">
            <v>34274</v>
          </cell>
          <cell r="H1039">
            <v>13400</v>
          </cell>
        </row>
        <row r="1040">
          <cell r="A1040">
            <v>3400002473</v>
          </cell>
          <cell r="B1040">
            <v>6103</v>
          </cell>
          <cell r="C1040">
            <v>61203</v>
          </cell>
          <cell r="D1040">
            <v>0</v>
          </cell>
          <cell r="E1040" t="str">
            <v>BICVCLE</v>
          </cell>
          <cell r="F1040">
            <v>1</v>
          </cell>
          <cell r="G1040">
            <v>34790</v>
          </cell>
          <cell r="H1040">
            <v>1100</v>
          </cell>
        </row>
        <row r="1041">
          <cell r="A1041">
            <v>3400002908</v>
          </cell>
          <cell r="B1041">
            <v>6210</v>
          </cell>
          <cell r="C1041">
            <v>61158</v>
          </cell>
          <cell r="D1041">
            <v>0</v>
          </cell>
          <cell r="E1041" t="str">
            <v>PCMCIA  ETHERNATE  LAN  CARD WITH LAPTOP</v>
          </cell>
          <cell r="F1041">
            <v>1</v>
          </cell>
          <cell r="G1041">
            <v>35339</v>
          </cell>
          <cell r="H1041">
            <v>2800</v>
          </cell>
        </row>
        <row r="1042">
          <cell r="A1042">
            <v>3400002909</v>
          </cell>
          <cell r="B1042">
            <v>6210</v>
          </cell>
          <cell r="C1042">
            <v>61155</v>
          </cell>
          <cell r="D1042">
            <v>0</v>
          </cell>
          <cell r="E1042" t="str">
            <v>PCMCIA  ETHERNATE  LAN  CARD</v>
          </cell>
          <cell r="F1042">
            <v>1</v>
          </cell>
          <cell r="G1042">
            <v>35339</v>
          </cell>
          <cell r="H1042">
            <v>2800</v>
          </cell>
        </row>
        <row r="1043">
          <cell r="A1043">
            <v>3400002910</v>
          </cell>
          <cell r="B1043">
            <v>6210</v>
          </cell>
          <cell r="C1043">
            <v>61201</v>
          </cell>
          <cell r="D1043">
            <v>0</v>
          </cell>
          <cell r="E1043" t="str">
            <v>PCMCIA  ETHERNATE  LAN  CARD</v>
          </cell>
          <cell r="F1043">
            <v>1</v>
          </cell>
          <cell r="G1043">
            <v>35339</v>
          </cell>
          <cell r="H1043">
            <v>5000</v>
          </cell>
        </row>
        <row r="1044">
          <cell r="A1044">
            <v>3400002912</v>
          </cell>
          <cell r="B1044">
            <v>6210</v>
          </cell>
          <cell r="C1044">
            <v>61158</v>
          </cell>
          <cell r="D1044">
            <v>0</v>
          </cell>
          <cell r="E1044" t="str">
            <v>GODREJ HP SCANNER  SCANJET  3C</v>
          </cell>
          <cell r="F1044">
            <v>1</v>
          </cell>
          <cell r="G1044">
            <v>35339</v>
          </cell>
          <cell r="H1044">
            <v>31600</v>
          </cell>
        </row>
        <row r="1045">
          <cell r="A1045">
            <v>3400002922</v>
          </cell>
          <cell r="B1045">
            <v>6210</v>
          </cell>
          <cell r="C1045">
            <v>61158</v>
          </cell>
          <cell r="D1045">
            <v>0</v>
          </cell>
          <cell r="E1045" t="str">
            <v>CABLING FOR  DATA COMMUNICATION</v>
          </cell>
          <cell r="F1045">
            <v>1</v>
          </cell>
          <cell r="G1045">
            <v>35339</v>
          </cell>
          <cell r="H1045">
            <v>40000</v>
          </cell>
        </row>
        <row r="1046">
          <cell r="A1046">
            <v>3400003015</v>
          </cell>
          <cell r="B1046">
            <v>6210</v>
          </cell>
          <cell r="C1046">
            <v>61115</v>
          </cell>
          <cell r="D1046">
            <v>0</v>
          </cell>
          <cell r="E1046" t="str">
            <v>SPO2S40004 SP-400 LASER SCANNER WITH RS2</v>
          </cell>
          <cell r="F1046">
            <v>1</v>
          </cell>
          <cell r="G1046">
            <v>35339</v>
          </cell>
          <cell r="H1046">
            <v>47300</v>
          </cell>
        </row>
        <row r="1047">
          <cell r="A1047">
            <v>3400003027</v>
          </cell>
          <cell r="B1047">
            <v>6210</v>
          </cell>
          <cell r="C1047">
            <v>61155</v>
          </cell>
          <cell r="D1047">
            <v>0</v>
          </cell>
          <cell r="E1047" t="str">
            <v>S/F, DE-650 CT PCMCIA CARD</v>
          </cell>
          <cell r="F1047">
            <v>1</v>
          </cell>
          <cell r="G1047">
            <v>35339</v>
          </cell>
          <cell r="H1047">
            <v>2800</v>
          </cell>
        </row>
        <row r="1048">
          <cell r="A1048">
            <v>3400003028</v>
          </cell>
          <cell r="B1048">
            <v>6210</v>
          </cell>
          <cell r="C1048">
            <v>61201</v>
          </cell>
          <cell r="D1048">
            <v>0</v>
          </cell>
          <cell r="E1048" t="str">
            <v>S/F, DE-650 CT PCMCIA CARD</v>
          </cell>
          <cell r="F1048">
            <v>1</v>
          </cell>
          <cell r="G1048">
            <v>35339</v>
          </cell>
          <cell r="H1048">
            <v>2800</v>
          </cell>
        </row>
        <row r="1049">
          <cell r="A1049">
            <v>3400003029</v>
          </cell>
          <cell r="B1049">
            <v>6210</v>
          </cell>
          <cell r="C1049">
            <v>61162</v>
          </cell>
          <cell r="D1049">
            <v>0</v>
          </cell>
          <cell r="E1049" t="str">
            <v>S/F, DE-650 CT PCMCIA CARD</v>
          </cell>
          <cell r="F1049">
            <v>1</v>
          </cell>
          <cell r="G1049">
            <v>35339</v>
          </cell>
          <cell r="H1049">
            <v>2800</v>
          </cell>
        </row>
        <row r="1050">
          <cell r="A1050">
            <v>3400003205</v>
          </cell>
          <cell r="B1050">
            <v>6210</v>
          </cell>
          <cell r="C1050">
            <v>61116</v>
          </cell>
          <cell r="D1050">
            <v>0</v>
          </cell>
          <cell r="E1050" t="str">
            <v>PCL-231 IEEE-488(GPIB)INTERFACE CARD</v>
          </cell>
          <cell r="F1050">
            <v>1</v>
          </cell>
          <cell r="G1050">
            <v>35339</v>
          </cell>
          <cell r="H1050">
            <v>6000</v>
          </cell>
        </row>
        <row r="1051">
          <cell r="A1051">
            <v>3400003206</v>
          </cell>
          <cell r="B1051">
            <v>6210</v>
          </cell>
          <cell r="C1051">
            <v>61116</v>
          </cell>
          <cell r="D1051">
            <v>0</v>
          </cell>
          <cell r="E1051" t="str">
            <v>PCL-222A OPTOISOLATED DIG INP CARD</v>
          </cell>
          <cell r="F1051">
            <v>1</v>
          </cell>
          <cell r="G1051">
            <v>35339</v>
          </cell>
          <cell r="H1051">
            <v>4500</v>
          </cell>
        </row>
        <row r="1052">
          <cell r="A1052">
            <v>3400003213</v>
          </cell>
          <cell r="B1052">
            <v>6210</v>
          </cell>
          <cell r="C1052">
            <v>61158</v>
          </cell>
          <cell r="D1052">
            <v>0</v>
          </cell>
          <cell r="E1052" t="str">
            <v>CAT CABLE INSTALLATION</v>
          </cell>
          <cell r="F1052">
            <v>1</v>
          </cell>
          <cell r="G1052">
            <v>35339</v>
          </cell>
          <cell r="H1052">
            <v>50000</v>
          </cell>
        </row>
        <row r="1053">
          <cell r="A1053">
            <v>3400003288</v>
          </cell>
          <cell r="B1053">
            <v>6210</v>
          </cell>
          <cell r="C1053">
            <v>61158</v>
          </cell>
          <cell r="D1053">
            <v>0</v>
          </cell>
          <cell r="E1053" t="str">
            <v>AERO 4/33C-250W</v>
          </cell>
          <cell r="F1053">
            <v>1</v>
          </cell>
          <cell r="G1053">
            <v>35339</v>
          </cell>
          <cell r="H1053">
            <v>31600</v>
          </cell>
        </row>
        <row r="1054">
          <cell r="A1054">
            <v>3400003289</v>
          </cell>
          <cell r="B1054">
            <v>6210</v>
          </cell>
          <cell r="C1054">
            <v>61158</v>
          </cell>
          <cell r="D1054">
            <v>0</v>
          </cell>
          <cell r="E1054" t="str">
            <v>VSAT WITH COMPACT PORT CARD</v>
          </cell>
          <cell r="F1054">
            <v>1</v>
          </cell>
          <cell r="G1054">
            <v>35339</v>
          </cell>
          <cell r="H1054">
            <v>441700</v>
          </cell>
        </row>
        <row r="1055">
          <cell r="A1055">
            <v>3400003289</v>
          </cell>
          <cell r="B1055">
            <v>6210</v>
          </cell>
          <cell r="C1055">
            <v>61158</v>
          </cell>
          <cell r="D1055">
            <v>1</v>
          </cell>
          <cell r="E1055" t="str">
            <v>V SAT WITH PORT CARD</v>
          </cell>
          <cell r="F1055">
            <v>1</v>
          </cell>
          <cell r="G1055">
            <v>35339</v>
          </cell>
          <cell r="H1055">
            <v>26500</v>
          </cell>
        </row>
        <row r="1056">
          <cell r="A1056">
            <v>3400003290</v>
          </cell>
          <cell r="B1056">
            <v>6210</v>
          </cell>
          <cell r="C1056">
            <v>61155</v>
          </cell>
          <cell r="D1056">
            <v>0</v>
          </cell>
          <cell r="E1056" t="str">
            <v>LAN PRINT 2 PORT-VINES COMPATIBLE</v>
          </cell>
          <cell r="F1056">
            <v>1</v>
          </cell>
          <cell r="G1056">
            <v>35339</v>
          </cell>
          <cell r="H1056">
            <v>15800</v>
          </cell>
        </row>
        <row r="1057">
          <cell r="A1057">
            <v>3400003291</v>
          </cell>
          <cell r="B1057">
            <v>6210</v>
          </cell>
          <cell r="C1057">
            <v>61159</v>
          </cell>
          <cell r="D1057">
            <v>0</v>
          </cell>
          <cell r="E1057" t="str">
            <v>LAN PRINT 2 PORT-VINES COMPATIBLE</v>
          </cell>
          <cell r="F1057">
            <v>1</v>
          </cell>
          <cell r="G1057">
            <v>35339</v>
          </cell>
          <cell r="H1057">
            <v>15800</v>
          </cell>
        </row>
        <row r="1058">
          <cell r="A1058">
            <v>3400003292</v>
          </cell>
          <cell r="B1058">
            <v>6210</v>
          </cell>
          <cell r="C1058">
            <v>61162</v>
          </cell>
          <cell r="D1058">
            <v>0</v>
          </cell>
          <cell r="E1058" t="str">
            <v>AERO 4/33C-M</v>
          </cell>
          <cell r="F1058">
            <v>1</v>
          </cell>
          <cell r="G1058">
            <v>35339</v>
          </cell>
          <cell r="H1058">
            <v>31600</v>
          </cell>
        </row>
        <row r="1059">
          <cell r="A1059">
            <v>3400003295</v>
          </cell>
          <cell r="B1059">
            <v>6210</v>
          </cell>
          <cell r="C1059">
            <v>61158</v>
          </cell>
          <cell r="D1059">
            <v>0</v>
          </cell>
          <cell r="E1059" t="str">
            <v>S/F PCMCIA CARD (ETHERNET)</v>
          </cell>
          <cell r="F1059">
            <v>1</v>
          </cell>
          <cell r="G1059">
            <v>35339</v>
          </cell>
          <cell r="H1059">
            <v>2800</v>
          </cell>
        </row>
        <row r="1060">
          <cell r="A1060">
            <v>3400003327</v>
          </cell>
          <cell r="B1060">
            <v>6210</v>
          </cell>
          <cell r="C1060">
            <v>61158</v>
          </cell>
          <cell r="D1060">
            <v>0</v>
          </cell>
          <cell r="E1060" t="str">
            <v>INTELLIGENT MESSAGING SYSTEM</v>
          </cell>
          <cell r="F1060">
            <v>1</v>
          </cell>
          <cell r="G1060">
            <v>35339</v>
          </cell>
          <cell r="H1060">
            <v>28400</v>
          </cell>
        </row>
        <row r="1061">
          <cell r="A1061">
            <v>3400003343</v>
          </cell>
          <cell r="B1061">
            <v>6210</v>
          </cell>
          <cell r="C1061">
            <v>61158</v>
          </cell>
          <cell r="D1061">
            <v>0</v>
          </cell>
          <cell r="E1061" t="str">
            <v>CAT 5 CABLING</v>
          </cell>
          <cell r="F1061">
            <v>1</v>
          </cell>
          <cell r="G1061">
            <v>35339</v>
          </cell>
          <cell r="H1061">
            <v>22000</v>
          </cell>
        </row>
        <row r="1062">
          <cell r="A1062">
            <v>3400003344</v>
          </cell>
          <cell r="B1062">
            <v>6210</v>
          </cell>
          <cell r="C1062">
            <v>61158</v>
          </cell>
          <cell r="D1062">
            <v>0</v>
          </cell>
          <cell r="E1062" t="str">
            <v>CAT 5 CABLING</v>
          </cell>
          <cell r="F1062">
            <v>1</v>
          </cell>
          <cell r="G1062">
            <v>35339</v>
          </cell>
          <cell r="H1062">
            <v>44000</v>
          </cell>
        </row>
        <row r="1063">
          <cell r="A1063">
            <v>3400004430</v>
          </cell>
          <cell r="B1063">
            <v>6210</v>
          </cell>
          <cell r="C1063">
            <v>61158</v>
          </cell>
          <cell r="D1063">
            <v>0</v>
          </cell>
          <cell r="E1063" t="str">
            <v>LAN WORKPLACE FOR DOS FOR 10 USERS</v>
          </cell>
          <cell r="F1063">
            <v>1</v>
          </cell>
          <cell r="G1063">
            <v>35339</v>
          </cell>
          <cell r="H1063">
            <v>27900</v>
          </cell>
        </row>
        <row r="1064">
          <cell r="A1064">
            <v>3400004541</v>
          </cell>
          <cell r="B1064">
            <v>6210</v>
          </cell>
          <cell r="C1064">
            <v>61158</v>
          </cell>
          <cell r="D1064">
            <v>0</v>
          </cell>
          <cell r="E1064" t="str">
            <v>BANYAN VINES NETWORK &amp; SYSTEM</v>
          </cell>
          <cell r="F1064">
            <v>1</v>
          </cell>
          <cell r="G1064">
            <v>35339</v>
          </cell>
          <cell r="H1064">
            <v>302900</v>
          </cell>
        </row>
        <row r="1065">
          <cell r="A1065">
            <v>3400004542</v>
          </cell>
          <cell r="B1065">
            <v>6210</v>
          </cell>
          <cell r="C1065">
            <v>61158</v>
          </cell>
          <cell r="D1065">
            <v>0</v>
          </cell>
          <cell r="E1065" t="str">
            <v>PROLIANT 1000 SERVOR WITH MONITOR &amp; ACCE</v>
          </cell>
          <cell r="F1065">
            <v>1</v>
          </cell>
          <cell r="G1065">
            <v>35339</v>
          </cell>
          <cell r="H1065">
            <v>302900</v>
          </cell>
        </row>
        <row r="1066">
          <cell r="A1066">
            <v>3400004542</v>
          </cell>
          <cell r="B1066">
            <v>6210</v>
          </cell>
          <cell r="C1066">
            <v>61158</v>
          </cell>
          <cell r="D1066">
            <v>1</v>
          </cell>
          <cell r="E1066" t="str">
            <v>16MB MEMORY UPGRADE FOR COMPAQ PROLIANT</v>
          </cell>
          <cell r="F1066">
            <v>1</v>
          </cell>
          <cell r="G1066">
            <v>35339</v>
          </cell>
          <cell r="H1066">
            <v>70000</v>
          </cell>
        </row>
        <row r="1067">
          <cell r="A1067">
            <v>3400003548</v>
          </cell>
          <cell r="B1067">
            <v>6210</v>
          </cell>
          <cell r="C1067">
            <v>61158</v>
          </cell>
          <cell r="D1067">
            <v>0</v>
          </cell>
          <cell r="E1067" t="str">
            <v>CQ ADDON-HOT PLUGGABLE TRAY FOR PROLIANT</v>
          </cell>
          <cell r="F1067">
            <v>1</v>
          </cell>
          <cell r="G1067">
            <v>35444</v>
          </cell>
          <cell r="H1067">
            <v>6339</v>
          </cell>
        </row>
        <row r="1068">
          <cell r="A1068">
            <v>3400003549</v>
          </cell>
          <cell r="B1068">
            <v>6210</v>
          </cell>
          <cell r="C1068">
            <v>61158</v>
          </cell>
          <cell r="D1068">
            <v>0</v>
          </cell>
          <cell r="E1068" t="str">
            <v>HDD-2100 MB FS 11HDD HOT2100</v>
          </cell>
          <cell r="F1068">
            <v>1</v>
          </cell>
          <cell r="G1068">
            <v>35444</v>
          </cell>
          <cell r="H1068">
            <v>42400</v>
          </cell>
        </row>
        <row r="1069">
          <cell r="A1069">
            <v>3400003550</v>
          </cell>
          <cell r="B1069">
            <v>6210</v>
          </cell>
          <cell r="C1069">
            <v>61158</v>
          </cell>
          <cell r="D1069">
            <v>0</v>
          </cell>
          <cell r="E1069" t="str">
            <v>NETWORK CABLING</v>
          </cell>
          <cell r="F1069">
            <v>1</v>
          </cell>
          <cell r="G1069">
            <v>35444</v>
          </cell>
          <cell r="H1069">
            <v>60987</v>
          </cell>
        </row>
        <row r="1070">
          <cell r="A1070">
            <v>3400003774</v>
          </cell>
          <cell r="B1070">
            <v>6210</v>
          </cell>
          <cell r="C1070">
            <v>61158</v>
          </cell>
          <cell r="D1070">
            <v>0</v>
          </cell>
          <cell r="E1070" t="str">
            <v>CABLE CAT-5,305METERS</v>
          </cell>
          <cell r="F1070">
            <v>1</v>
          </cell>
          <cell r="G1070">
            <v>35510</v>
          </cell>
          <cell r="H1070">
            <v>10980</v>
          </cell>
        </row>
        <row r="1071">
          <cell r="A1071">
            <v>3400003350</v>
          </cell>
          <cell r="B1071">
            <v>6220</v>
          </cell>
          <cell r="C1071">
            <v>61160</v>
          </cell>
          <cell r="D1071">
            <v>0</v>
          </cell>
          <cell r="E1071" t="str">
            <v>PAGER</v>
          </cell>
          <cell r="F1071">
            <v>1</v>
          </cell>
          <cell r="G1071">
            <v>35339</v>
          </cell>
          <cell r="H1071">
            <v>9000</v>
          </cell>
        </row>
        <row r="1072">
          <cell r="A1072">
            <v>3400003351</v>
          </cell>
          <cell r="B1072">
            <v>6220</v>
          </cell>
          <cell r="C1072">
            <v>61161</v>
          </cell>
          <cell r="D1072">
            <v>0</v>
          </cell>
          <cell r="E1072" t="str">
            <v>PAGER</v>
          </cell>
          <cell r="F1072">
            <v>1</v>
          </cell>
          <cell r="G1072">
            <v>35339</v>
          </cell>
          <cell r="H1072">
            <v>7800</v>
          </cell>
        </row>
        <row r="1073">
          <cell r="A1073">
            <v>3400003352</v>
          </cell>
          <cell r="B1073">
            <v>6220</v>
          </cell>
          <cell r="C1073">
            <v>61157</v>
          </cell>
          <cell r="D1073">
            <v>0</v>
          </cell>
          <cell r="E1073" t="str">
            <v>PAGER</v>
          </cell>
          <cell r="F1073">
            <v>1</v>
          </cell>
          <cell r="G1073">
            <v>35339</v>
          </cell>
          <cell r="H1073">
            <v>7800</v>
          </cell>
        </row>
        <row r="1074">
          <cell r="A1074">
            <v>3400003527</v>
          </cell>
          <cell r="B1074">
            <v>6220</v>
          </cell>
          <cell r="C1074">
            <v>61201</v>
          </cell>
          <cell r="D1074">
            <v>0</v>
          </cell>
          <cell r="E1074" t="str">
            <v>PAGER MEMO 723KWG</v>
          </cell>
          <cell r="F1074">
            <v>1</v>
          </cell>
          <cell r="G1074">
            <v>35339</v>
          </cell>
          <cell r="H1074">
            <v>7800</v>
          </cell>
        </row>
        <row r="1075">
          <cell r="A1075">
            <v>3400003528</v>
          </cell>
          <cell r="B1075">
            <v>6220</v>
          </cell>
          <cell r="C1075">
            <v>61201</v>
          </cell>
          <cell r="D1075">
            <v>0</v>
          </cell>
          <cell r="E1075" t="str">
            <v>PAGER MEMO 723KWG</v>
          </cell>
          <cell r="F1075">
            <v>1</v>
          </cell>
          <cell r="G1075">
            <v>35339</v>
          </cell>
          <cell r="H1075">
            <v>7800</v>
          </cell>
        </row>
        <row r="1076">
          <cell r="A1076">
            <v>3400003933</v>
          </cell>
          <cell r="B1076">
            <v>6220</v>
          </cell>
          <cell r="C1076">
            <v>61116</v>
          </cell>
          <cell r="D1076">
            <v>0</v>
          </cell>
          <cell r="E1076" t="str">
            <v>VORTECH FAX MACHINE VF 900</v>
          </cell>
          <cell r="F1076">
            <v>1</v>
          </cell>
          <cell r="G1076">
            <v>35339</v>
          </cell>
          <cell r="H1076">
            <v>7900</v>
          </cell>
        </row>
        <row r="1077">
          <cell r="A1077">
            <v>3400004388</v>
          </cell>
          <cell r="B1077">
            <v>6220</v>
          </cell>
          <cell r="C1077">
            <v>61158</v>
          </cell>
          <cell r="D1077">
            <v>0</v>
          </cell>
          <cell r="E1077" t="str">
            <v>CISCO 2501 ROUTER ETHERNET MULTIPROTOCOL</v>
          </cell>
          <cell r="F1077">
            <v>1</v>
          </cell>
          <cell r="G1077">
            <v>35339</v>
          </cell>
          <cell r="H1077">
            <v>88500</v>
          </cell>
        </row>
        <row r="1078">
          <cell r="A1078">
            <v>3400004388</v>
          </cell>
          <cell r="B1078">
            <v>6220</v>
          </cell>
          <cell r="C1078">
            <v>61158</v>
          </cell>
          <cell r="D1078">
            <v>1</v>
          </cell>
          <cell r="E1078" t="str">
            <v>3C16170 LINK BUILDER</v>
          </cell>
          <cell r="F1078">
            <v>1</v>
          </cell>
          <cell r="G1078">
            <v>35339</v>
          </cell>
          <cell r="H1078">
            <v>27000</v>
          </cell>
        </row>
        <row r="1079">
          <cell r="A1079">
            <v>3400004388</v>
          </cell>
          <cell r="B1079">
            <v>6220</v>
          </cell>
          <cell r="C1079">
            <v>61158</v>
          </cell>
          <cell r="D1079">
            <v>2</v>
          </cell>
          <cell r="E1079" t="str">
            <v>HUB 16 PORT</v>
          </cell>
          <cell r="F1079">
            <v>1</v>
          </cell>
          <cell r="G1079">
            <v>35339</v>
          </cell>
          <cell r="H1079">
            <v>14500</v>
          </cell>
        </row>
        <row r="1080">
          <cell r="A1080">
            <v>3400004784</v>
          </cell>
          <cell r="B1080">
            <v>6220</v>
          </cell>
          <cell r="C1080">
            <v>61203</v>
          </cell>
          <cell r="D1080">
            <v>0</v>
          </cell>
          <cell r="E1080" t="str">
            <v>EPABX OMNI SIE WITH BATTERY AND TERMINAL</v>
          </cell>
          <cell r="F1080">
            <v>1</v>
          </cell>
          <cell r="G1080">
            <v>35339</v>
          </cell>
          <cell r="H1080">
            <v>1</v>
          </cell>
        </row>
        <row r="1081">
          <cell r="A1081">
            <v>3400004784</v>
          </cell>
          <cell r="B1081">
            <v>6220</v>
          </cell>
          <cell r="C1081">
            <v>61203</v>
          </cell>
          <cell r="D1081">
            <v>1</v>
          </cell>
          <cell r="E1081" t="str">
            <v>INSTALLATION COMMISSION TESTING OF EPABX</v>
          </cell>
          <cell r="F1081">
            <v>1</v>
          </cell>
          <cell r="G1081">
            <v>35339</v>
          </cell>
          <cell r="H1081">
            <v>1</v>
          </cell>
        </row>
        <row r="1082">
          <cell r="A1082">
            <v>3400004784</v>
          </cell>
          <cell r="B1082">
            <v>6220</v>
          </cell>
          <cell r="C1082">
            <v>61203</v>
          </cell>
          <cell r="D1082">
            <v>2</v>
          </cell>
          <cell r="E1082" t="str">
            <v>DIFFERENTIAL SALES TAX FOR EPABX OMNISIE</v>
          </cell>
          <cell r="F1082">
            <v>1</v>
          </cell>
          <cell r="G1082">
            <v>35339</v>
          </cell>
          <cell r="H1082">
            <v>1</v>
          </cell>
        </row>
        <row r="1083">
          <cell r="A1083">
            <v>3400004784</v>
          </cell>
          <cell r="B1083">
            <v>6220</v>
          </cell>
          <cell r="C1083">
            <v>61203</v>
          </cell>
          <cell r="D1083">
            <v>3</v>
          </cell>
          <cell r="E1083" t="str">
            <v>DIFFERENTIAL SALES TAX FOR EPABX OMNI</v>
          </cell>
          <cell r="F1083">
            <v>1</v>
          </cell>
          <cell r="G1083">
            <v>35339</v>
          </cell>
          <cell r="H1083">
            <v>1</v>
          </cell>
        </row>
        <row r="1084">
          <cell r="A1084">
            <v>3400003604</v>
          </cell>
          <cell r="B1084">
            <v>6220</v>
          </cell>
          <cell r="C1084">
            <v>61160</v>
          </cell>
          <cell r="D1084">
            <v>0</v>
          </cell>
          <cell r="E1084" t="str">
            <v>PAGER-U.SARKAR</v>
          </cell>
          <cell r="F1084">
            <v>1</v>
          </cell>
          <cell r="G1084">
            <v>35447</v>
          </cell>
          <cell r="H1084">
            <v>6500</v>
          </cell>
        </row>
        <row r="1085">
          <cell r="A1085">
            <v>3400003605</v>
          </cell>
          <cell r="B1085">
            <v>6220</v>
          </cell>
          <cell r="C1085">
            <v>61160</v>
          </cell>
          <cell r="D1085">
            <v>0</v>
          </cell>
          <cell r="E1085" t="str">
            <v>PAGER-A.R.DUTTA</v>
          </cell>
          <cell r="F1085">
            <v>1</v>
          </cell>
          <cell r="G1085">
            <v>35447</v>
          </cell>
          <cell r="H1085">
            <v>6500</v>
          </cell>
        </row>
        <row r="1086">
          <cell r="A1086">
            <v>3400003606</v>
          </cell>
          <cell r="B1086">
            <v>6220</v>
          </cell>
          <cell r="C1086">
            <v>61157</v>
          </cell>
          <cell r="D1086">
            <v>0</v>
          </cell>
          <cell r="E1086" t="str">
            <v>PAGER-ANIL DAS</v>
          </cell>
          <cell r="F1086">
            <v>1</v>
          </cell>
          <cell r="G1086">
            <v>35447</v>
          </cell>
          <cell r="H1086">
            <v>6500</v>
          </cell>
        </row>
        <row r="1087">
          <cell r="A1087">
            <v>3400003607</v>
          </cell>
          <cell r="B1087">
            <v>6220</v>
          </cell>
          <cell r="C1087">
            <v>61161</v>
          </cell>
          <cell r="D1087">
            <v>0</v>
          </cell>
          <cell r="E1087" t="str">
            <v>PAGER-P.S.BHATTACHARYA</v>
          </cell>
          <cell r="F1087">
            <v>1</v>
          </cell>
          <cell r="G1087">
            <v>35447</v>
          </cell>
          <cell r="H1087">
            <v>6500</v>
          </cell>
        </row>
        <row r="1088">
          <cell r="A1088">
            <v>3400003608</v>
          </cell>
          <cell r="B1088">
            <v>6220</v>
          </cell>
          <cell r="C1088">
            <v>61158</v>
          </cell>
          <cell r="D1088">
            <v>0</v>
          </cell>
          <cell r="E1088" t="str">
            <v>PAGER-SUJOY BANDOPADHYAY</v>
          </cell>
          <cell r="F1088">
            <v>1</v>
          </cell>
          <cell r="G1088">
            <v>35447</v>
          </cell>
          <cell r="H1088">
            <v>6500</v>
          </cell>
        </row>
        <row r="1089">
          <cell r="A1089">
            <v>3400003609</v>
          </cell>
          <cell r="B1089">
            <v>6220</v>
          </cell>
          <cell r="C1089">
            <v>61203</v>
          </cell>
          <cell r="D1089">
            <v>0</v>
          </cell>
          <cell r="E1089" t="str">
            <v>PAGER-P.N.BHATTACHARYA</v>
          </cell>
          <cell r="F1089">
            <v>1</v>
          </cell>
          <cell r="G1089">
            <v>35447</v>
          </cell>
          <cell r="H1089">
            <v>6500</v>
          </cell>
        </row>
        <row r="1090">
          <cell r="A1090">
            <v>3400004783</v>
          </cell>
          <cell r="B1090">
            <v>6221</v>
          </cell>
          <cell r="C1090">
            <v>61203</v>
          </cell>
          <cell r="D1090">
            <v>0</v>
          </cell>
          <cell r="E1090" t="str">
            <v>ELECTRONIC PUSH BUTTON TELEPHONE</v>
          </cell>
          <cell r="F1090">
            <v>30</v>
          </cell>
          <cell r="G1090">
            <v>32933</v>
          </cell>
          <cell r="H1090">
            <v>1</v>
          </cell>
        </row>
        <row r="1091">
          <cell r="A1091">
            <v>3400003929</v>
          </cell>
          <cell r="B1091">
            <v>6221</v>
          </cell>
          <cell r="C1091">
            <v>61116</v>
          </cell>
          <cell r="D1091">
            <v>0</v>
          </cell>
          <cell r="E1091" t="str">
            <v>BEETEL MAKE TELEPHONE RECEIVER</v>
          </cell>
          <cell r="F1091">
            <v>1</v>
          </cell>
          <cell r="G1091">
            <v>34608</v>
          </cell>
          <cell r="H1091">
            <v>5900</v>
          </cell>
        </row>
        <row r="1092">
          <cell r="A1092">
            <v>3400003534</v>
          </cell>
          <cell r="B1092">
            <v>6221</v>
          </cell>
          <cell r="C1092">
            <v>61157</v>
          </cell>
          <cell r="D1092">
            <v>0</v>
          </cell>
          <cell r="E1092" t="str">
            <v>KRONECTION BOX 1&amp; ACCESSORIES</v>
          </cell>
          <cell r="F1092">
            <v>11</v>
          </cell>
          <cell r="G1092">
            <v>35284</v>
          </cell>
          <cell r="H1092">
            <v>8400</v>
          </cell>
        </row>
        <row r="1093">
          <cell r="A1093">
            <v>3400003535</v>
          </cell>
          <cell r="B1093">
            <v>6221</v>
          </cell>
          <cell r="C1093">
            <v>61157</v>
          </cell>
          <cell r="D1093">
            <v>0</v>
          </cell>
          <cell r="E1093" t="str">
            <v>KRONECTION BOX 2&amp; ACCESSORIES</v>
          </cell>
          <cell r="F1093">
            <v>2</v>
          </cell>
          <cell r="G1093">
            <v>35284</v>
          </cell>
          <cell r="H1093">
            <v>1800</v>
          </cell>
        </row>
        <row r="1094">
          <cell r="A1094">
            <v>3400003536</v>
          </cell>
          <cell r="B1094">
            <v>6221</v>
          </cell>
          <cell r="C1094">
            <v>61157</v>
          </cell>
          <cell r="D1094">
            <v>0</v>
          </cell>
          <cell r="E1094" t="str">
            <v>KRONECTION BOX 3&amp; ACCESSORIES</v>
          </cell>
          <cell r="F1094">
            <v>1</v>
          </cell>
          <cell r="G1094">
            <v>35284</v>
          </cell>
          <cell r="H1094">
            <v>1100</v>
          </cell>
        </row>
        <row r="1095">
          <cell r="A1095">
            <v>3400003537</v>
          </cell>
          <cell r="B1095">
            <v>6221</v>
          </cell>
          <cell r="C1095">
            <v>61157</v>
          </cell>
          <cell r="D1095">
            <v>0</v>
          </cell>
          <cell r="E1095" t="str">
            <v>KRONECTION BOX A 30&amp; ACCESSORIES</v>
          </cell>
          <cell r="F1095">
            <v>1</v>
          </cell>
          <cell r="G1095">
            <v>35284</v>
          </cell>
          <cell r="H1095">
            <v>600</v>
          </cell>
        </row>
        <row r="1096">
          <cell r="A1096">
            <v>3400003538</v>
          </cell>
          <cell r="B1096">
            <v>6221</v>
          </cell>
          <cell r="C1096">
            <v>61157</v>
          </cell>
          <cell r="D1096">
            <v>0</v>
          </cell>
          <cell r="E1096" t="str">
            <v>LSA PLUS CONNECTION MODULE 2/10</v>
          </cell>
          <cell r="F1096">
            <v>32</v>
          </cell>
          <cell r="G1096">
            <v>35284</v>
          </cell>
          <cell r="H1096">
            <v>6000</v>
          </cell>
        </row>
        <row r="1097">
          <cell r="A1097">
            <v>3400003539</v>
          </cell>
          <cell r="B1097">
            <v>6221</v>
          </cell>
          <cell r="C1097">
            <v>61157</v>
          </cell>
          <cell r="D1097">
            <v>0</v>
          </cell>
          <cell r="E1097" t="str">
            <v>LSA PLUS DISCONNECTION MODULE 2/10</v>
          </cell>
          <cell r="F1097">
            <v>8</v>
          </cell>
          <cell r="G1097">
            <v>35284</v>
          </cell>
          <cell r="H1097">
            <v>1600</v>
          </cell>
        </row>
        <row r="1098">
          <cell r="A1098">
            <v>3400003540</v>
          </cell>
          <cell r="B1098">
            <v>6221</v>
          </cell>
          <cell r="C1098">
            <v>61157</v>
          </cell>
          <cell r="D1098">
            <v>0</v>
          </cell>
          <cell r="E1098" t="str">
            <v>LSA PLUS OVER VOLTAGE PROTECTION MAGAZIN</v>
          </cell>
          <cell r="F1098">
            <v>2</v>
          </cell>
          <cell r="G1098">
            <v>35284</v>
          </cell>
          <cell r="H1098">
            <v>500</v>
          </cell>
        </row>
        <row r="1099">
          <cell r="A1099">
            <v>3400003541</v>
          </cell>
          <cell r="B1099">
            <v>6221</v>
          </cell>
          <cell r="C1099">
            <v>61157</v>
          </cell>
          <cell r="D1099">
            <v>0</v>
          </cell>
          <cell r="E1099" t="str">
            <v>OVER VOLTAGE ARRESTORS &amp; FAILSAFE230V5A/</v>
          </cell>
          <cell r="F1099">
            <v>20</v>
          </cell>
          <cell r="G1099">
            <v>35284</v>
          </cell>
          <cell r="H1099">
            <v>1400</v>
          </cell>
        </row>
        <row r="1100">
          <cell r="A1100">
            <v>3400003799</v>
          </cell>
          <cell r="B1100">
            <v>6230</v>
          </cell>
          <cell r="C1100">
            <v>61159</v>
          </cell>
          <cell r="D1100">
            <v>0</v>
          </cell>
          <cell r="E1100" t="str">
            <v>SNI PC</v>
          </cell>
          <cell r="F1100">
            <v>1</v>
          </cell>
          <cell r="G1100">
            <v>35521</v>
          </cell>
          <cell r="H1100">
            <v>70296</v>
          </cell>
        </row>
        <row r="1101">
          <cell r="A1101">
            <v>3400003800</v>
          </cell>
          <cell r="B1101">
            <v>6230</v>
          </cell>
          <cell r="C1101">
            <v>61159</v>
          </cell>
          <cell r="D1101">
            <v>0</v>
          </cell>
          <cell r="E1101" t="str">
            <v>SNI PC</v>
          </cell>
          <cell r="F1101">
            <v>1</v>
          </cell>
          <cell r="G1101">
            <v>35521</v>
          </cell>
          <cell r="H1101">
            <v>70296</v>
          </cell>
        </row>
        <row r="1102">
          <cell r="A1102">
            <v>3400003801</v>
          </cell>
          <cell r="B1102">
            <v>6230</v>
          </cell>
          <cell r="C1102">
            <v>61203</v>
          </cell>
          <cell r="D1102">
            <v>0</v>
          </cell>
          <cell r="E1102" t="str">
            <v>SNI PC</v>
          </cell>
          <cell r="F1102">
            <v>1</v>
          </cell>
          <cell r="G1102">
            <v>35521</v>
          </cell>
          <cell r="H1102">
            <v>70296</v>
          </cell>
        </row>
        <row r="1103">
          <cell r="A1103">
            <v>3400003802</v>
          </cell>
          <cell r="B1103">
            <v>6230</v>
          </cell>
          <cell r="C1103">
            <v>61155</v>
          </cell>
          <cell r="D1103">
            <v>0</v>
          </cell>
          <cell r="E1103" t="str">
            <v>SNI PC</v>
          </cell>
          <cell r="F1103">
            <v>1</v>
          </cell>
          <cell r="G1103">
            <v>35521</v>
          </cell>
          <cell r="H1103">
            <v>70296</v>
          </cell>
        </row>
        <row r="1104">
          <cell r="A1104">
            <v>3400003803</v>
          </cell>
          <cell r="B1104">
            <v>6230</v>
          </cell>
          <cell r="C1104">
            <v>61155</v>
          </cell>
          <cell r="D1104">
            <v>0</v>
          </cell>
          <cell r="E1104" t="str">
            <v>SNI PC</v>
          </cell>
          <cell r="F1104">
            <v>1</v>
          </cell>
          <cell r="G1104">
            <v>35521</v>
          </cell>
          <cell r="H1104">
            <v>70296</v>
          </cell>
        </row>
        <row r="1105">
          <cell r="A1105">
            <v>3400003804</v>
          </cell>
          <cell r="B1105">
            <v>6230</v>
          </cell>
          <cell r="C1105">
            <v>61155</v>
          </cell>
          <cell r="D1105">
            <v>0</v>
          </cell>
          <cell r="E1105" t="str">
            <v>SNI PC</v>
          </cell>
          <cell r="F1105">
            <v>1</v>
          </cell>
          <cell r="G1105">
            <v>35521</v>
          </cell>
          <cell r="H1105">
            <v>70296</v>
          </cell>
        </row>
        <row r="1106">
          <cell r="A1106">
            <v>3400003805</v>
          </cell>
          <cell r="B1106">
            <v>6230</v>
          </cell>
          <cell r="C1106">
            <v>61155</v>
          </cell>
          <cell r="D1106">
            <v>0</v>
          </cell>
          <cell r="E1106" t="str">
            <v>SNI PC</v>
          </cell>
          <cell r="F1106">
            <v>1</v>
          </cell>
          <cell r="G1106">
            <v>35521</v>
          </cell>
          <cell r="H1106">
            <v>70296</v>
          </cell>
        </row>
        <row r="1107">
          <cell r="A1107">
            <v>3400003806</v>
          </cell>
          <cell r="B1107">
            <v>6230</v>
          </cell>
          <cell r="C1107">
            <v>61102</v>
          </cell>
          <cell r="D1107">
            <v>0</v>
          </cell>
          <cell r="E1107" t="str">
            <v>SNI PC</v>
          </cell>
          <cell r="F1107">
            <v>1</v>
          </cell>
          <cell r="G1107">
            <v>35521</v>
          </cell>
          <cell r="H1107">
            <v>70296</v>
          </cell>
        </row>
        <row r="1108">
          <cell r="A1108">
            <v>3400003807</v>
          </cell>
          <cell r="B1108">
            <v>6230</v>
          </cell>
          <cell r="C1108">
            <v>61161</v>
          </cell>
          <cell r="D1108">
            <v>0</v>
          </cell>
          <cell r="E1108" t="str">
            <v>SNI PC</v>
          </cell>
          <cell r="F1108">
            <v>1</v>
          </cell>
          <cell r="G1108">
            <v>35521</v>
          </cell>
          <cell r="H1108">
            <v>70296</v>
          </cell>
        </row>
        <row r="1109">
          <cell r="A1109">
            <v>3400003808</v>
          </cell>
          <cell r="B1109">
            <v>6230</v>
          </cell>
          <cell r="C1109">
            <v>61161</v>
          </cell>
          <cell r="D1109">
            <v>0</v>
          </cell>
          <cell r="E1109" t="str">
            <v>SNI PC</v>
          </cell>
          <cell r="F1109">
            <v>1</v>
          </cell>
          <cell r="G1109">
            <v>35521</v>
          </cell>
          <cell r="H1109">
            <v>70296</v>
          </cell>
        </row>
        <row r="1110">
          <cell r="A1110">
            <v>3400003809</v>
          </cell>
          <cell r="B1110">
            <v>6230</v>
          </cell>
          <cell r="C1110">
            <v>61115</v>
          </cell>
          <cell r="D1110">
            <v>0</v>
          </cell>
          <cell r="E1110" t="str">
            <v>SNI PC</v>
          </cell>
          <cell r="F1110">
            <v>1</v>
          </cell>
          <cell r="G1110">
            <v>35521</v>
          </cell>
          <cell r="H1110">
            <v>70296</v>
          </cell>
        </row>
        <row r="1111">
          <cell r="A1111">
            <v>3400003810</v>
          </cell>
          <cell r="B1111">
            <v>6230</v>
          </cell>
          <cell r="C1111">
            <v>61153</v>
          </cell>
          <cell r="D1111">
            <v>0</v>
          </cell>
          <cell r="E1111" t="str">
            <v>SNI PC</v>
          </cell>
          <cell r="F1111">
            <v>1</v>
          </cell>
          <cell r="G1111">
            <v>35521</v>
          </cell>
          <cell r="H1111">
            <v>70296</v>
          </cell>
        </row>
        <row r="1112">
          <cell r="A1112">
            <v>3400003811</v>
          </cell>
          <cell r="B1112">
            <v>6230</v>
          </cell>
          <cell r="C1112">
            <v>61108</v>
          </cell>
          <cell r="D1112">
            <v>0</v>
          </cell>
          <cell r="E1112" t="str">
            <v>SNI PC</v>
          </cell>
          <cell r="F1112">
            <v>1</v>
          </cell>
          <cell r="G1112">
            <v>35521</v>
          </cell>
          <cell r="H1112">
            <v>70296</v>
          </cell>
        </row>
        <row r="1113">
          <cell r="A1113">
            <v>3400003812</v>
          </cell>
          <cell r="B1113">
            <v>6230</v>
          </cell>
          <cell r="C1113">
            <v>61119</v>
          </cell>
          <cell r="D1113">
            <v>0</v>
          </cell>
          <cell r="E1113" t="str">
            <v>SNI PC</v>
          </cell>
          <cell r="F1113">
            <v>1</v>
          </cell>
          <cell r="G1113">
            <v>35521</v>
          </cell>
          <cell r="H1113">
            <v>70296</v>
          </cell>
        </row>
        <row r="1114">
          <cell r="A1114">
            <v>3400003813</v>
          </cell>
          <cell r="B1114">
            <v>6230</v>
          </cell>
          <cell r="C1114">
            <v>61119</v>
          </cell>
          <cell r="D1114">
            <v>0</v>
          </cell>
          <cell r="E1114" t="str">
            <v>SNI PC</v>
          </cell>
          <cell r="F1114">
            <v>1</v>
          </cell>
          <cell r="G1114">
            <v>35521</v>
          </cell>
          <cell r="H1114">
            <v>70296</v>
          </cell>
        </row>
        <row r="1115">
          <cell r="A1115">
            <v>3400003824</v>
          </cell>
          <cell r="B1115">
            <v>6230</v>
          </cell>
          <cell r="C1115">
            <v>61201</v>
          </cell>
          <cell r="D1115">
            <v>0</v>
          </cell>
          <cell r="E1115" t="str">
            <v>1.2 GB IDE HDD</v>
          </cell>
          <cell r="F1115">
            <v>1</v>
          </cell>
          <cell r="G1115">
            <v>35612</v>
          </cell>
          <cell r="H1115">
            <v>8600</v>
          </cell>
        </row>
        <row r="1116">
          <cell r="A1116">
            <v>3400003825</v>
          </cell>
          <cell r="B1116">
            <v>6230</v>
          </cell>
          <cell r="C1116">
            <v>61158</v>
          </cell>
          <cell r="D1116">
            <v>0</v>
          </cell>
          <cell r="E1116" t="str">
            <v>2.1 GB IDE HDD</v>
          </cell>
          <cell r="F1116">
            <v>1</v>
          </cell>
          <cell r="G1116">
            <v>35612</v>
          </cell>
          <cell r="H1116">
            <v>11500</v>
          </cell>
        </row>
        <row r="1117">
          <cell r="A1117">
            <v>3400002888</v>
          </cell>
          <cell r="B1117">
            <v>6230</v>
          </cell>
          <cell r="C1117">
            <v>61155</v>
          </cell>
          <cell r="D1117">
            <v>0</v>
          </cell>
          <cell r="E1117" t="str">
            <v>80486 DX 66 COMPUTER 66MHZ</v>
          </cell>
          <cell r="F1117">
            <v>1</v>
          </cell>
          <cell r="G1117">
            <v>35339</v>
          </cell>
          <cell r="H1117">
            <v>12600</v>
          </cell>
        </row>
        <row r="1118">
          <cell r="A1118">
            <v>3400002889</v>
          </cell>
          <cell r="B1118">
            <v>6230</v>
          </cell>
          <cell r="C1118">
            <v>61155</v>
          </cell>
          <cell r="D1118">
            <v>0</v>
          </cell>
          <cell r="E1118" t="str">
            <v>80386 DX 33 COMPUTER 33MHZ</v>
          </cell>
          <cell r="F1118">
            <v>1</v>
          </cell>
          <cell r="G1118">
            <v>35339</v>
          </cell>
          <cell r="H1118">
            <v>12600</v>
          </cell>
        </row>
        <row r="1119">
          <cell r="A1119">
            <v>3400002891</v>
          </cell>
          <cell r="B1119">
            <v>6230</v>
          </cell>
          <cell r="C1119">
            <v>61159</v>
          </cell>
          <cell r="D1119">
            <v>0</v>
          </cell>
          <cell r="E1119" t="str">
            <v>GODREJ HP DESKJET PRINTER DJ 520</v>
          </cell>
          <cell r="F1119">
            <v>1</v>
          </cell>
          <cell r="G1119">
            <v>35339</v>
          </cell>
          <cell r="H1119">
            <v>15800</v>
          </cell>
        </row>
        <row r="1120">
          <cell r="A1120">
            <v>3400002892</v>
          </cell>
          <cell r="B1120">
            <v>6230</v>
          </cell>
          <cell r="C1120">
            <v>61162</v>
          </cell>
          <cell r="D1120">
            <v>0</v>
          </cell>
          <cell r="E1120" t="str">
            <v>COMPAQ NOTE BOOK MR SCHWANCZAR</v>
          </cell>
          <cell r="F1120">
            <v>1</v>
          </cell>
          <cell r="G1120">
            <v>35339</v>
          </cell>
          <cell r="H1120">
            <v>25200</v>
          </cell>
        </row>
        <row r="1121">
          <cell r="A1121">
            <v>3400002900</v>
          </cell>
          <cell r="B1121">
            <v>6230</v>
          </cell>
          <cell r="C1121">
            <v>61160</v>
          </cell>
          <cell r="D1121">
            <v>0</v>
          </cell>
          <cell r="E1121" t="str">
            <v>HP DJ 520 PRINTER</v>
          </cell>
          <cell r="F1121">
            <v>1</v>
          </cell>
          <cell r="G1121">
            <v>35339</v>
          </cell>
          <cell r="H1121">
            <v>6300</v>
          </cell>
        </row>
        <row r="1122">
          <cell r="A1122">
            <v>3400002904</v>
          </cell>
          <cell r="B1122">
            <v>6230</v>
          </cell>
          <cell r="C1122">
            <v>61104</v>
          </cell>
          <cell r="D1122">
            <v>0</v>
          </cell>
          <cell r="E1122" t="str">
            <v>HP DESKJET 400 PRINTER</v>
          </cell>
          <cell r="F1122">
            <v>1</v>
          </cell>
          <cell r="G1122">
            <v>35339</v>
          </cell>
          <cell r="H1122">
            <v>6900</v>
          </cell>
        </row>
        <row r="1123">
          <cell r="A1123">
            <v>3400002905</v>
          </cell>
          <cell r="B1123">
            <v>6230</v>
          </cell>
          <cell r="C1123">
            <v>61157</v>
          </cell>
          <cell r="D1123">
            <v>0</v>
          </cell>
          <cell r="E1123" t="str">
            <v>HP DESKJET 400  PRINTER</v>
          </cell>
          <cell r="F1123">
            <v>1</v>
          </cell>
          <cell r="G1123">
            <v>35339</v>
          </cell>
          <cell r="H1123">
            <v>4400</v>
          </cell>
        </row>
        <row r="1124">
          <cell r="A1124">
            <v>3400002906</v>
          </cell>
          <cell r="B1124">
            <v>6230</v>
          </cell>
          <cell r="C1124">
            <v>61201</v>
          </cell>
          <cell r="D1124">
            <v>0</v>
          </cell>
          <cell r="E1124" t="str">
            <v>HP DESKJET 400  PRINTER</v>
          </cell>
          <cell r="F1124">
            <v>1</v>
          </cell>
          <cell r="G1124">
            <v>35339</v>
          </cell>
          <cell r="H1124">
            <v>6900</v>
          </cell>
        </row>
        <row r="1125">
          <cell r="A1125">
            <v>3400002907</v>
          </cell>
          <cell r="B1125">
            <v>6230</v>
          </cell>
          <cell r="C1125">
            <v>61162</v>
          </cell>
          <cell r="D1125">
            <v>0</v>
          </cell>
          <cell r="E1125" t="str">
            <v>HP DESKJET 400  PRINTER</v>
          </cell>
          <cell r="F1125">
            <v>1</v>
          </cell>
          <cell r="G1125">
            <v>35339</v>
          </cell>
          <cell r="H1125">
            <v>6900</v>
          </cell>
        </row>
        <row r="1126">
          <cell r="A1126">
            <v>3400002925</v>
          </cell>
          <cell r="B1126">
            <v>6230</v>
          </cell>
          <cell r="C1126">
            <v>61159</v>
          </cell>
          <cell r="D1126">
            <v>0</v>
          </cell>
          <cell r="E1126" t="str">
            <v>TECHNO SCREEN</v>
          </cell>
          <cell r="F1126">
            <v>1</v>
          </cell>
          <cell r="G1126">
            <v>35339</v>
          </cell>
          <cell r="H1126">
            <v>2500</v>
          </cell>
        </row>
        <row r="1127">
          <cell r="A1127">
            <v>3400002928</v>
          </cell>
          <cell r="B1127">
            <v>6230</v>
          </cell>
          <cell r="C1127">
            <v>61160</v>
          </cell>
          <cell r="D1127">
            <v>0</v>
          </cell>
          <cell r="E1127" t="str">
            <v>COMPUTER ALR</v>
          </cell>
          <cell r="F1127">
            <v>1</v>
          </cell>
          <cell r="G1127">
            <v>35339</v>
          </cell>
          <cell r="H1127">
            <v>53800</v>
          </cell>
        </row>
        <row r="1128">
          <cell r="A1128">
            <v>3400002929</v>
          </cell>
          <cell r="B1128">
            <v>6230</v>
          </cell>
          <cell r="C1128">
            <v>61160</v>
          </cell>
          <cell r="D1128">
            <v>0</v>
          </cell>
          <cell r="E1128" t="str">
            <v>COMPUTER ALR</v>
          </cell>
          <cell r="F1128">
            <v>1</v>
          </cell>
          <cell r="G1128">
            <v>35339</v>
          </cell>
          <cell r="H1128">
            <v>25000</v>
          </cell>
        </row>
        <row r="1129">
          <cell r="A1129">
            <v>3400002930</v>
          </cell>
          <cell r="B1129">
            <v>6230</v>
          </cell>
          <cell r="C1129">
            <v>61156</v>
          </cell>
          <cell r="D1129">
            <v>0</v>
          </cell>
          <cell r="E1129" t="str">
            <v>COMPUTER ALR</v>
          </cell>
          <cell r="F1129">
            <v>1</v>
          </cell>
          <cell r="G1129">
            <v>35339</v>
          </cell>
          <cell r="H1129">
            <v>50000</v>
          </cell>
        </row>
        <row r="1130">
          <cell r="A1130">
            <v>3400002931</v>
          </cell>
          <cell r="B1130">
            <v>6230</v>
          </cell>
          <cell r="C1130">
            <v>61158</v>
          </cell>
          <cell r="D1130">
            <v>0</v>
          </cell>
          <cell r="E1130" t="str">
            <v>COMPUTER ALR</v>
          </cell>
          <cell r="F1130">
            <v>1</v>
          </cell>
          <cell r="G1130">
            <v>35339</v>
          </cell>
          <cell r="H1130">
            <v>25000</v>
          </cell>
        </row>
        <row r="1131">
          <cell r="A1131">
            <v>3400002931</v>
          </cell>
          <cell r="B1131">
            <v>6230</v>
          </cell>
          <cell r="C1131">
            <v>61158</v>
          </cell>
          <cell r="D1131">
            <v>1</v>
          </cell>
          <cell r="E1131" t="str">
            <v>8 MB RAM</v>
          </cell>
          <cell r="F1131">
            <v>1</v>
          </cell>
          <cell r="G1131">
            <v>35339</v>
          </cell>
          <cell r="H1131">
            <v>7000</v>
          </cell>
        </row>
        <row r="1132">
          <cell r="A1132">
            <v>3400002934</v>
          </cell>
          <cell r="B1132">
            <v>6230</v>
          </cell>
          <cell r="C1132">
            <v>61162</v>
          </cell>
          <cell r="D1132">
            <v>0</v>
          </cell>
          <cell r="E1132" t="str">
            <v>HP DJ 660C PRINTER</v>
          </cell>
          <cell r="F1132">
            <v>1</v>
          </cell>
          <cell r="G1132">
            <v>35339</v>
          </cell>
          <cell r="H1132">
            <v>18000</v>
          </cell>
        </row>
        <row r="1133">
          <cell r="A1133">
            <v>3400002935</v>
          </cell>
          <cell r="B1133">
            <v>6230</v>
          </cell>
          <cell r="C1133">
            <v>61162</v>
          </cell>
          <cell r="D1133">
            <v>0</v>
          </cell>
          <cell r="E1133" t="str">
            <v>HP DJ 660C PRINTER</v>
          </cell>
          <cell r="F1133">
            <v>1</v>
          </cell>
          <cell r="G1133">
            <v>35339</v>
          </cell>
          <cell r="H1133">
            <v>20000</v>
          </cell>
        </row>
        <row r="1134">
          <cell r="A1134">
            <v>3400002966</v>
          </cell>
          <cell r="B1134">
            <v>6230</v>
          </cell>
          <cell r="C1134">
            <v>61158</v>
          </cell>
          <cell r="D1134">
            <v>0</v>
          </cell>
          <cell r="E1134" t="str">
            <v>COMPAQ SVGA COLOUR MONITOR</v>
          </cell>
          <cell r="F1134">
            <v>1</v>
          </cell>
          <cell r="G1134">
            <v>35339</v>
          </cell>
          <cell r="H1134">
            <v>9500</v>
          </cell>
        </row>
        <row r="1135">
          <cell r="A1135">
            <v>3400002992</v>
          </cell>
          <cell r="B1135">
            <v>6230</v>
          </cell>
          <cell r="C1135">
            <v>61201</v>
          </cell>
          <cell r="D1135">
            <v>0</v>
          </cell>
          <cell r="E1135" t="str">
            <v>HP DESKJET PRINTER</v>
          </cell>
          <cell r="F1135">
            <v>1</v>
          </cell>
          <cell r="G1135">
            <v>35339</v>
          </cell>
          <cell r="H1135">
            <v>7600</v>
          </cell>
        </row>
        <row r="1136">
          <cell r="A1136">
            <v>3400002993</v>
          </cell>
          <cell r="B1136">
            <v>6230</v>
          </cell>
          <cell r="C1136">
            <v>61159</v>
          </cell>
          <cell r="D1136">
            <v>0</v>
          </cell>
          <cell r="E1136" t="str">
            <v>HP DESKJET PRINTER</v>
          </cell>
          <cell r="F1136">
            <v>1</v>
          </cell>
          <cell r="G1136">
            <v>35339</v>
          </cell>
          <cell r="H1136">
            <v>7600</v>
          </cell>
        </row>
        <row r="1137">
          <cell r="A1137">
            <v>3400003013</v>
          </cell>
          <cell r="B1137">
            <v>6230</v>
          </cell>
          <cell r="C1137">
            <v>61158</v>
          </cell>
          <cell r="D1137">
            <v>0</v>
          </cell>
          <cell r="E1137" t="str">
            <v>COMPAQ CONTURA NOTEBOOK COLOUR</v>
          </cell>
          <cell r="F1137">
            <v>1</v>
          </cell>
          <cell r="G1137">
            <v>35339</v>
          </cell>
          <cell r="H1137">
            <v>75700</v>
          </cell>
        </row>
        <row r="1138">
          <cell r="A1138">
            <v>3400003018</v>
          </cell>
          <cell r="B1138">
            <v>6230</v>
          </cell>
          <cell r="C1138">
            <v>61150</v>
          </cell>
          <cell r="D1138">
            <v>0</v>
          </cell>
          <cell r="E1138" t="str">
            <v>GODREJ PANASONIC DMP KX-P3696 SR NO 41MC</v>
          </cell>
          <cell r="F1138">
            <v>1</v>
          </cell>
          <cell r="G1138">
            <v>35339</v>
          </cell>
          <cell r="H1138">
            <v>12600</v>
          </cell>
        </row>
        <row r="1139">
          <cell r="A1139">
            <v>3400003207</v>
          </cell>
          <cell r="B1139">
            <v>6230</v>
          </cell>
          <cell r="C1139">
            <v>61158</v>
          </cell>
          <cell r="D1139">
            <v>0</v>
          </cell>
          <cell r="E1139" t="str">
            <v>ANTI GLARE SCREEN</v>
          </cell>
          <cell r="F1139">
            <v>1</v>
          </cell>
          <cell r="G1139">
            <v>35339</v>
          </cell>
          <cell r="H1139">
            <v>2500</v>
          </cell>
        </row>
        <row r="1140">
          <cell r="A1140">
            <v>3400003212</v>
          </cell>
          <cell r="B1140">
            <v>6230</v>
          </cell>
          <cell r="C1140">
            <v>61158</v>
          </cell>
          <cell r="D1140">
            <v>0</v>
          </cell>
          <cell r="E1140" t="str">
            <v>VE 575 PENTIUM/75MHZ/16MB/540MB/1.44MB F</v>
          </cell>
          <cell r="F1140">
            <v>1</v>
          </cell>
          <cell r="G1140">
            <v>35339</v>
          </cell>
          <cell r="H1140">
            <v>70000</v>
          </cell>
        </row>
        <row r="1141">
          <cell r="A1141">
            <v>3400003322</v>
          </cell>
          <cell r="B1141">
            <v>6230</v>
          </cell>
          <cell r="C1141">
            <v>61158</v>
          </cell>
          <cell r="D1141">
            <v>0</v>
          </cell>
          <cell r="E1141" t="str">
            <v>COMPAQ AERO 4/33C-250W</v>
          </cell>
          <cell r="F1141">
            <v>1</v>
          </cell>
          <cell r="G1141">
            <v>35339</v>
          </cell>
          <cell r="H1141">
            <v>44200</v>
          </cell>
        </row>
        <row r="1142">
          <cell r="A1142">
            <v>3400003331</v>
          </cell>
          <cell r="B1142">
            <v>6230</v>
          </cell>
          <cell r="C1142">
            <v>61155</v>
          </cell>
          <cell r="D1142">
            <v>0</v>
          </cell>
          <cell r="E1142" t="str">
            <v>TECHNO SCREEN</v>
          </cell>
          <cell r="F1142">
            <v>1</v>
          </cell>
          <cell r="G1142">
            <v>35339</v>
          </cell>
          <cell r="H1142">
            <v>1300</v>
          </cell>
        </row>
        <row r="1143">
          <cell r="A1143">
            <v>3400003357</v>
          </cell>
          <cell r="B1143">
            <v>6230</v>
          </cell>
          <cell r="C1143">
            <v>61115</v>
          </cell>
          <cell r="D1143">
            <v>0</v>
          </cell>
          <cell r="E1143" t="str">
            <v>HP DESKJET 500Q DOT MATRIX PRINTER</v>
          </cell>
          <cell r="F1143">
            <v>1</v>
          </cell>
          <cell r="G1143">
            <v>35339</v>
          </cell>
          <cell r="H1143">
            <v>10000</v>
          </cell>
        </row>
        <row r="1144">
          <cell r="A1144">
            <v>3400003361</v>
          </cell>
          <cell r="B1144">
            <v>6230</v>
          </cell>
          <cell r="C1144">
            <v>61155</v>
          </cell>
          <cell r="D1144">
            <v>0</v>
          </cell>
          <cell r="E1144" t="str">
            <v>GODREJ HP DJ 200 PRINTER</v>
          </cell>
          <cell r="F1144">
            <v>1</v>
          </cell>
          <cell r="G1144">
            <v>35339</v>
          </cell>
          <cell r="H1144">
            <v>10000</v>
          </cell>
        </row>
        <row r="1145">
          <cell r="A1145">
            <v>3400003362</v>
          </cell>
          <cell r="B1145">
            <v>6230</v>
          </cell>
          <cell r="C1145">
            <v>61102</v>
          </cell>
          <cell r="D1145">
            <v>0</v>
          </cell>
          <cell r="E1145" t="str">
            <v>GODREJ HP DJ 200 PRINTER</v>
          </cell>
          <cell r="F1145">
            <v>1</v>
          </cell>
          <cell r="G1145">
            <v>35339</v>
          </cell>
          <cell r="H1145">
            <v>10000</v>
          </cell>
        </row>
        <row r="1146">
          <cell r="A1146">
            <v>3400003931</v>
          </cell>
          <cell r="B1146">
            <v>6230</v>
          </cell>
          <cell r="C1146">
            <v>61116</v>
          </cell>
          <cell r="D1146">
            <v>0</v>
          </cell>
          <cell r="E1146" t="str">
            <v>HP LASER JET PRINTER 4P</v>
          </cell>
          <cell r="F1146">
            <v>1</v>
          </cell>
          <cell r="G1146">
            <v>35339</v>
          </cell>
          <cell r="H1146">
            <v>10000</v>
          </cell>
        </row>
        <row r="1147">
          <cell r="A1147">
            <v>3400003932</v>
          </cell>
          <cell r="B1147">
            <v>6230</v>
          </cell>
          <cell r="C1147">
            <v>61116</v>
          </cell>
          <cell r="D1147">
            <v>0</v>
          </cell>
          <cell r="E1147" t="str">
            <v>486DX/33 MHZ TOWER PC WITH MONITOR &amp; KEY</v>
          </cell>
          <cell r="F1147">
            <v>1</v>
          </cell>
          <cell r="G1147">
            <v>35339</v>
          </cell>
          <cell r="H1147">
            <v>19100</v>
          </cell>
        </row>
        <row r="1148">
          <cell r="A1148">
            <v>3400003940</v>
          </cell>
          <cell r="B1148">
            <v>6230</v>
          </cell>
          <cell r="C1148">
            <v>61116</v>
          </cell>
          <cell r="D1148">
            <v>0</v>
          </cell>
          <cell r="E1148" t="str">
            <v>WIPRO DOT MATRIX PRINTER LX800-34074</v>
          </cell>
          <cell r="F1148">
            <v>1</v>
          </cell>
          <cell r="G1148">
            <v>35339</v>
          </cell>
          <cell r="H1148">
            <v>3000</v>
          </cell>
        </row>
        <row r="1149">
          <cell r="A1149">
            <v>3400003958</v>
          </cell>
          <cell r="B1149">
            <v>6230</v>
          </cell>
          <cell r="C1149">
            <v>61153</v>
          </cell>
          <cell r="D1149">
            <v>0</v>
          </cell>
          <cell r="E1149" t="str">
            <v>PRINTER WITH CABLE PT 88</v>
          </cell>
          <cell r="F1149">
            <v>1</v>
          </cell>
          <cell r="G1149">
            <v>35339</v>
          </cell>
          <cell r="H1149">
            <v>7000</v>
          </cell>
        </row>
        <row r="1150">
          <cell r="A1150">
            <v>3400003959</v>
          </cell>
          <cell r="B1150">
            <v>6230</v>
          </cell>
          <cell r="C1150">
            <v>61115</v>
          </cell>
          <cell r="D1150">
            <v>0</v>
          </cell>
          <cell r="E1150" t="str">
            <v>PRINTER PT 88 WITH ADAPTER</v>
          </cell>
          <cell r="F1150">
            <v>1</v>
          </cell>
          <cell r="G1150">
            <v>35339</v>
          </cell>
          <cell r="H1150">
            <v>10000</v>
          </cell>
        </row>
        <row r="1151">
          <cell r="A1151">
            <v>3400003960</v>
          </cell>
          <cell r="B1151">
            <v>6230</v>
          </cell>
          <cell r="C1151">
            <v>61153</v>
          </cell>
          <cell r="D1151">
            <v>0</v>
          </cell>
          <cell r="E1151" t="str">
            <v>PERSONAL COMPUTER WITH ACESSOREES</v>
          </cell>
          <cell r="F1151">
            <v>1</v>
          </cell>
          <cell r="G1151">
            <v>35339</v>
          </cell>
          <cell r="H1151">
            <v>18800</v>
          </cell>
        </row>
        <row r="1152">
          <cell r="A1152">
            <v>3400003961</v>
          </cell>
          <cell r="B1152">
            <v>6230</v>
          </cell>
          <cell r="C1152">
            <v>61112</v>
          </cell>
          <cell r="D1152">
            <v>0</v>
          </cell>
          <cell r="E1152" t="str">
            <v>DRUCKER HP 2225 AB PRINTER</v>
          </cell>
          <cell r="F1152">
            <v>1</v>
          </cell>
          <cell r="G1152">
            <v>35339</v>
          </cell>
          <cell r="H1152">
            <v>4300</v>
          </cell>
        </row>
        <row r="1153">
          <cell r="A1153">
            <v>3400003962</v>
          </cell>
          <cell r="B1153">
            <v>6230</v>
          </cell>
          <cell r="C1153">
            <v>61112</v>
          </cell>
          <cell r="D1153">
            <v>0</v>
          </cell>
          <cell r="E1153" t="str">
            <v>DRUCKER HP 2225 AB PRINTER</v>
          </cell>
          <cell r="F1153">
            <v>1</v>
          </cell>
          <cell r="G1153">
            <v>35339</v>
          </cell>
          <cell r="H1153">
            <v>4300</v>
          </cell>
        </row>
        <row r="1154">
          <cell r="A1154">
            <v>3400003963</v>
          </cell>
          <cell r="B1154">
            <v>6230</v>
          </cell>
          <cell r="C1154">
            <v>61115</v>
          </cell>
          <cell r="D1154">
            <v>0</v>
          </cell>
          <cell r="E1154" t="str">
            <v>PERSONAL COMPUTER WITH ACESSORTES</v>
          </cell>
          <cell r="F1154">
            <v>1</v>
          </cell>
          <cell r="G1154">
            <v>35339</v>
          </cell>
          <cell r="H1154">
            <v>12600</v>
          </cell>
        </row>
        <row r="1155">
          <cell r="A1155">
            <v>3400004083</v>
          </cell>
          <cell r="B1155">
            <v>6230</v>
          </cell>
          <cell r="C1155">
            <v>61115</v>
          </cell>
          <cell r="D1155">
            <v>0</v>
          </cell>
          <cell r="E1155" t="str">
            <v>PRINTER WITH CABLE PT 88</v>
          </cell>
          <cell r="F1155">
            <v>1</v>
          </cell>
          <cell r="G1155">
            <v>35339</v>
          </cell>
          <cell r="H1155">
            <v>10000</v>
          </cell>
        </row>
        <row r="1156">
          <cell r="A1156">
            <v>3400004168</v>
          </cell>
          <cell r="B1156">
            <v>6230</v>
          </cell>
          <cell r="C1156">
            <v>61154</v>
          </cell>
          <cell r="D1156">
            <v>0</v>
          </cell>
          <cell r="E1156" t="str">
            <v>PC3865X-20 MODI OLIVETTI</v>
          </cell>
          <cell r="F1156">
            <v>1</v>
          </cell>
          <cell r="G1156">
            <v>35339</v>
          </cell>
          <cell r="H1156">
            <v>6300</v>
          </cell>
        </row>
        <row r="1157">
          <cell r="A1157">
            <v>3400004169</v>
          </cell>
          <cell r="B1157">
            <v>6230</v>
          </cell>
          <cell r="C1157">
            <v>61154</v>
          </cell>
          <cell r="D1157">
            <v>0</v>
          </cell>
          <cell r="E1157" t="str">
            <v>132 COL 24 PIN PRINTER - TVSE CALLIGRA</v>
          </cell>
          <cell r="F1157">
            <v>1</v>
          </cell>
          <cell r="G1157">
            <v>35339</v>
          </cell>
          <cell r="H1157">
            <v>3000</v>
          </cell>
        </row>
        <row r="1158">
          <cell r="A1158">
            <v>3400004173</v>
          </cell>
          <cell r="B1158">
            <v>6230</v>
          </cell>
          <cell r="C1158">
            <v>61104</v>
          </cell>
          <cell r="D1158">
            <v>0</v>
          </cell>
          <cell r="E1158" t="str">
            <v>PC 486 DX/33WITH ACCESSORIES</v>
          </cell>
          <cell r="F1158">
            <v>1</v>
          </cell>
          <cell r="G1158">
            <v>35339</v>
          </cell>
          <cell r="H1158">
            <v>12000</v>
          </cell>
        </row>
        <row r="1159">
          <cell r="A1159">
            <v>3400004174</v>
          </cell>
          <cell r="B1159">
            <v>6230</v>
          </cell>
          <cell r="C1159">
            <v>61119</v>
          </cell>
          <cell r="D1159">
            <v>0</v>
          </cell>
          <cell r="E1159" t="str">
            <v>LASER JET PRINTER IVM</v>
          </cell>
          <cell r="F1159">
            <v>1</v>
          </cell>
          <cell r="G1159">
            <v>35339</v>
          </cell>
          <cell r="H1159">
            <v>8800</v>
          </cell>
        </row>
        <row r="1160">
          <cell r="A1160">
            <v>3400004268</v>
          </cell>
          <cell r="B1160">
            <v>6230</v>
          </cell>
          <cell r="C1160">
            <v>61159</v>
          </cell>
          <cell r="D1160">
            <v>0</v>
          </cell>
          <cell r="E1160" t="str">
            <v>PC AT 486 DX</v>
          </cell>
          <cell r="F1160">
            <v>1</v>
          </cell>
          <cell r="G1160">
            <v>35339</v>
          </cell>
          <cell r="H1160">
            <v>12000</v>
          </cell>
        </row>
        <row r="1161">
          <cell r="A1161">
            <v>3400004269</v>
          </cell>
          <cell r="B1161">
            <v>6230</v>
          </cell>
          <cell r="C1161">
            <v>61152</v>
          </cell>
          <cell r="D1161">
            <v>0</v>
          </cell>
          <cell r="E1161" t="str">
            <v>PC AT 486 DX</v>
          </cell>
          <cell r="F1161">
            <v>1</v>
          </cell>
          <cell r="G1161">
            <v>35339</v>
          </cell>
          <cell r="H1161">
            <v>19100</v>
          </cell>
        </row>
        <row r="1162">
          <cell r="A1162">
            <v>3400004364</v>
          </cell>
          <cell r="B1162">
            <v>6230</v>
          </cell>
          <cell r="C1162">
            <v>61158</v>
          </cell>
          <cell r="D1162">
            <v>0</v>
          </cell>
          <cell r="E1162" t="str">
            <v>SCO UNIX NETWORK SOFTWARE</v>
          </cell>
          <cell r="F1162">
            <v>1</v>
          </cell>
          <cell r="G1162">
            <v>35339</v>
          </cell>
          <cell r="H1162">
            <v>37800</v>
          </cell>
        </row>
        <row r="1163">
          <cell r="A1163">
            <v>3400004365</v>
          </cell>
          <cell r="B1163">
            <v>6230</v>
          </cell>
          <cell r="C1163">
            <v>61158</v>
          </cell>
          <cell r="D1163">
            <v>0</v>
          </cell>
          <cell r="E1163" t="str">
            <v>COMPAQ PROLIENT WITH ATTACHMENTS</v>
          </cell>
          <cell r="F1163">
            <v>1</v>
          </cell>
          <cell r="G1163">
            <v>35339</v>
          </cell>
          <cell r="H1163">
            <v>199000</v>
          </cell>
        </row>
        <row r="1164">
          <cell r="A1164">
            <v>3400004365</v>
          </cell>
          <cell r="B1164">
            <v>6230</v>
          </cell>
          <cell r="C1164">
            <v>61158</v>
          </cell>
          <cell r="D1164">
            <v>1</v>
          </cell>
          <cell r="E1164" t="str">
            <v>APPLICATION SOFTWARE PRODSTAR 2</v>
          </cell>
          <cell r="F1164">
            <v>1</v>
          </cell>
          <cell r="G1164">
            <v>35339</v>
          </cell>
          <cell r="H1164">
            <v>378100</v>
          </cell>
        </row>
        <row r="1165">
          <cell r="A1165">
            <v>3400004365</v>
          </cell>
          <cell r="B1165">
            <v>6230</v>
          </cell>
          <cell r="C1165">
            <v>61158</v>
          </cell>
          <cell r="D1165">
            <v>2</v>
          </cell>
          <cell r="E1165" t="str">
            <v>PRODSTAR 2 UPDATE MFG POP</v>
          </cell>
          <cell r="F1165">
            <v>1</v>
          </cell>
          <cell r="G1165">
            <v>35339</v>
          </cell>
          <cell r="H1165">
            <v>138800</v>
          </cell>
        </row>
        <row r="1166">
          <cell r="A1166">
            <v>3400004365</v>
          </cell>
          <cell r="B1166">
            <v>6230</v>
          </cell>
          <cell r="C1166">
            <v>61158</v>
          </cell>
          <cell r="D1166">
            <v>3</v>
          </cell>
          <cell r="E1166" t="str">
            <v>APPLICATION SOFTWARE PRODSTAR 2</v>
          </cell>
          <cell r="F1166">
            <v>1</v>
          </cell>
          <cell r="G1166">
            <v>35339</v>
          </cell>
          <cell r="H1166">
            <v>72600</v>
          </cell>
        </row>
        <row r="1167">
          <cell r="A1167">
            <v>3400004389</v>
          </cell>
          <cell r="B1167">
            <v>6230</v>
          </cell>
          <cell r="C1167">
            <v>61155</v>
          </cell>
          <cell r="D1167">
            <v>0</v>
          </cell>
          <cell r="E1167" t="str">
            <v>COMPAQ PRESARIO 633 CPU &amp; MONITOR &amp; KEYB</v>
          </cell>
          <cell r="F1167">
            <v>1</v>
          </cell>
          <cell r="G1167">
            <v>35339</v>
          </cell>
          <cell r="H1167">
            <v>19100</v>
          </cell>
        </row>
        <row r="1168">
          <cell r="A1168">
            <v>3400004389</v>
          </cell>
          <cell r="B1168">
            <v>6230</v>
          </cell>
          <cell r="C1168">
            <v>61155</v>
          </cell>
          <cell r="D1168">
            <v>1</v>
          </cell>
          <cell r="E1168" t="str">
            <v>ENTRY TAX ON COMPAQ PRESARIO 633</v>
          </cell>
          <cell r="F1168">
            <v>1</v>
          </cell>
          <cell r="G1168">
            <v>35339</v>
          </cell>
          <cell r="H1168">
            <v>600</v>
          </cell>
        </row>
        <row r="1169">
          <cell r="A1169">
            <v>3400004390</v>
          </cell>
          <cell r="B1169">
            <v>6230</v>
          </cell>
          <cell r="C1169">
            <v>61158</v>
          </cell>
          <cell r="D1169">
            <v>0</v>
          </cell>
          <cell r="E1169" t="str">
            <v>COMPAQ PRESARIO 633 CPU &amp; MONITOR &amp; KEYB</v>
          </cell>
          <cell r="F1169">
            <v>1</v>
          </cell>
          <cell r="G1169">
            <v>35339</v>
          </cell>
          <cell r="H1169">
            <v>19100</v>
          </cell>
        </row>
        <row r="1170">
          <cell r="A1170">
            <v>3400004390</v>
          </cell>
          <cell r="B1170">
            <v>6230</v>
          </cell>
          <cell r="C1170">
            <v>61158</v>
          </cell>
          <cell r="D1170">
            <v>1</v>
          </cell>
          <cell r="E1170" t="str">
            <v>ENTRY TAX ON COMPAQ PRESARIO 633</v>
          </cell>
          <cell r="F1170">
            <v>1</v>
          </cell>
          <cell r="G1170">
            <v>35339</v>
          </cell>
          <cell r="H1170">
            <v>600</v>
          </cell>
        </row>
        <row r="1171">
          <cell r="A1171">
            <v>3400004390</v>
          </cell>
          <cell r="B1171">
            <v>6230</v>
          </cell>
          <cell r="C1171">
            <v>61158</v>
          </cell>
          <cell r="D1171">
            <v>2</v>
          </cell>
          <cell r="E1171" t="str">
            <v>MULTI MEDIA KIT FOR COMPAQ PRESARIO 633C</v>
          </cell>
          <cell r="F1171">
            <v>1</v>
          </cell>
          <cell r="G1171">
            <v>35339</v>
          </cell>
          <cell r="H1171">
            <v>9500</v>
          </cell>
        </row>
        <row r="1172">
          <cell r="A1172">
            <v>3400004391</v>
          </cell>
          <cell r="B1172">
            <v>6230</v>
          </cell>
          <cell r="C1172">
            <v>61162</v>
          </cell>
          <cell r="D1172">
            <v>0</v>
          </cell>
          <cell r="E1172" t="str">
            <v>COMPAQ PRESARIO 633 CPU &amp; MONITOR &amp; KEYB</v>
          </cell>
          <cell r="F1172">
            <v>1</v>
          </cell>
          <cell r="G1172">
            <v>35339</v>
          </cell>
          <cell r="H1172">
            <v>19100</v>
          </cell>
        </row>
        <row r="1173">
          <cell r="A1173">
            <v>3400004391</v>
          </cell>
          <cell r="B1173">
            <v>6230</v>
          </cell>
          <cell r="C1173">
            <v>61162</v>
          </cell>
          <cell r="D1173">
            <v>1</v>
          </cell>
          <cell r="E1173" t="str">
            <v>ENTRY TAX ON COMPAQ PRESARIO 633</v>
          </cell>
          <cell r="F1173">
            <v>1</v>
          </cell>
          <cell r="G1173">
            <v>35339</v>
          </cell>
          <cell r="H1173">
            <v>600</v>
          </cell>
        </row>
        <row r="1174">
          <cell r="A1174">
            <v>3400004392</v>
          </cell>
          <cell r="B1174">
            <v>6230</v>
          </cell>
          <cell r="C1174">
            <v>61158</v>
          </cell>
          <cell r="D1174">
            <v>0</v>
          </cell>
          <cell r="E1174" t="str">
            <v>COMPAQ PRESARIO 633 CPU &amp; MONITOR &amp; KEYB</v>
          </cell>
          <cell r="F1174">
            <v>1</v>
          </cell>
          <cell r="G1174">
            <v>35339</v>
          </cell>
          <cell r="H1174">
            <v>19100</v>
          </cell>
        </row>
        <row r="1175">
          <cell r="A1175">
            <v>3400004392</v>
          </cell>
          <cell r="B1175">
            <v>6230</v>
          </cell>
          <cell r="C1175">
            <v>61158</v>
          </cell>
          <cell r="D1175">
            <v>1</v>
          </cell>
          <cell r="E1175" t="str">
            <v>ENTRY TAX ON COMPAQ PRESARIO 633</v>
          </cell>
          <cell r="F1175">
            <v>1</v>
          </cell>
          <cell r="G1175">
            <v>35339</v>
          </cell>
          <cell r="H1175">
            <v>600</v>
          </cell>
        </row>
        <row r="1176">
          <cell r="A1176">
            <v>3400004428</v>
          </cell>
          <cell r="B1176">
            <v>6230</v>
          </cell>
          <cell r="C1176">
            <v>61156</v>
          </cell>
          <cell r="D1176">
            <v>0</v>
          </cell>
          <cell r="E1176" t="str">
            <v>CANON BJ-230 PRINTER A3/A4SIZE WITH SOFT</v>
          </cell>
          <cell r="F1176">
            <v>1</v>
          </cell>
          <cell r="G1176">
            <v>35339</v>
          </cell>
          <cell r="H1176">
            <v>7200</v>
          </cell>
        </row>
        <row r="1177">
          <cell r="A1177">
            <v>3400004435</v>
          </cell>
          <cell r="B1177">
            <v>6230</v>
          </cell>
          <cell r="C1177">
            <v>61155</v>
          </cell>
          <cell r="D1177">
            <v>0</v>
          </cell>
          <cell r="E1177" t="str">
            <v>HP DESK JET 520</v>
          </cell>
          <cell r="F1177">
            <v>1</v>
          </cell>
          <cell r="G1177">
            <v>35339</v>
          </cell>
          <cell r="H1177">
            <v>11500</v>
          </cell>
        </row>
        <row r="1178">
          <cell r="A1178">
            <v>3400004447</v>
          </cell>
          <cell r="B1178">
            <v>6230</v>
          </cell>
          <cell r="C1178">
            <v>61159</v>
          </cell>
          <cell r="D1178">
            <v>0</v>
          </cell>
          <cell r="E1178" t="str">
            <v>PANASONIC PRINTER KX-P2624 SR3LMBGEO8442</v>
          </cell>
          <cell r="F1178">
            <v>1</v>
          </cell>
          <cell r="G1178">
            <v>35339</v>
          </cell>
          <cell r="H1178">
            <v>7200</v>
          </cell>
        </row>
        <row r="1179">
          <cell r="A1179">
            <v>3400004449</v>
          </cell>
          <cell r="B1179">
            <v>6230</v>
          </cell>
          <cell r="C1179">
            <v>61155</v>
          </cell>
          <cell r="D1179">
            <v>0</v>
          </cell>
          <cell r="E1179" t="str">
            <v>HP LASER PRINTER LJ-4M</v>
          </cell>
          <cell r="F1179">
            <v>1</v>
          </cell>
          <cell r="G1179">
            <v>35339</v>
          </cell>
          <cell r="H1179">
            <v>13900</v>
          </cell>
        </row>
        <row r="1180">
          <cell r="A1180">
            <v>3400004479</v>
          </cell>
          <cell r="B1180">
            <v>6230</v>
          </cell>
          <cell r="C1180">
            <v>61158</v>
          </cell>
          <cell r="D1180">
            <v>0</v>
          </cell>
          <cell r="E1180" t="str">
            <v>CI 5000 PRINTER</v>
          </cell>
          <cell r="F1180">
            <v>1</v>
          </cell>
          <cell r="G1180">
            <v>35339</v>
          </cell>
          <cell r="H1180">
            <v>13900</v>
          </cell>
        </row>
        <row r="1181">
          <cell r="A1181">
            <v>3400004484</v>
          </cell>
          <cell r="B1181">
            <v>6230</v>
          </cell>
          <cell r="C1181">
            <v>61151</v>
          </cell>
          <cell r="D1181">
            <v>0</v>
          </cell>
          <cell r="E1181" t="str">
            <v>HP DESK JET PRINTER 520 DJ</v>
          </cell>
          <cell r="F1181">
            <v>1</v>
          </cell>
          <cell r="G1181">
            <v>35339</v>
          </cell>
          <cell r="H1181">
            <v>4800</v>
          </cell>
        </row>
        <row r="1182">
          <cell r="A1182">
            <v>3400004486</v>
          </cell>
          <cell r="B1182">
            <v>6230</v>
          </cell>
          <cell r="C1182">
            <v>61155</v>
          </cell>
          <cell r="D1182">
            <v>0</v>
          </cell>
          <cell r="E1182" t="str">
            <v>486 DX/33 MHZ TOWER PC WITH MONITOR KEYB</v>
          </cell>
          <cell r="F1182">
            <v>1</v>
          </cell>
          <cell r="G1182">
            <v>35339</v>
          </cell>
          <cell r="H1182">
            <v>19100</v>
          </cell>
        </row>
        <row r="1183">
          <cell r="A1183">
            <v>3400004519</v>
          </cell>
          <cell r="B1183">
            <v>6230</v>
          </cell>
          <cell r="C1183">
            <v>61158</v>
          </cell>
          <cell r="D1183">
            <v>0</v>
          </cell>
          <cell r="E1183" t="str">
            <v>COLOUR MONITOR 14 TVM NO 1141213758</v>
          </cell>
          <cell r="F1183">
            <v>1</v>
          </cell>
          <cell r="G1183">
            <v>35339</v>
          </cell>
          <cell r="H1183">
            <v>7600</v>
          </cell>
        </row>
        <row r="1184">
          <cell r="A1184">
            <v>3400004527</v>
          </cell>
          <cell r="B1184">
            <v>6230</v>
          </cell>
          <cell r="C1184">
            <v>61156</v>
          </cell>
          <cell r="D1184">
            <v>0</v>
          </cell>
          <cell r="E1184" t="str">
            <v>GODREJ HP DESKJET 500C PRINTER</v>
          </cell>
          <cell r="F1184">
            <v>1</v>
          </cell>
          <cell r="G1184">
            <v>35339</v>
          </cell>
          <cell r="H1184">
            <v>12600</v>
          </cell>
        </row>
        <row r="1185">
          <cell r="A1185">
            <v>3400004528</v>
          </cell>
          <cell r="B1185">
            <v>6230</v>
          </cell>
          <cell r="C1185">
            <v>61101</v>
          </cell>
          <cell r="D1185">
            <v>0</v>
          </cell>
          <cell r="E1185" t="str">
            <v>GODREJ HP DESKJET 520 PRINTER</v>
          </cell>
          <cell r="F1185">
            <v>1</v>
          </cell>
          <cell r="G1185">
            <v>35339</v>
          </cell>
          <cell r="H1185">
            <v>10700</v>
          </cell>
        </row>
        <row r="1186">
          <cell r="A1186">
            <v>3400004543</v>
          </cell>
          <cell r="B1186">
            <v>6230</v>
          </cell>
          <cell r="C1186">
            <v>61152</v>
          </cell>
          <cell r="D1186">
            <v>0</v>
          </cell>
          <cell r="E1186" t="str">
            <v>GODREJ HP DESKJET 520 PRINTER</v>
          </cell>
          <cell r="F1186">
            <v>1</v>
          </cell>
          <cell r="G1186">
            <v>35339</v>
          </cell>
          <cell r="H1186">
            <v>7600</v>
          </cell>
        </row>
        <row r="1187">
          <cell r="A1187">
            <v>3400004544</v>
          </cell>
          <cell r="B1187">
            <v>6230</v>
          </cell>
          <cell r="C1187">
            <v>61161</v>
          </cell>
          <cell r="D1187">
            <v>0</v>
          </cell>
          <cell r="E1187" t="str">
            <v>GODREJ HP DESKJET 520 PRINTER</v>
          </cell>
          <cell r="F1187">
            <v>1</v>
          </cell>
          <cell r="G1187">
            <v>35339</v>
          </cell>
          <cell r="H1187">
            <v>7600</v>
          </cell>
        </row>
        <row r="1188">
          <cell r="A1188">
            <v>3400004545</v>
          </cell>
          <cell r="B1188">
            <v>6230</v>
          </cell>
          <cell r="C1188">
            <v>61116</v>
          </cell>
          <cell r="D1188">
            <v>0</v>
          </cell>
          <cell r="E1188" t="str">
            <v>GODREJ HP DESKJET 520 PRINTER</v>
          </cell>
          <cell r="F1188">
            <v>1</v>
          </cell>
          <cell r="G1188">
            <v>35339</v>
          </cell>
          <cell r="H1188">
            <v>11400</v>
          </cell>
        </row>
        <row r="1189">
          <cell r="A1189">
            <v>3400004546</v>
          </cell>
          <cell r="B1189">
            <v>6230</v>
          </cell>
          <cell r="C1189">
            <v>61155</v>
          </cell>
          <cell r="D1189">
            <v>0</v>
          </cell>
          <cell r="E1189" t="str">
            <v>SF 80386DY COMPUTER&amp;MONITOR WITH DISK UP</v>
          </cell>
          <cell r="F1189">
            <v>1</v>
          </cell>
          <cell r="G1189">
            <v>35339</v>
          </cell>
          <cell r="H1189">
            <v>12600</v>
          </cell>
        </row>
        <row r="1190">
          <cell r="A1190">
            <v>3400004547</v>
          </cell>
          <cell r="B1190">
            <v>6230</v>
          </cell>
          <cell r="C1190">
            <v>61155</v>
          </cell>
          <cell r="D1190">
            <v>0</v>
          </cell>
          <cell r="E1190" t="str">
            <v>SF 08386 DY COMPUTER &amp; MONITOR</v>
          </cell>
          <cell r="F1190">
            <v>1</v>
          </cell>
          <cell r="G1190">
            <v>35339</v>
          </cell>
          <cell r="H1190">
            <v>12600</v>
          </cell>
        </row>
        <row r="1191">
          <cell r="A1191">
            <v>3400003561</v>
          </cell>
          <cell r="B1191">
            <v>6230</v>
          </cell>
          <cell r="C1191">
            <v>61158</v>
          </cell>
          <cell r="D1191">
            <v>0</v>
          </cell>
          <cell r="E1191" t="str">
            <v>CD ROM DRIVE-PANSEGRAW</v>
          </cell>
          <cell r="F1191">
            <v>1</v>
          </cell>
          <cell r="G1191">
            <v>35444</v>
          </cell>
          <cell r="H1191">
            <v>6150</v>
          </cell>
        </row>
        <row r="1192">
          <cell r="A1192">
            <v>3400003775</v>
          </cell>
          <cell r="B1192">
            <v>6230</v>
          </cell>
          <cell r="C1192">
            <v>61160</v>
          </cell>
          <cell r="D1192">
            <v>0</v>
          </cell>
          <cell r="E1192" t="str">
            <v>ETHERNET CARD-2 NOS.</v>
          </cell>
          <cell r="F1192">
            <v>1</v>
          </cell>
          <cell r="G1192">
            <v>35510</v>
          </cell>
          <cell r="H1192">
            <v>3376</v>
          </cell>
        </row>
        <row r="1193">
          <cell r="A1193">
            <v>3400003776</v>
          </cell>
          <cell r="B1193">
            <v>6230</v>
          </cell>
          <cell r="C1193">
            <v>61151</v>
          </cell>
          <cell r="D1193">
            <v>0</v>
          </cell>
          <cell r="E1193" t="str">
            <v>ETHERNET CARD-2 NOS.</v>
          </cell>
          <cell r="F1193">
            <v>1</v>
          </cell>
          <cell r="G1193">
            <v>35510</v>
          </cell>
          <cell r="H1193">
            <v>3376</v>
          </cell>
        </row>
        <row r="1194">
          <cell r="A1194">
            <v>3400003777</v>
          </cell>
          <cell r="B1194">
            <v>6230</v>
          </cell>
          <cell r="C1194">
            <v>61119</v>
          </cell>
          <cell r="D1194">
            <v>0</v>
          </cell>
          <cell r="E1194" t="str">
            <v>ETHERNET CARD-1 NOS.</v>
          </cell>
          <cell r="F1194">
            <v>1</v>
          </cell>
          <cell r="G1194">
            <v>35510</v>
          </cell>
          <cell r="H1194">
            <v>1688</v>
          </cell>
        </row>
        <row r="1195">
          <cell r="A1195">
            <v>3400003778</v>
          </cell>
          <cell r="B1195">
            <v>6230</v>
          </cell>
          <cell r="C1195">
            <v>61158</v>
          </cell>
          <cell r="D1195">
            <v>0</v>
          </cell>
          <cell r="E1195" t="str">
            <v>TERMINATION &amp; CABLE LAYING CHARGES</v>
          </cell>
          <cell r="F1195">
            <v>1</v>
          </cell>
          <cell r="G1195">
            <v>35510</v>
          </cell>
          <cell r="H1195">
            <v>9020</v>
          </cell>
        </row>
        <row r="1196">
          <cell r="A1196">
            <v>3400003779</v>
          </cell>
          <cell r="B1196">
            <v>6230</v>
          </cell>
          <cell r="C1196">
            <v>61158</v>
          </cell>
          <cell r="D1196">
            <v>0</v>
          </cell>
          <cell r="E1196" t="str">
            <v>TRANSCIEVER E-6002</v>
          </cell>
          <cell r="F1196">
            <v>1</v>
          </cell>
          <cell r="G1196">
            <v>35510</v>
          </cell>
          <cell r="H1196">
            <v>2110</v>
          </cell>
        </row>
        <row r="1197">
          <cell r="A1197">
            <v>3400003794</v>
          </cell>
          <cell r="B1197">
            <v>6500</v>
          </cell>
          <cell r="C1197">
            <v>61115</v>
          </cell>
          <cell r="D1197">
            <v>0</v>
          </cell>
          <cell r="E1197" t="str">
            <v>UPGRADE KIT FOR TESTMOD 2E</v>
          </cell>
          <cell r="F1197">
            <v>12</v>
          </cell>
          <cell r="G1197">
            <v>35521</v>
          </cell>
          <cell r="H1197">
            <v>571565</v>
          </cell>
        </row>
        <row r="1198">
          <cell r="A1198">
            <v>3400003829</v>
          </cell>
          <cell r="B1198">
            <v>6500</v>
          </cell>
          <cell r="C1198">
            <v>61112</v>
          </cell>
          <cell r="D1198">
            <v>0</v>
          </cell>
          <cell r="E1198" t="str">
            <v>S30810-U4911-A320 TEST ADAPTER SLMA:FPE</v>
          </cell>
          <cell r="F1198">
            <v>1</v>
          </cell>
          <cell r="G1198">
            <v>35521</v>
          </cell>
          <cell r="H1198">
            <v>364021</v>
          </cell>
        </row>
        <row r="1199">
          <cell r="A1199">
            <v>3400003830</v>
          </cell>
          <cell r="B1199">
            <v>6500</v>
          </cell>
          <cell r="C1199">
            <v>61112</v>
          </cell>
          <cell r="D1199">
            <v>0</v>
          </cell>
          <cell r="E1199" t="str">
            <v>S30189-U4911-A210 TEST ADAPTER GPLCGPLSD</v>
          </cell>
          <cell r="F1199">
            <v>1</v>
          </cell>
          <cell r="G1199">
            <v>35521</v>
          </cell>
          <cell r="H1199">
            <v>574782</v>
          </cell>
        </row>
        <row r="1200">
          <cell r="A1200">
            <v>3400003831</v>
          </cell>
          <cell r="B1200">
            <v>6500</v>
          </cell>
          <cell r="C1200">
            <v>61112</v>
          </cell>
          <cell r="D1200">
            <v>0</v>
          </cell>
          <cell r="E1200" t="str">
            <v>S30189-U4911-A240 TEST ADAPTER DIU120A</v>
          </cell>
          <cell r="F1200">
            <v>1</v>
          </cell>
          <cell r="G1200">
            <v>35521</v>
          </cell>
          <cell r="H1200">
            <v>574782</v>
          </cell>
        </row>
        <row r="1201">
          <cell r="A1201">
            <v>3400003832</v>
          </cell>
          <cell r="B1201">
            <v>6500</v>
          </cell>
          <cell r="C1201">
            <v>61112</v>
          </cell>
          <cell r="D1201">
            <v>0</v>
          </cell>
          <cell r="E1201" t="str">
            <v>S30189-U4911-A220 TEST APADPER GSMY**</v>
          </cell>
          <cell r="F1201">
            <v>1</v>
          </cell>
          <cell r="G1201">
            <v>35521</v>
          </cell>
          <cell r="H1201">
            <v>574782</v>
          </cell>
        </row>
        <row r="1202">
          <cell r="A1202">
            <v>3400004646</v>
          </cell>
          <cell r="B1202">
            <v>6500</v>
          </cell>
          <cell r="C1202">
            <v>61115</v>
          </cell>
          <cell r="D1202">
            <v>0</v>
          </cell>
          <cell r="E1202" t="str">
            <v>LADL MODULE FOR TESTING</v>
          </cell>
          <cell r="F1202">
            <v>1</v>
          </cell>
          <cell r="G1202">
            <v>35309</v>
          </cell>
          <cell r="H1202">
            <v>1200</v>
          </cell>
        </row>
        <row r="1203">
          <cell r="A1203">
            <v>3400002984</v>
          </cell>
          <cell r="B1203">
            <v>6500</v>
          </cell>
          <cell r="C1203">
            <v>61116</v>
          </cell>
          <cell r="D1203">
            <v>0</v>
          </cell>
          <cell r="E1203" t="str">
            <v>DIGITAL TRANSMISSION ANALYSER ME 520B</v>
          </cell>
          <cell r="F1203">
            <v>1</v>
          </cell>
          <cell r="G1203">
            <v>35339</v>
          </cell>
          <cell r="H1203">
            <v>540400</v>
          </cell>
        </row>
        <row r="1204">
          <cell r="A1204">
            <v>3400002985</v>
          </cell>
          <cell r="B1204">
            <v>6500</v>
          </cell>
          <cell r="C1204">
            <v>61116</v>
          </cell>
          <cell r="D1204">
            <v>0</v>
          </cell>
          <cell r="E1204" t="str">
            <v>LEVEL METER ML424A</v>
          </cell>
          <cell r="F1204">
            <v>1</v>
          </cell>
          <cell r="G1204">
            <v>35339</v>
          </cell>
          <cell r="H1204">
            <v>151000</v>
          </cell>
        </row>
        <row r="1205">
          <cell r="A1205">
            <v>3400003038</v>
          </cell>
          <cell r="B1205">
            <v>6500</v>
          </cell>
          <cell r="C1205">
            <v>61116</v>
          </cell>
          <cell r="D1205">
            <v>0</v>
          </cell>
          <cell r="E1205" t="str">
            <v>JITTER MODULATION OSCILLATOR MODEL NO.MH</v>
          </cell>
          <cell r="F1205">
            <v>1</v>
          </cell>
          <cell r="G1205">
            <v>35339</v>
          </cell>
          <cell r="H1205">
            <v>274200</v>
          </cell>
        </row>
        <row r="1206">
          <cell r="A1206">
            <v>3400003039</v>
          </cell>
          <cell r="B1206">
            <v>6500</v>
          </cell>
          <cell r="C1206">
            <v>61116</v>
          </cell>
          <cell r="D1206">
            <v>0</v>
          </cell>
          <cell r="E1206" t="str">
            <v>DIGITAL TRANSMISSION ANALYZER  MODEL NO.</v>
          </cell>
          <cell r="F1206">
            <v>1</v>
          </cell>
          <cell r="G1206">
            <v>35339</v>
          </cell>
          <cell r="H1206">
            <v>965200</v>
          </cell>
        </row>
        <row r="1207">
          <cell r="A1207">
            <v>3400003040</v>
          </cell>
          <cell r="B1207">
            <v>6500</v>
          </cell>
          <cell r="C1207">
            <v>61116</v>
          </cell>
          <cell r="D1207">
            <v>0</v>
          </cell>
          <cell r="E1207" t="str">
            <v>LEVEL METER MODEL NO. Z0031A</v>
          </cell>
          <cell r="F1207">
            <v>1</v>
          </cell>
          <cell r="G1207">
            <v>35339</v>
          </cell>
          <cell r="H1207">
            <v>268600</v>
          </cell>
        </row>
        <row r="1208">
          <cell r="A1208">
            <v>3400003220</v>
          </cell>
          <cell r="B1208">
            <v>6500</v>
          </cell>
          <cell r="C1208">
            <v>61112</v>
          </cell>
          <cell r="D1208">
            <v>0</v>
          </cell>
          <cell r="E1208" t="str">
            <v>ZENTAL MODULES FOR EWSD</v>
          </cell>
          <cell r="F1208">
            <v>1</v>
          </cell>
          <cell r="G1208">
            <v>35339</v>
          </cell>
          <cell r="H1208">
            <v>133100</v>
          </cell>
        </row>
        <row r="1209">
          <cell r="A1209">
            <v>3400003703</v>
          </cell>
          <cell r="B1209">
            <v>6500</v>
          </cell>
          <cell r="C1209">
            <v>61115</v>
          </cell>
          <cell r="D1209">
            <v>0</v>
          </cell>
          <cell r="E1209" t="str">
            <v>HW MIRROR FOR LTGM KS:DIU</v>
          </cell>
          <cell r="F1209">
            <v>1</v>
          </cell>
          <cell r="G1209">
            <v>35339</v>
          </cell>
          <cell r="H1209">
            <v>7885.53</v>
          </cell>
        </row>
        <row r="1210">
          <cell r="A1210">
            <v>3400003836</v>
          </cell>
          <cell r="B1210">
            <v>6500</v>
          </cell>
          <cell r="C1210">
            <v>61116</v>
          </cell>
          <cell r="D1210">
            <v>0</v>
          </cell>
          <cell r="E1210" t="str">
            <v>COAXIAL STEP ATTENUATOR DC 4 GHZ</v>
          </cell>
          <cell r="F1210">
            <v>1</v>
          </cell>
          <cell r="G1210">
            <v>35339</v>
          </cell>
          <cell r="H1210">
            <v>8000</v>
          </cell>
        </row>
        <row r="1211">
          <cell r="A1211">
            <v>3400003837</v>
          </cell>
          <cell r="B1211">
            <v>6500</v>
          </cell>
          <cell r="C1211">
            <v>61116</v>
          </cell>
          <cell r="D1211">
            <v>0</v>
          </cell>
          <cell r="E1211" t="str">
            <v>COAXIAL STEP ATTENUATOR DC 4 GHZ</v>
          </cell>
          <cell r="F1211">
            <v>1</v>
          </cell>
          <cell r="G1211">
            <v>35339</v>
          </cell>
          <cell r="H1211">
            <v>8000</v>
          </cell>
        </row>
        <row r="1212">
          <cell r="A1212">
            <v>3400003838</v>
          </cell>
          <cell r="B1212">
            <v>6500</v>
          </cell>
          <cell r="C1212">
            <v>61116</v>
          </cell>
          <cell r="D1212">
            <v>0</v>
          </cell>
          <cell r="E1212" t="str">
            <v>COAXIAL STEP ATTENUATOR DC 4 GHZ</v>
          </cell>
          <cell r="F1212">
            <v>1</v>
          </cell>
          <cell r="G1212">
            <v>35339</v>
          </cell>
          <cell r="H1212">
            <v>8000</v>
          </cell>
        </row>
        <row r="1213">
          <cell r="A1213">
            <v>3400003839</v>
          </cell>
          <cell r="B1213">
            <v>6500</v>
          </cell>
          <cell r="C1213">
            <v>61116</v>
          </cell>
          <cell r="D1213">
            <v>0</v>
          </cell>
          <cell r="E1213" t="str">
            <v>COAXIAL STEP ATTENUATOR DC 4 GHZ</v>
          </cell>
          <cell r="F1213">
            <v>1</v>
          </cell>
          <cell r="G1213">
            <v>35339</v>
          </cell>
          <cell r="H1213">
            <v>8000</v>
          </cell>
        </row>
        <row r="1214">
          <cell r="A1214">
            <v>3400003840</v>
          </cell>
          <cell r="B1214">
            <v>6500</v>
          </cell>
          <cell r="C1214">
            <v>61116</v>
          </cell>
          <cell r="D1214">
            <v>0</v>
          </cell>
          <cell r="E1214" t="str">
            <v>STEP ATTENUATOR DC-4 GHZ</v>
          </cell>
          <cell r="F1214">
            <v>1</v>
          </cell>
          <cell r="G1214">
            <v>35339</v>
          </cell>
          <cell r="H1214">
            <v>9500</v>
          </cell>
        </row>
        <row r="1215">
          <cell r="A1215">
            <v>3400003841</v>
          </cell>
          <cell r="B1215">
            <v>6500</v>
          </cell>
          <cell r="C1215">
            <v>61116</v>
          </cell>
          <cell r="D1215">
            <v>0</v>
          </cell>
          <cell r="E1215" t="str">
            <v>STEP ATTENUATOR DC-4 GHZ</v>
          </cell>
          <cell r="F1215">
            <v>1</v>
          </cell>
          <cell r="G1215">
            <v>35339</v>
          </cell>
          <cell r="H1215">
            <v>9500</v>
          </cell>
        </row>
        <row r="1216">
          <cell r="A1216">
            <v>3400003842</v>
          </cell>
          <cell r="B1216">
            <v>6500</v>
          </cell>
          <cell r="C1216">
            <v>61116</v>
          </cell>
          <cell r="D1216">
            <v>0</v>
          </cell>
          <cell r="E1216" t="str">
            <v>STEP ATTENUATOR DC-4 GHZ</v>
          </cell>
          <cell r="F1216">
            <v>1</v>
          </cell>
          <cell r="G1216">
            <v>35339</v>
          </cell>
          <cell r="H1216">
            <v>9500</v>
          </cell>
        </row>
        <row r="1217">
          <cell r="A1217">
            <v>3400003843</v>
          </cell>
          <cell r="B1217">
            <v>6500</v>
          </cell>
          <cell r="C1217">
            <v>61116</v>
          </cell>
          <cell r="D1217">
            <v>0</v>
          </cell>
          <cell r="E1217" t="str">
            <v>STEP ATTENUATOR DC-4 GHZ</v>
          </cell>
          <cell r="F1217">
            <v>1</v>
          </cell>
          <cell r="G1217">
            <v>35339</v>
          </cell>
          <cell r="H1217">
            <v>9500</v>
          </cell>
        </row>
        <row r="1218">
          <cell r="A1218">
            <v>3400003844</v>
          </cell>
          <cell r="B1218">
            <v>6500</v>
          </cell>
          <cell r="C1218">
            <v>61116</v>
          </cell>
          <cell r="D1218">
            <v>0</v>
          </cell>
          <cell r="E1218" t="str">
            <v>DC POWER SUPPLY</v>
          </cell>
          <cell r="F1218">
            <v>1</v>
          </cell>
          <cell r="G1218">
            <v>35339</v>
          </cell>
          <cell r="H1218">
            <v>52000</v>
          </cell>
        </row>
        <row r="1219">
          <cell r="A1219">
            <v>3400003845</v>
          </cell>
          <cell r="B1219">
            <v>6500</v>
          </cell>
          <cell r="C1219">
            <v>61116</v>
          </cell>
          <cell r="D1219">
            <v>0</v>
          </cell>
          <cell r="E1219" t="str">
            <v>DC POWER SUPPLY</v>
          </cell>
          <cell r="F1219">
            <v>1</v>
          </cell>
          <cell r="G1219">
            <v>35339</v>
          </cell>
          <cell r="H1219">
            <v>52000</v>
          </cell>
        </row>
        <row r="1220">
          <cell r="A1220">
            <v>3400003846</v>
          </cell>
          <cell r="B1220">
            <v>6500</v>
          </cell>
          <cell r="C1220">
            <v>61116</v>
          </cell>
          <cell r="D1220">
            <v>0</v>
          </cell>
          <cell r="E1220" t="str">
            <v>9KHZ 22GHZ MICROWAVE SPECTRUM ANALYZER</v>
          </cell>
          <cell r="F1220">
            <v>1</v>
          </cell>
          <cell r="G1220">
            <v>35339</v>
          </cell>
          <cell r="H1220">
            <v>356800</v>
          </cell>
        </row>
        <row r="1221">
          <cell r="A1221">
            <v>3400003847</v>
          </cell>
          <cell r="B1221">
            <v>6500</v>
          </cell>
          <cell r="C1221">
            <v>61116</v>
          </cell>
          <cell r="D1221">
            <v>0</v>
          </cell>
          <cell r="E1221" t="str">
            <v>9KHZ 22GHZ MICROWAVE SPECTRUM ANALYZER</v>
          </cell>
          <cell r="F1221">
            <v>1</v>
          </cell>
          <cell r="G1221">
            <v>35339</v>
          </cell>
          <cell r="H1221">
            <v>356800</v>
          </cell>
        </row>
        <row r="1222">
          <cell r="A1222">
            <v>3400003848</v>
          </cell>
          <cell r="B1222">
            <v>6500</v>
          </cell>
          <cell r="C1222">
            <v>61116</v>
          </cell>
          <cell r="D1222">
            <v>0</v>
          </cell>
          <cell r="E1222" t="str">
            <v>DC POWER SUPPLY</v>
          </cell>
          <cell r="F1222">
            <v>1</v>
          </cell>
          <cell r="G1222">
            <v>35339</v>
          </cell>
          <cell r="H1222">
            <v>4000</v>
          </cell>
        </row>
        <row r="1223">
          <cell r="A1223">
            <v>3400003849</v>
          </cell>
          <cell r="B1223">
            <v>6500</v>
          </cell>
          <cell r="C1223">
            <v>61116</v>
          </cell>
          <cell r="D1223">
            <v>0</v>
          </cell>
          <cell r="E1223" t="str">
            <v>DC POWER SUPPLY</v>
          </cell>
          <cell r="F1223">
            <v>1</v>
          </cell>
          <cell r="G1223">
            <v>35339</v>
          </cell>
          <cell r="H1223">
            <v>4000</v>
          </cell>
        </row>
        <row r="1224">
          <cell r="A1224">
            <v>3400003850</v>
          </cell>
          <cell r="B1224">
            <v>6500</v>
          </cell>
          <cell r="C1224">
            <v>61116</v>
          </cell>
          <cell r="D1224">
            <v>0</v>
          </cell>
          <cell r="E1224" t="str">
            <v>DC POWER SUPPLY</v>
          </cell>
          <cell r="F1224">
            <v>1</v>
          </cell>
          <cell r="G1224">
            <v>35339</v>
          </cell>
          <cell r="H1224">
            <v>4000</v>
          </cell>
        </row>
        <row r="1225">
          <cell r="A1225">
            <v>3400003851</v>
          </cell>
          <cell r="B1225">
            <v>6500</v>
          </cell>
          <cell r="C1225">
            <v>61116</v>
          </cell>
          <cell r="D1225">
            <v>0</v>
          </cell>
          <cell r="E1225" t="str">
            <v>DC POWER SUPPLY</v>
          </cell>
          <cell r="F1225">
            <v>1</v>
          </cell>
          <cell r="G1225">
            <v>35339</v>
          </cell>
          <cell r="H1225">
            <v>4000</v>
          </cell>
        </row>
        <row r="1226">
          <cell r="A1226">
            <v>3400003852</v>
          </cell>
          <cell r="B1226">
            <v>6500</v>
          </cell>
          <cell r="C1226">
            <v>61116</v>
          </cell>
          <cell r="D1226">
            <v>0</v>
          </cell>
          <cell r="E1226" t="str">
            <v>DC POWER SUPPLY</v>
          </cell>
          <cell r="F1226">
            <v>1</v>
          </cell>
          <cell r="G1226">
            <v>35339</v>
          </cell>
          <cell r="H1226">
            <v>4000</v>
          </cell>
        </row>
        <row r="1227">
          <cell r="A1227">
            <v>3400003853</v>
          </cell>
          <cell r="B1227">
            <v>6500</v>
          </cell>
          <cell r="C1227">
            <v>61116</v>
          </cell>
          <cell r="D1227">
            <v>0</v>
          </cell>
          <cell r="E1227" t="str">
            <v>DC POWER SUPPLY</v>
          </cell>
          <cell r="F1227">
            <v>1</v>
          </cell>
          <cell r="G1227">
            <v>35339</v>
          </cell>
          <cell r="H1227">
            <v>4000</v>
          </cell>
        </row>
        <row r="1228">
          <cell r="A1228">
            <v>3400003854</v>
          </cell>
          <cell r="B1228">
            <v>6500</v>
          </cell>
          <cell r="C1228">
            <v>61116</v>
          </cell>
          <cell r="D1228">
            <v>0</v>
          </cell>
          <cell r="E1228" t="str">
            <v>DC POWER SUPPLY</v>
          </cell>
          <cell r="F1228">
            <v>1</v>
          </cell>
          <cell r="G1228">
            <v>35339</v>
          </cell>
          <cell r="H1228">
            <v>4000</v>
          </cell>
        </row>
        <row r="1229">
          <cell r="A1229">
            <v>3400003855</v>
          </cell>
          <cell r="B1229">
            <v>6500</v>
          </cell>
          <cell r="C1229">
            <v>61116</v>
          </cell>
          <cell r="D1229">
            <v>0</v>
          </cell>
          <cell r="E1229" t="str">
            <v>DC POWER SUPPLY</v>
          </cell>
          <cell r="F1229">
            <v>1</v>
          </cell>
          <cell r="G1229">
            <v>35339</v>
          </cell>
          <cell r="H1229">
            <v>4000</v>
          </cell>
        </row>
        <row r="1230">
          <cell r="A1230">
            <v>3400003856</v>
          </cell>
          <cell r="B1230">
            <v>6500</v>
          </cell>
          <cell r="C1230">
            <v>61116</v>
          </cell>
          <cell r="D1230">
            <v>0</v>
          </cell>
          <cell r="E1230" t="str">
            <v>DC POWER SUPPLY</v>
          </cell>
          <cell r="F1230">
            <v>1</v>
          </cell>
          <cell r="G1230">
            <v>35339</v>
          </cell>
          <cell r="H1230">
            <v>4000</v>
          </cell>
        </row>
        <row r="1231">
          <cell r="A1231">
            <v>3400003857</v>
          </cell>
          <cell r="B1231">
            <v>6500</v>
          </cell>
          <cell r="C1231">
            <v>61116</v>
          </cell>
          <cell r="D1231">
            <v>0</v>
          </cell>
          <cell r="E1231" t="str">
            <v>DC POWER SUPPLY</v>
          </cell>
          <cell r="F1231">
            <v>1</v>
          </cell>
          <cell r="G1231">
            <v>35339</v>
          </cell>
          <cell r="H1231">
            <v>4000</v>
          </cell>
        </row>
        <row r="1232">
          <cell r="A1232">
            <v>3400003858</v>
          </cell>
          <cell r="B1232">
            <v>6500</v>
          </cell>
          <cell r="C1232">
            <v>61116</v>
          </cell>
          <cell r="D1232">
            <v>0</v>
          </cell>
          <cell r="E1232" t="str">
            <v>CABLE ASSEMBLY</v>
          </cell>
          <cell r="F1232">
            <v>1</v>
          </cell>
          <cell r="G1232">
            <v>35339</v>
          </cell>
          <cell r="H1232">
            <v>29500</v>
          </cell>
        </row>
        <row r="1233">
          <cell r="A1233">
            <v>3400003859</v>
          </cell>
          <cell r="B1233">
            <v>6500</v>
          </cell>
          <cell r="C1233">
            <v>61116</v>
          </cell>
          <cell r="D1233">
            <v>0</v>
          </cell>
          <cell r="E1233" t="str">
            <v>TYPE N INTERCONNECTION KIT</v>
          </cell>
          <cell r="F1233">
            <v>1</v>
          </cell>
          <cell r="G1233">
            <v>35339</v>
          </cell>
          <cell r="H1233">
            <v>3400</v>
          </cell>
        </row>
        <row r="1234">
          <cell r="A1234">
            <v>3400003860</v>
          </cell>
          <cell r="B1234">
            <v>6500</v>
          </cell>
          <cell r="C1234">
            <v>61116</v>
          </cell>
          <cell r="D1234">
            <v>0</v>
          </cell>
          <cell r="E1234" t="str">
            <v>TYPE N INTERCONNECTION KIT</v>
          </cell>
          <cell r="F1234">
            <v>1</v>
          </cell>
          <cell r="G1234">
            <v>35339</v>
          </cell>
          <cell r="H1234">
            <v>3400</v>
          </cell>
        </row>
        <row r="1235">
          <cell r="A1235">
            <v>3400003861</v>
          </cell>
          <cell r="B1235">
            <v>6500</v>
          </cell>
          <cell r="C1235">
            <v>61116</v>
          </cell>
          <cell r="D1235">
            <v>0</v>
          </cell>
          <cell r="E1235" t="str">
            <v>TYPE N INTERCONNECTION KIT</v>
          </cell>
          <cell r="F1235">
            <v>1</v>
          </cell>
          <cell r="G1235">
            <v>35339</v>
          </cell>
          <cell r="H1235">
            <v>3400</v>
          </cell>
        </row>
        <row r="1236">
          <cell r="A1236">
            <v>3400003862</v>
          </cell>
          <cell r="B1236">
            <v>6500</v>
          </cell>
          <cell r="C1236">
            <v>61116</v>
          </cell>
          <cell r="D1236">
            <v>0</v>
          </cell>
          <cell r="E1236" t="str">
            <v>TYPE N INTERCONNECTION KIT</v>
          </cell>
          <cell r="F1236">
            <v>1</v>
          </cell>
          <cell r="G1236">
            <v>35339</v>
          </cell>
          <cell r="H1236">
            <v>3400</v>
          </cell>
        </row>
        <row r="1237">
          <cell r="A1237">
            <v>3400003863</v>
          </cell>
          <cell r="B1237">
            <v>6500</v>
          </cell>
          <cell r="C1237">
            <v>61116</v>
          </cell>
          <cell r="D1237">
            <v>0</v>
          </cell>
          <cell r="E1237" t="str">
            <v>NETWORK ANALYZER 5HZ 200 MHZ</v>
          </cell>
          <cell r="F1237">
            <v>1</v>
          </cell>
          <cell r="G1237">
            <v>35339</v>
          </cell>
          <cell r="H1237">
            <v>525000</v>
          </cell>
        </row>
        <row r="1238">
          <cell r="A1238">
            <v>3400003864</v>
          </cell>
          <cell r="B1238">
            <v>6500</v>
          </cell>
          <cell r="C1238">
            <v>61116</v>
          </cell>
          <cell r="D1238">
            <v>0</v>
          </cell>
          <cell r="E1238" t="str">
            <v>NOISE FIGURE METER</v>
          </cell>
          <cell r="F1238">
            <v>1</v>
          </cell>
          <cell r="G1238">
            <v>35339</v>
          </cell>
          <cell r="H1238">
            <v>324900</v>
          </cell>
        </row>
        <row r="1239">
          <cell r="A1239">
            <v>3400003865</v>
          </cell>
          <cell r="B1239">
            <v>6500</v>
          </cell>
          <cell r="C1239">
            <v>61116</v>
          </cell>
          <cell r="D1239">
            <v>0</v>
          </cell>
          <cell r="E1239" t="str">
            <v>NOISE SOURCE</v>
          </cell>
          <cell r="F1239">
            <v>1</v>
          </cell>
          <cell r="G1239">
            <v>35339</v>
          </cell>
          <cell r="H1239">
            <v>23200</v>
          </cell>
        </row>
        <row r="1240">
          <cell r="A1240">
            <v>3400003866</v>
          </cell>
          <cell r="B1240">
            <v>6500</v>
          </cell>
          <cell r="C1240">
            <v>61116</v>
          </cell>
          <cell r="D1240">
            <v>0</v>
          </cell>
          <cell r="E1240" t="str">
            <v>REFLECTION TRANSMISSION TEST KIT</v>
          </cell>
          <cell r="F1240">
            <v>1</v>
          </cell>
          <cell r="G1240">
            <v>35339</v>
          </cell>
          <cell r="H1240">
            <v>24900</v>
          </cell>
        </row>
        <row r="1241">
          <cell r="A1241">
            <v>3400003867</v>
          </cell>
          <cell r="B1241">
            <v>6500</v>
          </cell>
          <cell r="C1241">
            <v>61116</v>
          </cell>
          <cell r="D1241">
            <v>0</v>
          </cell>
          <cell r="E1241" t="str">
            <v>HP COLORPRO GRAPHICS PLOTTER</v>
          </cell>
          <cell r="F1241">
            <v>1</v>
          </cell>
          <cell r="G1241">
            <v>35339</v>
          </cell>
          <cell r="H1241">
            <v>21100</v>
          </cell>
        </row>
        <row r="1242">
          <cell r="A1242">
            <v>3400003868</v>
          </cell>
          <cell r="B1242">
            <v>6500</v>
          </cell>
          <cell r="C1242">
            <v>61116</v>
          </cell>
          <cell r="D1242">
            <v>0</v>
          </cell>
          <cell r="E1242" t="str">
            <v>HP COLORPRO GRAPHICS PLOTTER</v>
          </cell>
          <cell r="F1242">
            <v>1</v>
          </cell>
          <cell r="G1242">
            <v>35339</v>
          </cell>
          <cell r="H1242">
            <v>21100</v>
          </cell>
        </row>
        <row r="1243">
          <cell r="A1243">
            <v>3400003869</v>
          </cell>
          <cell r="B1243">
            <v>6500</v>
          </cell>
          <cell r="C1243">
            <v>61116</v>
          </cell>
          <cell r="D1243">
            <v>0</v>
          </cell>
          <cell r="E1243" t="str">
            <v>LOAD MAINFRAME</v>
          </cell>
          <cell r="F1243">
            <v>1</v>
          </cell>
          <cell r="G1243">
            <v>35339</v>
          </cell>
          <cell r="H1243">
            <v>27100</v>
          </cell>
        </row>
        <row r="1244">
          <cell r="A1244">
            <v>3400003870</v>
          </cell>
          <cell r="B1244">
            <v>6500</v>
          </cell>
          <cell r="C1244">
            <v>61116</v>
          </cell>
          <cell r="D1244">
            <v>0</v>
          </cell>
          <cell r="E1244" t="str">
            <v>COAXIAL DIRECTIONAL COUPLER</v>
          </cell>
          <cell r="F1244">
            <v>1</v>
          </cell>
          <cell r="G1244">
            <v>35339</v>
          </cell>
          <cell r="H1244">
            <v>40100</v>
          </cell>
        </row>
        <row r="1245">
          <cell r="A1245">
            <v>3400003871</v>
          </cell>
          <cell r="B1245">
            <v>6500</v>
          </cell>
          <cell r="C1245">
            <v>61116</v>
          </cell>
          <cell r="D1245">
            <v>0</v>
          </cell>
          <cell r="E1245" t="str">
            <v>300W LOAD MODULE</v>
          </cell>
          <cell r="F1245">
            <v>1</v>
          </cell>
          <cell r="G1245">
            <v>35339</v>
          </cell>
          <cell r="H1245">
            <v>38400</v>
          </cell>
        </row>
        <row r="1246">
          <cell r="A1246">
            <v>3400003872</v>
          </cell>
          <cell r="B1246">
            <v>6500</v>
          </cell>
          <cell r="C1246">
            <v>61116</v>
          </cell>
          <cell r="D1246">
            <v>0</v>
          </cell>
          <cell r="E1246" t="str">
            <v>300W LOAD MODULE</v>
          </cell>
          <cell r="F1246">
            <v>1</v>
          </cell>
          <cell r="G1246">
            <v>35339</v>
          </cell>
          <cell r="H1246">
            <v>38400</v>
          </cell>
        </row>
        <row r="1247">
          <cell r="A1247">
            <v>3400003873</v>
          </cell>
          <cell r="B1247">
            <v>6500</v>
          </cell>
          <cell r="C1247">
            <v>61116</v>
          </cell>
          <cell r="D1247">
            <v>0</v>
          </cell>
          <cell r="E1247" t="str">
            <v>300W LOAD MODULE</v>
          </cell>
          <cell r="F1247">
            <v>1</v>
          </cell>
          <cell r="G1247">
            <v>35339</v>
          </cell>
          <cell r="H1247">
            <v>38400</v>
          </cell>
        </row>
        <row r="1248">
          <cell r="A1248">
            <v>3400003874</v>
          </cell>
          <cell r="B1248">
            <v>6500</v>
          </cell>
          <cell r="C1248">
            <v>61116</v>
          </cell>
          <cell r="D1248">
            <v>0</v>
          </cell>
          <cell r="E1248" t="str">
            <v>300W LOAD MODULE</v>
          </cell>
          <cell r="F1248">
            <v>1</v>
          </cell>
          <cell r="G1248">
            <v>35339</v>
          </cell>
          <cell r="H1248">
            <v>38400</v>
          </cell>
        </row>
        <row r="1249">
          <cell r="A1249">
            <v>3400003875</v>
          </cell>
          <cell r="B1249">
            <v>6500</v>
          </cell>
          <cell r="C1249">
            <v>61116</v>
          </cell>
          <cell r="D1249">
            <v>0</v>
          </cell>
          <cell r="E1249" t="str">
            <v>NETWORK ANALYZER 5HZ 200 MHZ</v>
          </cell>
          <cell r="F1249">
            <v>1</v>
          </cell>
          <cell r="G1249">
            <v>35339</v>
          </cell>
          <cell r="H1249">
            <v>512300</v>
          </cell>
        </row>
        <row r="1250">
          <cell r="A1250">
            <v>3400003876</v>
          </cell>
          <cell r="B1250">
            <v>6500</v>
          </cell>
          <cell r="C1250">
            <v>61116</v>
          </cell>
          <cell r="D1250">
            <v>0</v>
          </cell>
          <cell r="E1250" t="str">
            <v>PRIMARY MULTIPLEX ANALYZER</v>
          </cell>
          <cell r="F1250">
            <v>1</v>
          </cell>
          <cell r="G1250">
            <v>35339</v>
          </cell>
          <cell r="H1250">
            <v>409300</v>
          </cell>
        </row>
        <row r="1251">
          <cell r="A1251">
            <v>3400003877</v>
          </cell>
          <cell r="B1251">
            <v>6500</v>
          </cell>
          <cell r="C1251">
            <v>61116</v>
          </cell>
          <cell r="D1251">
            <v>0</v>
          </cell>
          <cell r="E1251" t="str">
            <v>DIGITAL TRANSMISSION ANALYZER</v>
          </cell>
          <cell r="F1251">
            <v>1</v>
          </cell>
          <cell r="G1251">
            <v>35339</v>
          </cell>
          <cell r="H1251">
            <v>312600</v>
          </cell>
        </row>
        <row r="1252">
          <cell r="A1252">
            <v>3400003878</v>
          </cell>
          <cell r="B1252">
            <v>6500</v>
          </cell>
          <cell r="C1252">
            <v>61116</v>
          </cell>
          <cell r="D1252">
            <v>0</v>
          </cell>
          <cell r="E1252" t="str">
            <v>REFLECTION TRANSMISSION TEST KIT</v>
          </cell>
          <cell r="F1252">
            <v>1</v>
          </cell>
          <cell r="G1252">
            <v>35339</v>
          </cell>
          <cell r="H1252">
            <v>39800</v>
          </cell>
        </row>
        <row r="1253">
          <cell r="A1253">
            <v>3400003879</v>
          </cell>
          <cell r="B1253">
            <v>6500</v>
          </cell>
          <cell r="C1253">
            <v>61116</v>
          </cell>
          <cell r="D1253">
            <v>0</v>
          </cell>
          <cell r="E1253" t="str">
            <v>18 GHZ DETECTOR</v>
          </cell>
          <cell r="F1253">
            <v>1</v>
          </cell>
          <cell r="G1253">
            <v>35339</v>
          </cell>
          <cell r="H1253">
            <v>20500</v>
          </cell>
        </row>
        <row r="1254">
          <cell r="A1254">
            <v>3400003880</v>
          </cell>
          <cell r="B1254">
            <v>6500</v>
          </cell>
          <cell r="C1254">
            <v>61116</v>
          </cell>
          <cell r="D1254">
            <v>0</v>
          </cell>
          <cell r="E1254" t="str">
            <v>18 GHZ DETECTOR</v>
          </cell>
          <cell r="F1254">
            <v>1</v>
          </cell>
          <cell r="G1254">
            <v>35339</v>
          </cell>
          <cell r="H1254">
            <v>20500</v>
          </cell>
        </row>
        <row r="1255">
          <cell r="A1255">
            <v>3400003881</v>
          </cell>
          <cell r="B1255">
            <v>6500</v>
          </cell>
          <cell r="C1255">
            <v>61116</v>
          </cell>
          <cell r="D1255">
            <v>0</v>
          </cell>
          <cell r="E1255" t="str">
            <v>18 GHZ DETECTOR</v>
          </cell>
          <cell r="F1255">
            <v>1</v>
          </cell>
          <cell r="G1255">
            <v>35339</v>
          </cell>
          <cell r="H1255">
            <v>20500</v>
          </cell>
        </row>
        <row r="1256">
          <cell r="A1256">
            <v>3400003882</v>
          </cell>
          <cell r="B1256">
            <v>6500</v>
          </cell>
          <cell r="C1256">
            <v>61116</v>
          </cell>
          <cell r="D1256">
            <v>0</v>
          </cell>
          <cell r="E1256" t="str">
            <v>18 GHZ DETECTOR</v>
          </cell>
          <cell r="F1256">
            <v>1</v>
          </cell>
          <cell r="G1256">
            <v>35339</v>
          </cell>
          <cell r="H1256">
            <v>20500</v>
          </cell>
        </row>
        <row r="1257">
          <cell r="A1257">
            <v>3400003883</v>
          </cell>
          <cell r="B1257">
            <v>6500</v>
          </cell>
          <cell r="C1257">
            <v>61116</v>
          </cell>
          <cell r="D1257">
            <v>0</v>
          </cell>
          <cell r="E1257" t="str">
            <v>DIRECTIONAL BRIDGE</v>
          </cell>
          <cell r="F1257">
            <v>1</v>
          </cell>
          <cell r="G1257">
            <v>35339</v>
          </cell>
          <cell r="H1257">
            <v>58300</v>
          </cell>
        </row>
        <row r="1258">
          <cell r="A1258">
            <v>3400003884</v>
          </cell>
          <cell r="B1258">
            <v>6500</v>
          </cell>
          <cell r="C1258">
            <v>61116</v>
          </cell>
          <cell r="D1258">
            <v>0</v>
          </cell>
          <cell r="E1258" t="str">
            <v>DIRECTIONAL BRIDGE</v>
          </cell>
          <cell r="F1258">
            <v>1</v>
          </cell>
          <cell r="G1258">
            <v>35339</v>
          </cell>
          <cell r="H1258">
            <v>58300</v>
          </cell>
        </row>
        <row r="1259">
          <cell r="A1259">
            <v>3400003885</v>
          </cell>
          <cell r="B1259">
            <v>6500</v>
          </cell>
          <cell r="C1259">
            <v>61116</v>
          </cell>
          <cell r="D1259">
            <v>0</v>
          </cell>
          <cell r="E1259" t="str">
            <v>18 GHZ POWER SPLITTER TYPE -N</v>
          </cell>
          <cell r="F1259">
            <v>1</v>
          </cell>
          <cell r="G1259">
            <v>35339</v>
          </cell>
          <cell r="H1259">
            <v>21600</v>
          </cell>
        </row>
        <row r="1260">
          <cell r="A1260">
            <v>3400003886</v>
          </cell>
          <cell r="B1260">
            <v>6500</v>
          </cell>
          <cell r="C1260">
            <v>61116</v>
          </cell>
          <cell r="D1260">
            <v>0</v>
          </cell>
          <cell r="E1260" t="str">
            <v>18 GHZ POWER SPLITTER TYPE -N</v>
          </cell>
          <cell r="F1260">
            <v>1</v>
          </cell>
          <cell r="G1260">
            <v>35339</v>
          </cell>
          <cell r="H1260">
            <v>21600</v>
          </cell>
        </row>
        <row r="1261">
          <cell r="A1261">
            <v>3400003887</v>
          </cell>
          <cell r="B1261">
            <v>6500</v>
          </cell>
          <cell r="C1261">
            <v>61116</v>
          </cell>
          <cell r="D1261">
            <v>0</v>
          </cell>
          <cell r="E1261" t="str">
            <v>VERIFICATION KIT TYPE-N</v>
          </cell>
          <cell r="F1261">
            <v>1</v>
          </cell>
          <cell r="G1261">
            <v>35339</v>
          </cell>
          <cell r="H1261">
            <v>15200</v>
          </cell>
        </row>
        <row r="1262">
          <cell r="A1262">
            <v>3400003888</v>
          </cell>
          <cell r="B1262">
            <v>6500</v>
          </cell>
          <cell r="C1262">
            <v>61116</v>
          </cell>
          <cell r="D1262">
            <v>0</v>
          </cell>
          <cell r="E1262" t="str">
            <v>VERIFICATION KIT TYPE-N</v>
          </cell>
          <cell r="F1262">
            <v>1</v>
          </cell>
          <cell r="G1262">
            <v>35339</v>
          </cell>
          <cell r="H1262">
            <v>15200</v>
          </cell>
        </row>
        <row r="1263">
          <cell r="A1263">
            <v>3400003889</v>
          </cell>
          <cell r="B1263">
            <v>6500</v>
          </cell>
          <cell r="C1263">
            <v>61116</v>
          </cell>
          <cell r="D1263">
            <v>0</v>
          </cell>
          <cell r="E1263" t="str">
            <v>20 GHZ SYNTHE SIZED SCALAR SYSTEM</v>
          </cell>
          <cell r="F1263">
            <v>1</v>
          </cell>
          <cell r="G1263">
            <v>35339</v>
          </cell>
          <cell r="H1263">
            <v>591800</v>
          </cell>
        </row>
        <row r="1264">
          <cell r="A1264">
            <v>3400003890</v>
          </cell>
          <cell r="B1264">
            <v>6500</v>
          </cell>
          <cell r="C1264">
            <v>61116</v>
          </cell>
          <cell r="D1264">
            <v>0</v>
          </cell>
          <cell r="E1264" t="str">
            <v>20 GHZ SYNTHE SIZED SCALAR SYSTEM</v>
          </cell>
          <cell r="F1264">
            <v>1</v>
          </cell>
          <cell r="G1264">
            <v>35339</v>
          </cell>
          <cell r="H1264">
            <v>591800</v>
          </cell>
        </row>
        <row r="1265">
          <cell r="A1265">
            <v>3400003891</v>
          </cell>
          <cell r="B1265">
            <v>6500</v>
          </cell>
          <cell r="C1265">
            <v>61116</v>
          </cell>
          <cell r="D1265">
            <v>0</v>
          </cell>
          <cell r="E1265" t="str">
            <v>PRIMARY MULTIPLEX ANALYZER</v>
          </cell>
          <cell r="F1265">
            <v>1</v>
          </cell>
          <cell r="G1265">
            <v>35339</v>
          </cell>
          <cell r="H1265">
            <v>411700</v>
          </cell>
        </row>
        <row r="1266">
          <cell r="A1266">
            <v>3400003892</v>
          </cell>
          <cell r="B1266">
            <v>6500</v>
          </cell>
          <cell r="C1266">
            <v>61116</v>
          </cell>
          <cell r="D1266">
            <v>0</v>
          </cell>
          <cell r="E1266" t="str">
            <v>DIGITAL TRANSMISSION ANALYZER</v>
          </cell>
          <cell r="F1266">
            <v>1</v>
          </cell>
          <cell r="G1266">
            <v>35339</v>
          </cell>
          <cell r="H1266">
            <v>314400</v>
          </cell>
        </row>
        <row r="1267">
          <cell r="A1267">
            <v>3400003893</v>
          </cell>
          <cell r="B1267">
            <v>6500</v>
          </cell>
          <cell r="C1267">
            <v>61116</v>
          </cell>
          <cell r="D1267">
            <v>0</v>
          </cell>
          <cell r="E1267" t="str">
            <v>6.5 DIGIT DIGITAL MULTYMETER</v>
          </cell>
          <cell r="F1267">
            <v>1</v>
          </cell>
          <cell r="G1267">
            <v>35339</v>
          </cell>
          <cell r="H1267">
            <v>22400</v>
          </cell>
        </row>
        <row r="1268">
          <cell r="A1268">
            <v>3400003894</v>
          </cell>
          <cell r="B1268">
            <v>6500</v>
          </cell>
          <cell r="C1268">
            <v>61116</v>
          </cell>
          <cell r="D1268">
            <v>0</v>
          </cell>
          <cell r="E1268" t="str">
            <v>OSCILLOSCOPE</v>
          </cell>
          <cell r="F1268">
            <v>1</v>
          </cell>
          <cell r="G1268">
            <v>35339</v>
          </cell>
          <cell r="H1268">
            <v>48100</v>
          </cell>
        </row>
        <row r="1269">
          <cell r="A1269">
            <v>3400003895</v>
          </cell>
          <cell r="B1269">
            <v>6500</v>
          </cell>
          <cell r="C1269">
            <v>61116</v>
          </cell>
          <cell r="D1269">
            <v>0</v>
          </cell>
          <cell r="E1269" t="str">
            <v>POWER SENOR</v>
          </cell>
          <cell r="F1269">
            <v>1</v>
          </cell>
          <cell r="G1269">
            <v>35339</v>
          </cell>
          <cell r="H1269">
            <v>32900</v>
          </cell>
        </row>
        <row r="1270">
          <cell r="A1270">
            <v>3400003896</v>
          </cell>
          <cell r="B1270">
            <v>6500</v>
          </cell>
          <cell r="C1270">
            <v>61116</v>
          </cell>
          <cell r="D1270">
            <v>0</v>
          </cell>
          <cell r="E1270" t="str">
            <v>POWER SENOR</v>
          </cell>
          <cell r="F1270">
            <v>1</v>
          </cell>
          <cell r="G1270">
            <v>35339</v>
          </cell>
          <cell r="H1270">
            <v>32900</v>
          </cell>
        </row>
        <row r="1271">
          <cell r="A1271">
            <v>3400003897</v>
          </cell>
          <cell r="B1271">
            <v>6500</v>
          </cell>
          <cell r="C1271">
            <v>61116</v>
          </cell>
          <cell r="D1271">
            <v>0</v>
          </cell>
          <cell r="E1271" t="str">
            <v>DIGITISING</v>
          </cell>
          <cell r="F1271">
            <v>1</v>
          </cell>
          <cell r="G1271">
            <v>35339</v>
          </cell>
          <cell r="H1271">
            <v>144900</v>
          </cell>
        </row>
        <row r="1272">
          <cell r="A1272">
            <v>3400003898</v>
          </cell>
          <cell r="B1272">
            <v>6500</v>
          </cell>
          <cell r="C1272">
            <v>61116</v>
          </cell>
          <cell r="D1272">
            <v>0</v>
          </cell>
          <cell r="E1272" t="str">
            <v>POWER METER</v>
          </cell>
          <cell r="F1272">
            <v>1</v>
          </cell>
          <cell r="G1272">
            <v>35339</v>
          </cell>
          <cell r="H1272">
            <v>51000</v>
          </cell>
        </row>
        <row r="1273">
          <cell r="A1273">
            <v>3400003899</v>
          </cell>
          <cell r="B1273">
            <v>6500</v>
          </cell>
          <cell r="C1273">
            <v>61116</v>
          </cell>
          <cell r="D1273">
            <v>0</v>
          </cell>
          <cell r="E1273" t="str">
            <v>POWER METER</v>
          </cell>
          <cell r="F1273">
            <v>1</v>
          </cell>
          <cell r="G1273">
            <v>35339</v>
          </cell>
          <cell r="H1273">
            <v>51000</v>
          </cell>
        </row>
        <row r="1274">
          <cell r="A1274">
            <v>3400003900</v>
          </cell>
          <cell r="B1274">
            <v>6500</v>
          </cell>
          <cell r="C1274">
            <v>61116</v>
          </cell>
          <cell r="D1274">
            <v>0</v>
          </cell>
          <cell r="E1274" t="str">
            <v>POWER METER</v>
          </cell>
          <cell r="F1274">
            <v>1</v>
          </cell>
          <cell r="G1274">
            <v>35339</v>
          </cell>
          <cell r="H1274">
            <v>29700</v>
          </cell>
        </row>
        <row r="1275">
          <cell r="A1275">
            <v>3400003901</v>
          </cell>
          <cell r="B1275">
            <v>6500</v>
          </cell>
          <cell r="C1275">
            <v>61116</v>
          </cell>
          <cell r="D1275">
            <v>0</v>
          </cell>
          <cell r="E1275" t="str">
            <v>POWER METER</v>
          </cell>
          <cell r="F1275">
            <v>1</v>
          </cell>
          <cell r="G1275">
            <v>35339</v>
          </cell>
          <cell r="H1275">
            <v>29700</v>
          </cell>
        </row>
        <row r="1276">
          <cell r="A1276">
            <v>3400003902</v>
          </cell>
          <cell r="B1276">
            <v>6500</v>
          </cell>
          <cell r="C1276">
            <v>61116</v>
          </cell>
          <cell r="D1276">
            <v>0</v>
          </cell>
          <cell r="E1276" t="str">
            <v>FREQUEMCY</v>
          </cell>
          <cell r="F1276">
            <v>1</v>
          </cell>
          <cell r="G1276">
            <v>35339</v>
          </cell>
          <cell r="H1276">
            <v>142300</v>
          </cell>
        </row>
        <row r="1277">
          <cell r="A1277">
            <v>3400003903</v>
          </cell>
          <cell r="B1277">
            <v>6500</v>
          </cell>
          <cell r="C1277">
            <v>61116</v>
          </cell>
          <cell r="D1277">
            <v>0</v>
          </cell>
          <cell r="E1277" t="str">
            <v>FREQUEMCY</v>
          </cell>
          <cell r="F1277">
            <v>1</v>
          </cell>
          <cell r="G1277">
            <v>35339</v>
          </cell>
          <cell r="H1277">
            <v>142300</v>
          </cell>
        </row>
        <row r="1278">
          <cell r="A1278">
            <v>3400003926</v>
          </cell>
          <cell r="B1278">
            <v>6500</v>
          </cell>
          <cell r="C1278">
            <v>61116</v>
          </cell>
          <cell r="D1278">
            <v>0</v>
          </cell>
          <cell r="E1278" t="str">
            <v>400MHZ 4CHL OSCILLOSCOPE WITH MATCHED PR</v>
          </cell>
          <cell r="F1278">
            <v>1</v>
          </cell>
          <cell r="G1278">
            <v>35339</v>
          </cell>
          <cell r="H1278">
            <v>198900</v>
          </cell>
        </row>
        <row r="1279">
          <cell r="A1279">
            <v>3400003927</v>
          </cell>
          <cell r="B1279">
            <v>6500</v>
          </cell>
          <cell r="C1279">
            <v>61116</v>
          </cell>
          <cell r="D1279">
            <v>0</v>
          </cell>
          <cell r="E1279" t="str">
            <v>400MHZ 4CHL OSCILLOSCOPE WITH MATCHED PR</v>
          </cell>
          <cell r="F1279">
            <v>1</v>
          </cell>
          <cell r="G1279">
            <v>35339</v>
          </cell>
          <cell r="H1279">
            <v>198900</v>
          </cell>
        </row>
        <row r="1280">
          <cell r="A1280">
            <v>3400003945</v>
          </cell>
          <cell r="B1280">
            <v>6500</v>
          </cell>
          <cell r="C1280">
            <v>61116</v>
          </cell>
          <cell r="D1280">
            <v>0</v>
          </cell>
          <cell r="E1280" t="str">
            <v>DIGITAL SIGNALLING PANNEL TESTER MAC 250</v>
          </cell>
          <cell r="F1280">
            <v>1</v>
          </cell>
          <cell r="G1280">
            <v>35339</v>
          </cell>
          <cell r="H1280">
            <v>6900</v>
          </cell>
        </row>
        <row r="1281">
          <cell r="A1281">
            <v>3400003946</v>
          </cell>
          <cell r="B1281">
            <v>6500</v>
          </cell>
          <cell r="C1281">
            <v>61116</v>
          </cell>
          <cell r="D1281">
            <v>0</v>
          </cell>
          <cell r="E1281" t="str">
            <v>PCM DIGITAL SIMULATOR MAC 330 A</v>
          </cell>
          <cell r="F1281">
            <v>1</v>
          </cell>
          <cell r="G1281">
            <v>35339</v>
          </cell>
          <cell r="H1281">
            <v>32400</v>
          </cell>
        </row>
        <row r="1282">
          <cell r="A1282">
            <v>3400003947</v>
          </cell>
          <cell r="B1282">
            <v>6500</v>
          </cell>
          <cell r="C1282">
            <v>61116</v>
          </cell>
          <cell r="D1282">
            <v>0</v>
          </cell>
          <cell r="E1282" t="str">
            <v>PCM DIGITAL ANALYSER MAC 340 A</v>
          </cell>
          <cell r="F1282">
            <v>1</v>
          </cell>
          <cell r="G1282">
            <v>35339</v>
          </cell>
          <cell r="H1282">
            <v>39200</v>
          </cell>
        </row>
        <row r="1283">
          <cell r="A1283">
            <v>3400003950</v>
          </cell>
          <cell r="B1283">
            <v>6500</v>
          </cell>
          <cell r="C1283">
            <v>61116</v>
          </cell>
          <cell r="D1283">
            <v>0</v>
          </cell>
          <cell r="E1283" t="str">
            <v>HP 1B INTERFACE CONVERTOR</v>
          </cell>
          <cell r="F1283">
            <v>1</v>
          </cell>
          <cell r="G1283">
            <v>35339</v>
          </cell>
          <cell r="H1283">
            <v>12000</v>
          </cell>
        </row>
        <row r="1284">
          <cell r="A1284">
            <v>3400003951</v>
          </cell>
          <cell r="B1284">
            <v>6500</v>
          </cell>
          <cell r="C1284">
            <v>61116</v>
          </cell>
          <cell r="D1284">
            <v>0</v>
          </cell>
          <cell r="E1284" t="str">
            <v>MICRO WAVE SYSTEM ANALYSER ME 538M</v>
          </cell>
          <cell r="F1284">
            <v>1</v>
          </cell>
          <cell r="G1284">
            <v>35339</v>
          </cell>
          <cell r="H1284">
            <v>1208600</v>
          </cell>
        </row>
        <row r="1285">
          <cell r="A1285">
            <v>3400003952</v>
          </cell>
          <cell r="B1285">
            <v>6500</v>
          </cell>
          <cell r="C1285">
            <v>61116</v>
          </cell>
          <cell r="D1285">
            <v>0</v>
          </cell>
          <cell r="E1285" t="str">
            <v>MICRO WAVE SYSTEM ANALYSER ME 538M</v>
          </cell>
          <cell r="F1285">
            <v>1</v>
          </cell>
          <cell r="G1285">
            <v>35339</v>
          </cell>
          <cell r="H1285">
            <v>1208600</v>
          </cell>
        </row>
        <row r="1286">
          <cell r="A1286">
            <v>3400004462</v>
          </cell>
          <cell r="B1286">
            <v>6500</v>
          </cell>
          <cell r="C1286">
            <v>61112</v>
          </cell>
          <cell r="D1286">
            <v>0</v>
          </cell>
          <cell r="E1286" t="str">
            <v>ADAPTER FOR ICT Z850 Q1290 TOGL</v>
          </cell>
          <cell r="F1286">
            <v>1</v>
          </cell>
          <cell r="G1286">
            <v>35339</v>
          </cell>
          <cell r="H1286">
            <v>21100</v>
          </cell>
        </row>
        <row r="1287">
          <cell r="A1287">
            <v>3400004467</v>
          </cell>
          <cell r="B1287">
            <v>6500</v>
          </cell>
          <cell r="C1287">
            <v>61112</v>
          </cell>
          <cell r="D1287">
            <v>0</v>
          </cell>
          <cell r="E1287" t="str">
            <v>ADAPTER FOR ICT-ZEHNTEL Z-850 Q876 DIU30</v>
          </cell>
          <cell r="F1287">
            <v>1</v>
          </cell>
          <cell r="G1287">
            <v>35339</v>
          </cell>
          <cell r="H1287">
            <v>21000</v>
          </cell>
        </row>
        <row r="1288">
          <cell r="A1288">
            <v>3400004468</v>
          </cell>
          <cell r="B1288">
            <v>6500</v>
          </cell>
          <cell r="C1288">
            <v>61112</v>
          </cell>
          <cell r="D1288">
            <v>0</v>
          </cell>
          <cell r="E1288" t="str">
            <v>ADAPTER FOR ICT ZEHNTEL Z-850</v>
          </cell>
          <cell r="F1288">
            <v>1</v>
          </cell>
          <cell r="G1288">
            <v>35339</v>
          </cell>
          <cell r="H1288">
            <v>21000</v>
          </cell>
        </row>
        <row r="1289">
          <cell r="A1289">
            <v>3400004635</v>
          </cell>
          <cell r="B1289">
            <v>6500</v>
          </cell>
          <cell r="C1289">
            <v>61112</v>
          </cell>
          <cell r="D1289">
            <v>0</v>
          </cell>
          <cell r="E1289" t="str">
            <v>MULTI FUNCTIONS TESTER JOLLY</v>
          </cell>
          <cell r="F1289">
            <v>1</v>
          </cell>
          <cell r="G1289">
            <v>35339</v>
          </cell>
          <cell r="H1289">
            <v>4700</v>
          </cell>
        </row>
        <row r="1290">
          <cell r="A1290">
            <v>3400004636</v>
          </cell>
          <cell r="B1290">
            <v>6500</v>
          </cell>
          <cell r="C1290">
            <v>61112</v>
          </cell>
          <cell r="D1290">
            <v>0</v>
          </cell>
          <cell r="E1290" t="str">
            <v>MULTI FUNCTIONS TESTER JOLLY</v>
          </cell>
          <cell r="F1290">
            <v>1</v>
          </cell>
          <cell r="G1290">
            <v>35339</v>
          </cell>
          <cell r="H1290">
            <v>47300</v>
          </cell>
        </row>
        <row r="1291">
          <cell r="A1291">
            <v>3400004644</v>
          </cell>
          <cell r="B1291">
            <v>6500</v>
          </cell>
          <cell r="C1291">
            <v>61115</v>
          </cell>
          <cell r="D1291">
            <v>0</v>
          </cell>
          <cell r="E1291" t="str">
            <v>LADL MODULE FOR TESTING</v>
          </cell>
          <cell r="F1291">
            <v>1</v>
          </cell>
          <cell r="G1291">
            <v>35339</v>
          </cell>
          <cell r="H1291">
            <v>1200</v>
          </cell>
        </row>
        <row r="1292">
          <cell r="A1292">
            <v>3400004645</v>
          </cell>
          <cell r="B1292">
            <v>6500</v>
          </cell>
          <cell r="C1292">
            <v>61115</v>
          </cell>
          <cell r="D1292">
            <v>0</v>
          </cell>
          <cell r="E1292" t="str">
            <v>LADL MODULE FOR TESTING</v>
          </cell>
          <cell r="F1292">
            <v>1</v>
          </cell>
          <cell r="G1292">
            <v>35339</v>
          </cell>
          <cell r="H1292">
            <v>1200</v>
          </cell>
        </row>
        <row r="1293">
          <cell r="A1293">
            <v>3400004647</v>
          </cell>
          <cell r="B1293">
            <v>6500</v>
          </cell>
          <cell r="C1293">
            <v>61115</v>
          </cell>
          <cell r="D1293">
            <v>0</v>
          </cell>
          <cell r="E1293" t="str">
            <v>LADL MODULE FOR TESTING</v>
          </cell>
          <cell r="F1293">
            <v>1</v>
          </cell>
          <cell r="G1293">
            <v>35339</v>
          </cell>
          <cell r="H1293">
            <v>1200</v>
          </cell>
        </row>
        <row r="1294">
          <cell r="A1294">
            <v>3400004648</v>
          </cell>
          <cell r="B1294">
            <v>6500</v>
          </cell>
          <cell r="C1294">
            <v>61115</v>
          </cell>
          <cell r="D1294">
            <v>0</v>
          </cell>
          <cell r="E1294" t="str">
            <v>LADL MODULE FOR TESTING</v>
          </cell>
          <cell r="F1294">
            <v>1</v>
          </cell>
          <cell r="G1294">
            <v>35339</v>
          </cell>
          <cell r="H1294">
            <v>1200</v>
          </cell>
        </row>
        <row r="1295">
          <cell r="A1295">
            <v>3400004649</v>
          </cell>
          <cell r="B1295">
            <v>6500</v>
          </cell>
          <cell r="C1295">
            <v>61115</v>
          </cell>
          <cell r="D1295">
            <v>0</v>
          </cell>
          <cell r="E1295" t="str">
            <v>LADL MODULE FOR TESTING</v>
          </cell>
          <cell r="F1295">
            <v>1</v>
          </cell>
          <cell r="G1295">
            <v>35339</v>
          </cell>
          <cell r="H1295">
            <v>1200</v>
          </cell>
        </row>
        <row r="1296">
          <cell r="A1296">
            <v>3400004650</v>
          </cell>
          <cell r="B1296">
            <v>6500</v>
          </cell>
          <cell r="C1296">
            <v>61115</v>
          </cell>
          <cell r="D1296">
            <v>0</v>
          </cell>
          <cell r="E1296" t="str">
            <v>LADL MODULE FOR TESTING</v>
          </cell>
          <cell r="F1296">
            <v>1</v>
          </cell>
          <cell r="G1296">
            <v>35339</v>
          </cell>
          <cell r="H1296">
            <v>1200</v>
          </cell>
        </row>
        <row r="1297">
          <cell r="A1297">
            <v>3400004651</v>
          </cell>
          <cell r="B1297">
            <v>6500</v>
          </cell>
          <cell r="C1297">
            <v>61115</v>
          </cell>
          <cell r="D1297">
            <v>0</v>
          </cell>
          <cell r="E1297" t="str">
            <v>LADL MODULE FOR TESTING</v>
          </cell>
          <cell r="F1297">
            <v>1</v>
          </cell>
          <cell r="G1297">
            <v>35339</v>
          </cell>
          <cell r="H1297">
            <v>12100</v>
          </cell>
        </row>
        <row r="1298">
          <cell r="A1298">
            <v>3400004652</v>
          </cell>
          <cell r="B1298">
            <v>6500</v>
          </cell>
          <cell r="C1298">
            <v>61115</v>
          </cell>
          <cell r="D1298">
            <v>0</v>
          </cell>
          <cell r="E1298" t="str">
            <v>LADL MODULE FOR TESTING</v>
          </cell>
          <cell r="F1298">
            <v>1</v>
          </cell>
          <cell r="G1298">
            <v>35339</v>
          </cell>
          <cell r="H1298">
            <v>12100</v>
          </cell>
        </row>
        <row r="1299">
          <cell r="A1299">
            <v>3400004653</v>
          </cell>
          <cell r="B1299">
            <v>6500</v>
          </cell>
          <cell r="C1299">
            <v>61115</v>
          </cell>
          <cell r="D1299">
            <v>0</v>
          </cell>
          <cell r="E1299" t="str">
            <v>LADL MODULE FOR TESTING</v>
          </cell>
          <cell r="F1299">
            <v>1</v>
          </cell>
          <cell r="G1299">
            <v>35339</v>
          </cell>
          <cell r="H1299">
            <v>12100</v>
          </cell>
        </row>
        <row r="1300">
          <cell r="A1300">
            <v>3400004654</v>
          </cell>
          <cell r="B1300">
            <v>6500</v>
          </cell>
          <cell r="C1300">
            <v>61115</v>
          </cell>
          <cell r="D1300">
            <v>0</v>
          </cell>
          <cell r="E1300" t="str">
            <v>LADL MODULE FOR TESTING</v>
          </cell>
          <cell r="F1300">
            <v>1</v>
          </cell>
          <cell r="G1300">
            <v>35339</v>
          </cell>
          <cell r="H1300">
            <v>12100</v>
          </cell>
        </row>
        <row r="1301">
          <cell r="A1301">
            <v>3400004655</v>
          </cell>
          <cell r="B1301">
            <v>6500</v>
          </cell>
          <cell r="C1301">
            <v>61115</v>
          </cell>
          <cell r="D1301">
            <v>0</v>
          </cell>
          <cell r="E1301" t="str">
            <v>LADL MODULE FOR TESTING</v>
          </cell>
          <cell r="F1301">
            <v>1</v>
          </cell>
          <cell r="G1301">
            <v>35339</v>
          </cell>
          <cell r="H1301">
            <v>12100</v>
          </cell>
        </row>
        <row r="1302">
          <cell r="A1302">
            <v>3400004656</v>
          </cell>
          <cell r="B1302">
            <v>6500</v>
          </cell>
          <cell r="C1302">
            <v>61115</v>
          </cell>
          <cell r="D1302">
            <v>0</v>
          </cell>
          <cell r="E1302" t="str">
            <v>LADL MODULE FOR TESTING</v>
          </cell>
          <cell r="F1302">
            <v>1</v>
          </cell>
          <cell r="G1302">
            <v>35339</v>
          </cell>
          <cell r="H1302">
            <v>12100</v>
          </cell>
        </row>
        <row r="1303">
          <cell r="A1303">
            <v>3400004657</v>
          </cell>
          <cell r="B1303">
            <v>6500</v>
          </cell>
          <cell r="C1303">
            <v>61115</v>
          </cell>
          <cell r="D1303">
            <v>0</v>
          </cell>
          <cell r="E1303" t="str">
            <v>LADL MODULE FOR TESTING</v>
          </cell>
          <cell r="F1303">
            <v>1</v>
          </cell>
          <cell r="G1303">
            <v>35339</v>
          </cell>
          <cell r="H1303">
            <v>12100</v>
          </cell>
        </row>
        <row r="1304">
          <cell r="A1304">
            <v>3400004658</v>
          </cell>
          <cell r="B1304">
            <v>6500</v>
          </cell>
          <cell r="C1304">
            <v>61115</v>
          </cell>
          <cell r="D1304">
            <v>0</v>
          </cell>
          <cell r="E1304" t="str">
            <v>LADL MODULE FOR TESTING</v>
          </cell>
          <cell r="F1304">
            <v>1</v>
          </cell>
          <cell r="G1304">
            <v>35339</v>
          </cell>
          <cell r="H1304">
            <v>12100</v>
          </cell>
        </row>
        <row r="1305">
          <cell r="A1305">
            <v>3400004659</v>
          </cell>
          <cell r="B1305">
            <v>6500</v>
          </cell>
          <cell r="C1305">
            <v>61115</v>
          </cell>
          <cell r="D1305">
            <v>0</v>
          </cell>
          <cell r="E1305" t="str">
            <v>LADL MODULE FOR TESTING</v>
          </cell>
          <cell r="F1305">
            <v>1</v>
          </cell>
          <cell r="G1305">
            <v>35339</v>
          </cell>
          <cell r="H1305">
            <v>12100</v>
          </cell>
        </row>
        <row r="1306">
          <cell r="A1306">
            <v>3400004660</v>
          </cell>
          <cell r="B1306">
            <v>6500</v>
          </cell>
          <cell r="C1306">
            <v>61115</v>
          </cell>
          <cell r="D1306">
            <v>0</v>
          </cell>
          <cell r="E1306" t="str">
            <v>LADL MODULE FOR TESTING</v>
          </cell>
          <cell r="F1306">
            <v>1</v>
          </cell>
          <cell r="G1306">
            <v>35339</v>
          </cell>
          <cell r="H1306">
            <v>12100</v>
          </cell>
        </row>
        <row r="1307">
          <cell r="A1307">
            <v>3400004661</v>
          </cell>
          <cell r="B1307">
            <v>6500</v>
          </cell>
          <cell r="C1307">
            <v>61115</v>
          </cell>
          <cell r="D1307">
            <v>0</v>
          </cell>
          <cell r="E1307" t="str">
            <v>LADL MODULE FOR TESTING</v>
          </cell>
          <cell r="F1307">
            <v>1</v>
          </cell>
          <cell r="G1307">
            <v>35339</v>
          </cell>
          <cell r="H1307">
            <v>12100</v>
          </cell>
        </row>
        <row r="1308">
          <cell r="A1308">
            <v>3400004710</v>
          </cell>
          <cell r="B1308">
            <v>6500</v>
          </cell>
          <cell r="C1308">
            <v>61112</v>
          </cell>
          <cell r="D1308">
            <v>0</v>
          </cell>
          <cell r="E1308" t="str">
            <v>ADAPTER FOR ICT ZEHNTEL Z-850</v>
          </cell>
          <cell r="F1308">
            <v>1</v>
          </cell>
          <cell r="G1308">
            <v>35339</v>
          </cell>
          <cell r="H1308">
            <v>23500</v>
          </cell>
        </row>
        <row r="1309">
          <cell r="A1309">
            <v>3400004711</v>
          </cell>
          <cell r="B1309">
            <v>6500</v>
          </cell>
          <cell r="C1309">
            <v>61112</v>
          </cell>
          <cell r="D1309">
            <v>0</v>
          </cell>
          <cell r="E1309" t="str">
            <v>ADAPTER FOR ICT ZEHNTEL Z-850</v>
          </cell>
          <cell r="F1309">
            <v>1</v>
          </cell>
          <cell r="G1309">
            <v>35339</v>
          </cell>
          <cell r="H1309">
            <v>23500</v>
          </cell>
        </row>
        <row r="1310">
          <cell r="A1310">
            <v>3400004712</v>
          </cell>
          <cell r="B1310">
            <v>6500</v>
          </cell>
          <cell r="C1310">
            <v>61112</v>
          </cell>
          <cell r="D1310">
            <v>0</v>
          </cell>
          <cell r="E1310" t="str">
            <v>ADAPTER FOR ICT ZEHNTEL Z-850</v>
          </cell>
          <cell r="F1310">
            <v>1</v>
          </cell>
          <cell r="G1310">
            <v>35339</v>
          </cell>
          <cell r="H1310">
            <v>23500</v>
          </cell>
        </row>
        <row r="1311">
          <cell r="A1311">
            <v>3400004713</v>
          </cell>
          <cell r="B1311">
            <v>6500</v>
          </cell>
          <cell r="C1311">
            <v>61112</v>
          </cell>
          <cell r="D1311">
            <v>0</v>
          </cell>
          <cell r="E1311" t="str">
            <v>ADAPTER FOR ICT ZEHNTEL Z-850</v>
          </cell>
          <cell r="F1311">
            <v>1</v>
          </cell>
          <cell r="G1311">
            <v>35339</v>
          </cell>
          <cell r="H1311">
            <v>23500</v>
          </cell>
        </row>
        <row r="1312">
          <cell r="A1312">
            <v>3400004714</v>
          </cell>
          <cell r="B1312">
            <v>6500</v>
          </cell>
          <cell r="C1312">
            <v>61112</v>
          </cell>
          <cell r="D1312">
            <v>0</v>
          </cell>
          <cell r="E1312" t="str">
            <v>ADAPTER FOR ICT ZEHNTEL Z-850</v>
          </cell>
          <cell r="F1312">
            <v>1</v>
          </cell>
          <cell r="G1312">
            <v>35339</v>
          </cell>
          <cell r="H1312">
            <v>23500</v>
          </cell>
        </row>
        <row r="1313">
          <cell r="A1313">
            <v>3400004715</v>
          </cell>
          <cell r="B1313">
            <v>6500</v>
          </cell>
          <cell r="C1313">
            <v>61112</v>
          </cell>
          <cell r="D1313">
            <v>0</v>
          </cell>
          <cell r="E1313" t="str">
            <v>ADAPTER FOR ICT</v>
          </cell>
          <cell r="F1313">
            <v>1</v>
          </cell>
          <cell r="G1313">
            <v>35339</v>
          </cell>
          <cell r="H1313">
            <v>29500</v>
          </cell>
        </row>
        <row r="1314">
          <cell r="A1314">
            <v>3400004718</v>
          </cell>
          <cell r="B1314">
            <v>6500</v>
          </cell>
          <cell r="C1314">
            <v>61153</v>
          </cell>
          <cell r="D1314">
            <v>0</v>
          </cell>
          <cell r="E1314" t="str">
            <v>POLARITY PROTECTION 8085 EM</v>
          </cell>
          <cell r="F1314">
            <v>1</v>
          </cell>
          <cell r="G1314">
            <v>35339</v>
          </cell>
          <cell r="H1314">
            <v>30700</v>
          </cell>
        </row>
        <row r="1315">
          <cell r="A1315">
            <v>3400004719</v>
          </cell>
          <cell r="B1315">
            <v>6500</v>
          </cell>
          <cell r="C1315">
            <v>61112</v>
          </cell>
          <cell r="D1315">
            <v>0</v>
          </cell>
          <cell r="E1315" t="str">
            <v>ADAPTER FOR ICT ZEHNTEL Z-850 Q1105 CRM8</v>
          </cell>
          <cell r="F1315">
            <v>1</v>
          </cell>
          <cell r="G1315">
            <v>35339</v>
          </cell>
          <cell r="H1315">
            <v>23500</v>
          </cell>
        </row>
        <row r="1316">
          <cell r="A1316">
            <v>3400004720</v>
          </cell>
          <cell r="B1316">
            <v>6500</v>
          </cell>
          <cell r="C1316">
            <v>61112</v>
          </cell>
          <cell r="D1316">
            <v>0</v>
          </cell>
          <cell r="E1316" t="str">
            <v>ADAPTER FOR ICT ZEHNTEL Z-850 Q1007 DIUD</v>
          </cell>
          <cell r="F1316">
            <v>1</v>
          </cell>
          <cell r="G1316">
            <v>35339</v>
          </cell>
          <cell r="H1316">
            <v>23500</v>
          </cell>
        </row>
        <row r="1317">
          <cell r="A1317">
            <v>3400004721</v>
          </cell>
          <cell r="B1317">
            <v>6500</v>
          </cell>
          <cell r="C1317">
            <v>61115</v>
          </cell>
          <cell r="D1317">
            <v>0</v>
          </cell>
          <cell r="E1317" t="str">
            <v>NETWORK TERMINATOR</v>
          </cell>
          <cell r="F1317">
            <v>1</v>
          </cell>
          <cell r="G1317">
            <v>35339</v>
          </cell>
          <cell r="H1317">
            <v>103100</v>
          </cell>
        </row>
        <row r="1318">
          <cell r="A1318">
            <v>3400004722</v>
          </cell>
          <cell r="B1318">
            <v>6500</v>
          </cell>
          <cell r="C1318">
            <v>61115</v>
          </cell>
          <cell r="D1318">
            <v>0</v>
          </cell>
          <cell r="E1318" t="str">
            <v>NETWORK TERMINATOR</v>
          </cell>
          <cell r="F1318">
            <v>1</v>
          </cell>
          <cell r="G1318">
            <v>35339</v>
          </cell>
          <cell r="H1318">
            <v>103100</v>
          </cell>
        </row>
        <row r="1319">
          <cell r="A1319">
            <v>3400004723</v>
          </cell>
          <cell r="B1319">
            <v>6500</v>
          </cell>
          <cell r="C1319">
            <v>61115</v>
          </cell>
          <cell r="D1319">
            <v>0</v>
          </cell>
          <cell r="E1319" t="str">
            <v>LADL</v>
          </cell>
          <cell r="F1319">
            <v>1</v>
          </cell>
          <cell r="G1319">
            <v>35339</v>
          </cell>
          <cell r="H1319">
            <v>25100</v>
          </cell>
        </row>
        <row r="1320">
          <cell r="A1320">
            <v>3400004724</v>
          </cell>
          <cell r="B1320">
            <v>6500</v>
          </cell>
          <cell r="C1320">
            <v>61153</v>
          </cell>
          <cell r="D1320">
            <v>0</v>
          </cell>
          <cell r="E1320" t="str">
            <v>EMULATOR KSE 5-80386</v>
          </cell>
          <cell r="F1320">
            <v>1</v>
          </cell>
          <cell r="G1320">
            <v>35339</v>
          </cell>
          <cell r="H1320">
            <v>947000</v>
          </cell>
        </row>
        <row r="1321">
          <cell r="A1321">
            <v>3400004725</v>
          </cell>
          <cell r="B1321">
            <v>6500</v>
          </cell>
          <cell r="C1321">
            <v>61102</v>
          </cell>
          <cell r="D1321">
            <v>0</v>
          </cell>
          <cell r="E1321" t="str">
            <v>PLCC ADAPTER</v>
          </cell>
          <cell r="F1321">
            <v>1</v>
          </cell>
          <cell r="G1321">
            <v>35339</v>
          </cell>
          <cell r="H1321">
            <v>5900</v>
          </cell>
        </row>
        <row r="1322">
          <cell r="A1322">
            <v>3400004726</v>
          </cell>
          <cell r="B1322">
            <v>6500</v>
          </cell>
          <cell r="C1322">
            <v>61153</v>
          </cell>
          <cell r="D1322">
            <v>0</v>
          </cell>
          <cell r="E1322" t="str">
            <v>MODULE ADPTER</v>
          </cell>
          <cell r="F1322">
            <v>1</v>
          </cell>
          <cell r="G1322">
            <v>35339</v>
          </cell>
          <cell r="H1322">
            <v>88800</v>
          </cell>
        </row>
        <row r="1323">
          <cell r="A1323">
            <v>3400004727</v>
          </cell>
          <cell r="B1323">
            <v>6500</v>
          </cell>
          <cell r="C1323">
            <v>61153</v>
          </cell>
          <cell r="D1323">
            <v>0</v>
          </cell>
          <cell r="E1323" t="str">
            <v>MODULE ADAPTER</v>
          </cell>
          <cell r="F1323">
            <v>1</v>
          </cell>
          <cell r="G1323">
            <v>35339</v>
          </cell>
          <cell r="H1323">
            <v>91100</v>
          </cell>
        </row>
        <row r="1324">
          <cell r="A1324">
            <v>3400004728</v>
          </cell>
          <cell r="B1324">
            <v>6500</v>
          </cell>
          <cell r="C1324">
            <v>61153</v>
          </cell>
          <cell r="D1324">
            <v>0</v>
          </cell>
          <cell r="E1324" t="str">
            <v>MODULE ADAPTER</v>
          </cell>
          <cell r="F1324">
            <v>1</v>
          </cell>
          <cell r="G1324">
            <v>35339</v>
          </cell>
          <cell r="H1324">
            <v>91100</v>
          </cell>
        </row>
        <row r="1325">
          <cell r="A1325">
            <v>3400004729</v>
          </cell>
          <cell r="B1325">
            <v>6500</v>
          </cell>
          <cell r="C1325">
            <v>61107</v>
          </cell>
          <cell r="D1325">
            <v>0</v>
          </cell>
          <cell r="E1325" t="str">
            <v>SOLDERING STATION WECP</v>
          </cell>
          <cell r="F1325">
            <v>1</v>
          </cell>
          <cell r="G1325">
            <v>35339</v>
          </cell>
          <cell r="H1325">
            <v>5700</v>
          </cell>
        </row>
        <row r="1326">
          <cell r="A1326">
            <v>3400004730</v>
          </cell>
          <cell r="B1326">
            <v>6500</v>
          </cell>
          <cell r="C1326">
            <v>61115</v>
          </cell>
          <cell r="D1326">
            <v>0</v>
          </cell>
          <cell r="E1326" t="str">
            <v>WATCH DOG RETRIGGER</v>
          </cell>
          <cell r="F1326">
            <v>1</v>
          </cell>
          <cell r="G1326">
            <v>35339</v>
          </cell>
          <cell r="H1326">
            <v>53300</v>
          </cell>
        </row>
        <row r="1327">
          <cell r="A1327">
            <v>3400004731</v>
          </cell>
          <cell r="B1327">
            <v>6500</v>
          </cell>
          <cell r="C1327">
            <v>61153</v>
          </cell>
          <cell r="D1327">
            <v>0</v>
          </cell>
          <cell r="E1327" t="str">
            <v>SDIU CARD</v>
          </cell>
          <cell r="F1327">
            <v>1</v>
          </cell>
          <cell r="G1327">
            <v>35339</v>
          </cell>
          <cell r="H1327">
            <v>2900</v>
          </cell>
        </row>
        <row r="1328">
          <cell r="A1328">
            <v>3400004732</v>
          </cell>
          <cell r="B1328">
            <v>6500</v>
          </cell>
          <cell r="C1328">
            <v>61153</v>
          </cell>
          <cell r="D1328">
            <v>0</v>
          </cell>
          <cell r="E1328" t="str">
            <v>SDIU CARD</v>
          </cell>
          <cell r="F1328">
            <v>1</v>
          </cell>
          <cell r="G1328">
            <v>35339</v>
          </cell>
          <cell r="H1328">
            <v>2900</v>
          </cell>
        </row>
        <row r="1329">
          <cell r="A1329">
            <v>3400004733</v>
          </cell>
          <cell r="B1329">
            <v>6500</v>
          </cell>
          <cell r="C1329">
            <v>61153</v>
          </cell>
          <cell r="D1329">
            <v>0</v>
          </cell>
          <cell r="E1329" t="str">
            <v>SUFI CARD</v>
          </cell>
          <cell r="F1329">
            <v>1</v>
          </cell>
          <cell r="G1329">
            <v>35339</v>
          </cell>
          <cell r="H1329">
            <v>5700</v>
          </cell>
        </row>
        <row r="1330">
          <cell r="A1330">
            <v>3400004734</v>
          </cell>
          <cell r="B1330">
            <v>6500</v>
          </cell>
          <cell r="C1330">
            <v>61115</v>
          </cell>
          <cell r="D1330">
            <v>0</v>
          </cell>
          <cell r="E1330" t="str">
            <v>LDIB HW SPIEGEL</v>
          </cell>
          <cell r="F1330">
            <v>1</v>
          </cell>
          <cell r="G1330">
            <v>35339</v>
          </cell>
          <cell r="H1330">
            <v>300</v>
          </cell>
        </row>
        <row r="1331">
          <cell r="A1331">
            <v>3400004735</v>
          </cell>
          <cell r="B1331">
            <v>6500</v>
          </cell>
          <cell r="C1331">
            <v>61115</v>
          </cell>
          <cell r="D1331">
            <v>0</v>
          </cell>
          <cell r="E1331" t="str">
            <v>LDIB HW SPIEGEL</v>
          </cell>
          <cell r="F1331">
            <v>1</v>
          </cell>
          <cell r="G1331">
            <v>35339</v>
          </cell>
          <cell r="H1331">
            <v>300</v>
          </cell>
        </row>
        <row r="1332">
          <cell r="A1332">
            <v>3400004736</v>
          </cell>
          <cell r="B1332">
            <v>6500</v>
          </cell>
          <cell r="C1332">
            <v>61115</v>
          </cell>
          <cell r="D1332">
            <v>0</v>
          </cell>
          <cell r="E1332" t="str">
            <v>LDIB HW SPIEGEL</v>
          </cell>
          <cell r="F1332">
            <v>1</v>
          </cell>
          <cell r="G1332">
            <v>35339</v>
          </cell>
          <cell r="H1332">
            <v>300</v>
          </cell>
        </row>
        <row r="1333">
          <cell r="A1333">
            <v>3400004737</v>
          </cell>
          <cell r="B1333">
            <v>6500</v>
          </cell>
          <cell r="C1333">
            <v>61115</v>
          </cell>
          <cell r="D1333">
            <v>0</v>
          </cell>
          <cell r="E1333" t="str">
            <v>LDIB HW SPIEGEL</v>
          </cell>
          <cell r="F1333">
            <v>1</v>
          </cell>
          <cell r="G1333">
            <v>35339</v>
          </cell>
          <cell r="H1333">
            <v>300</v>
          </cell>
        </row>
        <row r="1334">
          <cell r="A1334">
            <v>3400004738</v>
          </cell>
          <cell r="B1334">
            <v>6500</v>
          </cell>
          <cell r="C1334">
            <v>61115</v>
          </cell>
          <cell r="D1334">
            <v>0</v>
          </cell>
          <cell r="E1334" t="str">
            <v>LDIB HW SPIEGEL</v>
          </cell>
          <cell r="F1334">
            <v>1</v>
          </cell>
          <cell r="G1334">
            <v>35339</v>
          </cell>
          <cell r="H1334">
            <v>300</v>
          </cell>
        </row>
        <row r="1335">
          <cell r="A1335">
            <v>3400004739</v>
          </cell>
          <cell r="B1335">
            <v>6500</v>
          </cell>
          <cell r="C1335">
            <v>61115</v>
          </cell>
          <cell r="D1335">
            <v>0</v>
          </cell>
          <cell r="E1335" t="str">
            <v>LDIB HW SPIEGEL</v>
          </cell>
          <cell r="F1335">
            <v>1</v>
          </cell>
          <cell r="G1335">
            <v>35339</v>
          </cell>
          <cell r="H1335">
            <v>300</v>
          </cell>
        </row>
        <row r="1336">
          <cell r="A1336">
            <v>3400004740</v>
          </cell>
          <cell r="B1336">
            <v>6500</v>
          </cell>
          <cell r="C1336">
            <v>61115</v>
          </cell>
          <cell r="D1336">
            <v>0</v>
          </cell>
          <cell r="E1336" t="str">
            <v>LDIB HW SPIEGEL</v>
          </cell>
          <cell r="F1336">
            <v>1</v>
          </cell>
          <cell r="G1336">
            <v>35339</v>
          </cell>
          <cell r="H1336">
            <v>300</v>
          </cell>
        </row>
        <row r="1337">
          <cell r="A1337">
            <v>3400004741</v>
          </cell>
          <cell r="B1337">
            <v>6500</v>
          </cell>
          <cell r="C1337">
            <v>61115</v>
          </cell>
          <cell r="D1337">
            <v>0</v>
          </cell>
          <cell r="E1337" t="str">
            <v>LDIB HW SPIEGEL</v>
          </cell>
          <cell r="F1337">
            <v>1</v>
          </cell>
          <cell r="G1337">
            <v>35339</v>
          </cell>
          <cell r="H1337">
            <v>300</v>
          </cell>
        </row>
        <row r="1338">
          <cell r="A1338">
            <v>3400004742</v>
          </cell>
          <cell r="B1338">
            <v>6500</v>
          </cell>
          <cell r="C1338">
            <v>61115</v>
          </cell>
          <cell r="D1338">
            <v>0</v>
          </cell>
          <cell r="E1338" t="str">
            <v>LDIB HW SPIEGEL</v>
          </cell>
          <cell r="F1338">
            <v>1</v>
          </cell>
          <cell r="G1338">
            <v>35339</v>
          </cell>
          <cell r="H1338">
            <v>300</v>
          </cell>
        </row>
        <row r="1339">
          <cell r="A1339">
            <v>3400004743</v>
          </cell>
          <cell r="B1339">
            <v>6500</v>
          </cell>
          <cell r="C1339">
            <v>61115</v>
          </cell>
          <cell r="D1339">
            <v>0</v>
          </cell>
          <cell r="E1339" t="str">
            <v>LDIB HW SPIEGEL</v>
          </cell>
          <cell r="F1339">
            <v>1</v>
          </cell>
          <cell r="G1339">
            <v>35339</v>
          </cell>
          <cell r="H1339">
            <v>300</v>
          </cell>
        </row>
        <row r="1340">
          <cell r="A1340">
            <v>3400004744</v>
          </cell>
          <cell r="B1340">
            <v>6500</v>
          </cell>
          <cell r="C1340">
            <v>61115</v>
          </cell>
          <cell r="D1340">
            <v>0</v>
          </cell>
          <cell r="E1340" t="str">
            <v>LDIB HW SPIEGEL</v>
          </cell>
          <cell r="F1340">
            <v>1</v>
          </cell>
          <cell r="G1340">
            <v>35339</v>
          </cell>
          <cell r="H1340">
            <v>300</v>
          </cell>
        </row>
        <row r="1341">
          <cell r="A1341">
            <v>3400004745</v>
          </cell>
          <cell r="B1341">
            <v>6500</v>
          </cell>
          <cell r="C1341">
            <v>61115</v>
          </cell>
          <cell r="D1341">
            <v>0</v>
          </cell>
          <cell r="E1341" t="str">
            <v>LDIB HW SPIEGEL</v>
          </cell>
          <cell r="F1341">
            <v>1</v>
          </cell>
          <cell r="G1341">
            <v>35339</v>
          </cell>
          <cell r="H1341">
            <v>300</v>
          </cell>
        </row>
        <row r="1342">
          <cell r="A1342">
            <v>3400004746</v>
          </cell>
          <cell r="B1342">
            <v>6500</v>
          </cell>
          <cell r="C1342">
            <v>61115</v>
          </cell>
          <cell r="D1342">
            <v>0</v>
          </cell>
          <cell r="E1342" t="str">
            <v>LDIB HW SPIEGEL</v>
          </cell>
          <cell r="F1342">
            <v>1</v>
          </cell>
          <cell r="G1342">
            <v>35339</v>
          </cell>
          <cell r="H1342">
            <v>300</v>
          </cell>
        </row>
        <row r="1343">
          <cell r="A1343">
            <v>3400004747</v>
          </cell>
          <cell r="B1343">
            <v>6500</v>
          </cell>
          <cell r="C1343">
            <v>61115</v>
          </cell>
          <cell r="D1343">
            <v>0</v>
          </cell>
          <cell r="E1343" t="str">
            <v>LDIB HW SPIEGEL</v>
          </cell>
          <cell r="F1343">
            <v>1</v>
          </cell>
          <cell r="G1343">
            <v>35339</v>
          </cell>
          <cell r="H1343">
            <v>300</v>
          </cell>
        </row>
        <row r="1344">
          <cell r="A1344">
            <v>3400004748</v>
          </cell>
          <cell r="B1344">
            <v>6500</v>
          </cell>
          <cell r="C1344">
            <v>61115</v>
          </cell>
          <cell r="D1344">
            <v>0</v>
          </cell>
          <cell r="E1344" t="str">
            <v>LDIB HW SPIEGEL</v>
          </cell>
          <cell r="F1344">
            <v>1</v>
          </cell>
          <cell r="G1344">
            <v>35339</v>
          </cell>
          <cell r="H1344">
            <v>3400</v>
          </cell>
        </row>
        <row r="1345">
          <cell r="A1345">
            <v>3400004749</v>
          </cell>
          <cell r="B1345">
            <v>6500</v>
          </cell>
          <cell r="C1345">
            <v>61115</v>
          </cell>
          <cell r="D1345">
            <v>0</v>
          </cell>
          <cell r="E1345" t="str">
            <v>LDIB HW SPIEGEL</v>
          </cell>
          <cell r="F1345">
            <v>1</v>
          </cell>
          <cell r="G1345">
            <v>35339</v>
          </cell>
          <cell r="H1345">
            <v>3400</v>
          </cell>
        </row>
        <row r="1346">
          <cell r="A1346">
            <v>3400004750</v>
          </cell>
          <cell r="B1346">
            <v>6500</v>
          </cell>
          <cell r="C1346">
            <v>61115</v>
          </cell>
          <cell r="D1346">
            <v>0</v>
          </cell>
          <cell r="E1346" t="str">
            <v>LDIB HW SPIEGEL</v>
          </cell>
          <cell r="F1346">
            <v>1</v>
          </cell>
          <cell r="G1346">
            <v>35339</v>
          </cell>
          <cell r="H1346">
            <v>3400</v>
          </cell>
        </row>
        <row r="1347">
          <cell r="A1347">
            <v>3400004751</v>
          </cell>
          <cell r="B1347">
            <v>6500</v>
          </cell>
          <cell r="C1347">
            <v>61115</v>
          </cell>
          <cell r="D1347">
            <v>0</v>
          </cell>
          <cell r="E1347" t="str">
            <v>LDIB HW SPIEGEL</v>
          </cell>
          <cell r="F1347">
            <v>1</v>
          </cell>
          <cell r="G1347">
            <v>35339</v>
          </cell>
          <cell r="H1347">
            <v>3400</v>
          </cell>
        </row>
        <row r="1348">
          <cell r="A1348">
            <v>3400004752</v>
          </cell>
          <cell r="B1348">
            <v>6500</v>
          </cell>
          <cell r="C1348">
            <v>61115</v>
          </cell>
          <cell r="D1348">
            <v>0</v>
          </cell>
          <cell r="E1348" t="str">
            <v>LDIB HW SPIEGEL</v>
          </cell>
          <cell r="F1348">
            <v>1</v>
          </cell>
          <cell r="G1348">
            <v>35339</v>
          </cell>
          <cell r="H1348">
            <v>3400</v>
          </cell>
        </row>
        <row r="1349">
          <cell r="A1349">
            <v>3400004753</v>
          </cell>
          <cell r="B1349">
            <v>6500</v>
          </cell>
          <cell r="C1349">
            <v>61115</v>
          </cell>
          <cell r="D1349">
            <v>0</v>
          </cell>
          <cell r="E1349" t="str">
            <v>LDIB HW SPIEGEL</v>
          </cell>
          <cell r="F1349">
            <v>1</v>
          </cell>
          <cell r="G1349">
            <v>35339</v>
          </cell>
          <cell r="H1349">
            <v>3400</v>
          </cell>
        </row>
        <row r="1350">
          <cell r="A1350">
            <v>3400004754</v>
          </cell>
          <cell r="B1350">
            <v>6500</v>
          </cell>
          <cell r="C1350">
            <v>61115</v>
          </cell>
          <cell r="D1350">
            <v>0</v>
          </cell>
          <cell r="E1350" t="str">
            <v>LDIB HW SPIEGEL</v>
          </cell>
          <cell r="F1350">
            <v>1</v>
          </cell>
          <cell r="G1350">
            <v>35339</v>
          </cell>
          <cell r="H1350">
            <v>3400</v>
          </cell>
        </row>
        <row r="1351">
          <cell r="A1351">
            <v>3400004755</v>
          </cell>
          <cell r="B1351">
            <v>6500</v>
          </cell>
          <cell r="C1351">
            <v>61115</v>
          </cell>
          <cell r="D1351">
            <v>0</v>
          </cell>
          <cell r="E1351" t="str">
            <v>LDIB HW SPIEGEL</v>
          </cell>
          <cell r="F1351">
            <v>1</v>
          </cell>
          <cell r="G1351">
            <v>35339</v>
          </cell>
          <cell r="H1351">
            <v>3400</v>
          </cell>
        </row>
        <row r="1352">
          <cell r="A1352">
            <v>3400004756</v>
          </cell>
          <cell r="B1352">
            <v>6500</v>
          </cell>
          <cell r="C1352">
            <v>61115</v>
          </cell>
          <cell r="D1352">
            <v>0</v>
          </cell>
          <cell r="E1352" t="str">
            <v>LDIB HW SPIEGEL</v>
          </cell>
          <cell r="F1352">
            <v>1</v>
          </cell>
          <cell r="G1352">
            <v>35339</v>
          </cell>
          <cell r="H1352">
            <v>3400</v>
          </cell>
        </row>
        <row r="1353">
          <cell r="A1353">
            <v>3400004757</v>
          </cell>
          <cell r="B1353">
            <v>6500</v>
          </cell>
          <cell r="C1353">
            <v>61115</v>
          </cell>
          <cell r="D1353">
            <v>0</v>
          </cell>
          <cell r="E1353" t="str">
            <v>LDIB HW SPIEGEL</v>
          </cell>
          <cell r="F1353">
            <v>1</v>
          </cell>
          <cell r="G1353">
            <v>35339</v>
          </cell>
          <cell r="H1353">
            <v>3400</v>
          </cell>
        </row>
        <row r="1354">
          <cell r="A1354">
            <v>3400004758</v>
          </cell>
          <cell r="B1354">
            <v>6500</v>
          </cell>
          <cell r="C1354">
            <v>61115</v>
          </cell>
          <cell r="D1354">
            <v>0</v>
          </cell>
          <cell r="E1354" t="str">
            <v>LDIB HW SPIEGEL</v>
          </cell>
          <cell r="F1354">
            <v>1</v>
          </cell>
          <cell r="G1354">
            <v>35339</v>
          </cell>
          <cell r="H1354">
            <v>3400</v>
          </cell>
        </row>
        <row r="1355">
          <cell r="A1355">
            <v>3400004759</v>
          </cell>
          <cell r="B1355">
            <v>6500</v>
          </cell>
          <cell r="C1355">
            <v>61115</v>
          </cell>
          <cell r="D1355">
            <v>0</v>
          </cell>
          <cell r="E1355" t="str">
            <v>LDIB HW SPIEGEL</v>
          </cell>
          <cell r="F1355">
            <v>1</v>
          </cell>
          <cell r="G1355">
            <v>35339</v>
          </cell>
          <cell r="H1355">
            <v>3400</v>
          </cell>
        </row>
        <row r="1356">
          <cell r="A1356">
            <v>3400004760</v>
          </cell>
          <cell r="B1356">
            <v>6500</v>
          </cell>
          <cell r="C1356">
            <v>61115</v>
          </cell>
          <cell r="D1356">
            <v>0</v>
          </cell>
          <cell r="E1356" t="str">
            <v>LDIB HW SPIEGEL</v>
          </cell>
          <cell r="F1356">
            <v>1</v>
          </cell>
          <cell r="G1356">
            <v>35339</v>
          </cell>
          <cell r="H1356">
            <v>3400</v>
          </cell>
        </row>
        <row r="1357">
          <cell r="A1357">
            <v>3400004761</v>
          </cell>
          <cell r="B1357">
            <v>6500</v>
          </cell>
          <cell r="C1357">
            <v>61115</v>
          </cell>
          <cell r="D1357">
            <v>0</v>
          </cell>
          <cell r="E1357" t="str">
            <v>LDIB HW SPIEGEL</v>
          </cell>
          <cell r="F1357">
            <v>1</v>
          </cell>
          <cell r="G1357">
            <v>35339</v>
          </cell>
          <cell r="H1357">
            <v>3400</v>
          </cell>
        </row>
        <row r="1358">
          <cell r="A1358">
            <v>3400004762</v>
          </cell>
          <cell r="B1358">
            <v>6500</v>
          </cell>
          <cell r="C1358">
            <v>61115</v>
          </cell>
          <cell r="D1358">
            <v>0</v>
          </cell>
          <cell r="E1358" t="str">
            <v>LDIB HW SPIEGEL</v>
          </cell>
          <cell r="F1358">
            <v>1</v>
          </cell>
          <cell r="G1358">
            <v>35339</v>
          </cell>
          <cell r="H1358">
            <v>3400</v>
          </cell>
        </row>
        <row r="1359">
          <cell r="A1359">
            <v>3400004763</v>
          </cell>
          <cell r="B1359">
            <v>6500</v>
          </cell>
          <cell r="C1359">
            <v>61115</v>
          </cell>
          <cell r="D1359">
            <v>0</v>
          </cell>
          <cell r="E1359" t="str">
            <v>LDIB HW SPIEGEL</v>
          </cell>
          <cell r="F1359">
            <v>1</v>
          </cell>
          <cell r="G1359">
            <v>35339</v>
          </cell>
          <cell r="H1359">
            <v>3400</v>
          </cell>
        </row>
        <row r="1360">
          <cell r="A1360">
            <v>3400004764</v>
          </cell>
          <cell r="B1360">
            <v>6500</v>
          </cell>
          <cell r="C1360">
            <v>61115</v>
          </cell>
          <cell r="D1360">
            <v>0</v>
          </cell>
          <cell r="E1360" t="str">
            <v>LDIB HW SPIEGEL</v>
          </cell>
          <cell r="F1360">
            <v>1</v>
          </cell>
          <cell r="G1360">
            <v>35339</v>
          </cell>
          <cell r="H1360">
            <v>3400</v>
          </cell>
        </row>
        <row r="1361">
          <cell r="A1361">
            <v>3400004765</v>
          </cell>
          <cell r="B1361">
            <v>6500</v>
          </cell>
          <cell r="C1361">
            <v>61115</v>
          </cell>
          <cell r="D1361">
            <v>0</v>
          </cell>
          <cell r="E1361" t="str">
            <v>LDIB HW SPIEGEL</v>
          </cell>
          <cell r="F1361">
            <v>1</v>
          </cell>
          <cell r="G1361">
            <v>35339</v>
          </cell>
          <cell r="H1361">
            <v>3400</v>
          </cell>
        </row>
        <row r="1362">
          <cell r="A1362">
            <v>3400004766</v>
          </cell>
          <cell r="B1362">
            <v>6500</v>
          </cell>
          <cell r="C1362">
            <v>61115</v>
          </cell>
          <cell r="D1362">
            <v>0</v>
          </cell>
          <cell r="E1362" t="str">
            <v>LDIB HW SPIEGEL</v>
          </cell>
          <cell r="F1362">
            <v>1</v>
          </cell>
          <cell r="G1362">
            <v>35339</v>
          </cell>
          <cell r="H1362">
            <v>3400</v>
          </cell>
        </row>
        <row r="1363">
          <cell r="A1363">
            <v>3400004767</v>
          </cell>
          <cell r="B1363">
            <v>6500</v>
          </cell>
          <cell r="C1363">
            <v>61115</v>
          </cell>
          <cell r="D1363">
            <v>0</v>
          </cell>
          <cell r="E1363" t="str">
            <v>LDIB HW SPIEGEL</v>
          </cell>
          <cell r="F1363">
            <v>1</v>
          </cell>
          <cell r="G1363">
            <v>35339</v>
          </cell>
          <cell r="H1363">
            <v>3400</v>
          </cell>
        </row>
        <row r="1364">
          <cell r="A1364">
            <v>3400004768</v>
          </cell>
          <cell r="B1364">
            <v>6500</v>
          </cell>
          <cell r="C1364">
            <v>61115</v>
          </cell>
          <cell r="D1364">
            <v>0</v>
          </cell>
          <cell r="E1364" t="str">
            <v>TEST MOL B</v>
          </cell>
          <cell r="F1364">
            <v>1</v>
          </cell>
          <cell r="G1364">
            <v>35339</v>
          </cell>
          <cell r="H1364">
            <v>18900</v>
          </cell>
        </row>
        <row r="1365">
          <cell r="A1365">
            <v>3400004769</v>
          </cell>
          <cell r="B1365">
            <v>6500</v>
          </cell>
          <cell r="C1365">
            <v>61115</v>
          </cell>
          <cell r="D1365">
            <v>0</v>
          </cell>
          <cell r="E1365" t="str">
            <v>TEST MOL B</v>
          </cell>
          <cell r="F1365">
            <v>1</v>
          </cell>
          <cell r="G1365">
            <v>35339</v>
          </cell>
          <cell r="H1365">
            <v>18900</v>
          </cell>
        </row>
        <row r="1366">
          <cell r="A1366">
            <v>3400004770</v>
          </cell>
          <cell r="B1366">
            <v>6500</v>
          </cell>
          <cell r="C1366">
            <v>61115</v>
          </cell>
          <cell r="D1366">
            <v>0</v>
          </cell>
          <cell r="E1366" t="str">
            <v>TEST MOL B</v>
          </cell>
          <cell r="F1366">
            <v>1</v>
          </cell>
          <cell r="G1366">
            <v>35339</v>
          </cell>
          <cell r="H1366">
            <v>18900</v>
          </cell>
        </row>
        <row r="1367">
          <cell r="A1367">
            <v>3400004771</v>
          </cell>
          <cell r="B1367">
            <v>6500</v>
          </cell>
          <cell r="C1367">
            <v>61115</v>
          </cell>
          <cell r="D1367">
            <v>0</v>
          </cell>
          <cell r="E1367" t="str">
            <v>TEST MOL B</v>
          </cell>
          <cell r="F1367">
            <v>1</v>
          </cell>
          <cell r="G1367">
            <v>35339</v>
          </cell>
          <cell r="H1367">
            <v>188500</v>
          </cell>
        </row>
        <row r="1368">
          <cell r="A1368">
            <v>3400004772</v>
          </cell>
          <cell r="B1368">
            <v>6500</v>
          </cell>
          <cell r="C1368">
            <v>61115</v>
          </cell>
          <cell r="D1368">
            <v>0</v>
          </cell>
          <cell r="E1368" t="str">
            <v>TEST MOL B</v>
          </cell>
          <cell r="F1368">
            <v>1</v>
          </cell>
          <cell r="G1368">
            <v>35339</v>
          </cell>
          <cell r="H1368">
            <v>188500</v>
          </cell>
        </row>
        <row r="1369">
          <cell r="A1369">
            <v>3400004773</v>
          </cell>
          <cell r="B1369">
            <v>6500</v>
          </cell>
          <cell r="C1369">
            <v>61115</v>
          </cell>
          <cell r="D1369">
            <v>0</v>
          </cell>
          <cell r="E1369" t="str">
            <v>TEST MOL B</v>
          </cell>
          <cell r="F1369">
            <v>1</v>
          </cell>
          <cell r="G1369">
            <v>35339</v>
          </cell>
          <cell r="H1369">
            <v>188500</v>
          </cell>
        </row>
        <row r="1370">
          <cell r="A1370">
            <v>3400004774</v>
          </cell>
          <cell r="B1370">
            <v>6500</v>
          </cell>
          <cell r="C1370">
            <v>61115</v>
          </cell>
          <cell r="D1370">
            <v>0</v>
          </cell>
          <cell r="E1370" t="str">
            <v>TEST MOL B</v>
          </cell>
          <cell r="F1370">
            <v>1</v>
          </cell>
          <cell r="G1370">
            <v>35339</v>
          </cell>
          <cell r="H1370">
            <v>188500</v>
          </cell>
        </row>
        <row r="1371">
          <cell r="A1371">
            <v>3400004775</v>
          </cell>
          <cell r="B1371">
            <v>6500</v>
          </cell>
          <cell r="C1371">
            <v>61115</v>
          </cell>
          <cell r="D1371">
            <v>0</v>
          </cell>
          <cell r="E1371" t="str">
            <v>TEST MOL B</v>
          </cell>
          <cell r="F1371">
            <v>1</v>
          </cell>
          <cell r="G1371">
            <v>35339</v>
          </cell>
          <cell r="H1371">
            <v>188500</v>
          </cell>
        </row>
        <row r="1372">
          <cell r="A1372">
            <v>3400004776</v>
          </cell>
          <cell r="B1372">
            <v>6500</v>
          </cell>
          <cell r="C1372">
            <v>61115</v>
          </cell>
          <cell r="D1372">
            <v>0</v>
          </cell>
          <cell r="E1372" t="str">
            <v>TEST MOL B</v>
          </cell>
          <cell r="F1372">
            <v>1</v>
          </cell>
          <cell r="G1372">
            <v>35339</v>
          </cell>
          <cell r="H1372">
            <v>188500</v>
          </cell>
        </row>
        <row r="1373">
          <cell r="A1373">
            <v>3400004777</v>
          </cell>
          <cell r="B1373">
            <v>6500</v>
          </cell>
          <cell r="C1373">
            <v>61115</v>
          </cell>
          <cell r="D1373">
            <v>0</v>
          </cell>
          <cell r="E1373" t="str">
            <v>TEST MOL B</v>
          </cell>
          <cell r="F1373">
            <v>1</v>
          </cell>
          <cell r="G1373">
            <v>35339</v>
          </cell>
          <cell r="H1373">
            <v>188500</v>
          </cell>
        </row>
        <row r="1374">
          <cell r="A1374">
            <v>3400004778</v>
          </cell>
          <cell r="B1374">
            <v>6500</v>
          </cell>
          <cell r="C1374">
            <v>61115</v>
          </cell>
          <cell r="D1374">
            <v>0</v>
          </cell>
          <cell r="E1374" t="str">
            <v>TEST MOL B</v>
          </cell>
          <cell r="F1374">
            <v>1</v>
          </cell>
          <cell r="G1374">
            <v>35339</v>
          </cell>
          <cell r="H1374">
            <v>188500</v>
          </cell>
        </row>
        <row r="1375">
          <cell r="A1375">
            <v>3400004779</v>
          </cell>
          <cell r="B1375">
            <v>6500</v>
          </cell>
          <cell r="C1375">
            <v>61115</v>
          </cell>
          <cell r="D1375">
            <v>0</v>
          </cell>
          <cell r="E1375" t="str">
            <v>TEST MOL B</v>
          </cell>
          <cell r="F1375">
            <v>1</v>
          </cell>
          <cell r="G1375">
            <v>35339</v>
          </cell>
          <cell r="H1375">
            <v>188500</v>
          </cell>
        </row>
        <row r="1376">
          <cell r="A1376">
            <v>3400003568</v>
          </cell>
          <cell r="B1376">
            <v>6500</v>
          </cell>
          <cell r="C1376">
            <v>61103</v>
          </cell>
          <cell r="D1376">
            <v>0</v>
          </cell>
          <cell r="E1376" t="str">
            <v>JADO 2000A HANDHELD SOLDERING EQP.ANALYZ</v>
          </cell>
          <cell r="F1376">
            <v>1</v>
          </cell>
          <cell r="G1376">
            <v>35446</v>
          </cell>
          <cell r="H1376">
            <v>19500</v>
          </cell>
        </row>
        <row r="1377">
          <cell r="A1377">
            <v>3400003815</v>
          </cell>
          <cell r="B1377">
            <v>6500</v>
          </cell>
          <cell r="C1377">
            <v>61112</v>
          </cell>
          <cell r="D1377">
            <v>0</v>
          </cell>
          <cell r="E1377" t="str">
            <v>MOD TESTING FIXTURE 1024 INTERFACE PINS</v>
          </cell>
          <cell r="F1377">
            <v>1</v>
          </cell>
          <cell r="G1377">
            <v>35537</v>
          </cell>
          <cell r="H1377">
            <v>49487.199999999997</v>
          </cell>
        </row>
        <row r="1378">
          <cell r="A1378">
            <v>3400003647</v>
          </cell>
          <cell r="B1378">
            <v>6500</v>
          </cell>
          <cell r="C1378">
            <v>61115</v>
          </cell>
          <cell r="D1378">
            <v>0</v>
          </cell>
          <cell r="E1378" t="str">
            <v>HW MIRROR FOR LTGM KS:SN</v>
          </cell>
          <cell r="F1378">
            <v>1</v>
          </cell>
          <cell r="G1378">
            <v>35453</v>
          </cell>
          <cell r="H1378">
            <v>9579.64</v>
          </cell>
        </row>
        <row r="1379">
          <cell r="A1379">
            <v>3400003648</v>
          </cell>
          <cell r="B1379">
            <v>6500</v>
          </cell>
          <cell r="C1379">
            <v>61115</v>
          </cell>
          <cell r="D1379">
            <v>0</v>
          </cell>
          <cell r="E1379" t="str">
            <v>HW MIRROR FOR LTGM KS:SN</v>
          </cell>
          <cell r="F1379">
            <v>1</v>
          </cell>
          <cell r="G1379">
            <v>35453</v>
          </cell>
          <cell r="H1379">
            <v>9579.69</v>
          </cell>
        </row>
        <row r="1380">
          <cell r="A1380">
            <v>3400003649</v>
          </cell>
          <cell r="B1380">
            <v>6500</v>
          </cell>
          <cell r="C1380">
            <v>61115</v>
          </cell>
          <cell r="D1380">
            <v>0</v>
          </cell>
          <cell r="E1380" t="str">
            <v>HW MIRROR FOR LTGM KS:SN</v>
          </cell>
          <cell r="F1380">
            <v>1</v>
          </cell>
          <cell r="G1380">
            <v>35453</v>
          </cell>
          <cell r="H1380">
            <v>9579.69</v>
          </cell>
        </row>
        <row r="1381">
          <cell r="A1381">
            <v>3400003650</v>
          </cell>
          <cell r="B1381">
            <v>6500</v>
          </cell>
          <cell r="C1381">
            <v>61115</v>
          </cell>
          <cell r="D1381">
            <v>0</v>
          </cell>
          <cell r="E1381" t="str">
            <v>HW MIRROR FOR LTGM KS:SN</v>
          </cell>
          <cell r="F1381">
            <v>1</v>
          </cell>
          <cell r="G1381">
            <v>35453</v>
          </cell>
          <cell r="H1381">
            <v>9579.69</v>
          </cell>
        </row>
        <row r="1382">
          <cell r="A1382">
            <v>3400003651</v>
          </cell>
          <cell r="B1382">
            <v>6500</v>
          </cell>
          <cell r="C1382">
            <v>61115</v>
          </cell>
          <cell r="D1382">
            <v>0</v>
          </cell>
          <cell r="E1382" t="str">
            <v>HW MIRROR FOR LTGM KS:SN</v>
          </cell>
          <cell r="F1382">
            <v>1</v>
          </cell>
          <cell r="G1382">
            <v>35453</v>
          </cell>
          <cell r="H1382">
            <v>9579.69</v>
          </cell>
        </row>
        <row r="1383">
          <cell r="A1383">
            <v>3400003652</v>
          </cell>
          <cell r="B1383">
            <v>6500</v>
          </cell>
          <cell r="C1383">
            <v>61115</v>
          </cell>
          <cell r="D1383">
            <v>0</v>
          </cell>
          <cell r="E1383" t="str">
            <v>HW MIRROR FOR LTGM KS:SN</v>
          </cell>
          <cell r="F1383">
            <v>1</v>
          </cell>
          <cell r="G1383">
            <v>35453</v>
          </cell>
          <cell r="H1383">
            <v>9579.69</v>
          </cell>
        </row>
        <row r="1384">
          <cell r="A1384">
            <v>3400003653</v>
          </cell>
          <cell r="B1384">
            <v>6500</v>
          </cell>
          <cell r="C1384">
            <v>61115</v>
          </cell>
          <cell r="D1384">
            <v>0</v>
          </cell>
          <cell r="E1384" t="str">
            <v>HW MIRROR FOR LTGM KS:SN</v>
          </cell>
          <cell r="F1384">
            <v>1</v>
          </cell>
          <cell r="G1384">
            <v>35453</v>
          </cell>
          <cell r="H1384">
            <v>9579.69</v>
          </cell>
        </row>
        <row r="1385">
          <cell r="A1385">
            <v>3400003654</v>
          </cell>
          <cell r="B1385">
            <v>6500</v>
          </cell>
          <cell r="C1385">
            <v>61115</v>
          </cell>
          <cell r="D1385">
            <v>0</v>
          </cell>
          <cell r="E1385" t="str">
            <v>HW MIRROR FOR LTGM KS:SN</v>
          </cell>
          <cell r="F1385">
            <v>1</v>
          </cell>
          <cell r="G1385">
            <v>35453</v>
          </cell>
          <cell r="H1385">
            <v>9579.69</v>
          </cell>
        </row>
        <row r="1386">
          <cell r="A1386">
            <v>3400003655</v>
          </cell>
          <cell r="B1386">
            <v>6500</v>
          </cell>
          <cell r="C1386">
            <v>61115</v>
          </cell>
          <cell r="D1386">
            <v>0</v>
          </cell>
          <cell r="E1386" t="str">
            <v>HW MIRROR FOR LTGM KS:SN</v>
          </cell>
          <cell r="F1386">
            <v>1</v>
          </cell>
          <cell r="G1386">
            <v>35453</v>
          </cell>
          <cell r="H1386">
            <v>9579.69</v>
          </cell>
        </row>
        <row r="1387">
          <cell r="A1387">
            <v>3400003656</v>
          </cell>
          <cell r="B1387">
            <v>6500</v>
          </cell>
          <cell r="C1387">
            <v>61115</v>
          </cell>
          <cell r="D1387">
            <v>0</v>
          </cell>
          <cell r="E1387" t="str">
            <v>HW MIRROR FOR LTGM KS:SN</v>
          </cell>
          <cell r="F1387">
            <v>1</v>
          </cell>
          <cell r="G1387">
            <v>35453</v>
          </cell>
          <cell r="H1387">
            <v>9579.69</v>
          </cell>
        </row>
        <row r="1388">
          <cell r="A1388">
            <v>3400003657</v>
          </cell>
          <cell r="B1388">
            <v>6500</v>
          </cell>
          <cell r="C1388">
            <v>61115</v>
          </cell>
          <cell r="D1388">
            <v>0</v>
          </cell>
          <cell r="E1388" t="str">
            <v>HW MIRROR FOR LTGM KS:SN</v>
          </cell>
          <cell r="F1388">
            <v>1</v>
          </cell>
          <cell r="G1388">
            <v>35453</v>
          </cell>
          <cell r="H1388">
            <v>9579.69</v>
          </cell>
        </row>
        <row r="1389">
          <cell r="A1389">
            <v>3400003658</v>
          </cell>
          <cell r="B1389">
            <v>6500</v>
          </cell>
          <cell r="C1389">
            <v>61115</v>
          </cell>
          <cell r="D1389">
            <v>0</v>
          </cell>
          <cell r="E1389" t="str">
            <v>HW MIRROR FOR LTGM KS:SN</v>
          </cell>
          <cell r="F1389">
            <v>1</v>
          </cell>
          <cell r="G1389">
            <v>35453</v>
          </cell>
          <cell r="H1389">
            <v>9579.69</v>
          </cell>
        </row>
        <row r="1390">
          <cell r="A1390">
            <v>3400003659</v>
          </cell>
          <cell r="B1390">
            <v>6500</v>
          </cell>
          <cell r="C1390">
            <v>61115</v>
          </cell>
          <cell r="D1390">
            <v>0</v>
          </cell>
          <cell r="E1390" t="str">
            <v>HW MIRROR FOR LTGM KS:SN</v>
          </cell>
          <cell r="F1390">
            <v>1</v>
          </cell>
          <cell r="G1390">
            <v>35453</v>
          </cell>
          <cell r="H1390">
            <v>9579.69</v>
          </cell>
        </row>
        <row r="1391">
          <cell r="A1391">
            <v>3400003660</v>
          </cell>
          <cell r="B1391">
            <v>6500</v>
          </cell>
          <cell r="C1391">
            <v>61115</v>
          </cell>
          <cell r="D1391">
            <v>0</v>
          </cell>
          <cell r="E1391" t="str">
            <v>HW MIRROR FOR LTGM KS:SN</v>
          </cell>
          <cell r="F1391">
            <v>1</v>
          </cell>
          <cell r="G1391">
            <v>35453</v>
          </cell>
          <cell r="H1391">
            <v>9579.69</v>
          </cell>
        </row>
        <row r="1392">
          <cell r="A1392">
            <v>3400003661</v>
          </cell>
          <cell r="B1392">
            <v>6500</v>
          </cell>
          <cell r="C1392">
            <v>61115</v>
          </cell>
          <cell r="D1392">
            <v>0</v>
          </cell>
          <cell r="E1392" t="str">
            <v>HW MIRROR FOR LTGM KS:SN</v>
          </cell>
          <cell r="F1392">
            <v>1</v>
          </cell>
          <cell r="G1392">
            <v>35453</v>
          </cell>
          <cell r="H1392">
            <v>9579.69</v>
          </cell>
        </row>
        <row r="1393">
          <cell r="A1393">
            <v>3400003662</v>
          </cell>
          <cell r="B1393">
            <v>6500</v>
          </cell>
          <cell r="C1393">
            <v>61115</v>
          </cell>
          <cell r="D1393">
            <v>0</v>
          </cell>
          <cell r="E1393" t="str">
            <v>HW MIRROR FOR LTGM KS:SN</v>
          </cell>
          <cell r="F1393">
            <v>1</v>
          </cell>
          <cell r="G1393">
            <v>35453</v>
          </cell>
          <cell r="H1393">
            <v>9579.69</v>
          </cell>
        </row>
        <row r="1394">
          <cell r="A1394">
            <v>3400003663</v>
          </cell>
          <cell r="B1394">
            <v>6500</v>
          </cell>
          <cell r="C1394">
            <v>61115</v>
          </cell>
          <cell r="D1394">
            <v>0</v>
          </cell>
          <cell r="E1394" t="str">
            <v>HW MIRROR FOR LTGM KS:SN</v>
          </cell>
          <cell r="F1394">
            <v>1</v>
          </cell>
          <cell r="G1394">
            <v>35453</v>
          </cell>
          <cell r="H1394">
            <v>9579.69</v>
          </cell>
        </row>
        <row r="1395">
          <cell r="A1395">
            <v>3400003664</v>
          </cell>
          <cell r="B1395">
            <v>6500</v>
          </cell>
          <cell r="C1395">
            <v>61115</v>
          </cell>
          <cell r="D1395">
            <v>0</v>
          </cell>
          <cell r="E1395" t="str">
            <v>HW MIRROR FOR LTGM KS:SN</v>
          </cell>
          <cell r="F1395">
            <v>1</v>
          </cell>
          <cell r="G1395">
            <v>35453</v>
          </cell>
          <cell r="H1395">
            <v>9579.69</v>
          </cell>
        </row>
        <row r="1396">
          <cell r="A1396">
            <v>3400003665</v>
          </cell>
          <cell r="B1396">
            <v>6500</v>
          </cell>
          <cell r="C1396">
            <v>61115</v>
          </cell>
          <cell r="D1396">
            <v>0</v>
          </cell>
          <cell r="E1396" t="str">
            <v>HW MIRROR FOR LTGM KS:SN</v>
          </cell>
          <cell r="F1396">
            <v>1</v>
          </cell>
          <cell r="G1396">
            <v>35453</v>
          </cell>
          <cell r="H1396">
            <v>9579.69</v>
          </cell>
        </row>
        <row r="1397">
          <cell r="A1397">
            <v>3400003666</v>
          </cell>
          <cell r="B1397">
            <v>6500</v>
          </cell>
          <cell r="C1397">
            <v>61115</v>
          </cell>
          <cell r="D1397">
            <v>0</v>
          </cell>
          <cell r="E1397" t="str">
            <v>HW MIRROR FOR LTGM KS:SN</v>
          </cell>
          <cell r="F1397">
            <v>1</v>
          </cell>
          <cell r="G1397">
            <v>35453</v>
          </cell>
          <cell r="H1397">
            <v>9579.69</v>
          </cell>
        </row>
        <row r="1398">
          <cell r="A1398">
            <v>3400003667</v>
          </cell>
          <cell r="B1398">
            <v>6500</v>
          </cell>
          <cell r="C1398">
            <v>61115</v>
          </cell>
          <cell r="D1398">
            <v>0</v>
          </cell>
          <cell r="E1398" t="str">
            <v>HW MIRROR FOR LTGM KS:SN</v>
          </cell>
          <cell r="F1398">
            <v>1</v>
          </cell>
          <cell r="G1398">
            <v>35453</v>
          </cell>
          <cell r="H1398">
            <v>9579.69</v>
          </cell>
        </row>
        <row r="1399">
          <cell r="A1399">
            <v>3400003668</v>
          </cell>
          <cell r="B1399">
            <v>6500</v>
          </cell>
          <cell r="C1399">
            <v>61115</v>
          </cell>
          <cell r="D1399">
            <v>0</v>
          </cell>
          <cell r="E1399" t="str">
            <v>HW MIRROR FOR LTGM KS:SN</v>
          </cell>
          <cell r="F1399">
            <v>1</v>
          </cell>
          <cell r="G1399">
            <v>35453</v>
          </cell>
          <cell r="H1399">
            <v>9579.69</v>
          </cell>
        </row>
        <row r="1400">
          <cell r="A1400">
            <v>3400003669</v>
          </cell>
          <cell r="B1400">
            <v>6500</v>
          </cell>
          <cell r="C1400">
            <v>61115</v>
          </cell>
          <cell r="D1400">
            <v>0</v>
          </cell>
          <cell r="E1400" t="str">
            <v>HW MIRROR FOR LTGM KS:SN</v>
          </cell>
          <cell r="F1400">
            <v>1</v>
          </cell>
          <cell r="G1400">
            <v>35453</v>
          </cell>
          <cell r="H1400">
            <v>9579.69</v>
          </cell>
        </row>
        <row r="1401">
          <cell r="A1401">
            <v>3400003670</v>
          </cell>
          <cell r="B1401">
            <v>6500</v>
          </cell>
          <cell r="C1401">
            <v>61115</v>
          </cell>
          <cell r="D1401">
            <v>0</v>
          </cell>
          <cell r="E1401" t="str">
            <v>HW MIRROR FOR LTGM KS:SN</v>
          </cell>
          <cell r="F1401">
            <v>1</v>
          </cell>
          <cell r="G1401">
            <v>35453</v>
          </cell>
          <cell r="H1401">
            <v>9579.69</v>
          </cell>
        </row>
        <row r="1402">
          <cell r="A1402">
            <v>3400003671</v>
          </cell>
          <cell r="B1402">
            <v>6500</v>
          </cell>
          <cell r="C1402">
            <v>61115</v>
          </cell>
          <cell r="D1402">
            <v>0</v>
          </cell>
          <cell r="E1402" t="str">
            <v>HW MIRROR FOR LTGM KS:SN</v>
          </cell>
          <cell r="F1402">
            <v>1</v>
          </cell>
          <cell r="G1402">
            <v>35453</v>
          </cell>
          <cell r="H1402">
            <v>9579.69</v>
          </cell>
        </row>
        <row r="1403">
          <cell r="A1403">
            <v>3400003672</v>
          </cell>
          <cell r="B1403">
            <v>6500</v>
          </cell>
          <cell r="C1403">
            <v>61115</v>
          </cell>
          <cell r="D1403">
            <v>0</v>
          </cell>
          <cell r="E1403" t="str">
            <v>HW MIRROR FOR LTGM KS:SN</v>
          </cell>
          <cell r="F1403">
            <v>1</v>
          </cell>
          <cell r="G1403">
            <v>35453</v>
          </cell>
          <cell r="H1403">
            <v>9579.69</v>
          </cell>
        </row>
        <row r="1404">
          <cell r="A1404">
            <v>3400003673</v>
          </cell>
          <cell r="B1404">
            <v>6500</v>
          </cell>
          <cell r="C1404">
            <v>61115</v>
          </cell>
          <cell r="D1404">
            <v>0</v>
          </cell>
          <cell r="E1404" t="str">
            <v>HW MIRROR FOR LTGM KS:SN</v>
          </cell>
          <cell r="F1404">
            <v>1</v>
          </cell>
          <cell r="G1404">
            <v>35453</v>
          </cell>
          <cell r="H1404">
            <v>9579.69</v>
          </cell>
        </row>
        <row r="1405">
          <cell r="A1405">
            <v>3400003674</v>
          </cell>
          <cell r="B1405">
            <v>6500</v>
          </cell>
          <cell r="C1405">
            <v>61115</v>
          </cell>
          <cell r="D1405">
            <v>0</v>
          </cell>
          <cell r="E1405" t="str">
            <v>HW MIRROR FOR LTGM KS:SN</v>
          </cell>
          <cell r="F1405">
            <v>1</v>
          </cell>
          <cell r="G1405">
            <v>35453</v>
          </cell>
          <cell r="H1405">
            <v>9579.69</v>
          </cell>
        </row>
        <row r="1406">
          <cell r="A1406">
            <v>3400003675</v>
          </cell>
          <cell r="B1406">
            <v>6500</v>
          </cell>
          <cell r="C1406">
            <v>61115</v>
          </cell>
          <cell r="D1406">
            <v>0</v>
          </cell>
          <cell r="E1406" t="str">
            <v>HW MIRROR FOR LTGM KS:SN</v>
          </cell>
          <cell r="F1406">
            <v>1</v>
          </cell>
          <cell r="G1406">
            <v>35453</v>
          </cell>
          <cell r="H1406">
            <v>9579.69</v>
          </cell>
        </row>
        <row r="1407">
          <cell r="A1407">
            <v>3400003676</v>
          </cell>
          <cell r="B1407">
            <v>6500</v>
          </cell>
          <cell r="C1407">
            <v>61115</v>
          </cell>
          <cell r="D1407">
            <v>0</v>
          </cell>
          <cell r="E1407" t="str">
            <v>HW MIRROR FOR LTGM KS:SN</v>
          </cell>
          <cell r="F1407">
            <v>1</v>
          </cell>
          <cell r="G1407">
            <v>35453</v>
          </cell>
          <cell r="H1407">
            <v>9579.69</v>
          </cell>
        </row>
        <row r="1408">
          <cell r="A1408">
            <v>3400003677</v>
          </cell>
          <cell r="B1408">
            <v>6500</v>
          </cell>
          <cell r="C1408">
            <v>61115</v>
          </cell>
          <cell r="D1408">
            <v>0</v>
          </cell>
          <cell r="E1408" t="str">
            <v>HW MIRROR FOR LTGM KS: DIU</v>
          </cell>
          <cell r="F1408">
            <v>1</v>
          </cell>
          <cell r="G1408">
            <v>35453</v>
          </cell>
          <cell r="H1408">
            <v>7885.57</v>
          </cell>
        </row>
        <row r="1409">
          <cell r="A1409">
            <v>3400003678</v>
          </cell>
          <cell r="B1409">
            <v>6500</v>
          </cell>
          <cell r="C1409">
            <v>61115</v>
          </cell>
          <cell r="D1409">
            <v>0</v>
          </cell>
          <cell r="E1409" t="str">
            <v>HW MIRROR FOR LTGM KS:DIU</v>
          </cell>
          <cell r="F1409">
            <v>1</v>
          </cell>
          <cell r="G1409">
            <v>35453</v>
          </cell>
          <cell r="H1409">
            <v>7885.53</v>
          </cell>
        </row>
        <row r="1410">
          <cell r="A1410">
            <v>3400003679</v>
          </cell>
          <cell r="B1410">
            <v>6500</v>
          </cell>
          <cell r="C1410">
            <v>61115</v>
          </cell>
          <cell r="D1410">
            <v>0</v>
          </cell>
          <cell r="E1410" t="str">
            <v>HW MIRROR FOR LTGM KS:DIU</v>
          </cell>
          <cell r="F1410">
            <v>1</v>
          </cell>
          <cell r="G1410">
            <v>35453</v>
          </cell>
          <cell r="H1410">
            <v>7885.53</v>
          </cell>
        </row>
        <row r="1411">
          <cell r="A1411">
            <v>3400003680</v>
          </cell>
          <cell r="B1411">
            <v>6500</v>
          </cell>
          <cell r="C1411">
            <v>61115</v>
          </cell>
          <cell r="D1411">
            <v>0</v>
          </cell>
          <cell r="E1411" t="str">
            <v>HW MIRROR FOR LTGM KS:DIU</v>
          </cell>
          <cell r="F1411">
            <v>1</v>
          </cell>
          <cell r="G1411">
            <v>35453</v>
          </cell>
          <cell r="H1411">
            <v>7885.53</v>
          </cell>
        </row>
        <row r="1412">
          <cell r="A1412">
            <v>3400003681</v>
          </cell>
          <cell r="B1412">
            <v>6500</v>
          </cell>
          <cell r="C1412">
            <v>61115</v>
          </cell>
          <cell r="D1412">
            <v>0</v>
          </cell>
          <cell r="E1412" t="str">
            <v>HW MIRROR FOR LTGM KS:DIU</v>
          </cell>
          <cell r="F1412">
            <v>1</v>
          </cell>
          <cell r="G1412">
            <v>35453</v>
          </cell>
          <cell r="H1412">
            <v>7885.53</v>
          </cell>
        </row>
        <row r="1413">
          <cell r="A1413">
            <v>3400003682</v>
          </cell>
          <cell r="B1413">
            <v>6500</v>
          </cell>
          <cell r="C1413">
            <v>61115</v>
          </cell>
          <cell r="D1413">
            <v>0</v>
          </cell>
          <cell r="E1413" t="str">
            <v>HW MIRROR FOR LTGM KS:DIU</v>
          </cell>
          <cell r="F1413">
            <v>1</v>
          </cell>
          <cell r="G1413">
            <v>35453</v>
          </cell>
          <cell r="H1413">
            <v>7885.53</v>
          </cell>
        </row>
        <row r="1414">
          <cell r="A1414">
            <v>3400003683</v>
          </cell>
          <cell r="B1414">
            <v>6500</v>
          </cell>
          <cell r="C1414">
            <v>61115</v>
          </cell>
          <cell r="D1414">
            <v>0</v>
          </cell>
          <cell r="E1414" t="str">
            <v>HW MIRROR FOR LTGM KS:DIU</v>
          </cell>
          <cell r="F1414">
            <v>1</v>
          </cell>
          <cell r="G1414">
            <v>35453</v>
          </cell>
          <cell r="H1414">
            <v>7885.53</v>
          </cell>
        </row>
        <row r="1415">
          <cell r="A1415">
            <v>3400003684</v>
          </cell>
          <cell r="B1415">
            <v>6500</v>
          </cell>
          <cell r="C1415">
            <v>61115</v>
          </cell>
          <cell r="D1415">
            <v>0</v>
          </cell>
          <cell r="E1415" t="str">
            <v>HW MIRROR FOR LTGM KS:DIU</v>
          </cell>
          <cell r="F1415">
            <v>1</v>
          </cell>
          <cell r="G1415">
            <v>35453</v>
          </cell>
          <cell r="H1415">
            <v>7885.53</v>
          </cell>
        </row>
        <row r="1416">
          <cell r="A1416">
            <v>3400003685</v>
          </cell>
          <cell r="B1416">
            <v>6500</v>
          </cell>
          <cell r="C1416">
            <v>61115</v>
          </cell>
          <cell r="D1416">
            <v>0</v>
          </cell>
          <cell r="E1416" t="str">
            <v>HW MIRROR FOR LTGM KS:DIU</v>
          </cell>
          <cell r="F1416">
            <v>1</v>
          </cell>
          <cell r="G1416">
            <v>35453</v>
          </cell>
          <cell r="H1416">
            <v>7885.53</v>
          </cell>
        </row>
        <row r="1417">
          <cell r="A1417">
            <v>3400003686</v>
          </cell>
          <cell r="B1417">
            <v>6500</v>
          </cell>
          <cell r="C1417">
            <v>61115</v>
          </cell>
          <cell r="D1417">
            <v>0</v>
          </cell>
          <cell r="E1417" t="str">
            <v>HW MIRROR FOR LTGM KS:DIU</v>
          </cell>
          <cell r="F1417">
            <v>1</v>
          </cell>
          <cell r="G1417">
            <v>35453</v>
          </cell>
          <cell r="H1417">
            <v>7885.53</v>
          </cell>
        </row>
        <row r="1418">
          <cell r="A1418">
            <v>3400003687</v>
          </cell>
          <cell r="B1418">
            <v>6500</v>
          </cell>
          <cell r="C1418">
            <v>61115</v>
          </cell>
          <cell r="D1418">
            <v>0</v>
          </cell>
          <cell r="E1418" t="str">
            <v>HW MIRROR FOR LTGM KS:DIU</v>
          </cell>
          <cell r="F1418">
            <v>1</v>
          </cell>
          <cell r="G1418">
            <v>35453</v>
          </cell>
          <cell r="H1418">
            <v>7885.53</v>
          </cell>
        </row>
        <row r="1419">
          <cell r="A1419">
            <v>3400003688</v>
          </cell>
          <cell r="B1419">
            <v>6500</v>
          </cell>
          <cell r="C1419">
            <v>61115</v>
          </cell>
          <cell r="D1419">
            <v>0</v>
          </cell>
          <cell r="E1419" t="str">
            <v>HW MIRROR FOR LTGM KS:DIU</v>
          </cell>
          <cell r="F1419">
            <v>1</v>
          </cell>
          <cell r="G1419">
            <v>35453</v>
          </cell>
          <cell r="H1419">
            <v>7885.53</v>
          </cell>
        </row>
        <row r="1420">
          <cell r="A1420">
            <v>3400003689</v>
          </cell>
          <cell r="B1420">
            <v>6500</v>
          </cell>
          <cell r="C1420">
            <v>61115</v>
          </cell>
          <cell r="D1420">
            <v>0</v>
          </cell>
          <cell r="E1420" t="str">
            <v>HW MIRROR FOR LTGM KS:DIU</v>
          </cell>
          <cell r="F1420">
            <v>1</v>
          </cell>
          <cell r="G1420">
            <v>35453</v>
          </cell>
          <cell r="H1420">
            <v>7885.53</v>
          </cell>
        </row>
        <row r="1421">
          <cell r="A1421">
            <v>3400003690</v>
          </cell>
          <cell r="B1421">
            <v>6500</v>
          </cell>
          <cell r="C1421">
            <v>61115</v>
          </cell>
          <cell r="D1421">
            <v>0</v>
          </cell>
          <cell r="E1421" t="str">
            <v>HW MIRROR FOR LTGM KS:DIU</v>
          </cell>
          <cell r="F1421">
            <v>1</v>
          </cell>
          <cell r="G1421">
            <v>35453</v>
          </cell>
          <cell r="H1421">
            <v>7885.53</v>
          </cell>
        </row>
        <row r="1422">
          <cell r="A1422">
            <v>3400003691</v>
          </cell>
          <cell r="B1422">
            <v>6500</v>
          </cell>
          <cell r="C1422">
            <v>61115</v>
          </cell>
          <cell r="D1422">
            <v>0</v>
          </cell>
          <cell r="E1422" t="str">
            <v>HW MIRROR FOR LTGM KS:DIU</v>
          </cell>
          <cell r="F1422">
            <v>1</v>
          </cell>
          <cell r="G1422">
            <v>35453</v>
          </cell>
          <cell r="H1422">
            <v>7885.53</v>
          </cell>
        </row>
        <row r="1423">
          <cell r="A1423">
            <v>3400003692</v>
          </cell>
          <cell r="B1423">
            <v>6500</v>
          </cell>
          <cell r="C1423">
            <v>61115</v>
          </cell>
          <cell r="D1423">
            <v>0</v>
          </cell>
          <cell r="E1423" t="str">
            <v>HW MIRROR FOR LTGM KS:DIU</v>
          </cell>
          <cell r="F1423">
            <v>1</v>
          </cell>
          <cell r="G1423">
            <v>35453</v>
          </cell>
          <cell r="H1423">
            <v>7885.53</v>
          </cell>
        </row>
        <row r="1424">
          <cell r="A1424">
            <v>3400003693</v>
          </cell>
          <cell r="B1424">
            <v>6500</v>
          </cell>
          <cell r="C1424">
            <v>61115</v>
          </cell>
          <cell r="D1424">
            <v>0</v>
          </cell>
          <cell r="E1424" t="str">
            <v>HW MIRROR FOR LTGM KS:DIU</v>
          </cell>
          <cell r="F1424">
            <v>1</v>
          </cell>
          <cell r="G1424">
            <v>35453</v>
          </cell>
          <cell r="H1424">
            <v>7885.53</v>
          </cell>
        </row>
        <row r="1425">
          <cell r="A1425">
            <v>3400003694</v>
          </cell>
          <cell r="B1425">
            <v>6500</v>
          </cell>
          <cell r="C1425">
            <v>61115</v>
          </cell>
          <cell r="D1425">
            <v>0</v>
          </cell>
          <cell r="E1425" t="str">
            <v>HW MIRROR FOR LTGM KS:DIU</v>
          </cell>
          <cell r="F1425">
            <v>1</v>
          </cell>
          <cell r="G1425">
            <v>35453</v>
          </cell>
          <cell r="H1425">
            <v>7885.53</v>
          </cell>
        </row>
        <row r="1426">
          <cell r="A1426">
            <v>3400003695</v>
          </cell>
          <cell r="B1426">
            <v>6500</v>
          </cell>
          <cell r="C1426">
            <v>61115</v>
          </cell>
          <cell r="D1426">
            <v>0</v>
          </cell>
          <cell r="E1426" t="str">
            <v>HW MIRROR FOR LTGM KS:DIU</v>
          </cell>
          <cell r="F1426">
            <v>1</v>
          </cell>
          <cell r="G1426">
            <v>35453</v>
          </cell>
          <cell r="H1426">
            <v>7885.53</v>
          </cell>
        </row>
        <row r="1427">
          <cell r="A1427">
            <v>3400003696</v>
          </cell>
          <cell r="B1427">
            <v>6500</v>
          </cell>
          <cell r="C1427">
            <v>61115</v>
          </cell>
          <cell r="D1427">
            <v>0</v>
          </cell>
          <cell r="E1427" t="str">
            <v>HW MIRROR FOR LTGM KS:DIU</v>
          </cell>
          <cell r="F1427">
            <v>1</v>
          </cell>
          <cell r="G1427">
            <v>35453</v>
          </cell>
          <cell r="H1427">
            <v>7885.53</v>
          </cell>
        </row>
        <row r="1428">
          <cell r="A1428">
            <v>3400003697</v>
          </cell>
          <cell r="B1428">
            <v>6500</v>
          </cell>
          <cell r="C1428">
            <v>61115</v>
          </cell>
          <cell r="D1428">
            <v>0</v>
          </cell>
          <cell r="E1428" t="str">
            <v>HW MIRROR FOR LTGM KS:DIU</v>
          </cell>
          <cell r="F1428">
            <v>1</v>
          </cell>
          <cell r="G1428">
            <v>35453</v>
          </cell>
          <cell r="H1428">
            <v>7885.53</v>
          </cell>
        </row>
        <row r="1429">
          <cell r="A1429">
            <v>3400003698</v>
          </cell>
          <cell r="B1429">
            <v>6500</v>
          </cell>
          <cell r="C1429">
            <v>61115</v>
          </cell>
          <cell r="D1429">
            <v>0</v>
          </cell>
          <cell r="E1429" t="str">
            <v>HW MIRROR FOR LTGM KS:DIU</v>
          </cell>
          <cell r="F1429">
            <v>1</v>
          </cell>
          <cell r="G1429">
            <v>35453</v>
          </cell>
          <cell r="H1429">
            <v>7885.53</v>
          </cell>
        </row>
        <row r="1430">
          <cell r="A1430">
            <v>3400003699</v>
          </cell>
          <cell r="B1430">
            <v>6500</v>
          </cell>
          <cell r="C1430">
            <v>61115</v>
          </cell>
          <cell r="D1430">
            <v>0</v>
          </cell>
          <cell r="E1430" t="str">
            <v>HW MIRROR FOR LTGM KS:DIU</v>
          </cell>
          <cell r="F1430">
            <v>1</v>
          </cell>
          <cell r="G1430">
            <v>35453</v>
          </cell>
          <cell r="H1430">
            <v>7885.53</v>
          </cell>
        </row>
        <row r="1431">
          <cell r="A1431">
            <v>3400003700</v>
          </cell>
          <cell r="B1431">
            <v>6500</v>
          </cell>
          <cell r="C1431">
            <v>61115</v>
          </cell>
          <cell r="D1431">
            <v>0</v>
          </cell>
          <cell r="E1431" t="str">
            <v>HW MIRROR FOR LTGM KS:DIU</v>
          </cell>
          <cell r="F1431">
            <v>1</v>
          </cell>
          <cell r="G1431">
            <v>35453</v>
          </cell>
          <cell r="H1431">
            <v>7885.53</v>
          </cell>
        </row>
        <row r="1432">
          <cell r="A1432">
            <v>3400003701</v>
          </cell>
          <cell r="B1432">
            <v>6500</v>
          </cell>
          <cell r="C1432">
            <v>61115</v>
          </cell>
          <cell r="D1432">
            <v>0</v>
          </cell>
          <cell r="E1432" t="str">
            <v>HW MIRROR FOR LTGM KS:DIU</v>
          </cell>
          <cell r="F1432">
            <v>1</v>
          </cell>
          <cell r="G1432">
            <v>35453</v>
          </cell>
          <cell r="H1432">
            <v>7885.53</v>
          </cell>
        </row>
        <row r="1433">
          <cell r="A1433">
            <v>3400003702</v>
          </cell>
          <cell r="B1433">
            <v>6500</v>
          </cell>
          <cell r="C1433">
            <v>61115</v>
          </cell>
          <cell r="D1433">
            <v>0</v>
          </cell>
          <cell r="E1433" t="str">
            <v>HW MIRROR FOR LTGM KS:DIU</v>
          </cell>
          <cell r="F1433">
            <v>1</v>
          </cell>
          <cell r="G1433">
            <v>35453</v>
          </cell>
          <cell r="H1433">
            <v>7885.53</v>
          </cell>
        </row>
        <row r="1434">
          <cell r="A1434">
            <v>3400003704</v>
          </cell>
          <cell r="B1434">
            <v>6500</v>
          </cell>
          <cell r="C1434">
            <v>61115</v>
          </cell>
          <cell r="D1434">
            <v>0</v>
          </cell>
          <cell r="E1434" t="str">
            <v>HW MIRROR FOR LTGM KS:DIU</v>
          </cell>
          <cell r="F1434">
            <v>1</v>
          </cell>
          <cell r="G1434">
            <v>35453</v>
          </cell>
          <cell r="H1434">
            <v>7885.53</v>
          </cell>
        </row>
        <row r="1435">
          <cell r="A1435">
            <v>3400003705</v>
          </cell>
          <cell r="B1435">
            <v>6500</v>
          </cell>
          <cell r="C1435">
            <v>61115</v>
          </cell>
          <cell r="D1435">
            <v>0</v>
          </cell>
          <cell r="E1435" t="str">
            <v>HW MIRROR FOR LTGM KS:DIU</v>
          </cell>
          <cell r="F1435">
            <v>1</v>
          </cell>
          <cell r="G1435">
            <v>35453</v>
          </cell>
          <cell r="H1435">
            <v>7885.53</v>
          </cell>
        </row>
        <row r="1436">
          <cell r="A1436">
            <v>3400003706</v>
          </cell>
          <cell r="B1436">
            <v>6500</v>
          </cell>
          <cell r="C1436">
            <v>61115</v>
          </cell>
          <cell r="D1436">
            <v>0</v>
          </cell>
          <cell r="E1436" t="str">
            <v>HW MIRROR FOR LTGM KS:DIU</v>
          </cell>
          <cell r="F1436">
            <v>1</v>
          </cell>
          <cell r="G1436">
            <v>35453</v>
          </cell>
          <cell r="H1436">
            <v>7885.53</v>
          </cell>
        </row>
        <row r="1437">
          <cell r="A1437">
            <v>3400003707</v>
          </cell>
          <cell r="B1437">
            <v>6500</v>
          </cell>
          <cell r="C1437">
            <v>61115</v>
          </cell>
          <cell r="D1437">
            <v>0</v>
          </cell>
          <cell r="E1437" t="str">
            <v>HW MIRROR FOR LTGM KS:LDIM</v>
          </cell>
          <cell r="F1437">
            <v>1</v>
          </cell>
          <cell r="G1437">
            <v>35453</v>
          </cell>
          <cell r="H1437">
            <v>7885.57</v>
          </cell>
        </row>
        <row r="1438">
          <cell r="A1438">
            <v>3400003708</v>
          </cell>
          <cell r="B1438">
            <v>6500</v>
          </cell>
          <cell r="C1438">
            <v>61115</v>
          </cell>
          <cell r="D1438">
            <v>0</v>
          </cell>
          <cell r="E1438" t="str">
            <v>HW MIRROR FOR LTGM KS:LDIM</v>
          </cell>
          <cell r="F1438">
            <v>1</v>
          </cell>
          <cell r="G1438">
            <v>35453</v>
          </cell>
          <cell r="H1438">
            <v>7885.53</v>
          </cell>
        </row>
        <row r="1439">
          <cell r="A1439">
            <v>3400003709</v>
          </cell>
          <cell r="B1439">
            <v>6500</v>
          </cell>
          <cell r="C1439">
            <v>61115</v>
          </cell>
          <cell r="D1439">
            <v>0</v>
          </cell>
          <cell r="E1439" t="str">
            <v>HW MIRROR FOR LTGM KS:LDIM</v>
          </cell>
          <cell r="F1439">
            <v>1</v>
          </cell>
          <cell r="G1439">
            <v>35453</v>
          </cell>
          <cell r="H1439">
            <v>7885.53</v>
          </cell>
        </row>
        <row r="1440">
          <cell r="A1440">
            <v>3400003710</v>
          </cell>
          <cell r="B1440">
            <v>6500</v>
          </cell>
          <cell r="C1440">
            <v>61115</v>
          </cell>
          <cell r="D1440">
            <v>0</v>
          </cell>
          <cell r="E1440" t="str">
            <v>HW MIRROR FOR LTGM KS:LDIM</v>
          </cell>
          <cell r="F1440">
            <v>1</v>
          </cell>
          <cell r="G1440">
            <v>35453</v>
          </cell>
          <cell r="H1440">
            <v>7885.53</v>
          </cell>
        </row>
        <row r="1441">
          <cell r="A1441">
            <v>3400003711</v>
          </cell>
          <cell r="B1441">
            <v>6500</v>
          </cell>
          <cell r="C1441">
            <v>61115</v>
          </cell>
          <cell r="D1441">
            <v>0</v>
          </cell>
          <cell r="E1441" t="str">
            <v>HW MIRROR FOR LTGM KS:LDIM</v>
          </cell>
          <cell r="F1441">
            <v>1</v>
          </cell>
          <cell r="G1441">
            <v>35453</v>
          </cell>
          <cell r="H1441">
            <v>7885.53</v>
          </cell>
        </row>
        <row r="1442">
          <cell r="A1442">
            <v>3400003712</v>
          </cell>
          <cell r="B1442">
            <v>6500</v>
          </cell>
          <cell r="C1442">
            <v>61115</v>
          </cell>
          <cell r="D1442">
            <v>0</v>
          </cell>
          <cell r="E1442" t="str">
            <v>HW MIRROR FOR LTGM KS:LDIM</v>
          </cell>
          <cell r="F1442">
            <v>1</v>
          </cell>
          <cell r="G1442">
            <v>35453</v>
          </cell>
          <cell r="H1442">
            <v>7885.53</v>
          </cell>
        </row>
        <row r="1443">
          <cell r="A1443">
            <v>3400003713</v>
          </cell>
          <cell r="B1443">
            <v>6500</v>
          </cell>
          <cell r="C1443">
            <v>61115</v>
          </cell>
          <cell r="D1443">
            <v>0</v>
          </cell>
          <cell r="E1443" t="str">
            <v>HW MIRROR FOR LTGM KS:LDIM</v>
          </cell>
          <cell r="F1443">
            <v>1</v>
          </cell>
          <cell r="G1443">
            <v>35453</v>
          </cell>
          <cell r="H1443">
            <v>7885.53</v>
          </cell>
        </row>
        <row r="1444">
          <cell r="A1444">
            <v>3400003714</v>
          </cell>
          <cell r="B1444">
            <v>6500</v>
          </cell>
          <cell r="C1444">
            <v>61115</v>
          </cell>
          <cell r="D1444">
            <v>0</v>
          </cell>
          <cell r="E1444" t="str">
            <v>HW MIRROR FOR LTGM KS:LDIM</v>
          </cell>
          <cell r="F1444">
            <v>1</v>
          </cell>
          <cell r="G1444">
            <v>35453</v>
          </cell>
          <cell r="H1444">
            <v>7885.53</v>
          </cell>
        </row>
        <row r="1445">
          <cell r="A1445">
            <v>3400003715</v>
          </cell>
          <cell r="B1445">
            <v>6500</v>
          </cell>
          <cell r="C1445">
            <v>61115</v>
          </cell>
          <cell r="D1445">
            <v>0</v>
          </cell>
          <cell r="E1445" t="str">
            <v>HW MIRROR FOR LTGM KS:LDIM</v>
          </cell>
          <cell r="F1445">
            <v>1</v>
          </cell>
          <cell r="G1445">
            <v>35453</v>
          </cell>
          <cell r="H1445">
            <v>7885.53</v>
          </cell>
        </row>
        <row r="1446">
          <cell r="A1446">
            <v>3400003716</v>
          </cell>
          <cell r="B1446">
            <v>6500</v>
          </cell>
          <cell r="C1446">
            <v>61115</v>
          </cell>
          <cell r="D1446">
            <v>0</v>
          </cell>
          <cell r="E1446" t="str">
            <v>HW MIRROR FOR LTGM KS:LDIM</v>
          </cell>
          <cell r="F1446">
            <v>1</v>
          </cell>
          <cell r="G1446">
            <v>35453</v>
          </cell>
          <cell r="H1446">
            <v>7885.53</v>
          </cell>
        </row>
        <row r="1447">
          <cell r="A1447">
            <v>3400003717</v>
          </cell>
          <cell r="B1447">
            <v>6500</v>
          </cell>
          <cell r="C1447">
            <v>61115</v>
          </cell>
          <cell r="D1447">
            <v>0</v>
          </cell>
          <cell r="E1447" t="str">
            <v>HW MIRROR FOR LTGM KS:LDIM</v>
          </cell>
          <cell r="F1447">
            <v>1</v>
          </cell>
          <cell r="G1447">
            <v>35453</v>
          </cell>
          <cell r="H1447">
            <v>7885.53</v>
          </cell>
        </row>
        <row r="1448">
          <cell r="A1448">
            <v>3400003718</v>
          </cell>
          <cell r="B1448">
            <v>6500</v>
          </cell>
          <cell r="C1448">
            <v>61115</v>
          </cell>
          <cell r="D1448">
            <v>0</v>
          </cell>
          <cell r="E1448" t="str">
            <v>HW MIRROR FOR LTGM KS:LDIM</v>
          </cell>
          <cell r="F1448">
            <v>1</v>
          </cell>
          <cell r="G1448">
            <v>35453</v>
          </cell>
          <cell r="H1448">
            <v>7885.53</v>
          </cell>
        </row>
        <row r="1449">
          <cell r="A1449">
            <v>3400003719</v>
          </cell>
          <cell r="B1449">
            <v>6500</v>
          </cell>
          <cell r="C1449">
            <v>61115</v>
          </cell>
          <cell r="D1449">
            <v>0</v>
          </cell>
          <cell r="E1449" t="str">
            <v>HW MIRROR FOR LTGM KS:LDIM</v>
          </cell>
          <cell r="F1449">
            <v>1</v>
          </cell>
          <cell r="G1449">
            <v>35453</v>
          </cell>
          <cell r="H1449">
            <v>7885.53</v>
          </cell>
        </row>
        <row r="1450">
          <cell r="A1450">
            <v>3400003720</v>
          </cell>
          <cell r="B1450">
            <v>6500</v>
          </cell>
          <cell r="C1450">
            <v>61115</v>
          </cell>
          <cell r="D1450">
            <v>0</v>
          </cell>
          <cell r="E1450" t="str">
            <v>HW MIRROR FOR LTGM KS:LDIM</v>
          </cell>
          <cell r="F1450">
            <v>1</v>
          </cell>
          <cell r="G1450">
            <v>35453</v>
          </cell>
          <cell r="H1450">
            <v>7885.53</v>
          </cell>
        </row>
        <row r="1451">
          <cell r="A1451">
            <v>3400003721</v>
          </cell>
          <cell r="B1451">
            <v>6500</v>
          </cell>
          <cell r="C1451">
            <v>61115</v>
          </cell>
          <cell r="D1451">
            <v>0</v>
          </cell>
          <cell r="E1451" t="str">
            <v>HW MIRROR FOR LTGM KS:LDIM</v>
          </cell>
          <cell r="F1451">
            <v>1</v>
          </cell>
          <cell r="G1451">
            <v>35453</v>
          </cell>
          <cell r="H1451">
            <v>7885.53</v>
          </cell>
        </row>
        <row r="1452">
          <cell r="A1452">
            <v>3400003722</v>
          </cell>
          <cell r="B1452">
            <v>6500</v>
          </cell>
          <cell r="C1452">
            <v>61115</v>
          </cell>
          <cell r="D1452">
            <v>0</v>
          </cell>
          <cell r="E1452" t="str">
            <v>HW MIRROR FOR LTGM KS:LDIM</v>
          </cell>
          <cell r="F1452">
            <v>1</v>
          </cell>
          <cell r="G1452">
            <v>35453</v>
          </cell>
          <cell r="H1452">
            <v>7885.53</v>
          </cell>
        </row>
        <row r="1453">
          <cell r="A1453">
            <v>3400003723</v>
          </cell>
          <cell r="B1453">
            <v>6500</v>
          </cell>
          <cell r="C1453">
            <v>61115</v>
          </cell>
          <cell r="D1453">
            <v>0</v>
          </cell>
          <cell r="E1453" t="str">
            <v>HW MIRROR FOR LTGM KS:LDIM</v>
          </cell>
          <cell r="F1453">
            <v>1</v>
          </cell>
          <cell r="G1453">
            <v>35453</v>
          </cell>
          <cell r="H1453">
            <v>7885.53</v>
          </cell>
        </row>
        <row r="1454">
          <cell r="A1454">
            <v>3400003724</v>
          </cell>
          <cell r="B1454">
            <v>6500</v>
          </cell>
          <cell r="C1454">
            <v>61115</v>
          </cell>
          <cell r="D1454">
            <v>0</v>
          </cell>
          <cell r="E1454" t="str">
            <v>HW MIRROR FOR LTGM KS:LDIM</v>
          </cell>
          <cell r="F1454">
            <v>1</v>
          </cell>
          <cell r="G1454">
            <v>35453</v>
          </cell>
          <cell r="H1454">
            <v>7885.53</v>
          </cell>
        </row>
        <row r="1455">
          <cell r="A1455">
            <v>3400003725</v>
          </cell>
          <cell r="B1455">
            <v>6500</v>
          </cell>
          <cell r="C1455">
            <v>61115</v>
          </cell>
          <cell r="D1455">
            <v>0</v>
          </cell>
          <cell r="E1455" t="str">
            <v>HW MIRROR FOR LTGM KS:LDIM</v>
          </cell>
          <cell r="F1455">
            <v>1</v>
          </cell>
          <cell r="G1455">
            <v>35453</v>
          </cell>
          <cell r="H1455">
            <v>7885.53</v>
          </cell>
        </row>
        <row r="1456">
          <cell r="A1456">
            <v>3400003726</v>
          </cell>
          <cell r="B1456">
            <v>6500</v>
          </cell>
          <cell r="C1456">
            <v>61115</v>
          </cell>
          <cell r="D1456">
            <v>0</v>
          </cell>
          <cell r="E1456" t="str">
            <v>HW MIRROR FOR LTGM KS:LDIM</v>
          </cell>
          <cell r="F1456">
            <v>1</v>
          </cell>
          <cell r="G1456">
            <v>35453</v>
          </cell>
          <cell r="H1456">
            <v>7885.53</v>
          </cell>
        </row>
        <row r="1457">
          <cell r="A1457">
            <v>3400003727</v>
          </cell>
          <cell r="B1457">
            <v>6500</v>
          </cell>
          <cell r="C1457">
            <v>61115</v>
          </cell>
          <cell r="D1457">
            <v>0</v>
          </cell>
          <cell r="E1457" t="str">
            <v>HW MIRROR FOR LTGM KS:LDIM</v>
          </cell>
          <cell r="F1457">
            <v>1</v>
          </cell>
          <cell r="G1457">
            <v>35453</v>
          </cell>
          <cell r="H1457">
            <v>7885.53</v>
          </cell>
        </row>
        <row r="1458">
          <cell r="A1458">
            <v>3400003728</v>
          </cell>
          <cell r="B1458">
            <v>6500</v>
          </cell>
          <cell r="C1458">
            <v>61115</v>
          </cell>
          <cell r="D1458">
            <v>0</v>
          </cell>
          <cell r="E1458" t="str">
            <v>HW MIRROR FOR LTGM KS:LDIM</v>
          </cell>
          <cell r="F1458">
            <v>1</v>
          </cell>
          <cell r="G1458">
            <v>35453</v>
          </cell>
          <cell r="H1458">
            <v>7885.53</v>
          </cell>
        </row>
        <row r="1459">
          <cell r="A1459">
            <v>3400003729</v>
          </cell>
          <cell r="B1459">
            <v>6500</v>
          </cell>
          <cell r="C1459">
            <v>61115</v>
          </cell>
          <cell r="D1459">
            <v>0</v>
          </cell>
          <cell r="E1459" t="str">
            <v>HW MIRROR FOR LTGM KS:LDIM</v>
          </cell>
          <cell r="F1459">
            <v>1</v>
          </cell>
          <cell r="G1459">
            <v>35453</v>
          </cell>
          <cell r="H1459">
            <v>7885.53</v>
          </cell>
        </row>
        <row r="1460">
          <cell r="A1460">
            <v>3400003730</v>
          </cell>
          <cell r="B1460">
            <v>6500</v>
          </cell>
          <cell r="C1460">
            <v>61115</v>
          </cell>
          <cell r="D1460">
            <v>0</v>
          </cell>
          <cell r="E1460" t="str">
            <v>HW MIRROR FOR LTGM KS:LDIM</v>
          </cell>
          <cell r="F1460">
            <v>1</v>
          </cell>
          <cell r="G1460">
            <v>35453</v>
          </cell>
          <cell r="H1460">
            <v>7885.53</v>
          </cell>
        </row>
        <row r="1461">
          <cell r="A1461">
            <v>3400003731</v>
          </cell>
          <cell r="B1461">
            <v>6500</v>
          </cell>
          <cell r="C1461">
            <v>61115</v>
          </cell>
          <cell r="D1461">
            <v>0</v>
          </cell>
          <cell r="E1461" t="str">
            <v>HW MIRROR FOR LTGM KS:LDIM</v>
          </cell>
          <cell r="F1461">
            <v>1</v>
          </cell>
          <cell r="G1461">
            <v>35453</v>
          </cell>
          <cell r="H1461">
            <v>7885.53</v>
          </cell>
        </row>
        <row r="1462">
          <cell r="A1462">
            <v>3400003732</v>
          </cell>
          <cell r="B1462">
            <v>6500</v>
          </cell>
          <cell r="C1462">
            <v>61115</v>
          </cell>
          <cell r="D1462">
            <v>0</v>
          </cell>
          <cell r="E1462" t="str">
            <v>HW MIRROR FOR LTGM KS:LDIM</v>
          </cell>
          <cell r="F1462">
            <v>1</v>
          </cell>
          <cell r="G1462">
            <v>35453</v>
          </cell>
          <cell r="H1462">
            <v>7885.53</v>
          </cell>
        </row>
        <row r="1463">
          <cell r="A1463">
            <v>3400003733</v>
          </cell>
          <cell r="B1463">
            <v>6500</v>
          </cell>
          <cell r="C1463">
            <v>61115</v>
          </cell>
          <cell r="D1463">
            <v>0</v>
          </cell>
          <cell r="E1463" t="str">
            <v>HW MIRROR FOR LTGM KS:LDIM</v>
          </cell>
          <cell r="F1463">
            <v>1</v>
          </cell>
          <cell r="G1463">
            <v>35453</v>
          </cell>
          <cell r="H1463">
            <v>7885.53</v>
          </cell>
        </row>
        <row r="1464">
          <cell r="A1464">
            <v>3400003734</v>
          </cell>
          <cell r="B1464">
            <v>6500</v>
          </cell>
          <cell r="C1464">
            <v>61115</v>
          </cell>
          <cell r="D1464">
            <v>0</v>
          </cell>
          <cell r="E1464" t="str">
            <v>HW MIRROR FOR LTGM KS:LDIM</v>
          </cell>
          <cell r="F1464">
            <v>1</v>
          </cell>
          <cell r="G1464">
            <v>35453</v>
          </cell>
          <cell r="H1464">
            <v>7885.53</v>
          </cell>
        </row>
        <row r="1465">
          <cell r="A1465">
            <v>3400003735</v>
          </cell>
          <cell r="B1465">
            <v>6500</v>
          </cell>
          <cell r="C1465">
            <v>61115</v>
          </cell>
          <cell r="D1465">
            <v>0</v>
          </cell>
          <cell r="E1465" t="str">
            <v>HW MIRROR FOR LTGM KS:LDIM</v>
          </cell>
          <cell r="F1465">
            <v>1</v>
          </cell>
          <cell r="G1465">
            <v>35453</v>
          </cell>
          <cell r="H1465">
            <v>7885.53</v>
          </cell>
        </row>
        <row r="1466">
          <cell r="A1466">
            <v>3400003736</v>
          </cell>
          <cell r="B1466">
            <v>6500</v>
          </cell>
          <cell r="C1466">
            <v>61115</v>
          </cell>
          <cell r="D1466">
            <v>0</v>
          </cell>
          <cell r="E1466" t="str">
            <v>HW MIRROR FOR LTGM KS:LDIM</v>
          </cell>
          <cell r="F1466">
            <v>1</v>
          </cell>
          <cell r="G1466">
            <v>35453</v>
          </cell>
          <cell r="H1466">
            <v>7885.53</v>
          </cell>
        </row>
        <row r="1467">
          <cell r="A1467">
            <v>3400004531</v>
          </cell>
          <cell r="B1467">
            <v>6501</v>
          </cell>
          <cell r="C1467">
            <v>61151</v>
          </cell>
          <cell r="D1467">
            <v>0</v>
          </cell>
          <cell r="E1467" t="str">
            <v>MEASURING PIN SET 05MM-4MM</v>
          </cell>
          <cell r="F1467">
            <v>2</v>
          </cell>
          <cell r="G1467">
            <v>34759</v>
          </cell>
          <cell r="H1467">
            <v>3000</v>
          </cell>
        </row>
        <row r="1468">
          <cell r="A1468">
            <v>3400004622</v>
          </cell>
          <cell r="B1468">
            <v>6501</v>
          </cell>
          <cell r="C1468">
            <v>61153</v>
          </cell>
          <cell r="D1468">
            <v>0</v>
          </cell>
          <cell r="E1468" t="str">
            <v>TEST CLAMP 48 PINS</v>
          </cell>
          <cell r="F1468">
            <v>2</v>
          </cell>
          <cell r="G1468">
            <v>34820</v>
          </cell>
          <cell r="H1468">
            <v>1200</v>
          </cell>
        </row>
        <row r="1469">
          <cell r="A1469">
            <v>3400004623</v>
          </cell>
          <cell r="B1469">
            <v>6501</v>
          </cell>
          <cell r="C1469">
            <v>61115</v>
          </cell>
          <cell r="D1469">
            <v>0</v>
          </cell>
          <cell r="E1469" t="str">
            <v>MIRROR PLUG</v>
          </cell>
          <cell r="F1469">
            <v>25</v>
          </cell>
          <cell r="G1469">
            <v>34820</v>
          </cell>
          <cell r="H1469">
            <v>3500</v>
          </cell>
        </row>
        <row r="1470">
          <cell r="A1470">
            <v>3400004598</v>
          </cell>
          <cell r="B1470">
            <v>6501</v>
          </cell>
          <cell r="C1470">
            <v>61100</v>
          </cell>
          <cell r="D1470">
            <v>0</v>
          </cell>
          <cell r="E1470" t="str">
            <v>TEST PCB FOR COMPONENT GRID</v>
          </cell>
          <cell r="F1470">
            <v>1</v>
          </cell>
          <cell r="G1470">
            <v>34851</v>
          </cell>
          <cell r="H1470">
            <v>7200</v>
          </cell>
        </row>
        <row r="1471">
          <cell r="A1471">
            <v>3400003930</v>
          </cell>
          <cell r="B1471">
            <v>6501</v>
          </cell>
          <cell r="C1471">
            <v>61116</v>
          </cell>
          <cell r="D1471">
            <v>0</v>
          </cell>
          <cell r="E1471" t="str">
            <v>PHILIPS PP 9085 DIGITAL MULTIMETER</v>
          </cell>
          <cell r="F1471">
            <v>1</v>
          </cell>
          <cell r="G1471">
            <v>34608</v>
          </cell>
          <cell r="H1471">
            <v>1400</v>
          </cell>
        </row>
        <row r="1472">
          <cell r="A1472">
            <v>3400003822</v>
          </cell>
          <cell r="B1472">
            <v>6600</v>
          </cell>
          <cell r="C1472">
            <v>61155</v>
          </cell>
          <cell r="D1472">
            <v>0</v>
          </cell>
          <cell r="E1472" t="str">
            <v>CLUSTER TOOLS FOR TURRET PUNCH</v>
          </cell>
          <cell r="F1472">
            <v>1</v>
          </cell>
          <cell r="G1472">
            <v>35521</v>
          </cell>
          <cell r="H1472">
            <v>77868</v>
          </cell>
        </row>
        <row r="1473">
          <cell r="A1473">
            <v>3400003834</v>
          </cell>
          <cell r="B1473">
            <v>6600</v>
          </cell>
          <cell r="C1473">
            <v>61107</v>
          </cell>
          <cell r="D1473">
            <v>0</v>
          </cell>
          <cell r="E1473" t="str">
            <v>EMBOSSING WHEEL WITH SYMBOL</v>
          </cell>
          <cell r="F1473">
            <v>1</v>
          </cell>
          <cell r="G1473">
            <v>35521</v>
          </cell>
          <cell r="H1473">
            <v>6761</v>
          </cell>
        </row>
        <row r="1474">
          <cell r="A1474">
            <v>3400004675</v>
          </cell>
          <cell r="B1474">
            <v>6600</v>
          </cell>
          <cell r="C1474">
            <v>61203</v>
          </cell>
          <cell r="D1474">
            <v>1</v>
          </cell>
          <cell r="E1474" t="str">
            <v>TRANSISTOR FORMING TOOL</v>
          </cell>
          <cell r="F1474">
            <v>1</v>
          </cell>
          <cell r="G1474">
            <v>35309</v>
          </cell>
          <cell r="H1474">
            <v>4800</v>
          </cell>
        </row>
        <row r="1475">
          <cell r="A1475">
            <v>3400002718</v>
          </cell>
          <cell r="B1475">
            <v>6600</v>
          </cell>
          <cell r="C1475">
            <v>61157</v>
          </cell>
          <cell r="D1475">
            <v>0</v>
          </cell>
          <cell r="E1475" t="str">
            <v>HAMMER 2KG GB2 24DSE</v>
          </cell>
          <cell r="F1475">
            <v>1</v>
          </cell>
          <cell r="G1475">
            <v>35339</v>
          </cell>
          <cell r="H1475">
            <v>9100</v>
          </cell>
        </row>
        <row r="1476">
          <cell r="A1476">
            <v>3400002719</v>
          </cell>
          <cell r="B1476">
            <v>6600</v>
          </cell>
          <cell r="C1476">
            <v>61206</v>
          </cell>
          <cell r="D1476">
            <v>0</v>
          </cell>
          <cell r="E1476" t="str">
            <v>CIRCULAR SAD GKS7 1/4</v>
          </cell>
          <cell r="F1476">
            <v>1</v>
          </cell>
          <cell r="G1476">
            <v>35339</v>
          </cell>
          <cell r="H1476">
            <v>7800</v>
          </cell>
        </row>
        <row r="1477">
          <cell r="A1477">
            <v>3400002741</v>
          </cell>
          <cell r="B1477">
            <v>6600</v>
          </cell>
          <cell r="C1477">
            <v>61206</v>
          </cell>
          <cell r="D1477">
            <v>0</v>
          </cell>
          <cell r="E1477" t="str">
            <v>UNIVERSAL DEVICE PROGRAMMER</v>
          </cell>
          <cell r="F1477">
            <v>1</v>
          </cell>
          <cell r="G1477">
            <v>35339</v>
          </cell>
          <cell r="H1477">
            <v>14100</v>
          </cell>
        </row>
        <row r="1478">
          <cell r="A1478">
            <v>3400002742</v>
          </cell>
          <cell r="B1478">
            <v>6600</v>
          </cell>
          <cell r="C1478">
            <v>61151</v>
          </cell>
          <cell r="D1478">
            <v>0</v>
          </cell>
          <cell r="E1478" t="str">
            <v>TESTER RELAY</v>
          </cell>
          <cell r="F1478">
            <v>1</v>
          </cell>
          <cell r="G1478">
            <v>35339</v>
          </cell>
          <cell r="H1478">
            <v>37700</v>
          </cell>
        </row>
        <row r="1479">
          <cell r="A1479">
            <v>3400002743</v>
          </cell>
          <cell r="B1479">
            <v>6600</v>
          </cell>
          <cell r="C1479">
            <v>61151</v>
          </cell>
          <cell r="D1479">
            <v>0</v>
          </cell>
          <cell r="E1479" t="str">
            <v>TESTER RELAY</v>
          </cell>
          <cell r="F1479">
            <v>1</v>
          </cell>
          <cell r="G1479">
            <v>35339</v>
          </cell>
          <cell r="H1479">
            <v>29200</v>
          </cell>
        </row>
        <row r="1480">
          <cell r="A1480">
            <v>3400002753</v>
          </cell>
          <cell r="B1480">
            <v>6600</v>
          </cell>
          <cell r="C1480">
            <v>61206</v>
          </cell>
          <cell r="D1480">
            <v>0</v>
          </cell>
          <cell r="E1480" t="str">
            <v>TOOL FOR GUIDE</v>
          </cell>
          <cell r="F1480">
            <v>1</v>
          </cell>
          <cell r="G1480">
            <v>35339</v>
          </cell>
          <cell r="H1480">
            <v>6000</v>
          </cell>
        </row>
        <row r="1481">
          <cell r="A1481">
            <v>3400002756</v>
          </cell>
          <cell r="B1481">
            <v>6600</v>
          </cell>
          <cell r="C1481">
            <v>61208</v>
          </cell>
          <cell r="D1481">
            <v>0</v>
          </cell>
          <cell r="E1481" t="str">
            <v>MOULD SHEILD C22159-A1200-C31</v>
          </cell>
          <cell r="F1481">
            <v>1</v>
          </cell>
          <cell r="G1481">
            <v>35339</v>
          </cell>
          <cell r="H1481">
            <v>125900</v>
          </cell>
        </row>
        <row r="1482">
          <cell r="A1482">
            <v>3400002757</v>
          </cell>
          <cell r="B1482">
            <v>6600</v>
          </cell>
          <cell r="C1482">
            <v>61206</v>
          </cell>
          <cell r="D1482">
            <v>0</v>
          </cell>
          <cell r="E1482" t="str">
            <v>MOULD INSULATION CAP</v>
          </cell>
          <cell r="F1482">
            <v>1</v>
          </cell>
          <cell r="G1482">
            <v>35339</v>
          </cell>
          <cell r="H1482">
            <v>135600</v>
          </cell>
        </row>
        <row r="1483">
          <cell r="A1483">
            <v>3400002759</v>
          </cell>
          <cell r="B1483">
            <v>6600</v>
          </cell>
          <cell r="C1483">
            <v>61208</v>
          </cell>
          <cell r="D1483">
            <v>0</v>
          </cell>
          <cell r="E1483" t="str">
            <v>TOOLS FOR HALTERUNG C22156-A1200-C234</v>
          </cell>
          <cell r="F1483">
            <v>1</v>
          </cell>
          <cell r="G1483">
            <v>35339</v>
          </cell>
          <cell r="H1483">
            <v>271400</v>
          </cell>
        </row>
        <row r="1484">
          <cell r="A1484">
            <v>3400002760</v>
          </cell>
          <cell r="B1484">
            <v>6600</v>
          </cell>
          <cell r="C1484">
            <v>61151</v>
          </cell>
          <cell r="D1484">
            <v>0</v>
          </cell>
          <cell r="E1484" t="str">
            <v>BEVEL PROTRACTOR RS MAKE</v>
          </cell>
          <cell r="F1484">
            <v>1</v>
          </cell>
          <cell r="G1484">
            <v>35339</v>
          </cell>
          <cell r="H1484">
            <v>13500</v>
          </cell>
        </row>
        <row r="1485">
          <cell r="A1485">
            <v>3400002761</v>
          </cell>
          <cell r="B1485">
            <v>6600</v>
          </cell>
          <cell r="C1485">
            <v>61206</v>
          </cell>
          <cell r="D1485">
            <v>0</v>
          </cell>
          <cell r="E1485" t="str">
            <v>PLASTIC INJECTION MOULD</v>
          </cell>
          <cell r="F1485">
            <v>1</v>
          </cell>
          <cell r="G1485">
            <v>35339</v>
          </cell>
          <cell r="H1485">
            <v>44100</v>
          </cell>
        </row>
        <row r="1486">
          <cell r="A1486">
            <v>3400002762</v>
          </cell>
          <cell r="B1486">
            <v>6600</v>
          </cell>
          <cell r="C1486">
            <v>61151</v>
          </cell>
          <cell r="D1486">
            <v>0</v>
          </cell>
          <cell r="E1486" t="str">
            <v>MMT GRANITE SURGACE PLATE</v>
          </cell>
          <cell r="F1486">
            <v>1</v>
          </cell>
          <cell r="G1486">
            <v>35339</v>
          </cell>
          <cell r="H1486">
            <v>5400</v>
          </cell>
        </row>
        <row r="1487">
          <cell r="A1487">
            <v>3400002763</v>
          </cell>
          <cell r="B1487">
            <v>6600</v>
          </cell>
          <cell r="C1487">
            <v>61151</v>
          </cell>
          <cell r="D1487">
            <v>0</v>
          </cell>
          <cell r="E1487" t="str">
            <v>DIGITAL HEIGHT GAUGE</v>
          </cell>
          <cell r="F1487">
            <v>1</v>
          </cell>
          <cell r="G1487">
            <v>35339</v>
          </cell>
          <cell r="H1487">
            <v>4800</v>
          </cell>
        </row>
        <row r="1488">
          <cell r="A1488">
            <v>3400002770</v>
          </cell>
          <cell r="B1488">
            <v>6600</v>
          </cell>
          <cell r="C1488">
            <v>61206</v>
          </cell>
          <cell r="D1488">
            <v>0</v>
          </cell>
          <cell r="E1488" t="str">
            <v>PNEUIMATIC HAND TOOLS</v>
          </cell>
          <cell r="F1488">
            <v>1</v>
          </cell>
          <cell r="G1488">
            <v>35339</v>
          </cell>
          <cell r="H1488">
            <v>8600</v>
          </cell>
        </row>
        <row r="1489">
          <cell r="A1489">
            <v>3400002771</v>
          </cell>
          <cell r="B1489">
            <v>6600</v>
          </cell>
          <cell r="C1489">
            <v>61206</v>
          </cell>
          <cell r="D1489">
            <v>0</v>
          </cell>
          <cell r="E1489" t="str">
            <v>PNEUMATIC HAND TOOLS</v>
          </cell>
          <cell r="F1489">
            <v>1</v>
          </cell>
          <cell r="G1489">
            <v>35339</v>
          </cell>
          <cell r="H1489">
            <v>8600</v>
          </cell>
        </row>
        <row r="1490">
          <cell r="A1490">
            <v>3400002772</v>
          </cell>
          <cell r="B1490">
            <v>6600</v>
          </cell>
          <cell r="C1490">
            <v>61208</v>
          </cell>
          <cell r="D1490">
            <v>0</v>
          </cell>
          <cell r="E1490" t="str">
            <v>ROTARY TABLE</v>
          </cell>
          <cell r="F1490">
            <v>1</v>
          </cell>
          <cell r="G1490">
            <v>35339</v>
          </cell>
          <cell r="H1490">
            <v>9400</v>
          </cell>
        </row>
        <row r="1491">
          <cell r="A1491">
            <v>3400002785</v>
          </cell>
          <cell r="B1491">
            <v>6600</v>
          </cell>
          <cell r="C1491">
            <v>61151</v>
          </cell>
          <cell r="D1491">
            <v>0</v>
          </cell>
          <cell r="E1491" t="str">
            <v>ADJ GAUGE DRG</v>
          </cell>
          <cell r="F1491">
            <v>1</v>
          </cell>
          <cell r="G1491">
            <v>35339</v>
          </cell>
          <cell r="H1491">
            <v>7200</v>
          </cell>
        </row>
        <row r="1492">
          <cell r="A1492">
            <v>3400002787</v>
          </cell>
          <cell r="B1492">
            <v>6600</v>
          </cell>
          <cell r="C1492">
            <v>61206</v>
          </cell>
          <cell r="D1492">
            <v>0</v>
          </cell>
          <cell r="E1492" t="str">
            <v>ASSY DEVICE A5 2020 093</v>
          </cell>
          <cell r="F1492">
            <v>1</v>
          </cell>
          <cell r="G1492">
            <v>35339</v>
          </cell>
          <cell r="H1492">
            <v>9200</v>
          </cell>
        </row>
        <row r="1493">
          <cell r="A1493">
            <v>3400002788</v>
          </cell>
          <cell r="B1493">
            <v>6600</v>
          </cell>
          <cell r="C1493">
            <v>61206</v>
          </cell>
          <cell r="D1493">
            <v>0</v>
          </cell>
          <cell r="E1493" t="str">
            <v>ASSY DEVICE A3 2020 048/1</v>
          </cell>
          <cell r="F1493">
            <v>1</v>
          </cell>
          <cell r="G1493">
            <v>35339</v>
          </cell>
          <cell r="H1493">
            <v>11400</v>
          </cell>
        </row>
        <row r="1494">
          <cell r="A1494">
            <v>3400002789</v>
          </cell>
          <cell r="B1494">
            <v>6600</v>
          </cell>
          <cell r="C1494">
            <v>61206</v>
          </cell>
          <cell r="D1494">
            <v>0</v>
          </cell>
          <cell r="E1494" t="str">
            <v>ASSY DEVICE A1 2006 698</v>
          </cell>
          <cell r="F1494">
            <v>1</v>
          </cell>
          <cell r="G1494">
            <v>35339</v>
          </cell>
          <cell r="H1494">
            <v>8600</v>
          </cell>
        </row>
        <row r="1495">
          <cell r="A1495">
            <v>3400002790</v>
          </cell>
          <cell r="B1495">
            <v>6600</v>
          </cell>
          <cell r="C1495">
            <v>61206</v>
          </cell>
          <cell r="D1495">
            <v>0</v>
          </cell>
          <cell r="E1495" t="str">
            <v>ASSY DEVICE A6 2020 110</v>
          </cell>
          <cell r="F1495">
            <v>1</v>
          </cell>
          <cell r="G1495">
            <v>35339</v>
          </cell>
          <cell r="H1495">
            <v>7500</v>
          </cell>
        </row>
        <row r="1496">
          <cell r="A1496">
            <v>3400002795</v>
          </cell>
          <cell r="B1496">
            <v>6600</v>
          </cell>
          <cell r="C1496">
            <v>61151</v>
          </cell>
          <cell r="D1496">
            <v>0</v>
          </cell>
          <cell r="E1496" t="str">
            <v>DIGITAL MULTIMETER PHILIPS</v>
          </cell>
          <cell r="F1496">
            <v>1</v>
          </cell>
          <cell r="G1496">
            <v>35339</v>
          </cell>
          <cell r="H1496">
            <v>8900</v>
          </cell>
        </row>
        <row r="1497">
          <cell r="A1497">
            <v>3400002796</v>
          </cell>
          <cell r="B1497">
            <v>6600</v>
          </cell>
          <cell r="C1497">
            <v>61206</v>
          </cell>
          <cell r="D1497">
            <v>0</v>
          </cell>
          <cell r="E1497" t="str">
            <v>FIXTURE FOR BRIDGE FIXING</v>
          </cell>
          <cell r="F1497">
            <v>1</v>
          </cell>
          <cell r="G1497">
            <v>35339</v>
          </cell>
          <cell r="H1497">
            <v>11000</v>
          </cell>
        </row>
        <row r="1498">
          <cell r="A1498">
            <v>3400002798</v>
          </cell>
          <cell r="B1498">
            <v>6600</v>
          </cell>
          <cell r="C1498">
            <v>61151</v>
          </cell>
          <cell r="D1498">
            <v>0</v>
          </cell>
          <cell r="E1498" t="str">
            <v>GAUGE A4-2006062</v>
          </cell>
          <cell r="F1498">
            <v>1</v>
          </cell>
          <cell r="G1498">
            <v>35339</v>
          </cell>
          <cell r="H1498">
            <v>8400</v>
          </cell>
        </row>
        <row r="1499">
          <cell r="A1499">
            <v>3400002915</v>
          </cell>
          <cell r="B1499">
            <v>6600</v>
          </cell>
          <cell r="C1499">
            <v>61157</v>
          </cell>
          <cell r="D1499">
            <v>0</v>
          </cell>
          <cell r="E1499" t="str">
            <v>PORTABLE ELECTRIC JIG SAW</v>
          </cell>
          <cell r="F1499">
            <v>1</v>
          </cell>
          <cell r="G1499">
            <v>35339</v>
          </cell>
          <cell r="H1499">
            <v>8700</v>
          </cell>
        </row>
        <row r="1500">
          <cell r="A1500">
            <v>3400002940</v>
          </cell>
          <cell r="B1500">
            <v>6600</v>
          </cell>
          <cell r="C1500">
            <v>61118</v>
          </cell>
          <cell r="D1500">
            <v>0</v>
          </cell>
          <cell r="E1500" t="str">
            <v>LIFTING BRACKET FOR FORK LIFT</v>
          </cell>
          <cell r="F1500">
            <v>1</v>
          </cell>
          <cell r="G1500">
            <v>35339</v>
          </cell>
          <cell r="H1500">
            <v>1200</v>
          </cell>
        </row>
        <row r="1501">
          <cell r="A1501">
            <v>3400002983</v>
          </cell>
          <cell r="B1501">
            <v>6600</v>
          </cell>
          <cell r="C1501">
            <v>61109</v>
          </cell>
          <cell r="D1501">
            <v>0</v>
          </cell>
          <cell r="E1501" t="str">
            <v>CG TOOLS PART NO 302</v>
          </cell>
          <cell r="F1501">
            <v>1</v>
          </cell>
          <cell r="G1501">
            <v>35339</v>
          </cell>
          <cell r="H1501">
            <v>46400</v>
          </cell>
        </row>
        <row r="1502">
          <cell r="A1502">
            <v>3400002998</v>
          </cell>
          <cell r="B1502">
            <v>6600</v>
          </cell>
          <cell r="C1502">
            <v>61107</v>
          </cell>
          <cell r="D1502">
            <v>0</v>
          </cell>
          <cell r="E1502" t="str">
            <v>MODULE INSERTION GUIDE AND PCB CABLE ASS</v>
          </cell>
          <cell r="F1502">
            <v>2</v>
          </cell>
          <cell r="G1502">
            <v>35339</v>
          </cell>
          <cell r="H1502">
            <v>1800</v>
          </cell>
        </row>
        <row r="1503">
          <cell r="A1503">
            <v>3400003032</v>
          </cell>
          <cell r="B1503">
            <v>6600</v>
          </cell>
          <cell r="C1503">
            <v>61109</v>
          </cell>
          <cell r="D1503">
            <v>0</v>
          </cell>
          <cell r="E1503" t="str">
            <v>CHANNEL,NUTS, ETC</v>
          </cell>
          <cell r="F1503">
            <v>1</v>
          </cell>
          <cell r="G1503">
            <v>35339</v>
          </cell>
          <cell r="H1503">
            <v>9900</v>
          </cell>
        </row>
        <row r="1504">
          <cell r="A1504">
            <v>3400003033</v>
          </cell>
          <cell r="B1504">
            <v>6600</v>
          </cell>
          <cell r="C1504">
            <v>61200</v>
          </cell>
          <cell r="D1504">
            <v>0</v>
          </cell>
          <cell r="E1504" t="str">
            <v>PANEL</v>
          </cell>
          <cell r="F1504">
            <v>1</v>
          </cell>
          <cell r="G1504">
            <v>35339</v>
          </cell>
          <cell r="H1504">
            <v>27100</v>
          </cell>
        </row>
        <row r="1505">
          <cell r="A1505">
            <v>3400003034</v>
          </cell>
          <cell r="B1505">
            <v>6600</v>
          </cell>
          <cell r="C1505">
            <v>61157</v>
          </cell>
          <cell r="D1505">
            <v>0</v>
          </cell>
          <cell r="E1505" t="str">
            <v>NUTS,BOLTS, ETC</v>
          </cell>
          <cell r="F1505">
            <v>1</v>
          </cell>
          <cell r="G1505">
            <v>35339</v>
          </cell>
          <cell r="H1505">
            <v>19200</v>
          </cell>
        </row>
        <row r="1506">
          <cell r="A1506">
            <v>3400003208</v>
          </cell>
          <cell r="B1506">
            <v>6600</v>
          </cell>
          <cell r="C1506">
            <v>61103</v>
          </cell>
          <cell r="D1506">
            <v>0</v>
          </cell>
          <cell r="E1506" t="str">
            <v>UNTERLACE MOULD SEC NO C26117-A228-C98</v>
          </cell>
          <cell r="F1506">
            <v>1</v>
          </cell>
          <cell r="G1506">
            <v>35339</v>
          </cell>
          <cell r="H1506">
            <v>6200</v>
          </cell>
        </row>
        <row r="1507">
          <cell r="A1507">
            <v>3400003209</v>
          </cell>
          <cell r="B1507">
            <v>6600</v>
          </cell>
          <cell r="C1507">
            <v>61206</v>
          </cell>
          <cell r="D1507">
            <v>0</v>
          </cell>
          <cell r="E1507" t="str">
            <v>CAVITY INJ MLD FOR ADTER FOR C26156-A120</v>
          </cell>
          <cell r="F1507">
            <v>1</v>
          </cell>
          <cell r="G1507">
            <v>35339</v>
          </cell>
          <cell r="H1507">
            <v>2100</v>
          </cell>
        </row>
        <row r="1508">
          <cell r="A1508">
            <v>3400003318</v>
          </cell>
          <cell r="B1508">
            <v>6600</v>
          </cell>
          <cell r="C1508">
            <v>61101</v>
          </cell>
          <cell r="D1508">
            <v>0</v>
          </cell>
          <cell r="E1508" t="str">
            <v>ALUMINIUM ALLOY BUTTERFLY VALVES</v>
          </cell>
          <cell r="F1508">
            <v>1</v>
          </cell>
          <cell r="G1508">
            <v>35339</v>
          </cell>
          <cell r="H1508">
            <v>11500</v>
          </cell>
        </row>
        <row r="1509">
          <cell r="A1509">
            <v>3400003319</v>
          </cell>
          <cell r="B1509">
            <v>6600</v>
          </cell>
          <cell r="C1509">
            <v>61101</v>
          </cell>
          <cell r="D1509">
            <v>0</v>
          </cell>
          <cell r="E1509" t="str">
            <v>ALUMINIUM ALLOY BUTTERFLY VALVES</v>
          </cell>
          <cell r="F1509">
            <v>1</v>
          </cell>
          <cell r="G1509">
            <v>35339</v>
          </cell>
          <cell r="H1509">
            <v>11500</v>
          </cell>
        </row>
        <row r="1510">
          <cell r="A1510">
            <v>3400003320</v>
          </cell>
          <cell r="B1510">
            <v>6600</v>
          </cell>
          <cell r="C1510">
            <v>61101</v>
          </cell>
          <cell r="D1510">
            <v>0</v>
          </cell>
          <cell r="E1510" t="str">
            <v>ALUMINIUM ALLOY BUTTERFLY VALVES</v>
          </cell>
          <cell r="F1510">
            <v>1</v>
          </cell>
          <cell r="G1510">
            <v>35339</v>
          </cell>
          <cell r="H1510">
            <v>11500</v>
          </cell>
        </row>
        <row r="1511">
          <cell r="A1511">
            <v>3400003321</v>
          </cell>
          <cell r="B1511">
            <v>6600</v>
          </cell>
          <cell r="C1511">
            <v>61101</v>
          </cell>
          <cell r="D1511">
            <v>0</v>
          </cell>
          <cell r="E1511" t="str">
            <v>ALUMINIUM ALLOY BUTTERFLY VALVES</v>
          </cell>
          <cell r="F1511">
            <v>1</v>
          </cell>
          <cell r="G1511">
            <v>35339</v>
          </cell>
          <cell r="H1511">
            <v>10200</v>
          </cell>
        </row>
        <row r="1512">
          <cell r="A1512">
            <v>3400003328</v>
          </cell>
          <cell r="B1512">
            <v>6600</v>
          </cell>
          <cell r="C1512">
            <v>61118</v>
          </cell>
          <cell r="D1512">
            <v>0</v>
          </cell>
          <cell r="E1512" t="str">
            <v>TONG SEALER SEVANA-400T</v>
          </cell>
          <cell r="F1512">
            <v>1</v>
          </cell>
          <cell r="G1512">
            <v>35339</v>
          </cell>
          <cell r="H1512">
            <v>1600</v>
          </cell>
        </row>
        <row r="1513">
          <cell r="A1513">
            <v>3400004384</v>
          </cell>
          <cell r="B1513">
            <v>6600</v>
          </cell>
          <cell r="C1513">
            <v>61104</v>
          </cell>
          <cell r="D1513">
            <v>0</v>
          </cell>
          <cell r="E1513" t="str">
            <v>IDC HAND TOOL SET</v>
          </cell>
          <cell r="F1513">
            <v>1</v>
          </cell>
          <cell r="G1513">
            <v>35339</v>
          </cell>
          <cell r="H1513">
            <v>57100</v>
          </cell>
        </row>
        <row r="1514">
          <cell r="A1514">
            <v>3400004394</v>
          </cell>
          <cell r="B1514">
            <v>6600</v>
          </cell>
          <cell r="C1514">
            <v>61155</v>
          </cell>
          <cell r="D1514">
            <v>0</v>
          </cell>
          <cell r="E1514" t="str">
            <v>SAMPLE PCB S30050-Q5619-R-16</v>
          </cell>
          <cell r="F1514">
            <v>1</v>
          </cell>
          <cell r="G1514">
            <v>35339</v>
          </cell>
          <cell r="H1514">
            <v>2700</v>
          </cell>
        </row>
        <row r="1515">
          <cell r="A1515">
            <v>3400004395</v>
          </cell>
          <cell r="B1515">
            <v>6600</v>
          </cell>
          <cell r="C1515">
            <v>61156</v>
          </cell>
          <cell r="D1515">
            <v>0</v>
          </cell>
          <cell r="E1515" t="str">
            <v>SAMPLE PCB S30810-Q809-X201-4-VR03</v>
          </cell>
          <cell r="F1515">
            <v>1</v>
          </cell>
          <cell r="G1515">
            <v>35339</v>
          </cell>
          <cell r="H1515">
            <v>2100</v>
          </cell>
        </row>
        <row r="1516">
          <cell r="A1516">
            <v>3400004396</v>
          </cell>
          <cell r="B1516">
            <v>6600</v>
          </cell>
          <cell r="C1516">
            <v>61156</v>
          </cell>
          <cell r="D1516">
            <v>0</v>
          </cell>
          <cell r="E1516" t="str">
            <v>SAMPLE PCB S30810-Q811-X1-17-VR12</v>
          </cell>
          <cell r="F1516">
            <v>1</v>
          </cell>
          <cell r="G1516">
            <v>35339</v>
          </cell>
          <cell r="H1516">
            <v>4300</v>
          </cell>
        </row>
        <row r="1517">
          <cell r="A1517">
            <v>3400004397</v>
          </cell>
          <cell r="B1517">
            <v>6600</v>
          </cell>
          <cell r="C1517">
            <v>61156</v>
          </cell>
          <cell r="D1517">
            <v>0</v>
          </cell>
          <cell r="E1517" t="str">
            <v>SAMPLE PCB S30810-Q812X3-4-VR07</v>
          </cell>
          <cell r="F1517">
            <v>1</v>
          </cell>
          <cell r="G1517">
            <v>35339</v>
          </cell>
          <cell r="H1517">
            <v>2200</v>
          </cell>
        </row>
        <row r="1518">
          <cell r="A1518">
            <v>3400004398</v>
          </cell>
          <cell r="B1518">
            <v>6600</v>
          </cell>
          <cell r="C1518">
            <v>61156</v>
          </cell>
          <cell r="D1518">
            <v>0</v>
          </cell>
          <cell r="E1518" t="str">
            <v>SAMPLE PCB S30810-Q813-X200-5-VR01</v>
          </cell>
          <cell r="F1518">
            <v>1</v>
          </cell>
          <cell r="G1518">
            <v>35339</v>
          </cell>
          <cell r="H1518">
            <v>5200</v>
          </cell>
        </row>
        <row r="1519">
          <cell r="A1519">
            <v>3400004399</v>
          </cell>
          <cell r="B1519">
            <v>6600</v>
          </cell>
          <cell r="C1519">
            <v>61156</v>
          </cell>
          <cell r="D1519">
            <v>0</v>
          </cell>
          <cell r="E1519" t="str">
            <v>SAMPLE PCB S30810-Q1007-X76-3-VR08</v>
          </cell>
          <cell r="F1519">
            <v>1</v>
          </cell>
          <cell r="G1519">
            <v>35339</v>
          </cell>
          <cell r="H1519">
            <v>2300</v>
          </cell>
        </row>
        <row r="1520">
          <cell r="A1520">
            <v>3400004400</v>
          </cell>
          <cell r="B1520">
            <v>6600</v>
          </cell>
          <cell r="C1520">
            <v>61156</v>
          </cell>
          <cell r="D1520">
            <v>0</v>
          </cell>
          <cell r="E1520" t="str">
            <v>SAMPLE PCB S30810-Q1094-X1-7</v>
          </cell>
          <cell r="F1520">
            <v>1</v>
          </cell>
          <cell r="G1520">
            <v>35339</v>
          </cell>
          <cell r="H1520">
            <v>3500</v>
          </cell>
        </row>
        <row r="1521">
          <cell r="A1521">
            <v>3400004402</v>
          </cell>
          <cell r="B1521">
            <v>6600</v>
          </cell>
          <cell r="C1521">
            <v>61156</v>
          </cell>
          <cell r="D1521">
            <v>0</v>
          </cell>
          <cell r="E1521" t="str">
            <v>SAMPLE PCB S30810-Q877-X101-1-VRA1</v>
          </cell>
          <cell r="F1521">
            <v>1</v>
          </cell>
          <cell r="G1521">
            <v>35339</v>
          </cell>
          <cell r="H1521">
            <v>3400</v>
          </cell>
        </row>
        <row r="1522">
          <cell r="A1522">
            <v>3400004404</v>
          </cell>
          <cell r="B1522">
            <v>6600</v>
          </cell>
          <cell r="C1522">
            <v>61156</v>
          </cell>
          <cell r="D1522">
            <v>0</v>
          </cell>
          <cell r="E1522" t="str">
            <v>SAMPLE PCB S30050-Q5619-R-16</v>
          </cell>
          <cell r="F1522">
            <v>1</v>
          </cell>
          <cell r="G1522">
            <v>35339</v>
          </cell>
          <cell r="H1522">
            <v>2700</v>
          </cell>
        </row>
        <row r="1523">
          <cell r="A1523">
            <v>3400004405</v>
          </cell>
          <cell r="B1523">
            <v>6600</v>
          </cell>
          <cell r="C1523">
            <v>61156</v>
          </cell>
          <cell r="D1523">
            <v>0</v>
          </cell>
          <cell r="E1523" t="str">
            <v>SAMPLE PCB S30810-Q809-X201-4-VR03</v>
          </cell>
          <cell r="F1523">
            <v>1</v>
          </cell>
          <cell r="G1523">
            <v>35339</v>
          </cell>
          <cell r="H1523">
            <v>2100</v>
          </cell>
        </row>
        <row r="1524">
          <cell r="A1524">
            <v>3400004406</v>
          </cell>
          <cell r="B1524">
            <v>6600</v>
          </cell>
          <cell r="C1524">
            <v>61156</v>
          </cell>
          <cell r="D1524">
            <v>0</v>
          </cell>
          <cell r="E1524" t="str">
            <v>SAMPLE PCB S30810-Q811-X1-17-VR12</v>
          </cell>
          <cell r="F1524">
            <v>1</v>
          </cell>
          <cell r="G1524">
            <v>35339</v>
          </cell>
          <cell r="H1524">
            <v>4300</v>
          </cell>
        </row>
        <row r="1525">
          <cell r="A1525">
            <v>3400004407</v>
          </cell>
          <cell r="B1525">
            <v>6600</v>
          </cell>
          <cell r="C1525">
            <v>61156</v>
          </cell>
          <cell r="D1525">
            <v>0</v>
          </cell>
          <cell r="E1525" t="str">
            <v>SAMPLE PCB S30810-Q812-X3-4-VR07</v>
          </cell>
          <cell r="F1525">
            <v>1</v>
          </cell>
          <cell r="G1525">
            <v>35339</v>
          </cell>
          <cell r="H1525">
            <v>2200</v>
          </cell>
        </row>
        <row r="1526">
          <cell r="A1526">
            <v>3400004408</v>
          </cell>
          <cell r="B1526">
            <v>6600</v>
          </cell>
          <cell r="C1526">
            <v>61156</v>
          </cell>
          <cell r="D1526">
            <v>0</v>
          </cell>
          <cell r="E1526" t="str">
            <v>SAMPLE PCB S30810-Q813-X200-5-VR01</v>
          </cell>
          <cell r="F1526">
            <v>1</v>
          </cell>
          <cell r="G1526">
            <v>35339</v>
          </cell>
          <cell r="H1526">
            <v>5200</v>
          </cell>
        </row>
        <row r="1527">
          <cell r="A1527">
            <v>3400004409</v>
          </cell>
          <cell r="B1527">
            <v>6600</v>
          </cell>
          <cell r="C1527">
            <v>61156</v>
          </cell>
          <cell r="D1527">
            <v>0</v>
          </cell>
          <cell r="E1527" t="str">
            <v>SAMPLE PCB S30810-Q1007-X76-3-VR08</v>
          </cell>
          <cell r="F1527">
            <v>1</v>
          </cell>
          <cell r="G1527">
            <v>35339</v>
          </cell>
          <cell r="H1527">
            <v>2500</v>
          </cell>
        </row>
        <row r="1528">
          <cell r="A1528">
            <v>3400004410</v>
          </cell>
          <cell r="B1528">
            <v>6600</v>
          </cell>
          <cell r="C1528">
            <v>61156</v>
          </cell>
          <cell r="D1528">
            <v>0</v>
          </cell>
          <cell r="E1528" t="str">
            <v>SAMPLE PCB S30810-Q1094-X1-7</v>
          </cell>
          <cell r="F1528">
            <v>1</v>
          </cell>
          <cell r="G1528">
            <v>35339</v>
          </cell>
          <cell r="H1528">
            <v>3100</v>
          </cell>
        </row>
        <row r="1529">
          <cell r="A1529">
            <v>3400004412</v>
          </cell>
          <cell r="B1529">
            <v>6600</v>
          </cell>
          <cell r="C1529">
            <v>61156</v>
          </cell>
          <cell r="D1529">
            <v>0</v>
          </cell>
          <cell r="E1529" t="str">
            <v>SAMPLE PCB S30810-Q877-X101-1-VRA1</v>
          </cell>
          <cell r="F1529">
            <v>1</v>
          </cell>
          <cell r="G1529">
            <v>35339</v>
          </cell>
          <cell r="H1529">
            <v>3400</v>
          </cell>
        </row>
        <row r="1530">
          <cell r="A1530">
            <v>3400004415</v>
          </cell>
          <cell r="B1530">
            <v>6600</v>
          </cell>
          <cell r="C1530">
            <v>61208</v>
          </cell>
          <cell r="D1530">
            <v>0</v>
          </cell>
          <cell r="E1530" t="str">
            <v>PRESS TOOL NO C 39324-A96-C753</v>
          </cell>
          <cell r="F1530">
            <v>1</v>
          </cell>
          <cell r="G1530">
            <v>35339</v>
          </cell>
          <cell r="H1530">
            <v>3500</v>
          </cell>
        </row>
        <row r="1531">
          <cell r="A1531">
            <v>3400004416</v>
          </cell>
          <cell r="B1531">
            <v>6600</v>
          </cell>
          <cell r="C1531">
            <v>61208</v>
          </cell>
          <cell r="D1531">
            <v>0</v>
          </cell>
          <cell r="E1531" t="str">
            <v>PRESS TOOL NO C 39324-A96-C90</v>
          </cell>
          <cell r="F1531">
            <v>1</v>
          </cell>
          <cell r="G1531">
            <v>35339</v>
          </cell>
          <cell r="H1531">
            <v>8000</v>
          </cell>
        </row>
        <row r="1532">
          <cell r="A1532">
            <v>3400004458</v>
          </cell>
          <cell r="B1532">
            <v>6600</v>
          </cell>
          <cell r="C1532">
            <v>61208</v>
          </cell>
          <cell r="D1532">
            <v>0</v>
          </cell>
          <cell r="E1532" t="str">
            <v>PRESS TOOL FOR BAR C39117-A220-C511-10-6</v>
          </cell>
          <cell r="F1532">
            <v>1</v>
          </cell>
          <cell r="G1532">
            <v>35339</v>
          </cell>
          <cell r="H1532">
            <v>29600</v>
          </cell>
        </row>
        <row r="1533">
          <cell r="A1533">
            <v>3400004463</v>
          </cell>
          <cell r="B1533">
            <v>6600</v>
          </cell>
          <cell r="C1533">
            <v>61156</v>
          </cell>
          <cell r="D1533">
            <v>0</v>
          </cell>
          <cell r="E1533" t="str">
            <v>SAMPLE PCB S30810-Q1182-X5-2 SLMA COS</v>
          </cell>
          <cell r="F1533">
            <v>1</v>
          </cell>
          <cell r="G1533">
            <v>35339</v>
          </cell>
          <cell r="H1533">
            <v>10200</v>
          </cell>
        </row>
        <row r="1534">
          <cell r="A1534">
            <v>3400004464</v>
          </cell>
          <cell r="B1534">
            <v>6600</v>
          </cell>
          <cell r="C1534">
            <v>61156</v>
          </cell>
          <cell r="D1534">
            <v>0</v>
          </cell>
          <cell r="E1534" t="str">
            <v>SAMPLE PCB S30810-Q1182-X5-2 SLMA COS</v>
          </cell>
          <cell r="F1534">
            <v>1</v>
          </cell>
          <cell r="G1534">
            <v>35339</v>
          </cell>
          <cell r="H1534">
            <v>10200</v>
          </cell>
        </row>
        <row r="1535">
          <cell r="A1535">
            <v>3400004464</v>
          </cell>
          <cell r="B1535">
            <v>6600</v>
          </cell>
          <cell r="C1535">
            <v>61156</v>
          </cell>
          <cell r="D1535">
            <v>1</v>
          </cell>
          <cell r="E1535" t="str">
            <v>CLG CHARGES SAMPLE PCB S 30810 Q1182</v>
          </cell>
          <cell r="F1535">
            <v>1</v>
          </cell>
          <cell r="G1535">
            <v>35339</v>
          </cell>
          <cell r="H1535">
            <v>1000</v>
          </cell>
        </row>
        <row r="1536">
          <cell r="A1536">
            <v>3400004465</v>
          </cell>
          <cell r="B1536">
            <v>6600</v>
          </cell>
          <cell r="C1536">
            <v>61156</v>
          </cell>
          <cell r="D1536">
            <v>0</v>
          </cell>
          <cell r="E1536" t="str">
            <v>SAMPLE PCB S30810-Q1064-X17-2 CMRL</v>
          </cell>
          <cell r="F1536">
            <v>1</v>
          </cell>
          <cell r="G1536">
            <v>35339</v>
          </cell>
          <cell r="H1536">
            <v>7300</v>
          </cell>
        </row>
        <row r="1537">
          <cell r="A1537">
            <v>3400004465</v>
          </cell>
          <cell r="B1537">
            <v>6600</v>
          </cell>
          <cell r="C1537">
            <v>61156</v>
          </cell>
          <cell r="D1537">
            <v>1</v>
          </cell>
          <cell r="E1537" t="str">
            <v>CLG CHARGES SAMPLE PCB S308 10 Q 1064</v>
          </cell>
          <cell r="F1537">
            <v>1</v>
          </cell>
          <cell r="G1537">
            <v>35339</v>
          </cell>
          <cell r="H1537">
            <v>1000</v>
          </cell>
        </row>
        <row r="1538">
          <cell r="A1538">
            <v>3400004466</v>
          </cell>
          <cell r="B1538">
            <v>6600</v>
          </cell>
          <cell r="C1538">
            <v>61156</v>
          </cell>
          <cell r="D1538">
            <v>0</v>
          </cell>
          <cell r="E1538" t="str">
            <v>SAMPLE PCB S30810-Q1064-X17-2 CMRL</v>
          </cell>
          <cell r="F1538">
            <v>1</v>
          </cell>
          <cell r="G1538">
            <v>35339</v>
          </cell>
          <cell r="H1538">
            <v>7300</v>
          </cell>
        </row>
        <row r="1539">
          <cell r="A1539">
            <v>3400004477</v>
          </cell>
          <cell r="B1539">
            <v>6600</v>
          </cell>
          <cell r="C1539">
            <v>61156</v>
          </cell>
          <cell r="D1539">
            <v>0</v>
          </cell>
          <cell r="E1539" t="str">
            <v>CLG CHARGES SAMPLE PCB S30810 1064</v>
          </cell>
          <cell r="F1539">
            <v>1</v>
          </cell>
          <cell r="G1539">
            <v>35339</v>
          </cell>
          <cell r="H1539">
            <v>1000</v>
          </cell>
        </row>
        <row r="1540">
          <cell r="A1540">
            <v>3400004498</v>
          </cell>
          <cell r="B1540">
            <v>6600</v>
          </cell>
          <cell r="C1540">
            <v>61206</v>
          </cell>
          <cell r="D1540">
            <v>0</v>
          </cell>
          <cell r="E1540" t="str">
            <v>TORQUE SCREW DRIVER WITH BIT</v>
          </cell>
          <cell r="F1540">
            <v>1</v>
          </cell>
          <cell r="G1540">
            <v>35339</v>
          </cell>
          <cell r="H1540">
            <v>6600</v>
          </cell>
        </row>
        <row r="1541">
          <cell r="A1541">
            <v>3400004499</v>
          </cell>
          <cell r="B1541">
            <v>6600</v>
          </cell>
          <cell r="C1541">
            <v>61206</v>
          </cell>
          <cell r="D1541">
            <v>0</v>
          </cell>
          <cell r="E1541" t="str">
            <v>TORQUE SCREW DRIVER WITH BIT</v>
          </cell>
          <cell r="F1541">
            <v>1</v>
          </cell>
          <cell r="G1541">
            <v>35339</v>
          </cell>
          <cell r="H1541">
            <v>6600</v>
          </cell>
        </row>
        <row r="1542">
          <cell r="A1542">
            <v>3400004500</v>
          </cell>
          <cell r="B1542">
            <v>6600</v>
          </cell>
          <cell r="C1542">
            <v>61206</v>
          </cell>
          <cell r="D1542">
            <v>0</v>
          </cell>
          <cell r="E1542" t="str">
            <v>TORQUE SCREW DRIVER WITH BIT</v>
          </cell>
          <cell r="F1542">
            <v>1</v>
          </cell>
          <cell r="G1542">
            <v>35339</v>
          </cell>
          <cell r="H1542">
            <v>6500</v>
          </cell>
        </row>
        <row r="1543">
          <cell r="A1543">
            <v>3400004501</v>
          </cell>
          <cell r="B1543">
            <v>6600</v>
          </cell>
          <cell r="C1543">
            <v>61206</v>
          </cell>
          <cell r="D1543">
            <v>0</v>
          </cell>
          <cell r="E1543" t="str">
            <v>TORQUE SCREW DRIVER WITH BIT</v>
          </cell>
          <cell r="F1543">
            <v>1</v>
          </cell>
          <cell r="G1543">
            <v>35339</v>
          </cell>
          <cell r="H1543">
            <v>6600</v>
          </cell>
        </row>
        <row r="1544">
          <cell r="A1544">
            <v>3400004502</v>
          </cell>
          <cell r="B1544">
            <v>6600</v>
          </cell>
          <cell r="C1544">
            <v>61206</v>
          </cell>
          <cell r="D1544">
            <v>0</v>
          </cell>
          <cell r="E1544" t="str">
            <v>TORQUE SCREW DRIVER WITH BIT</v>
          </cell>
          <cell r="F1544">
            <v>1</v>
          </cell>
          <cell r="G1544">
            <v>35339</v>
          </cell>
          <cell r="H1544">
            <v>6600</v>
          </cell>
        </row>
        <row r="1545">
          <cell r="A1545">
            <v>3400004518</v>
          </cell>
          <cell r="B1545">
            <v>6600</v>
          </cell>
          <cell r="C1545">
            <v>61208</v>
          </cell>
          <cell r="D1545">
            <v>0</v>
          </cell>
          <cell r="E1545" t="str">
            <v>PRESS TOOL U BAR C 39300-C130-2-6</v>
          </cell>
          <cell r="F1545">
            <v>1</v>
          </cell>
          <cell r="G1545">
            <v>35339</v>
          </cell>
          <cell r="H1545">
            <v>4800</v>
          </cell>
        </row>
        <row r="1546">
          <cell r="A1546">
            <v>3400004533</v>
          </cell>
          <cell r="B1546">
            <v>6600</v>
          </cell>
          <cell r="C1546">
            <v>61208</v>
          </cell>
          <cell r="D1546">
            <v>0</v>
          </cell>
          <cell r="E1546" t="str">
            <v>PRESS TOOL FOR SIDE PART C 393000-193-C</v>
          </cell>
          <cell r="F1546">
            <v>1</v>
          </cell>
          <cell r="G1546">
            <v>35339</v>
          </cell>
          <cell r="H1546">
            <v>33400</v>
          </cell>
        </row>
        <row r="1547">
          <cell r="A1547">
            <v>3400004537</v>
          </cell>
          <cell r="B1547">
            <v>6600</v>
          </cell>
          <cell r="C1547">
            <v>61208</v>
          </cell>
          <cell r="D1547">
            <v>0</v>
          </cell>
          <cell r="E1547" t="str">
            <v>PRESS TOOL FOR SIDE PART C39365-A46-B86-</v>
          </cell>
          <cell r="F1547">
            <v>1</v>
          </cell>
          <cell r="G1547">
            <v>35339</v>
          </cell>
          <cell r="H1547">
            <v>7500</v>
          </cell>
        </row>
        <row r="1548">
          <cell r="A1548">
            <v>3400004538</v>
          </cell>
          <cell r="B1548">
            <v>6600</v>
          </cell>
          <cell r="C1548">
            <v>61118</v>
          </cell>
          <cell r="D1548">
            <v>0</v>
          </cell>
          <cell r="E1548" t="str">
            <v>PRESS TOOL FOR DLU PRIMARY PACKING</v>
          </cell>
          <cell r="F1548">
            <v>1</v>
          </cell>
          <cell r="G1548">
            <v>35339</v>
          </cell>
          <cell r="H1548">
            <v>7500</v>
          </cell>
        </row>
        <row r="1549">
          <cell r="A1549">
            <v>3400004548</v>
          </cell>
          <cell r="B1549">
            <v>6600</v>
          </cell>
          <cell r="C1549">
            <v>61108</v>
          </cell>
          <cell r="D1549">
            <v>0</v>
          </cell>
          <cell r="E1549" t="str">
            <v>TORQUE WRENCH</v>
          </cell>
          <cell r="F1549">
            <v>1</v>
          </cell>
          <cell r="G1549">
            <v>35339</v>
          </cell>
          <cell r="H1549">
            <v>6800</v>
          </cell>
        </row>
        <row r="1550">
          <cell r="A1550">
            <v>3400004549</v>
          </cell>
          <cell r="B1550">
            <v>6600</v>
          </cell>
          <cell r="C1550">
            <v>61107</v>
          </cell>
          <cell r="D1550">
            <v>0</v>
          </cell>
          <cell r="E1550" t="str">
            <v>CABLE LACING TOOL</v>
          </cell>
          <cell r="F1550">
            <v>1</v>
          </cell>
          <cell r="G1550">
            <v>35339</v>
          </cell>
          <cell r="H1550">
            <v>6100</v>
          </cell>
        </row>
        <row r="1551">
          <cell r="A1551">
            <v>3400004550</v>
          </cell>
          <cell r="B1551">
            <v>6600</v>
          </cell>
          <cell r="C1551">
            <v>61151</v>
          </cell>
          <cell r="D1551">
            <v>0</v>
          </cell>
          <cell r="E1551" t="str">
            <v>MICROMETER</v>
          </cell>
          <cell r="F1551">
            <v>1</v>
          </cell>
          <cell r="G1551">
            <v>35339</v>
          </cell>
          <cell r="H1551">
            <v>6800</v>
          </cell>
        </row>
        <row r="1552">
          <cell r="A1552">
            <v>3400004551</v>
          </cell>
          <cell r="B1552">
            <v>6600</v>
          </cell>
          <cell r="C1552">
            <v>61107</v>
          </cell>
          <cell r="D1552">
            <v>0</v>
          </cell>
          <cell r="E1552" t="str">
            <v>TORQUE SCREW DRIVER 65920/GR 50</v>
          </cell>
          <cell r="F1552">
            <v>1</v>
          </cell>
          <cell r="G1552">
            <v>35339</v>
          </cell>
          <cell r="H1552">
            <v>6400</v>
          </cell>
        </row>
        <row r="1553">
          <cell r="A1553">
            <v>3400004552</v>
          </cell>
          <cell r="B1553">
            <v>6600</v>
          </cell>
          <cell r="C1553">
            <v>61107</v>
          </cell>
          <cell r="D1553">
            <v>0</v>
          </cell>
          <cell r="E1553" t="str">
            <v>TORQUE SCREW DRIVER 25-130NCM</v>
          </cell>
          <cell r="F1553">
            <v>1</v>
          </cell>
          <cell r="G1553">
            <v>35339</v>
          </cell>
          <cell r="H1553">
            <v>5300</v>
          </cell>
        </row>
        <row r="1554">
          <cell r="A1554">
            <v>3400004553</v>
          </cell>
          <cell r="B1554">
            <v>6600</v>
          </cell>
          <cell r="C1554">
            <v>61107</v>
          </cell>
          <cell r="D1554">
            <v>0</v>
          </cell>
          <cell r="E1554" t="str">
            <v>TORQUE SCREW DRIVER 50-260 NCM</v>
          </cell>
          <cell r="F1554">
            <v>1</v>
          </cell>
          <cell r="G1554">
            <v>35339</v>
          </cell>
          <cell r="H1554">
            <v>3800</v>
          </cell>
        </row>
        <row r="1555">
          <cell r="A1555">
            <v>3400004554</v>
          </cell>
          <cell r="B1555">
            <v>6600</v>
          </cell>
          <cell r="C1555">
            <v>61107</v>
          </cell>
          <cell r="D1555">
            <v>0</v>
          </cell>
          <cell r="E1555" t="str">
            <v>CABLE LACING TOOL</v>
          </cell>
          <cell r="F1555">
            <v>1</v>
          </cell>
          <cell r="G1555">
            <v>35339</v>
          </cell>
          <cell r="H1555">
            <v>6800</v>
          </cell>
        </row>
        <row r="1556">
          <cell r="A1556">
            <v>3400004615</v>
          </cell>
          <cell r="B1556">
            <v>6600</v>
          </cell>
          <cell r="C1556">
            <v>61107</v>
          </cell>
          <cell r="D1556">
            <v>0</v>
          </cell>
          <cell r="E1556" t="str">
            <v>CRIMPING TOOL</v>
          </cell>
          <cell r="F1556">
            <v>1</v>
          </cell>
          <cell r="G1556">
            <v>35339</v>
          </cell>
          <cell r="H1556">
            <v>11000</v>
          </cell>
        </row>
        <row r="1557">
          <cell r="A1557">
            <v>3400004616</v>
          </cell>
          <cell r="B1557">
            <v>6600</v>
          </cell>
          <cell r="C1557">
            <v>61107</v>
          </cell>
          <cell r="D1557">
            <v>0</v>
          </cell>
          <cell r="E1557" t="str">
            <v>CRIMPING HAND TOOL</v>
          </cell>
          <cell r="F1557">
            <v>1</v>
          </cell>
          <cell r="G1557">
            <v>35339</v>
          </cell>
          <cell r="H1557">
            <v>10700</v>
          </cell>
        </row>
        <row r="1558">
          <cell r="A1558">
            <v>3400004668</v>
          </cell>
          <cell r="B1558">
            <v>6600</v>
          </cell>
          <cell r="C1558">
            <v>61208</v>
          </cell>
          <cell r="D1558">
            <v>0</v>
          </cell>
          <cell r="E1558" t="str">
            <v>DIES FOR BRANCHING CLAMP NANDI ENGG</v>
          </cell>
          <cell r="F1558">
            <v>1</v>
          </cell>
          <cell r="G1558">
            <v>35339</v>
          </cell>
          <cell r="H1558">
            <v>4600</v>
          </cell>
        </row>
        <row r="1559">
          <cell r="A1559">
            <v>3400004669</v>
          </cell>
          <cell r="B1559">
            <v>6600</v>
          </cell>
          <cell r="C1559">
            <v>61208</v>
          </cell>
          <cell r="D1559">
            <v>0</v>
          </cell>
          <cell r="E1559" t="str">
            <v>DIES FOR BRANCHING CLAMP NANDI ENGG</v>
          </cell>
          <cell r="F1559">
            <v>1</v>
          </cell>
          <cell r="G1559">
            <v>35339</v>
          </cell>
          <cell r="H1559">
            <v>4600</v>
          </cell>
        </row>
        <row r="1560">
          <cell r="A1560">
            <v>3400004670</v>
          </cell>
          <cell r="B1560">
            <v>6600</v>
          </cell>
          <cell r="C1560">
            <v>61208</v>
          </cell>
          <cell r="D1560">
            <v>0</v>
          </cell>
          <cell r="E1560" t="str">
            <v>DIES FOR BRANCHING CLAMP NANDI ENGG</v>
          </cell>
          <cell r="F1560">
            <v>1</v>
          </cell>
          <cell r="G1560">
            <v>35339</v>
          </cell>
          <cell r="H1560">
            <v>4600</v>
          </cell>
        </row>
        <row r="1561">
          <cell r="A1561">
            <v>3400004671</v>
          </cell>
          <cell r="B1561">
            <v>6600</v>
          </cell>
          <cell r="C1561">
            <v>61208</v>
          </cell>
          <cell r="D1561">
            <v>0</v>
          </cell>
          <cell r="E1561" t="str">
            <v>DIES FOR BRANCHING CLAMP NANDI ENGG</v>
          </cell>
          <cell r="F1561">
            <v>1</v>
          </cell>
          <cell r="G1561">
            <v>35339</v>
          </cell>
          <cell r="H1561">
            <v>4600</v>
          </cell>
        </row>
        <row r="1562">
          <cell r="A1562">
            <v>3400004672</v>
          </cell>
          <cell r="B1562">
            <v>6600</v>
          </cell>
          <cell r="C1562">
            <v>61208</v>
          </cell>
          <cell r="D1562">
            <v>0</v>
          </cell>
          <cell r="E1562" t="str">
            <v>DIES FOR BRANCHING CLAMP NANDI ENGG</v>
          </cell>
          <cell r="F1562">
            <v>1</v>
          </cell>
          <cell r="G1562">
            <v>35339</v>
          </cell>
          <cell r="H1562">
            <v>4600</v>
          </cell>
        </row>
        <row r="1563">
          <cell r="A1563">
            <v>3400004673</v>
          </cell>
          <cell r="B1563">
            <v>6600</v>
          </cell>
          <cell r="C1563">
            <v>61208</v>
          </cell>
          <cell r="D1563">
            <v>0</v>
          </cell>
          <cell r="E1563" t="str">
            <v>DIES FOR BRANCHING CLAMP NANDI ENGG</v>
          </cell>
          <cell r="F1563">
            <v>1</v>
          </cell>
          <cell r="G1563">
            <v>35339</v>
          </cell>
          <cell r="H1563">
            <v>4600</v>
          </cell>
        </row>
        <row r="1564">
          <cell r="A1564">
            <v>3400004674</v>
          </cell>
          <cell r="B1564">
            <v>6600</v>
          </cell>
          <cell r="C1564">
            <v>61203</v>
          </cell>
          <cell r="D1564">
            <v>0</v>
          </cell>
          <cell r="E1564" t="str">
            <v>DIES FOR BRANCHING CLAMP NANDI ENGG</v>
          </cell>
          <cell r="F1564">
            <v>1</v>
          </cell>
          <cell r="G1564">
            <v>35339</v>
          </cell>
          <cell r="H1564">
            <v>4600</v>
          </cell>
        </row>
        <row r="1565">
          <cell r="A1565">
            <v>3400004674</v>
          </cell>
          <cell r="B1565">
            <v>6600</v>
          </cell>
          <cell r="C1565">
            <v>61203</v>
          </cell>
          <cell r="D1565">
            <v>1</v>
          </cell>
          <cell r="E1565" t="str">
            <v>TORQUE SCREW DRIVER WITH BIT</v>
          </cell>
          <cell r="F1565">
            <v>1</v>
          </cell>
          <cell r="G1565">
            <v>35339</v>
          </cell>
          <cell r="H1565">
            <v>6500</v>
          </cell>
        </row>
        <row r="1566">
          <cell r="A1566">
            <v>3400004675</v>
          </cell>
          <cell r="B1566">
            <v>6600</v>
          </cell>
          <cell r="C1566">
            <v>61203</v>
          </cell>
          <cell r="D1566">
            <v>0</v>
          </cell>
          <cell r="E1566" t="str">
            <v>MOULD FOR PLASTIC PART-C 39104-Z36-C44</v>
          </cell>
          <cell r="F1566">
            <v>1</v>
          </cell>
          <cell r="G1566">
            <v>35339</v>
          </cell>
          <cell r="H1566">
            <v>45000</v>
          </cell>
        </row>
        <row r="1567">
          <cell r="A1567">
            <v>3400004677</v>
          </cell>
          <cell r="B1567">
            <v>6600</v>
          </cell>
          <cell r="C1567">
            <v>61107</v>
          </cell>
          <cell r="D1567">
            <v>0</v>
          </cell>
          <cell r="E1567" t="str">
            <v>TORQUE SCREW DRIVER 50-260NCM</v>
          </cell>
          <cell r="F1567">
            <v>1</v>
          </cell>
          <cell r="G1567">
            <v>35339</v>
          </cell>
          <cell r="H1567">
            <v>5400</v>
          </cell>
        </row>
        <row r="1568">
          <cell r="A1568">
            <v>3400004780</v>
          </cell>
          <cell r="B1568">
            <v>6600</v>
          </cell>
          <cell r="C1568">
            <v>61155</v>
          </cell>
          <cell r="D1568">
            <v>0</v>
          </cell>
          <cell r="E1568" t="str">
            <v>PRESS TOOL U BAR C39300 A193 C130-2-6</v>
          </cell>
          <cell r="F1568">
            <v>1</v>
          </cell>
          <cell r="G1568">
            <v>35339</v>
          </cell>
          <cell r="H1568">
            <v>32400</v>
          </cell>
        </row>
        <row r="1569">
          <cell r="A1569">
            <v>3400004789</v>
          </cell>
          <cell r="B1569">
            <v>6600</v>
          </cell>
          <cell r="C1569">
            <v>61203</v>
          </cell>
          <cell r="D1569">
            <v>0</v>
          </cell>
          <cell r="E1569" t="str">
            <v>TOOLS FOR KEY TOP</v>
          </cell>
          <cell r="F1569">
            <v>1</v>
          </cell>
          <cell r="G1569">
            <v>35339</v>
          </cell>
          <cell r="H1569">
            <v>7600</v>
          </cell>
        </row>
        <row r="1570">
          <cell r="A1570">
            <v>3400004790</v>
          </cell>
          <cell r="B1570">
            <v>6600</v>
          </cell>
          <cell r="C1570">
            <v>61203</v>
          </cell>
          <cell r="D1570">
            <v>0</v>
          </cell>
          <cell r="E1570" t="str">
            <v>PRESS TOOLS</v>
          </cell>
          <cell r="F1570">
            <v>1</v>
          </cell>
          <cell r="G1570">
            <v>35339</v>
          </cell>
          <cell r="H1570">
            <v>26100</v>
          </cell>
        </row>
        <row r="1571">
          <cell r="A1571">
            <v>3400004797</v>
          </cell>
          <cell r="B1571">
            <v>6600</v>
          </cell>
          <cell r="C1571">
            <v>61156</v>
          </cell>
          <cell r="D1571">
            <v>0</v>
          </cell>
          <cell r="E1571">
            <v>6395000941</v>
          </cell>
          <cell r="F1571">
            <v>1</v>
          </cell>
          <cell r="G1571">
            <v>35339</v>
          </cell>
          <cell r="H1571">
            <v>1000</v>
          </cell>
        </row>
        <row r="1572">
          <cell r="A1572">
            <v>3400004798</v>
          </cell>
          <cell r="B1572">
            <v>6600</v>
          </cell>
          <cell r="C1572">
            <v>61203</v>
          </cell>
          <cell r="D1572">
            <v>0</v>
          </cell>
          <cell r="E1572" t="str">
            <v>FIXTURE FOR CUTTING WIRE TO DIMENSION</v>
          </cell>
          <cell r="F1572">
            <v>1</v>
          </cell>
          <cell r="G1572">
            <v>35339</v>
          </cell>
          <cell r="H1572">
            <v>3000</v>
          </cell>
        </row>
        <row r="1573">
          <cell r="A1573">
            <v>3400004914</v>
          </cell>
          <cell r="B1573">
            <v>6600</v>
          </cell>
          <cell r="C1573">
            <v>61203</v>
          </cell>
          <cell r="D1573">
            <v>0</v>
          </cell>
          <cell r="E1573" t="str">
            <v>Pull Test Gauge</v>
          </cell>
          <cell r="F1573">
            <v>2</v>
          </cell>
          <cell r="G1573">
            <v>35339</v>
          </cell>
          <cell r="H1573">
            <v>0</v>
          </cell>
        </row>
        <row r="1574">
          <cell r="A1574">
            <v>3400003551</v>
          </cell>
          <cell r="B1574">
            <v>6600</v>
          </cell>
          <cell r="C1574">
            <v>61155</v>
          </cell>
          <cell r="D1574">
            <v>0</v>
          </cell>
          <cell r="E1574" t="str">
            <v>MOULD FOR FRONT PANEL C39117-A312-C300-4</v>
          </cell>
          <cell r="F1574">
            <v>1</v>
          </cell>
          <cell r="G1574">
            <v>35444</v>
          </cell>
          <cell r="H1574">
            <v>41320</v>
          </cell>
        </row>
        <row r="1575">
          <cell r="A1575">
            <v>3400003563</v>
          </cell>
          <cell r="B1575">
            <v>6600</v>
          </cell>
          <cell r="C1575">
            <v>61116</v>
          </cell>
          <cell r="D1575">
            <v>0</v>
          </cell>
          <cell r="E1575" t="str">
            <v>WAVE GUIDE TO CO AXIAL ADAPTER -20NOS</v>
          </cell>
          <cell r="F1575">
            <v>1</v>
          </cell>
          <cell r="G1575">
            <v>35444</v>
          </cell>
          <cell r="H1575">
            <v>100040</v>
          </cell>
        </row>
        <row r="1576">
          <cell r="A1576">
            <v>3400003564</v>
          </cell>
          <cell r="B1576">
            <v>6600</v>
          </cell>
          <cell r="C1576">
            <v>61118</v>
          </cell>
          <cell r="D1576">
            <v>0</v>
          </cell>
          <cell r="E1576" t="str">
            <v>PNEUMATIC NAILER</v>
          </cell>
          <cell r="F1576">
            <v>1</v>
          </cell>
          <cell r="G1576">
            <v>35444</v>
          </cell>
          <cell r="H1576">
            <v>47132.800000000003</v>
          </cell>
        </row>
        <row r="1577">
          <cell r="A1577">
            <v>3400003573</v>
          </cell>
          <cell r="B1577">
            <v>6600</v>
          </cell>
          <cell r="C1577">
            <v>61155</v>
          </cell>
          <cell r="D1577">
            <v>0</v>
          </cell>
          <cell r="E1577" t="str">
            <v>MOULDING TOOL FOR GUIDE PIECE</v>
          </cell>
          <cell r="F1577">
            <v>1</v>
          </cell>
          <cell r="G1577">
            <v>35446</v>
          </cell>
          <cell r="H1577">
            <v>284075</v>
          </cell>
        </row>
        <row r="1578">
          <cell r="A1578">
            <v>3400003574</v>
          </cell>
          <cell r="B1578">
            <v>6600</v>
          </cell>
          <cell r="C1578">
            <v>61155</v>
          </cell>
          <cell r="D1578">
            <v>0</v>
          </cell>
          <cell r="E1578" t="str">
            <v>DIE FOR C39300-A178-C151</v>
          </cell>
          <cell r="F1578">
            <v>1</v>
          </cell>
          <cell r="G1578">
            <v>35446</v>
          </cell>
          <cell r="H1578">
            <v>16222.5</v>
          </cell>
        </row>
        <row r="1579">
          <cell r="A1579">
            <v>3400003575</v>
          </cell>
          <cell r="B1579">
            <v>6600</v>
          </cell>
          <cell r="C1579">
            <v>61155</v>
          </cell>
          <cell r="D1579">
            <v>0</v>
          </cell>
          <cell r="E1579" t="str">
            <v>DIE FOR C39166-A57-C12-6-6</v>
          </cell>
          <cell r="F1579">
            <v>1</v>
          </cell>
          <cell r="G1579">
            <v>35446</v>
          </cell>
          <cell r="H1579">
            <v>16222.5</v>
          </cell>
        </row>
        <row r="1580">
          <cell r="A1580">
            <v>3400003576</v>
          </cell>
          <cell r="B1580">
            <v>6600</v>
          </cell>
          <cell r="C1580">
            <v>61155</v>
          </cell>
          <cell r="D1580">
            <v>0</v>
          </cell>
          <cell r="E1580" t="str">
            <v>DIE FOR C39300-A178-B125-5-6</v>
          </cell>
          <cell r="F1580">
            <v>1</v>
          </cell>
          <cell r="G1580">
            <v>35446</v>
          </cell>
          <cell r="H1580">
            <v>27037.5</v>
          </cell>
        </row>
        <row r="1581">
          <cell r="A1581">
            <v>3400003577</v>
          </cell>
          <cell r="B1581">
            <v>6600</v>
          </cell>
          <cell r="C1581">
            <v>61155</v>
          </cell>
          <cell r="D1581">
            <v>0</v>
          </cell>
          <cell r="E1581" t="str">
            <v>DIE FOR C39300-A178-B126-4-6</v>
          </cell>
          <cell r="F1581">
            <v>1</v>
          </cell>
          <cell r="G1581">
            <v>35446</v>
          </cell>
          <cell r="H1581">
            <v>27037.5</v>
          </cell>
        </row>
        <row r="1582">
          <cell r="A1582">
            <v>3400003579</v>
          </cell>
          <cell r="B1582">
            <v>6600</v>
          </cell>
          <cell r="C1582">
            <v>61112</v>
          </cell>
          <cell r="D1582">
            <v>0</v>
          </cell>
          <cell r="E1582" t="str">
            <v>FIX FOR ASSY M:SUB:SASC &amp; M:SASC</v>
          </cell>
          <cell r="F1582">
            <v>1</v>
          </cell>
          <cell r="G1582">
            <v>35446</v>
          </cell>
          <cell r="H1582">
            <v>2266</v>
          </cell>
        </row>
        <row r="1583">
          <cell r="A1583">
            <v>3400003581</v>
          </cell>
          <cell r="B1583">
            <v>6600</v>
          </cell>
          <cell r="C1583">
            <v>61107</v>
          </cell>
          <cell r="D1583">
            <v>0</v>
          </cell>
          <cell r="E1583" t="str">
            <v>TEMPLATE FOR ASSEMBLING FUSE SOCKETS</v>
          </cell>
          <cell r="F1583">
            <v>1</v>
          </cell>
          <cell r="G1583">
            <v>35446</v>
          </cell>
          <cell r="H1583">
            <v>11363</v>
          </cell>
        </row>
        <row r="1584">
          <cell r="A1584">
            <v>3400003610</v>
          </cell>
          <cell r="B1584">
            <v>6600</v>
          </cell>
          <cell r="C1584">
            <v>61104</v>
          </cell>
          <cell r="D1584">
            <v>0</v>
          </cell>
          <cell r="E1584" t="str">
            <v>FIX FOR CRIMPING FLAT BAND CABLE WITH CO</v>
          </cell>
          <cell r="F1584">
            <v>1</v>
          </cell>
          <cell r="G1584">
            <v>35447</v>
          </cell>
          <cell r="H1584">
            <v>4132</v>
          </cell>
        </row>
        <row r="1585">
          <cell r="A1585">
            <v>3400003750</v>
          </cell>
          <cell r="B1585">
            <v>6600</v>
          </cell>
          <cell r="C1585">
            <v>61107</v>
          </cell>
          <cell r="D1585">
            <v>0</v>
          </cell>
          <cell r="E1585" t="str">
            <v>PNEUMATIC SCREWDRIVER CP 2089-AX-1100</v>
          </cell>
          <cell r="F1585">
            <v>1</v>
          </cell>
          <cell r="G1585">
            <v>35479</v>
          </cell>
          <cell r="H1585">
            <v>10063</v>
          </cell>
        </row>
        <row r="1586">
          <cell r="A1586">
            <v>3400003752</v>
          </cell>
          <cell r="B1586">
            <v>6600</v>
          </cell>
          <cell r="C1586">
            <v>61116</v>
          </cell>
          <cell r="D1586">
            <v>0</v>
          </cell>
          <cell r="E1586" t="str">
            <v>WAVEGUIDE STAND 11540A</v>
          </cell>
          <cell r="F1586">
            <v>1</v>
          </cell>
          <cell r="G1586">
            <v>35479</v>
          </cell>
          <cell r="H1586">
            <v>6768</v>
          </cell>
        </row>
        <row r="1587">
          <cell r="A1587">
            <v>3400003753</v>
          </cell>
          <cell r="B1587">
            <v>6600</v>
          </cell>
          <cell r="C1587">
            <v>61116</v>
          </cell>
          <cell r="D1587">
            <v>0</v>
          </cell>
          <cell r="E1587" t="str">
            <v>WAVEGUIDE STAND 11540A</v>
          </cell>
          <cell r="F1587">
            <v>1</v>
          </cell>
          <cell r="G1587">
            <v>35509</v>
          </cell>
          <cell r="H1587">
            <v>7309.44</v>
          </cell>
        </row>
        <row r="1588">
          <cell r="A1588">
            <v>3400003754</v>
          </cell>
          <cell r="B1588">
            <v>6600</v>
          </cell>
          <cell r="C1588">
            <v>61116</v>
          </cell>
          <cell r="D1588">
            <v>0</v>
          </cell>
          <cell r="E1588" t="str">
            <v>WAVEGUIDE STAND 11540A</v>
          </cell>
          <cell r="F1588">
            <v>1</v>
          </cell>
          <cell r="G1588">
            <v>35509</v>
          </cell>
          <cell r="H1588">
            <v>7038.72</v>
          </cell>
        </row>
        <row r="1589">
          <cell r="A1589">
            <v>3400003755</v>
          </cell>
          <cell r="B1589">
            <v>6600</v>
          </cell>
          <cell r="C1589">
            <v>61116</v>
          </cell>
          <cell r="D1589">
            <v>0</v>
          </cell>
          <cell r="E1589" t="str">
            <v>WAVEGUIDE STAND 11540A</v>
          </cell>
          <cell r="F1589">
            <v>1</v>
          </cell>
          <cell r="G1589">
            <v>35509</v>
          </cell>
          <cell r="H1589">
            <v>7038.72</v>
          </cell>
        </row>
        <row r="1590">
          <cell r="A1590">
            <v>3400003756</v>
          </cell>
          <cell r="B1590">
            <v>6600</v>
          </cell>
          <cell r="C1590">
            <v>61116</v>
          </cell>
          <cell r="D1590">
            <v>0</v>
          </cell>
          <cell r="E1590" t="str">
            <v>WAVEGUIDE STAND 11540A</v>
          </cell>
          <cell r="F1590">
            <v>1</v>
          </cell>
          <cell r="G1590">
            <v>35509</v>
          </cell>
          <cell r="H1590">
            <v>7038.72</v>
          </cell>
        </row>
        <row r="1591">
          <cell r="A1591">
            <v>3400003757</v>
          </cell>
          <cell r="B1591">
            <v>6600</v>
          </cell>
          <cell r="C1591">
            <v>61116</v>
          </cell>
          <cell r="D1591">
            <v>0</v>
          </cell>
          <cell r="E1591" t="str">
            <v>WAVEGUIDE STAND 11540A</v>
          </cell>
          <cell r="F1591">
            <v>1</v>
          </cell>
          <cell r="G1591">
            <v>35509</v>
          </cell>
          <cell r="H1591">
            <v>7038.72</v>
          </cell>
        </row>
        <row r="1592">
          <cell r="A1592">
            <v>3400003758</v>
          </cell>
          <cell r="B1592">
            <v>6600</v>
          </cell>
          <cell r="C1592">
            <v>61116</v>
          </cell>
          <cell r="D1592">
            <v>0</v>
          </cell>
          <cell r="E1592" t="str">
            <v>WAVEGUIDE STAND 11540A</v>
          </cell>
          <cell r="F1592">
            <v>1</v>
          </cell>
          <cell r="G1592">
            <v>35509</v>
          </cell>
          <cell r="H1592">
            <v>7038.72</v>
          </cell>
        </row>
        <row r="1593">
          <cell r="A1593">
            <v>3400003759</v>
          </cell>
          <cell r="B1593">
            <v>6600</v>
          </cell>
          <cell r="C1593">
            <v>61116</v>
          </cell>
          <cell r="D1593">
            <v>0</v>
          </cell>
          <cell r="E1593" t="str">
            <v>WAVEGUIDE STAND 11540A</v>
          </cell>
          <cell r="F1593">
            <v>1</v>
          </cell>
          <cell r="G1593">
            <v>35509</v>
          </cell>
          <cell r="H1593">
            <v>7038.72</v>
          </cell>
        </row>
        <row r="1594">
          <cell r="A1594">
            <v>3400003762</v>
          </cell>
          <cell r="B1594">
            <v>6600</v>
          </cell>
          <cell r="C1594">
            <v>61155</v>
          </cell>
          <cell r="D1594">
            <v>0</v>
          </cell>
          <cell r="E1594" t="str">
            <v>TOOL FOR NUT C39300-A193-C131</v>
          </cell>
          <cell r="F1594">
            <v>1</v>
          </cell>
          <cell r="G1594">
            <v>35509</v>
          </cell>
          <cell r="H1594">
            <v>6180</v>
          </cell>
        </row>
        <row r="1595">
          <cell r="A1595">
            <v>3400003763</v>
          </cell>
          <cell r="B1595">
            <v>6600</v>
          </cell>
          <cell r="C1595">
            <v>61155</v>
          </cell>
          <cell r="D1595">
            <v>0</v>
          </cell>
          <cell r="E1595" t="str">
            <v>DIE FOR BRACKET C39324A96C422-6-6</v>
          </cell>
          <cell r="F1595">
            <v>1</v>
          </cell>
          <cell r="G1595">
            <v>35509</v>
          </cell>
          <cell r="H1595">
            <v>9270</v>
          </cell>
        </row>
        <row r="1596">
          <cell r="A1596">
            <v>3400003764</v>
          </cell>
          <cell r="B1596">
            <v>6600</v>
          </cell>
          <cell r="C1596">
            <v>61155</v>
          </cell>
          <cell r="D1596">
            <v>0</v>
          </cell>
          <cell r="E1596" t="str">
            <v>DIE FOR STRAP C39324A96C255-4-6</v>
          </cell>
          <cell r="F1596">
            <v>1</v>
          </cell>
          <cell r="G1596">
            <v>35509</v>
          </cell>
          <cell r="H1596">
            <v>1854</v>
          </cell>
        </row>
        <row r="1597">
          <cell r="A1597">
            <v>3400003765</v>
          </cell>
          <cell r="B1597">
            <v>6600</v>
          </cell>
          <cell r="C1597">
            <v>61155</v>
          </cell>
          <cell r="D1597">
            <v>0</v>
          </cell>
          <cell r="E1597" t="str">
            <v>DIE FOR STRAP C39324A96C256-4-6</v>
          </cell>
          <cell r="F1597">
            <v>1</v>
          </cell>
          <cell r="G1597">
            <v>35509</v>
          </cell>
          <cell r="H1597">
            <v>1854</v>
          </cell>
        </row>
        <row r="1598">
          <cell r="A1598">
            <v>3400003766</v>
          </cell>
          <cell r="B1598">
            <v>6600</v>
          </cell>
          <cell r="C1598">
            <v>61155</v>
          </cell>
          <cell r="D1598">
            <v>0</v>
          </cell>
          <cell r="E1598" t="str">
            <v>DIE FOR BRACKETC39324A96C254-4-6</v>
          </cell>
          <cell r="F1598">
            <v>1</v>
          </cell>
          <cell r="G1598">
            <v>35509</v>
          </cell>
          <cell r="H1598">
            <v>4635</v>
          </cell>
        </row>
        <row r="1599">
          <cell r="A1599">
            <v>3400003783</v>
          </cell>
          <cell r="B1599">
            <v>6600</v>
          </cell>
          <cell r="C1599">
            <v>61108</v>
          </cell>
          <cell r="D1599">
            <v>0</v>
          </cell>
          <cell r="E1599" t="str">
            <v>COST OF RECEPTACLES(PINS) PAID TO DHL</v>
          </cell>
          <cell r="F1599">
            <v>1</v>
          </cell>
          <cell r="G1599">
            <v>35510</v>
          </cell>
          <cell r="H1599">
            <v>16533</v>
          </cell>
        </row>
        <row r="1600">
          <cell r="A1600">
            <v>3400003631</v>
          </cell>
          <cell r="B1600">
            <v>6600</v>
          </cell>
          <cell r="C1600">
            <v>61107</v>
          </cell>
          <cell r="D1600">
            <v>0</v>
          </cell>
          <cell r="E1600" t="str">
            <v>AMP CRIMP TOOL NO. 734542</v>
          </cell>
          <cell r="F1600">
            <v>1</v>
          </cell>
          <cell r="G1600">
            <v>35452</v>
          </cell>
          <cell r="H1600">
            <v>57174</v>
          </cell>
        </row>
        <row r="1601">
          <cell r="A1601">
            <v>3400003737</v>
          </cell>
          <cell r="B1601">
            <v>6600</v>
          </cell>
          <cell r="C1601">
            <v>61115</v>
          </cell>
          <cell r="D1601">
            <v>0</v>
          </cell>
          <cell r="E1601" t="str">
            <v>MODULE ADAPTER FOR SIPAC</v>
          </cell>
          <cell r="F1601">
            <v>1</v>
          </cell>
          <cell r="G1601">
            <v>35453</v>
          </cell>
          <cell r="H1601">
            <v>184478.31</v>
          </cell>
        </row>
        <row r="1602">
          <cell r="A1602">
            <v>3400002926</v>
          </cell>
          <cell r="B1602">
            <v>6601</v>
          </cell>
          <cell r="C1602">
            <v>61119</v>
          </cell>
          <cell r="D1602">
            <v>0</v>
          </cell>
          <cell r="E1602" t="str">
            <v>TEMP RECORDER ,HUMIDITY AND TEMP CONTROL</v>
          </cell>
          <cell r="F1602">
            <v>1</v>
          </cell>
          <cell r="G1602">
            <v>35339</v>
          </cell>
          <cell r="H1602">
            <v>42600</v>
          </cell>
        </row>
        <row r="1603">
          <cell r="A1603">
            <v>3400003221</v>
          </cell>
          <cell r="B1603">
            <v>6601</v>
          </cell>
          <cell r="C1603">
            <v>61153</v>
          </cell>
          <cell r="D1603">
            <v>0</v>
          </cell>
          <cell r="E1603" t="str">
            <v>EMULATOR PROBE FOR I386DX</v>
          </cell>
          <cell r="F1603">
            <v>1</v>
          </cell>
          <cell r="G1603">
            <v>35339</v>
          </cell>
          <cell r="H1603">
            <v>54300</v>
          </cell>
        </row>
        <row r="1604">
          <cell r="A1604">
            <v>3400003222</v>
          </cell>
          <cell r="B1604">
            <v>6601</v>
          </cell>
          <cell r="C1604">
            <v>61153</v>
          </cell>
          <cell r="D1604">
            <v>0</v>
          </cell>
          <cell r="E1604" t="str">
            <v>EMULATOR PERSONALITY FOR I386EX/CX</v>
          </cell>
          <cell r="F1604">
            <v>1</v>
          </cell>
          <cell r="G1604">
            <v>35339</v>
          </cell>
          <cell r="H1604">
            <v>65000</v>
          </cell>
        </row>
        <row r="1605">
          <cell r="A1605">
            <v>3400003909</v>
          </cell>
          <cell r="B1605">
            <v>6601</v>
          </cell>
          <cell r="C1605">
            <v>61116</v>
          </cell>
          <cell r="D1605">
            <v>0</v>
          </cell>
          <cell r="E1605" t="str">
            <v>HSEGRUD MAKE TEST TROLLEYS &amp; SWITCH BOX</v>
          </cell>
          <cell r="F1605">
            <v>1</v>
          </cell>
          <cell r="G1605">
            <v>35339</v>
          </cell>
          <cell r="H1605">
            <v>3100</v>
          </cell>
        </row>
        <row r="1606">
          <cell r="A1606">
            <v>3400003910</v>
          </cell>
          <cell r="B1606">
            <v>6601</v>
          </cell>
          <cell r="C1606">
            <v>61116</v>
          </cell>
          <cell r="D1606">
            <v>0</v>
          </cell>
          <cell r="E1606" t="str">
            <v>HSEGRUD MAKE TEST TROLLEYS &amp; SWITCH BOX</v>
          </cell>
          <cell r="F1606">
            <v>1</v>
          </cell>
          <cell r="G1606">
            <v>35339</v>
          </cell>
          <cell r="H1606">
            <v>4300</v>
          </cell>
        </row>
        <row r="1607">
          <cell r="A1607">
            <v>3400003911</v>
          </cell>
          <cell r="B1607">
            <v>6601</v>
          </cell>
          <cell r="C1607">
            <v>61116</v>
          </cell>
          <cell r="D1607">
            <v>0</v>
          </cell>
          <cell r="E1607" t="str">
            <v>HSEGRUD MAKE TEST TROLLEYS &amp; SWITCH BOX</v>
          </cell>
          <cell r="F1607">
            <v>1</v>
          </cell>
          <cell r="G1607">
            <v>35339</v>
          </cell>
          <cell r="H1607">
            <v>3600</v>
          </cell>
        </row>
        <row r="1608">
          <cell r="A1608">
            <v>3400003912</v>
          </cell>
          <cell r="B1608">
            <v>6601</v>
          </cell>
          <cell r="C1608">
            <v>61116</v>
          </cell>
          <cell r="D1608">
            <v>0</v>
          </cell>
          <cell r="E1608" t="str">
            <v>HSEGRUD MAKE TEST TROLLEYS &amp; SWITCH BOX</v>
          </cell>
          <cell r="F1608">
            <v>1</v>
          </cell>
          <cell r="G1608">
            <v>35339</v>
          </cell>
          <cell r="H1608">
            <v>3600</v>
          </cell>
        </row>
        <row r="1609">
          <cell r="A1609">
            <v>3400003913</v>
          </cell>
          <cell r="B1609">
            <v>6601</v>
          </cell>
          <cell r="C1609">
            <v>61116</v>
          </cell>
          <cell r="D1609">
            <v>0</v>
          </cell>
          <cell r="E1609" t="str">
            <v>HSEGRUD MAKE TEST TROLLEYS &amp; SWITCH BOX</v>
          </cell>
          <cell r="F1609">
            <v>1</v>
          </cell>
          <cell r="G1609">
            <v>35339</v>
          </cell>
          <cell r="H1609">
            <v>3600</v>
          </cell>
        </row>
        <row r="1610">
          <cell r="A1610">
            <v>3400003914</v>
          </cell>
          <cell r="B1610">
            <v>6601</v>
          </cell>
          <cell r="C1610">
            <v>61206</v>
          </cell>
          <cell r="D1610">
            <v>0</v>
          </cell>
          <cell r="E1610" t="str">
            <v>HSEGRUD MAKE TEST TROLLEYS &amp; SWITCH BOX</v>
          </cell>
          <cell r="F1610">
            <v>1</v>
          </cell>
          <cell r="G1610">
            <v>35339</v>
          </cell>
          <cell r="H1610">
            <v>3100</v>
          </cell>
        </row>
        <row r="1611">
          <cell r="A1611">
            <v>3400003915</v>
          </cell>
          <cell r="B1611">
            <v>6601</v>
          </cell>
          <cell r="C1611">
            <v>61116</v>
          </cell>
          <cell r="D1611">
            <v>0</v>
          </cell>
          <cell r="E1611" t="str">
            <v>HSEGRUD MAKE TEST TROLLEYS &amp; SWITCH BOX</v>
          </cell>
          <cell r="F1611">
            <v>1</v>
          </cell>
          <cell r="G1611">
            <v>35339</v>
          </cell>
          <cell r="H1611">
            <v>3600</v>
          </cell>
        </row>
        <row r="1612">
          <cell r="A1612">
            <v>3400003916</v>
          </cell>
          <cell r="B1612">
            <v>6601</v>
          </cell>
          <cell r="C1612">
            <v>61116</v>
          </cell>
          <cell r="D1612">
            <v>0</v>
          </cell>
          <cell r="E1612" t="str">
            <v>HSEGRUD MAKE TEST TROLLEYS &amp; SWITCH BOX</v>
          </cell>
          <cell r="F1612">
            <v>1</v>
          </cell>
          <cell r="G1612">
            <v>35339</v>
          </cell>
          <cell r="H1612">
            <v>3600</v>
          </cell>
        </row>
        <row r="1613">
          <cell r="A1613">
            <v>3400003917</v>
          </cell>
          <cell r="B1613">
            <v>6601</v>
          </cell>
          <cell r="C1613">
            <v>61116</v>
          </cell>
          <cell r="D1613">
            <v>0</v>
          </cell>
          <cell r="E1613" t="str">
            <v>HSEGRUD MAKE TEST TROLLEYS &amp; SWITCH BOX</v>
          </cell>
          <cell r="F1613">
            <v>1</v>
          </cell>
          <cell r="G1613">
            <v>35339</v>
          </cell>
          <cell r="H1613">
            <v>3600</v>
          </cell>
        </row>
        <row r="1614">
          <cell r="A1614">
            <v>3400003918</v>
          </cell>
          <cell r="B1614">
            <v>6601</v>
          </cell>
          <cell r="C1614">
            <v>61116</v>
          </cell>
          <cell r="D1614">
            <v>0</v>
          </cell>
          <cell r="E1614" t="str">
            <v>HSEGRUD MAKE TEST TROLLEYS &amp; SWITCH BOX</v>
          </cell>
          <cell r="F1614">
            <v>1</v>
          </cell>
          <cell r="G1614">
            <v>35339</v>
          </cell>
          <cell r="H1614">
            <v>3600</v>
          </cell>
        </row>
        <row r="1615">
          <cell r="A1615">
            <v>3400004558</v>
          </cell>
          <cell r="B1615">
            <v>6601</v>
          </cell>
          <cell r="C1615">
            <v>61107</v>
          </cell>
          <cell r="D1615">
            <v>0</v>
          </cell>
          <cell r="E1615" t="str">
            <v>SHORTSLOCATORFORMULTILAYERTONEOHM950</v>
          </cell>
          <cell r="F1615">
            <v>1</v>
          </cell>
          <cell r="G1615">
            <v>35339</v>
          </cell>
          <cell r="H1615">
            <v>141500</v>
          </cell>
        </row>
        <row r="1616">
          <cell r="A1616">
            <v>3400003907</v>
          </cell>
          <cell r="B1616">
            <v>6602</v>
          </cell>
          <cell r="C1616">
            <v>61116</v>
          </cell>
          <cell r="D1616">
            <v>0</v>
          </cell>
          <cell r="E1616" t="str">
            <v>CABLE DRUM JACK-RATCHET TYPE WITH HANDLE</v>
          </cell>
          <cell r="F1616">
            <v>4</v>
          </cell>
          <cell r="G1616">
            <v>34700</v>
          </cell>
          <cell r="H1616">
            <v>7700</v>
          </cell>
        </row>
        <row r="1617">
          <cell r="A1617">
            <v>3400004417</v>
          </cell>
          <cell r="B1617">
            <v>6602</v>
          </cell>
          <cell r="C1617">
            <v>61208</v>
          </cell>
          <cell r="D1617">
            <v>0</v>
          </cell>
          <cell r="E1617" t="str">
            <v>PRESS TOOL NO C39166-A31-C194</v>
          </cell>
          <cell r="F1617">
            <v>1</v>
          </cell>
          <cell r="G1617">
            <v>34700</v>
          </cell>
          <cell r="H1617">
            <v>500</v>
          </cell>
        </row>
        <row r="1618">
          <cell r="A1618">
            <v>3400004418</v>
          </cell>
          <cell r="B1618">
            <v>6602</v>
          </cell>
          <cell r="C1618">
            <v>61208</v>
          </cell>
          <cell r="D1618">
            <v>0</v>
          </cell>
          <cell r="E1618" t="str">
            <v>PRESS TOOL NO C39324-A96-C473</v>
          </cell>
          <cell r="F1618">
            <v>1</v>
          </cell>
          <cell r="G1618">
            <v>34700</v>
          </cell>
          <cell r="H1618">
            <v>1900</v>
          </cell>
        </row>
        <row r="1619">
          <cell r="A1619">
            <v>3400004419</v>
          </cell>
          <cell r="B1619">
            <v>6602</v>
          </cell>
          <cell r="C1619">
            <v>61206</v>
          </cell>
          <cell r="D1619">
            <v>0</v>
          </cell>
          <cell r="E1619" t="str">
            <v>PRESS TOOL NO C39166-A55-C258</v>
          </cell>
          <cell r="F1619">
            <v>1</v>
          </cell>
          <cell r="G1619">
            <v>34700</v>
          </cell>
          <cell r="H1619">
            <v>1600</v>
          </cell>
        </row>
        <row r="1620">
          <cell r="A1620">
            <v>3400003920</v>
          </cell>
          <cell r="B1620">
            <v>6602</v>
          </cell>
          <cell r="C1620">
            <v>61109</v>
          </cell>
          <cell r="D1620">
            <v>0</v>
          </cell>
          <cell r="E1620" t="str">
            <v>CRIMPING TOOL 3D-12</v>
          </cell>
          <cell r="F1620">
            <v>1</v>
          </cell>
          <cell r="G1620">
            <v>34731</v>
          </cell>
          <cell r="H1620">
            <v>1400</v>
          </cell>
        </row>
        <row r="1621">
          <cell r="A1621">
            <v>3400003921</v>
          </cell>
          <cell r="B1621">
            <v>6602</v>
          </cell>
          <cell r="C1621">
            <v>61109</v>
          </cell>
          <cell r="D1621">
            <v>0</v>
          </cell>
          <cell r="E1621" t="str">
            <v>PRESS TOOL FOR CAGE NUT</v>
          </cell>
          <cell r="F1621">
            <v>1</v>
          </cell>
          <cell r="G1621">
            <v>34731</v>
          </cell>
          <cell r="H1621">
            <v>4800</v>
          </cell>
        </row>
        <row r="1622">
          <cell r="A1622">
            <v>3400002902</v>
          </cell>
          <cell r="B1622">
            <v>6602</v>
          </cell>
          <cell r="C1622">
            <v>61206</v>
          </cell>
          <cell r="D1622">
            <v>0</v>
          </cell>
          <cell r="E1622" t="str">
            <v>TOOL FOR FELT NASHER</v>
          </cell>
          <cell r="F1622">
            <v>3</v>
          </cell>
          <cell r="G1622">
            <v>34790</v>
          </cell>
          <cell r="H1622">
            <v>1300</v>
          </cell>
        </row>
        <row r="1623">
          <cell r="A1623">
            <v>3400002903</v>
          </cell>
          <cell r="B1623">
            <v>6602</v>
          </cell>
          <cell r="C1623">
            <v>61206</v>
          </cell>
          <cell r="D1623">
            <v>0</v>
          </cell>
          <cell r="E1623" t="str">
            <v>FACE PLATE WITH FITTINGS</v>
          </cell>
          <cell r="F1623">
            <v>1</v>
          </cell>
          <cell r="G1623">
            <v>34790</v>
          </cell>
          <cell r="H1623">
            <v>2400</v>
          </cell>
        </row>
        <row r="1624">
          <cell r="A1624">
            <v>3400004494</v>
          </cell>
          <cell r="B1624">
            <v>6602</v>
          </cell>
          <cell r="C1624">
            <v>61107</v>
          </cell>
          <cell r="D1624">
            <v>0</v>
          </cell>
          <cell r="E1624" t="str">
            <v>SET OF BOX END WRENCHES</v>
          </cell>
          <cell r="F1624">
            <v>2</v>
          </cell>
          <cell r="G1624">
            <v>34820</v>
          </cell>
          <cell r="H1624">
            <v>2000</v>
          </cell>
        </row>
        <row r="1625">
          <cell r="A1625">
            <v>3400004555</v>
          </cell>
          <cell r="B1625">
            <v>6602</v>
          </cell>
          <cell r="C1625">
            <v>61107</v>
          </cell>
          <cell r="D1625">
            <v>0</v>
          </cell>
          <cell r="E1625" t="str">
            <v>SCREW DRIVER SIZE 9</v>
          </cell>
          <cell r="F1625">
            <v>1</v>
          </cell>
          <cell r="G1625">
            <v>34820</v>
          </cell>
          <cell r="H1625">
            <v>1900</v>
          </cell>
        </row>
        <row r="1626">
          <cell r="A1626">
            <v>3400004556</v>
          </cell>
          <cell r="B1626">
            <v>6602</v>
          </cell>
          <cell r="C1626">
            <v>61107</v>
          </cell>
          <cell r="D1626">
            <v>0</v>
          </cell>
          <cell r="E1626" t="str">
            <v>SOCKET WRENCH</v>
          </cell>
          <cell r="F1626">
            <v>1</v>
          </cell>
          <cell r="G1626">
            <v>34820</v>
          </cell>
          <cell r="H1626">
            <v>1600</v>
          </cell>
        </row>
        <row r="1627">
          <cell r="A1627">
            <v>3400004557</v>
          </cell>
          <cell r="B1627">
            <v>6602</v>
          </cell>
          <cell r="C1627">
            <v>61206</v>
          </cell>
          <cell r="D1627">
            <v>0</v>
          </cell>
          <cell r="E1627" t="str">
            <v>GUIDING SLEEVE</v>
          </cell>
          <cell r="F1627">
            <v>1</v>
          </cell>
          <cell r="G1627">
            <v>34820</v>
          </cell>
          <cell r="H1627">
            <v>400</v>
          </cell>
        </row>
        <row r="1628">
          <cell r="A1628">
            <v>3400004570</v>
          </cell>
          <cell r="B1628">
            <v>6602</v>
          </cell>
          <cell r="C1628">
            <v>61108</v>
          </cell>
          <cell r="D1628">
            <v>0</v>
          </cell>
          <cell r="E1628" t="str">
            <v>MALLET</v>
          </cell>
          <cell r="F1628">
            <v>2</v>
          </cell>
          <cell r="G1628">
            <v>34820</v>
          </cell>
          <cell r="H1628">
            <v>200</v>
          </cell>
        </row>
        <row r="1629">
          <cell r="A1629">
            <v>3400004571</v>
          </cell>
          <cell r="B1629">
            <v>6602</v>
          </cell>
          <cell r="C1629">
            <v>61107</v>
          </cell>
          <cell r="D1629">
            <v>0</v>
          </cell>
          <cell r="E1629" t="str">
            <v>MANUAL STRIPPER</v>
          </cell>
          <cell r="F1629">
            <v>2</v>
          </cell>
          <cell r="G1629">
            <v>34820</v>
          </cell>
          <cell r="H1629">
            <v>400</v>
          </cell>
        </row>
        <row r="1630">
          <cell r="A1630">
            <v>3400004575</v>
          </cell>
          <cell r="B1630">
            <v>6602</v>
          </cell>
          <cell r="C1630">
            <v>61107</v>
          </cell>
          <cell r="D1630">
            <v>0</v>
          </cell>
          <cell r="E1630" t="str">
            <v>ALLAN WRENCH SET</v>
          </cell>
          <cell r="F1630">
            <v>1</v>
          </cell>
          <cell r="G1630">
            <v>34820</v>
          </cell>
          <cell r="H1630">
            <v>100</v>
          </cell>
        </row>
        <row r="1631">
          <cell r="A1631">
            <v>3400004576</v>
          </cell>
          <cell r="B1631">
            <v>6602</v>
          </cell>
          <cell r="C1631">
            <v>61107</v>
          </cell>
          <cell r="D1631">
            <v>0</v>
          </cell>
          <cell r="E1631" t="str">
            <v>ELECTRONIC SIDE CUTTER</v>
          </cell>
          <cell r="F1631">
            <v>2</v>
          </cell>
          <cell r="G1631">
            <v>34820</v>
          </cell>
          <cell r="H1631">
            <v>400</v>
          </cell>
        </row>
        <row r="1632">
          <cell r="A1632">
            <v>3400004577</v>
          </cell>
          <cell r="B1632">
            <v>6602</v>
          </cell>
          <cell r="C1632">
            <v>61107</v>
          </cell>
          <cell r="D1632">
            <v>0</v>
          </cell>
          <cell r="E1632" t="str">
            <v>FOLDING MAGNIFYING GLASS</v>
          </cell>
          <cell r="F1632">
            <v>2</v>
          </cell>
          <cell r="G1632">
            <v>34820</v>
          </cell>
          <cell r="H1632">
            <v>3400</v>
          </cell>
        </row>
        <row r="1633">
          <cell r="A1633">
            <v>3400004578</v>
          </cell>
          <cell r="B1633">
            <v>6602</v>
          </cell>
          <cell r="C1633">
            <v>61107</v>
          </cell>
          <cell r="D1633">
            <v>0</v>
          </cell>
          <cell r="E1633" t="str">
            <v>CRIMPING PLIERS 722418</v>
          </cell>
          <cell r="F1633">
            <v>1</v>
          </cell>
          <cell r="G1633">
            <v>34820</v>
          </cell>
          <cell r="H1633">
            <v>600</v>
          </cell>
        </row>
        <row r="1634">
          <cell r="A1634">
            <v>3400004579</v>
          </cell>
          <cell r="B1634">
            <v>6602</v>
          </cell>
          <cell r="C1634">
            <v>61107</v>
          </cell>
          <cell r="D1634">
            <v>0</v>
          </cell>
          <cell r="E1634" t="str">
            <v>TWEEZERS</v>
          </cell>
          <cell r="F1634">
            <v>10</v>
          </cell>
          <cell r="G1634">
            <v>34820</v>
          </cell>
          <cell r="H1634">
            <v>1200</v>
          </cell>
        </row>
        <row r="1635">
          <cell r="A1635">
            <v>3400004580</v>
          </cell>
          <cell r="B1635">
            <v>6602</v>
          </cell>
          <cell r="C1635">
            <v>61107</v>
          </cell>
          <cell r="D1635">
            <v>0</v>
          </cell>
          <cell r="E1635" t="str">
            <v>STRIPPING KNIFE</v>
          </cell>
          <cell r="F1635">
            <v>2</v>
          </cell>
          <cell r="G1635">
            <v>34820</v>
          </cell>
          <cell r="H1635">
            <v>300</v>
          </cell>
        </row>
        <row r="1636">
          <cell r="A1636">
            <v>3400004581</v>
          </cell>
          <cell r="B1636">
            <v>6602</v>
          </cell>
          <cell r="C1636">
            <v>61107</v>
          </cell>
          <cell r="D1636">
            <v>0</v>
          </cell>
          <cell r="E1636" t="str">
            <v>STRIPPING PLIERS</v>
          </cell>
          <cell r="F1636">
            <v>2</v>
          </cell>
          <cell r="G1636">
            <v>34820</v>
          </cell>
          <cell r="H1636">
            <v>1600</v>
          </cell>
        </row>
        <row r="1637">
          <cell r="A1637">
            <v>3400004582</v>
          </cell>
          <cell r="B1637">
            <v>6602</v>
          </cell>
          <cell r="C1637">
            <v>61107</v>
          </cell>
          <cell r="D1637">
            <v>0</v>
          </cell>
          <cell r="E1637" t="str">
            <v>STEEL RULE</v>
          </cell>
          <cell r="F1637">
            <v>4</v>
          </cell>
          <cell r="G1637">
            <v>34820</v>
          </cell>
          <cell r="H1637">
            <v>200</v>
          </cell>
        </row>
        <row r="1638">
          <cell r="A1638">
            <v>3400004583</v>
          </cell>
          <cell r="B1638">
            <v>6602</v>
          </cell>
          <cell r="C1638">
            <v>61107</v>
          </cell>
          <cell r="D1638">
            <v>0</v>
          </cell>
          <cell r="E1638" t="str">
            <v>PLASTIC HAMMER</v>
          </cell>
          <cell r="F1638">
            <v>2</v>
          </cell>
          <cell r="G1638">
            <v>34820</v>
          </cell>
          <cell r="H1638">
            <v>500</v>
          </cell>
        </row>
        <row r="1639">
          <cell r="A1639">
            <v>3400004584</v>
          </cell>
          <cell r="B1639">
            <v>6602</v>
          </cell>
          <cell r="C1639">
            <v>61107</v>
          </cell>
          <cell r="D1639">
            <v>0</v>
          </cell>
          <cell r="E1639" t="str">
            <v>FLAT NOSE PLIERS</v>
          </cell>
          <cell r="F1639">
            <v>2</v>
          </cell>
          <cell r="G1639">
            <v>34820</v>
          </cell>
          <cell r="H1639">
            <v>400</v>
          </cell>
        </row>
        <row r="1640">
          <cell r="A1640">
            <v>3400004585</v>
          </cell>
          <cell r="B1640">
            <v>6602</v>
          </cell>
          <cell r="C1640">
            <v>61107</v>
          </cell>
          <cell r="D1640">
            <v>0</v>
          </cell>
          <cell r="E1640" t="str">
            <v>SCREWDRIVER</v>
          </cell>
          <cell r="F1640">
            <v>12</v>
          </cell>
          <cell r="G1640">
            <v>34820</v>
          </cell>
          <cell r="H1640">
            <v>1600</v>
          </cell>
        </row>
        <row r="1641">
          <cell r="A1641">
            <v>3400004617</v>
          </cell>
          <cell r="B1641">
            <v>6602</v>
          </cell>
          <cell r="C1641">
            <v>61107</v>
          </cell>
          <cell r="D1641">
            <v>0</v>
          </cell>
          <cell r="E1641" t="str">
            <v>SOCKET WRENCH</v>
          </cell>
          <cell r="F1641">
            <v>4</v>
          </cell>
          <cell r="G1641">
            <v>34820</v>
          </cell>
          <cell r="H1641">
            <v>500</v>
          </cell>
        </row>
        <row r="1642">
          <cell r="A1642">
            <v>3400004503</v>
          </cell>
          <cell r="B1642">
            <v>6602</v>
          </cell>
          <cell r="C1642">
            <v>61206</v>
          </cell>
          <cell r="D1642">
            <v>0</v>
          </cell>
          <cell r="E1642" t="str">
            <v>TWEEZERS AND TOOLS</v>
          </cell>
          <cell r="F1642">
            <v>86</v>
          </cell>
          <cell r="G1642">
            <v>34851</v>
          </cell>
          <cell r="H1642">
            <v>16500</v>
          </cell>
        </row>
        <row r="1643">
          <cell r="A1643">
            <v>3400004536</v>
          </cell>
          <cell r="B1643">
            <v>6602</v>
          </cell>
          <cell r="C1643">
            <v>61155</v>
          </cell>
          <cell r="D1643">
            <v>0</v>
          </cell>
          <cell r="E1643" t="str">
            <v>JIG FOR PLATE C39324-A100-C981</v>
          </cell>
          <cell r="F1643">
            <v>1</v>
          </cell>
          <cell r="G1643">
            <v>34851</v>
          </cell>
          <cell r="H1643">
            <v>500</v>
          </cell>
        </row>
        <row r="1644">
          <cell r="A1644">
            <v>3400004676</v>
          </cell>
          <cell r="B1644">
            <v>6602</v>
          </cell>
          <cell r="C1644">
            <v>61102</v>
          </cell>
          <cell r="D1644">
            <v>0</v>
          </cell>
          <cell r="E1644" t="str">
            <v>SIDE CUTTER</v>
          </cell>
          <cell r="F1644">
            <v>1</v>
          </cell>
          <cell r="G1644">
            <v>34912</v>
          </cell>
          <cell r="H1644">
            <v>400</v>
          </cell>
        </row>
        <row r="1645">
          <cell r="A1645">
            <v>3400004678</v>
          </cell>
          <cell r="B1645">
            <v>6602</v>
          </cell>
          <cell r="C1645">
            <v>61102</v>
          </cell>
          <cell r="D1645">
            <v>0</v>
          </cell>
          <cell r="E1645" t="str">
            <v>SMT TWEEZERS</v>
          </cell>
          <cell r="F1645">
            <v>1</v>
          </cell>
          <cell r="G1645">
            <v>34912</v>
          </cell>
          <cell r="H1645">
            <v>3400</v>
          </cell>
        </row>
        <row r="1646">
          <cell r="A1646">
            <v>3400004678</v>
          </cell>
          <cell r="B1646">
            <v>6602</v>
          </cell>
          <cell r="C1646">
            <v>61102</v>
          </cell>
          <cell r="D1646">
            <v>1</v>
          </cell>
          <cell r="E1646" t="str">
            <v>SOCKET WRENCH WITH SCHAFT</v>
          </cell>
          <cell r="F1646">
            <v>1</v>
          </cell>
          <cell r="G1646">
            <v>34912</v>
          </cell>
          <cell r="H1646">
            <v>800</v>
          </cell>
        </row>
        <row r="1647">
          <cell r="A1647">
            <v>3400004716</v>
          </cell>
          <cell r="B1647">
            <v>6602</v>
          </cell>
          <cell r="C1647">
            <v>61206</v>
          </cell>
          <cell r="D1647">
            <v>0</v>
          </cell>
          <cell r="E1647" t="str">
            <v>DIV MIRROR</v>
          </cell>
          <cell r="F1647">
            <v>68</v>
          </cell>
          <cell r="G1647">
            <v>34912</v>
          </cell>
          <cell r="H1647">
            <v>30500</v>
          </cell>
        </row>
        <row r="1648">
          <cell r="A1648">
            <v>3400004717</v>
          </cell>
          <cell r="B1648">
            <v>6602</v>
          </cell>
          <cell r="C1648">
            <v>61206</v>
          </cell>
          <cell r="D1648">
            <v>0</v>
          </cell>
          <cell r="E1648" t="str">
            <v>TEST CLIP</v>
          </cell>
          <cell r="F1648">
            <v>4</v>
          </cell>
          <cell r="G1648">
            <v>34912</v>
          </cell>
          <cell r="H1648">
            <v>7900</v>
          </cell>
        </row>
        <row r="1649">
          <cell r="A1649">
            <v>3400004482</v>
          </cell>
          <cell r="B1649">
            <v>6602</v>
          </cell>
          <cell r="C1649">
            <v>61151</v>
          </cell>
          <cell r="D1649">
            <v>0</v>
          </cell>
          <cell r="E1649" t="str">
            <v>THREAD SCREWRING GAUGE HIP MAKE</v>
          </cell>
          <cell r="F1649">
            <v>16</v>
          </cell>
          <cell r="G1649">
            <v>34608</v>
          </cell>
          <cell r="H1649">
            <v>4100</v>
          </cell>
        </row>
        <row r="1650">
          <cell r="A1650">
            <v>3400002715</v>
          </cell>
          <cell r="B1650">
            <v>6602</v>
          </cell>
          <cell r="C1650">
            <v>61208</v>
          </cell>
          <cell r="D1650">
            <v>0</v>
          </cell>
          <cell r="E1650" t="str">
            <v>500 WATT NACO MAKE TESTER</v>
          </cell>
          <cell r="F1650">
            <v>1</v>
          </cell>
          <cell r="G1650">
            <v>35339</v>
          </cell>
          <cell r="H1650">
            <v>900</v>
          </cell>
        </row>
        <row r="1651">
          <cell r="A1651">
            <v>3400002716</v>
          </cell>
          <cell r="B1651">
            <v>6602</v>
          </cell>
          <cell r="C1651">
            <v>61206</v>
          </cell>
          <cell r="D1651">
            <v>0</v>
          </cell>
          <cell r="E1651" t="str">
            <v>TESTING MODULE 8038</v>
          </cell>
          <cell r="F1651">
            <v>1</v>
          </cell>
          <cell r="G1651">
            <v>35339</v>
          </cell>
          <cell r="H1651">
            <v>23200</v>
          </cell>
        </row>
        <row r="1652">
          <cell r="A1652">
            <v>3400002717</v>
          </cell>
          <cell r="B1652">
            <v>6602</v>
          </cell>
          <cell r="C1652">
            <v>61206</v>
          </cell>
          <cell r="D1652">
            <v>0</v>
          </cell>
          <cell r="E1652" t="str">
            <v>TEMPERATURE PROBE PT 100</v>
          </cell>
          <cell r="F1652">
            <v>1</v>
          </cell>
          <cell r="G1652">
            <v>35339</v>
          </cell>
          <cell r="H1652">
            <v>4600</v>
          </cell>
        </row>
        <row r="1653">
          <cell r="A1653">
            <v>3400002744</v>
          </cell>
          <cell r="B1653">
            <v>6602</v>
          </cell>
          <cell r="C1653">
            <v>61157</v>
          </cell>
          <cell r="D1653">
            <v>0</v>
          </cell>
          <cell r="E1653" t="str">
            <v>2500 VOLT TESTER NACO MAKE</v>
          </cell>
          <cell r="F1653">
            <v>1</v>
          </cell>
          <cell r="G1653">
            <v>35339</v>
          </cell>
          <cell r="H1653">
            <v>1800</v>
          </cell>
        </row>
        <row r="1654">
          <cell r="A1654">
            <v>3400002745</v>
          </cell>
          <cell r="B1654">
            <v>6602</v>
          </cell>
          <cell r="C1654">
            <v>61115</v>
          </cell>
          <cell r="D1654">
            <v>0</v>
          </cell>
          <cell r="E1654" t="str">
            <v>DIGITAL MULTIMETER 9A</v>
          </cell>
          <cell r="F1654">
            <v>2</v>
          </cell>
          <cell r="G1654">
            <v>35339</v>
          </cell>
          <cell r="H1654">
            <v>1500</v>
          </cell>
        </row>
        <row r="1655">
          <cell r="A1655">
            <v>3400002746</v>
          </cell>
          <cell r="B1655">
            <v>6602</v>
          </cell>
          <cell r="C1655">
            <v>61206</v>
          </cell>
          <cell r="D1655">
            <v>0</v>
          </cell>
          <cell r="E1655" t="str">
            <v>PC POWER SUPPLY</v>
          </cell>
          <cell r="F1655">
            <v>3</v>
          </cell>
          <cell r="G1655">
            <v>35339</v>
          </cell>
          <cell r="H1655">
            <v>2200</v>
          </cell>
        </row>
        <row r="1656">
          <cell r="A1656">
            <v>3400002747</v>
          </cell>
          <cell r="B1656">
            <v>6602</v>
          </cell>
          <cell r="C1656">
            <v>61102</v>
          </cell>
          <cell r="D1656">
            <v>0</v>
          </cell>
          <cell r="E1656" t="str">
            <v>MOULD FOR PLATE</v>
          </cell>
          <cell r="F1656">
            <v>1</v>
          </cell>
          <cell r="G1656">
            <v>35339</v>
          </cell>
          <cell r="H1656">
            <v>1000</v>
          </cell>
        </row>
        <row r="1657">
          <cell r="A1657">
            <v>3400002748</v>
          </cell>
          <cell r="B1657">
            <v>6602</v>
          </cell>
          <cell r="C1657">
            <v>61206</v>
          </cell>
          <cell r="D1657">
            <v>0</v>
          </cell>
          <cell r="E1657" t="str">
            <v>TINING DISK TOOL</v>
          </cell>
          <cell r="F1657">
            <v>1</v>
          </cell>
          <cell r="G1657">
            <v>35339</v>
          </cell>
          <cell r="H1657">
            <v>1800</v>
          </cell>
        </row>
        <row r="1658">
          <cell r="A1658">
            <v>3400002749</v>
          </cell>
          <cell r="B1658">
            <v>6602</v>
          </cell>
          <cell r="C1658">
            <v>61103</v>
          </cell>
          <cell r="D1658">
            <v>0</v>
          </cell>
          <cell r="E1658" t="str">
            <v>1C EXTRACTION TOOL</v>
          </cell>
          <cell r="F1658">
            <v>1</v>
          </cell>
          <cell r="G1658">
            <v>35339</v>
          </cell>
          <cell r="H1658">
            <v>800</v>
          </cell>
        </row>
        <row r="1659">
          <cell r="A1659">
            <v>3400002750</v>
          </cell>
          <cell r="B1659">
            <v>6602</v>
          </cell>
          <cell r="C1659">
            <v>61115</v>
          </cell>
          <cell r="D1659">
            <v>0</v>
          </cell>
          <cell r="E1659" t="str">
            <v>MECO 9A MULTIMETER</v>
          </cell>
          <cell r="F1659">
            <v>4</v>
          </cell>
          <cell r="G1659">
            <v>35339</v>
          </cell>
          <cell r="H1659">
            <v>2500</v>
          </cell>
        </row>
        <row r="1660">
          <cell r="A1660">
            <v>3400002751</v>
          </cell>
          <cell r="B1660">
            <v>6602</v>
          </cell>
          <cell r="C1660">
            <v>61206</v>
          </cell>
          <cell r="D1660">
            <v>0</v>
          </cell>
          <cell r="E1660" t="str">
            <v>PUMP SET WITH METER AND BASE</v>
          </cell>
          <cell r="F1660">
            <v>1</v>
          </cell>
          <cell r="G1660">
            <v>35339</v>
          </cell>
          <cell r="H1660">
            <v>2400</v>
          </cell>
        </row>
        <row r="1661">
          <cell r="A1661">
            <v>3400002752</v>
          </cell>
          <cell r="B1661">
            <v>6602</v>
          </cell>
          <cell r="C1661">
            <v>61161</v>
          </cell>
          <cell r="D1661">
            <v>0</v>
          </cell>
          <cell r="E1661" t="str">
            <v>STAINLESS STEEL SHINK WITH COVER</v>
          </cell>
          <cell r="F1661">
            <v>2</v>
          </cell>
          <cell r="G1661">
            <v>35339</v>
          </cell>
          <cell r="H1661">
            <v>900</v>
          </cell>
        </row>
        <row r="1662">
          <cell r="A1662">
            <v>3400002754</v>
          </cell>
          <cell r="B1662">
            <v>6602</v>
          </cell>
          <cell r="C1662">
            <v>61206</v>
          </cell>
          <cell r="D1662">
            <v>0</v>
          </cell>
          <cell r="E1662" t="str">
            <v>TOOL FOR SLIDER</v>
          </cell>
          <cell r="F1662">
            <v>1</v>
          </cell>
          <cell r="G1662">
            <v>35339</v>
          </cell>
          <cell r="H1662">
            <v>1900</v>
          </cell>
        </row>
        <row r="1663">
          <cell r="A1663">
            <v>3400002755</v>
          </cell>
          <cell r="B1663">
            <v>6602</v>
          </cell>
          <cell r="C1663">
            <v>61206</v>
          </cell>
          <cell r="D1663">
            <v>0</v>
          </cell>
          <cell r="E1663" t="str">
            <v>TOOL FOR PLATE/BEARING/BUSHING</v>
          </cell>
          <cell r="F1663">
            <v>3</v>
          </cell>
          <cell r="G1663">
            <v>35339</v>
          </cell>
          <cell r="H1663">
            <v>4300</v>
          </cell>
        </row>
        <row r="1664">
          <cell r="A1664">
            <v>3400002758</v>
          </cell>
          <cell r="B1664">
            <v>6602</v>
          </cell>
          <cell r="C1664">
            <v>61206</v>
          </cell>
          <cell r="D1664">
            <v>0</v>
          </cell>
          <cell r="E1664" t="str">
            <v>SPECIAL PROJECTED 144 STAND OF 4766 TOLE</v>
          </cell>
          <cell r="F1664">
            <v>1</v>
          </cell>
          <cell r="G1664">
            <v>35339</v>
          </cell>
          <cell r="H1664">
            <v>1100</v>
          </cell>
        </row>
        <row r="1665">
          <cell r="A1665">
            <v>3400002764</v>
          </cell>
          <cell r="B1665">
            <v>6602</v>
          </cell>
          <cell r="C1665">
            <v>61156</v>
          </cell>
          <cell r="D1665">
            <v>0</v>
          </cell>
          <cell r="E1665" t="str">
            <v>DIGITAL VERNIER CALIPER MOCROMETER</v>
          </cell>
          <cell r="F1665">
            <v>6</v>
          </cell>
          <cell r="G1665">
            <v>35339</v>
          </cell>
          <cell r="H1665">
            <v>3100</v>
          </cell>
        </row>
        <row r="1666">
          <cell r="A1666">
            <v>3400002765</v>
          </cell>
          <cell r="B1666">
            <v>6602</v>
          </cell>
          <cell r="C1666">
            <v>61151</v>
          </cell>
          <cell r="D1666">
            <v>0</v>
          </cell>
          <cell r="E1666" t="str">
            <v>MAGNETIC DIAL STAND</v>
          </cell>
          <cell r="F1666">
            <v>1</v>
          </cell>
          <cell r="G1666">
            <v>35339</v>
          </cell>
          <cell r="H1666">
            <v>400</v>
          </cell>
        </row>
        <row r="1667">
          <cell r="A1667">
            <v>3400002766</v>
          </cell>
          <cell r="B1667">
            <v>6602</v>
          </cell>
          <cell r="C1667">
            <v>61151</v>
          </cell>
          <cell r="D1667">
            <v>0</v>
          </cell>
          <cell r="E1667" t="str">
            <v>DIAL INDICATOR 0.01MM-10MM</v>
          </cell>
          <cell r="F1667">
            <v>1</v>
          </cell>
          <cell r="G1667">
            <v>35339</v>
          </cell>
          <cell r="H1667">
            <v>900</v>
          </cell>
        </row>
        <row r="1668">
          <cell r="A1668">
            <v>3400002767</v>
          </cell>
          <cell r="B1668">
            <v>6602</v>
          </cell>
          <cell r="C1668">
            <v>61151</v>
          </cell>
          <cell r="D1668">
            <v>0</v>
          </cell>
          <cell r="E1668" t="str">
            <v>TEST INDICATOR DIAL 0.01MM</v>
          </cell>
          <cell r="F1668">
            <v>1</v>
          </cell>
          <cell r="G1668">
            <v>35339</v>
          </cell>
          <cell r="H1668">
            <v>600</v>
          </cell>
        </row>
        <row r="1669">
          <cell r="A1669">
            <v>3400002768</v>
          </cell>
          <cell r="B1669">
            <v>6602</v>
          </cell>
          <cell r="C1669">
            <v>61151</v>
          </cell>
          <cell r="D1669">
            <v>0</v>
          </cell>
          <cell r="E1669" t="str">
            <v>CAST IRON ANGLE PLATE</v>
          </cell>
          <cell r="F1669">
            <v>2</v>
          </cell>
          <cell r="G1669">
            <v>35339</v>
          </cell>
          <cell r="H1669">
            <v>2500</v>
          </cell>
        </row>
        <row r="1670">
          <cell r="A1670">
            <v>3400002769</v>
          </cell>
          <cell r="B1670">
            <v>6602</v>
          </cell>
          <cell r="C1670">
            <v>61151</v>
          </cell>
          <cell r="D1670">
            <v>0</v>
          </cell>
          <cell r="E1670" t="str">
            <v>MULTIMETER MOTWANE MAKE</v>
          </cell>
          <cell r="F1670">
            <v>1</v>
          </cell>
          <cell r="G1670">
            <v>35339</v>
          </cell>
          <cell r="H1670">
            <v>1000</v>
          </cell>
        </row>
        <row r="1671">
          <cell r="A1671">
            <v>3400002786</v>
          </cell>
          <cell r="B1671">
            <v>6602</v>
          </cell>
          <cell r="C1671">
            <v>61100</v>
          </cell>
          <cell r="D1671">
            <v>0</v>
          </cell>
          <cell r="E1671" t="str">
            <v>ANTISTATIC WRIST STRAP</v>
          </cell>
          <cell r="F1671">
            <v>1</v>
          </cell>
          <cell r="G1671">
            <v>35339</v>
          </cell>
          <cell r="H1671">
            <v>2700</v>
          </cell>
        </row>
        <row r="1672">
          <cell r="A1672">
            <v>3400002791</v>
          </cell>
          <cell r="B1672">
            <v>6602</v>
          </cell>
          <cell r="C1672">
            <v>61206</v>
          </cell>
          <cell r="D1672">
            <v>0</v>
          </cell>
          <cell r="E1672" t="str">
            <v>ASSEMBLY DEVICE A11 2010111</v>
          </cell>
          <cell r="F1672">
            <v>1</v>
          </cell>
          <cell r="G1672">
            <v>35339</v>
          </cell>
          <cell r="H1672">
            <v>1600</v>
          </cell>
        </row>
        <row r="1673">
          <cell r="A1673">
            <v>3400002792</v>
          </cell>
          <cell r="B1673">
            <v>6602</v>
          </cell>
          <cell r="C1673">
            <v>61206</v>
          </cell>
          <cell r="D1673">
            <v>0</v>
          </cell>
          <cell r="E1673" t="str">
            <v>BRODGE BOX ARMS</v>
          </cell>
          <cell r="F1673">
            <v>1</v>
          </cell>
          <cell r="G1673">
            <v>35339</v>
          </cell>
          <cell r="H1673">
            <v>700</v>
          </cell>
        </row>
        <row r="1674">
          <cell r="A1674">
            <v>3400002793</v>
          </cell>
          <cell r="B1674">
            <v>6602</v>
          </cell>
          <cell r="C1674">
            <v>61206</v>
          </cell>
          <cell r="D1674">
            <v>0</v>
          </cell>
          <cell r="E1674" t="str">
            <v>DIGITAL MULTIMETER</v>
          </cell>
          <cell r="F1674">
            <v>3</v>
          </cell>
          <cell r="G1674">
            <v>35339</v>
          </cell>
          <cell r="H1674">
            <v>5800</v>
          </cell>
        </row>
        <row r="1675">
          <cell r="A1675">
            <v>3400002794</v>
          </cell>
          <cell r="B1675">
            <v>6602</v>
          </cell>
          <cell r="C1675">
            <v>61206</v>
          </cell>
          <cell r="D1675">
            <v>0</v>
          </cell>
          <cell r="E1675" t="str">
            <v>DIGITAL MULTIMETER PHILIPS</v>
          </cell>
          <cell r="F1675">
            <v>1</v>
          </cell>
          <cell r="G1675">
            <v>35339</v>
          </cell>
          <cell r="H1675">
            <v>2300</v>
          </cell>
        </row>
        <row r="1676">
          <cell r="A1676">
            <v>3400002797</v>
          </cell>
          <cell r="B1676">
            <v>6602</v>
          </cell>
          <cell r="C1676">
            <v>61206</v>
          </cell>
          <cell r="D1676">
            <v>0</v>
          </cell>
          <cell r="E1676" t="str">
            <v>FIXTURE FOR STAMPING</v>
          </cell>
          <cell r="F1676">
            <v>2</v>
          </cell>
          <cell r="G1676">
            <v>35339</v>
          </cell>
          <cell r="H1676">
            <v>900</v>
          </cell>
        </row>
        <row r="1677">
          <cell r="A1677">
            <v>3400002799</v>
          </cell>
          <cell r="B1677">
            <v>6602</v>
          </cell>
          <cell r="C1677">
            <v>61206</v>
          </cell>
          <cell r="D1677">
            <v>0</v>
          </cell>
          <cell r="E1677" t="str">
            <v>INJECTION MOULD FOR C22136</v>
          </cell>
          <cell r="F1677">
            <v>1</v>
          </cell>
          <cell r="G1677">
            <v>35339</v>
          </cell>
          <cell r="H1677">
            <v>600</v>
          </cell>
        </row>
        <row r="1678">
          <cell r="A1678">
            <v>3400003566</v>
          </cell>
          <cell r="B1678">
            <v>6602</v>
          </cell>
          <cell r="C1678">
            <v>61104</v>
          </cell>
          <cell r="D1678">
            <v>0</v>
          </cell>
          <cell r="E1678" t="str">
            <v>HOLDING JIG FOR 'D' CABLE CONNECTOR</v>
          </cell>
          <cell r="F1678">
            <v>1</v>
          </cell>
          <cell r="G1678">
            <v>35339</v>
          </cell>
          <cell r="H1678">
            <v>1500</v>
          </cell>
        </row>
        <row r="1679">
          <cell r="A1679">
            <v>3400003567</v>
          </cell>
          <cell r="B1679">
            <v>6602</v>
          </cell>
          <cell r="C1679">
            <v>61107</v>
          </cell>
          <cell r="D1679">
            <v>0</v>
          </cell>
          <cell r="E1679" t="str">
            <v>FIXTURE GUIDE FOR LTGM</v>
          </cell>
          <cell r="F1679">
            <v>1</v>
          </cell>
          <cell r="G1679">
            <v>35339</v>
          </cell>
          <cell r="H1679">
            <v>2000</v>
          </cell>
        </row>
        <row r="1680">
          <cell r="A1680">
            <v>3400003597</v>
          </cell>
          <cell r="B1680">
            <v>6602</v>
          </cell>
          <cell r="C1680">
            <v>61100</v>
          </cell>
          <cell r="D1680">
            <v>0</v>
          </cell>
          <cell r="E1680" t="str">
            <v>FIX. FOR MTG.ZP CONNECTOR ON M:SASC</v>
          </cell>
          <cell r="F1680">
            <v>1</v>
          </cell>
          <cell r="G1680">
            <v>35339</v>
          </cell>
          <cell r="H1680">
            <v>2472</v>
          </cell>
        </row>
        <row r="1681">
          <cell r="A1681">
            <v>3400003601</v>
          </cell>
          <cell r="B1681">
            <v>6602</v>
          </cell>
          <cell r="C1681">
            <v>61107</v>
          </cell>
          <cell r="D1681">
            <v>0</v>
          </cell>
          <cell r="E1681" t="str">
            <v>GUIDE MODULE INSERTION DLUE</v>
          </cell>
          <cell r="F1681">
            <v>1</v>
          </cell>
          <cell r="G1681">
            <v>35339</v>
          </cell>
          <cell r="H1681">
            <v>2000</v>
          </cell>
        </row>
        <row r="1682">
          <cell r="A1682">
            <v>3400003602</v>
          </cell>
          <cell r="B1682">
            <v>6602</v>
          </cell>
          <cell r="C1682">
            <v>61107</v>
          </cell>
          <cell r="D1682">
            <v>0</v>
          </cell>
          <cell r="E1682" t="str">
            <v>GUIDE FOR MODULE INSERTION TSG</v>
          </cell>
          <cell r="F1682">
            <v>1</v>
          </cell>
          <cell r="G1682">
            <v>35339</v>
          </cell>
          <cell r="H1682">
            <v>2000</v>
          </cell>
        </row>
        <row r="1683">
          <cell r="A1683">
            <v>3400003603</v>
          </cell>
          <cell r="B1683">
            <v>6602</v>
          </cell>
          <cell r="C1683">
            <v>61107</v>
          </cell>
          <cell r="D1683">
            <v>0</v>
          </cell>
          <cell r="E1683" t="str">
            <v>GUIDE FOR MODULE INSERTION SSG</v>
          </cell>
          <cell r="F1683">
            <v>1</v>
          </cell>
          <cell r="G1683">
            <v>35339</v>
          </cell>
          <cell r="H1683">
            <v>2200</v>
          </cell>
        </row>
        <row r="1684">
          <cell r="A1684">
            <v>3400003611</v>
          </cell>
          <cell r="B1684">
            <v>6602</v>
          </cell>
          <cell r="C1684">
            <v>61100</v>
          </cell>
          <cell r="D1684">
            <v>0</v>
          </cell>
          <cell r="E1684" t="str">
            <v>HEAT SINK ASSY. FIX. M:DCCDF</v>
          </cell>
          <cell r="F1684">
            <v>1</v>
          </cell>
          <cell r="G1684">
            <v>35339</v>
          </cell>
          <cell r="H1684">
            <v>3090</v>
          </cell>
        </row>
        <row r="1685">
          <cell r="A1685">
            <v>3400003612</v>
          </cell>
          <cell r="B1685">
            <v>6602</v>
          </cell>
          <cell r="C1685">
            <v>61157</v>
          </cell>
          <cell r="D1685">
            <v>0</v>
          </cell>
          <cell r="E1685" t="str">
            <v>KRONE TOOL</v>
          </cell>
          <cell r="F1685">
            <v>4</v>
          </cell>
          <cell r="G1685">
            <v>35339</v>
          </cell>
          <cell r="H1685">
            <v>2965.2</v>
          </cell>
        </row>
        <row r="1686">
          <cell r="A1686">
            <v>3400003626</v>
          </cell>
          <cell r="B1686">
            <v>6602</v>
          </cell>
          <cell r="C1686">
            <v>61112</v>
          </cell>
          <cell r="D1686">
            <v>0</v>
          </cell>
          <cell r="E1686" t="str">
            <v>CONNECTING TUBES FOR ICT ADA.NAILS GKS92</v>
          </cell>
          <cell r="F1686">
            <v>1</v>
          </cell>
          <cell r="G1686">
            <v>35339</v>
          </cell>
          <cell r="H1686">
            <v>23831.39</v>
          </cell>
        </row>
        <row r="1687">
          <cell r="A1687">
            <v>3400003627</v>
          </cell>
          <cell r="B1687">
            <v>6602</v>
          </cell>
          <cell r="C1687">
            <v>61112</v>
          </cell>
          <cell r="D1687">
            <v>0</v>
          </cell>
          <cell r="E1687" t="str">
            <v>ICT ADAPTER NAILS GKS-925-0203</v>
          </cell>
          <cell r="F1687">
            <v>500</v>
          </cell>
          <cell r="G1687">
            <v>35339</v>
          </cell>
          <cell r="H1687">
            <v>0.01</v>
          </cell>
        </row>
        <row r="1688">
          <cell r="A1688">
            <v>3400003627</v>
          </cell>
          <cell r="B1688">
            <v>6602</v>
          </cell>
          <cell r="C1688">
            <v>61112</v>
          </cell>
          <cell r="D1688">
            <v>1</v>
          </cell>
          <cell r="E1688" t="str">
            <v>ICT ADAPTER NAILS GKS-925-0203</v>
          </cell>
          <cell r="F1688">
            <v>500</v>
          </cell>
          <cell r="G1688">
            <v>35339</v>
          </cell>
          <cell r="H1688">
            <v>19859.490000000002</v>
          </cell>
        </row>
        <row r="1689">
          <cell r="A1689">
            <v>3400003628</v>
          </cell>
          <cell r="B1689">
            <v>6602</v>
          </cell>
          <cell r="C1689">
            <v>61112</v>
          </cell>
          <cell r="D1689">
            <v>0</v>
          </cell>
          <cell r="E1689" t="str">
            <v>ICT ADAPTER NAILS GKS-925-0090</v>
          </cell>
          <cell r="F1689">
            <v>1</v>
          </cell>
          <cell r="G1689">
            <v>35339</v>
          </cell>
          <cell r="H1689">
            <v>26479.32</v>
          </cell>
        </row>
        <row r="1690">
          <cell r="A1690">
            <v>3400003629</v>
          </cell>
          <cell r="B1690">
            <v>6602</v>
          </cell>
          <cell r="C1690">
            <v>61112</v>
          </cell>
          <cell r="D1690">
            <v>0</v>
          </cell>
          <cell r="E1690" t="str">
            <v>ICT ADAPTER NAILS GKS-135-0035</v>
          </cell>
          <cell r="F1690">
            <v>1</v>
          </cell>
          <cell r="G1690">
            <v>35339</v>
          </cell>
          <cell r="H1690">
            <v>4633.88</v>
          </cell>
        </row>
        <row r="1691">
          <cell r="A1691">
            <v>3400003630</v>
          </cell>
          <cell r="B1691">
            <v>6602</v>
          </cell>
          <cell r="C1691">
            <v>61112</v>
          </cell>
          <cell r="D1691">
            <v>0</v>
          </cell>
          <cell r="E1691" t="str">
            <v>ICT ADAPTER NAILS GKS-135-0027</v>
          </cell>
          <cell r="F1691">
            <v>1</v>
          </cell>
          <cell r="G1691">
            <v>35339</v>
          </cell>
          <cell r="H1691">
            <v>3640.91</v>
          </cell>
        </row>
        <row r="1692">
          <cell r="A1692">
            <v>3400003741</v>
          </cell>
          <cell r="B1692">
            <v>6602</v>
          </cell>
          <cell r="C1692">
            <v>61103</v>
          </cell>
          <cell r="D1692">
            <v>0</v>
          </cell>
          <cell r="E1692" t="str">
            <v>FIXTURE FIXING ON M:SUB:SASC</v>
          </cell>
          <cell r="F1692">
            <v>1</v>
          </cell>
          <cell r="G1692">
            <v>35339</v>
          </cell>
          <cell r="H1692">
            <v>3296</v>
          </cell>
        </row>
        <row r="1693">
          <cell r="A1693">
            <v>3400003760</v>
          </cell>
          <cell r="B1693">
            <v>6602</v>
          </cell>
          <cell r="C1693">
            <v>61116</v>
          </cell>
          <cell r="D1693">
            <v>0</v>
          </cell>
          <cell r="E1693" t="str">
            <v>CLAMP,SIDEGRIP 8770-0001</v>
          </cell>
          <cell r="F1693">
            <v>1</v>
          </cell>
          <cell r="G1693">
            <v>35339</v>
          </cell>
          <cell r="H1693">
            <v>9639.14</v>
          </cell>
        </row>
        <row r="1694">
          <cell r="A1694">
            <v>3400003761</v>
          </cell>
          <cell r="B1694">
            <v>6602</v>
          </cell>
          <cell r="C1694">
            <v>61116</v>
          </cell>
          <cell r="D1694">
            <v>0</v>
          </cell>
          <cell r="E1694" t="str">
            <v>PLIERS CLAMP 8710-0013</v>
          </cell>
          <cell r="F1694">
            <v>1</v>
          </cell>
          <cell r="G1694">
            <v>35339</v>
          </cell>
          <cell r="H1694">
            <v>1759.68</v>
          </cell>
        </row>
        <row r="1695">
          <cell r="A1695">
            <v>3400004676</v>
          </cell>
          <cell r="B1695">
            <v>6602</v>
          </cell>
          <cell r="C1695">
            <v>61102</v>
          </cell>
          <cell r="D1695">
            <v>1</v>
          </cell>
          <cell r="E1695" t="str">
            <v>PULL TEST GAUGE</v>
          </cell>
          <cell r="F1695">
            <v>1</v>
          </cell>
          <cell r="G1695">
            <v>35339</v>
          </cell>
          <cell r="H1695">
            <v>79700</v>
          </cell>
        </row>
        <row r="1696">
          <cell r="A1696">
            <v>3400003925</v>
          </cell>
          <cell r="B1696">
            <v>6602</v>
          </cell>
          <cell r="C1696">
            <v>61116</v>
          </cell>
          <cell r="D1696">
            <v>0</v>
          </cell>
          <cell r="E1696" t="str">
            <v>ALUMINIUM LADDER</v>
          </cell>
          <cell r="F1696">
            <v>1</v>
          </cell>
          <cell r="G1696">
            <v>34669</v>
          </cell>
          <cell r="H1696">
            <v>2500</v>
          </cell>
        </row>
        <row r="1697">
          <cell r="A1697">
            <v>3400004401</v>
          </cell>
          <cell r="B1697">
            <v>6602</v>
          </cell>
          <cell r="C1697">
            <v>61156</v>
          </cell>
          <cell r="D1697">
            <v>0</v>
          </cell>
          <cell r="E1697" t="str">
            <v>SAMPLE PCB S30810-Q1148-X-4</v>
          </cell>
          <cell r="F1697">
            <v>1</v>
          </cell>
          <cell r="G1697">
            <v>34669</v>
          </cell>
          <cell r="H1697">
            <v>600</v>
          </cell>
        </row>
        <row r="1698">
          <cell r="A1698">
            <v>3400004403</v>
          </cell>
          <cell r="B1698">
            <v>6602</v>
          </cell>
          <cell r="C1698">
            <v>61206</v>
          </cell>
          <cell r="D1698">
            <v>0</v>
          </cell>
          <cell r="E1698" t="str">
            <v>SAMPLE PCB S30810-Q963-X58-3-VR10</v>
          </cell>
          <cell r="F1698">
            <v>1</v>
          </cell>
          <cell r="G1698">
            <v>34669</v>
          </cell>
          <cell r="H1698">
            <v>1500</v>
          </cell>
        </row>
        <row r="1699">
          <cell r="A1699">
            <v>3400004411</v>
          </cell>
          <cell r="B1699">
            <v>6602</v>
          </cell>
          <cell r="C1699">
            <v>61112</v>
          </cell>
          <cell r="D1699">
            <v>0</v>
          </cell>
          <cell r="E1699" t="str">
            <v>SAMPLE PCB S30810-Q1148-X-4</v>
          </cell>
          <cell r="F1699">
            <v>1</v>
          </cell>
          <cell r="G1699">
            <v>34669</v>
          </cell>
          <cell r="H1699">
            <v>700</v>
          </cell>
        </row>
        <row r="1700">
          <cell r="A1700">
            <v>3400004413</v>
          </cell>
          <cell r="B1700">
            <v>6602</v>
          </cell>
          <cell r="C1700">
            <v>61206</v>
          </cell>
          <cell r="D1700">
            <v>0</v>
          </cell>
          <cell r="E1700" t="str">
            <v>SAMPLE PCB S30810-Q963-X58-3-VR10</v>
          </cell>
          <cell r="F1700">
            <v>1</v>
          </cell>
          <cell r="G1700">
            <v>34669</v>
          </cell>
          <cell r="H1700">
            <v>1500</v>
          </cell>
        </row>
        <row r="1701">
          <cell r="A1701">
            <v>3400003542</v>
          </cell>
          <cell r="B1701">
            <v>6602</v>
          </cell>
          <cell r="C1701">
            <v>61100</v>
          </cell>
          <cell r="D1701">
            <v>0</v>
          </cell>
          <cell r="E1701" t="str">
            <v>FORMING &amp; BENDING TOOL</v>
          </cell>
          <cell r="F1701">
            <v>1</v>
          </cell>
          <cell r="G1701">
            <v>35220</v>
          </cell>
          <cell r="H1701">
            <v>2300</v>
          </cell>
        </row>
        <row r="1702">
          <cell r="A1702">
            <v>3400003543</v>
          </cell>
          <cell r="B1702">
            <v>6602</v>
          </cell>
          <cell r="C1702">
            <v>61100</v>
          </cell>
          <cell r="D1702">
            <v>0</v>
          </cell>
          <cell r="E1702" t="str">
            <v>FOAM GUIDE</v>
          </cell>
          <cell r="F1702">
            <v>1</v>
          </cell>
          <cell r="G1702">
            <v>35220</v>
          </cell>
          <cell r="H1702">
            <v>2100</v>
          </cell>
        </row>
        <row r="1703">
          <cell r="A1703">
            <v>3400003368</v>
          </cell>
          <cell r="B1703">
            <v>6602</v>
          </cell>
          <cell r="C1703">
            <v>61156</v>
          </cell>
          <cell r="D1703">
            <v>0</v>
          </cell>
          <cell r="E1703" t="str">
            <v>WIRE COIL NAIL2-1/2"&amp;2"</v>
          </cell>
          <cell r="F1703">
            <v>84</v>
          </cell>
          <cell r="G1703">
            <v>35172</v>
          </cell>
          <cell r="H1703">
            <v>2100</v>
          </cell>
        </row>
        <row r="1704">
          <cell r="A1704">
            <v>3400003368</v>
          </cell>
          <cell r="B1704">
            <v>6602</v>
          </cell>
          <cell r="C1704">
            <v>61156</v>
          </cell>
          <cell r="D1704">
            <v>1</v>
          </cell>
          <cell r="E1704" t="str">
            <v>WIRE COIL NAIL 2-1/2" &amp; 2"</v>
          </cell>
          <cell r="F1704">
            <v>84</v>
          </cell>
          <cell r="G1704">
            <v>35172</v>
          </cell>
          <cell r="H1704">
            <v>400</v>
          </cell>
        </row>
        <row r="1705">
          <cell r="A1705">
            <v>3400003216</v>
          </cell>
          <cell r="B1705">
            <v>6602</v>
          </cell>
          <cell r="C1705">
            <v>61102</v>
          </cell>
          <cell r="D1705">
            <v>0</v>
          </cell>
          <cell r="E1705" t="str">
            <v>212-BD/CD/ED/KD/FOR CTA20 AND422ED/FD FO</v>
          </cell>
          <cell r="F1705">
            <v>1</v>
          </cell>
          <cell r="G1705">
            <v>35146</v>
          </cell>
          <cell r="H1705">
            <v>6800</v>
          </cell>
        </row>
        <row r="1706">
          <cell r="A1706">
            <v>3400003332</v>
          </cell>
          <cell r="B1706">
            <v>6603</v>
          </cell>
          <cell r="C1706">
            <v>61102</v>
          </cell>
          <cell r="D1706">
            <v>0</v>
          </cell>
          <cell r="E1706" t="str">
            <v>FEDERWAAGE (HOFFMAN)</v>
          </cell>
          <cell r="F1706">
            <v>1</v>
          </cell>
          <cell r="G1706">
            <v>34950</v>
          </cell>
          <cell r="H1706">
            <v>3500</v>
          </cell>
        </row>
        <row r="1707">
          <cell r="A1707">
            <v>3400003819</v>
          </cell>
          <cell r="B1707">
            <v>6800</v>
          </cell>
          <cell r="C1707">
            <v>61159</v>
          </cell>
          <cell r="D1707">
            <v>0</v>
          </cell>
          <cell r="E1707" t="str">
            <v>HP DESKJET 520 PRINTER (SL SG51Z170DW)</v>
          </cell>
          <cell r="F1707">
            <v>1</v>
          </cell>
          <cell r="G1707">
            <v>35521</v>
          </cell>
          <cell r="H1707">
            <v>18000</v>
          </cell>
        </row>
        <row r="1708">
          <cell r="A1708">
            <v>3400003823</v>
          </cell>
          <cell r="B1708">
            <v>6800</v>
          </cell>
          <cell r="C1708">
            <v>61159</v>
          </cell>
          <cell r="D1708">
            <v>0</v>
          </cell>
          <cell r="E1708" t="str">
            <v>GODREJ PANASONIC DMP KX P3696</v>
          </cell>
          <cell r="F1708">
            <v>1</v>
          </cell>
          <cell r="G1708">
            <v>35521</v>
          </cell>
          <cell r="H1708">
            <v>27000</v>
          </cell>
        </row>
        <row r="1709">
          <cell r="A1709">
            <v>3400002898</v>
          </cell>
          <cell r="B1709">
            <v>6800</v>
          </cell>
          <cell r="C1709">
            <v>61161</v>
          </cell>
          <cell r="D1709">
            <v>0</v>
          </cell>
          <cell r="E1709" t="str">
            <v>KELTRON ATTENDANCE DATA MGT SYS (CDCU)</v>
          </cell>
          <cell r="F1709">
            <v>1</v>
          </cell>
          <cell r="G1709">
            <v>35339</v>
          </cell>
          <cell r="H1709">
            <v>33400</v>
          </cell>
        </row>
        <row r="1710">
          <cell r="A1710">
            <v>3400002899</v>
          </cell>
          <cell r="B1710">
            <v>6800</v>
          </cell>
          <cell r="C1710">
            <v>61157</v>
          </cell>
          <cell r="D1710">
            <v>0</v>
          </cell>
          <cell r="E1710" t="str">
            <v>MINIMAX 1.25 KG BCF TYPE FIRE EXTINGUSIS</v>
          </cell>
          <cell r="F1710">
            <v>1</v>
          </cell>
          <cell r="G1710">
            <v>35339</v>
          </cell>
          <cell r="H1710">
            <v>21600</v>
          </cell>
        </row>
        <row r="1711">
          <cell r="A1711">
            <v>3400003316</v>
          </cell>
          <cell r="B1711">
            <v>6800</v>
          </cell>
          <cell r="C1711">
            <v>61161</v>
          </cell>
          <cell r="D1711">
            <v>0</v>
          </cell>
          <cell r="E1711" t="str">
            <v>DESK JET 400 PRINTER</v>
          </cell>
          <cell r="F1711">
            <v>1</v>
          </cell>
          <cell r="G1711">
            <v>35339</v>
          </cell>
          <cell r="H1711">
            <v>11000</v>
          </cell>
        </row>
        <row r="1712">
          <cell r="A1712">
            <v>3400003317</v>
          </cell>
          <cell r="B1712">
            <v>6800</v>
          </cell>
          <cell r="C1712">
            <v>61108</v>
          </cell>
          <cell r="D1712">
            <v>0</v>
          </cell>
          <cell r="E1712" t="str">
            <v>DESK JET 400 PRINTER</v>
          </cell>
          <cell r="F1712">
            <v>1</v>
          </cell>
          <cell r="G1712">
            <v>35339</v>
          </cell>
          <cell r="H1712">
            <v>11000</v>
          </cell>
        </row>
        <row r="1713">
          <cell r="A1713">
            <v>3400003347</v>
          </cell>
          <cell r="B1713">
            <v>6800</v>
          </cell>
          <cell r="C1713">
            <v>61155</v>
          </cell>
          <cell r="D1713">
            <v>0</v>
          </cell>
          <cell r="E1713" t="str">
            <v>CANON FAX MODEL B-100</v>
          </cell>
          <cell r="F1713">
            <v>1</v>
          </cell>
          <cell r="G1713">
            <v>35339</v>
          </cell>
          <cell r="H1713">
            <v>25000</v>
          </cell>
        </row>
        <row r="1714">
          <cell r="A1714">
            <v>3400003347</v>
          </cell>
          <cell r="B1714">
            <v>6800</v>
          </cell>
          <cell r="C1714">
            <v>61155</v>
          </cell>
          <cell r="D1714">
            <v>1</v>
          </cell>
          <cell r="E1714" t="str">
            <v>FAX MODEL B-100</v>
          </cell>
          <cell r="F1714">
            <v>1</v>
          </cell>
          <cell r="G1714">
            <v>35339</v>
          </cell>
          <cell r="H1714">
            <v>25000</v>
          </cell>
        </row>
        <row r="1715">
          <cell r="A1715">
            <v>3400003363</v>
          </cell>
          <cell r="B1715">
            <v>6800</v>
          </cell>
          <cell r="C1715">
            <v>61160</v>
          </cell>
          <cell r="D1715">
            <v>0</v>
          </cell>
          <cell r="E1715" t="str">
            <v>CANON FAX B-100</v>
          </cell>
          <cell r="F1715">
            <v>1</v>
          </cell>
          <cell r="G1715">
            <v>35339</v>
          </cell>
          <cell r="H1715">
            <v>25000</v>
          </cell>
        </row>
        <row r="1716">
          <cell r="A1716">
            <v>3400003529</v>
          </cell>
          <cell r="B1716">
            <v>6800</v>
          </cell>
          <cell r="C1716">
            <v>61203</v>
          </cell>
          <cell r="D1716">
            <v>0</v>
          </cell>
          <cell r="E1716" t="str">
            <v>PAPER SHREADDING MACHINE PILOT 4000</v>
          </cell>
          <cell r="F1716">
            <v>1</v>
          </cell>
          <cell r="G1716">
            <v>35339</v>
          </cell>
          <cell r="H1716">
            <v>50000</v>
          </cell>
        </row>
        <row r="1717">
          <cell r="A1717">
            <v>3400004170</v>
          </cell>
          <cell r="B1717">
            <v>6800</v>
          </cell>
          <cell r="C1717">
            <v>61154</v>
          </cell>
          <cell r="D1717">
            <v>0</v>
          </cell>
          <cell r="E1717" t="str">
            <v>PHOTOCOPIER 10BIN SORTER AND ADF</v>
          </cell>
          <cell r="F1717">
            <v>1</v>
          </cell>
          <cell r="G1717">
            <v>35339</v>
          </cell>
          <cell r="H1717">
            <v>139600</v>
          </cell>
        </row>
        <row r="1718">
          <cell r="A1718">
            <v>3400004429</v>
          </cell>
          <cell r="B1718">
            <v>6800</v>
          </cell>
          <cell r="C1718">
            <v>61158</v>
          </cell>
          <cell r="D1718">
            <v>0</v>
          </cell>
          <cell r="E1718" t="str">
            <v>EUROSTAR Z.75 VACCUM CLEANER</v>
          </cell>
          <cell r="F1718">
            <v>1</v>
          </cell>
          <cell r="G1718">
            <v>35339</v>
          </cell>
          <cell r="H1718">
            <v>4400</v>
          </cell>
        </row>
        <row r="1719">
          <cell r="A1719">
            <v>3400004448</v>
          </cell>
          <cell r="B1719">
            <v>6800</v>
          </cell>
          <cell r="C1719">
            <v>61159</v>
          </cell>
          <cell r="D1719">
            <v>0</v>
          </cell>
          <cell r="E1719" t="str">
            <v>HP DESKJET PORTABLE PRINTER</v>
          </cell>
          <cell r="F1719">
            <v>1</v>
          </cell>
          <cell r="G1719">
            <v>35339</v>
          </cell>
          <cell r="H1719">
            <v>4400</v>
          </cell>
        </row>
        <row r="1720">
          <cell r="A1720">
            <v>3400004489</v>
          </cell>
          <cell r="B1720">
            <v>6800</v>
          </cell>
          <cell r="C1720">
            <v>61154</v>
          </cell>
          <cell r="D1720">
            <v>0</v>
          </cell>
          <cell r="E1720" t="str">
            <v>INFRES DOCUMENT SHREDDER SL NO 3721</v>
          </cell>
          <cell r="F1720">
            <v>1</v>
          </cell>
          <cell r="G1720">
            <v>35339</v>
          </cell>
          <cell r="H1720">
            <v>6900</v>
          </cell>
        </row>
        <row r="1721">
          <cell r="A1721">
            <v>3400004492</v>
          </cell>
          <cell r="B1721">
            <v>6800</v>
          </cell>
          <cell r="C1721">
            <v>61203</v>
          </cell>
          <cell r="D1721">
            <v>0</v>
          </cell>
          <cell r="E1721" t="str">
            <v>EUROSTAR ZW-40 VACCUM CLEANER</v>
          </cell>
          <cell r="F1721">
            <v>1</v>
          </cell>
          <cell r="G1721">
            <v>35339</v>
          </cell>
          <cell r="H1721">
            <v>8000</v>
          </cell>
        </row>
        <row r="1722">
          <cell r="A1722">
            <v>3400004520</v>
          </cell>
          <cell r="B1722">
            <v>6800</v>
          </cell>
          <cell r="C1722">
            <v>61162</v>
          </cell>
          <cell r="D1722">
            <v>0</v>
          </cell>
          <cell r="E1722" t="str">
            <v>INFRES SHREDIT ELECTRONIC SHREEDDER 6303</v>
          </cell>
          <cell r="F1722">
            <v>1</v>
          </cell>
          <cell r="G1722">
            <v>35339</v>
          </cell>
          <cell r="H1722">
            <v>21800</v>
          </cell>
        </row>
        <row r="1723">
          <cell r="A1723">
            <v>3400003816</v>
          </cell>
          <cell r="B1723">
            <v>6800</v>
          </cell>
          <cell r="C1723">
            <v>61160</v>
          </cell>
          <cell r="D1723">
            <v>0</v>
          </cell>
          <cell r="E1723" t="str">
            <v>HP DESKJET 200 PRINTER (SL MY6A71C125)</v>
          </cell>
          <cell r="F1723">
            <v>1</v>
          </cell>
          <cell r="G1723">
            <v>35557</v>
          </cell>
          <cell r="H1723">
            <v>7800</v>
          </cell>
        </row>
        <row r="1724">
          <cell r="A1724">
            <v>3400003814</v>
          </cell>
          <cell r="B1724">
            <v>6800</v>
          </cell>
          <cell r="C1724">
            <v>61161</v>
          </cell>
          <cell r="D1724">
            <v>0</v>
          </cell>
          <cell r="E1724" t="str">
            <v>HP DJ 670C PRINTER</v>
          </cell>
          <cell r="F1724">
            <v>1</v>
          </cell>
          <cell r="G1724">
            <v>35625</v>
          </cell>
          <cell r="H1724">
            <v>10200</v>
          </cell>
        </row>
        <row r="1725">
          <cell r="A1725">
            <v>3400003751</v>
          </cell>
          <cell r="B1725">
            <v>6800</v>
          </cell>
          <cell r="C1725">
            <v>61160</v>
          </cell>
          <cell r="D1725">
            <v>0</v>
          </cell>
          <cell r="E1725" t="str">
            <v>GODREJ FAX MACHINES PJ5 WITH CORDLESS TE</v>
          </cell>
          <cell r="F1725">
            <v>1</v>
          </cell>
          <cell r="G1725">
            <v>35479</v>
          </cell>
          <cell r="H1725">
            <v>30758.5</v>
          </cell>
        </row>
        <row r="1726">
          <cell r="A1726">
            <v>3400003767</v>
          </cell>
          <cell r="B1726">
            <v>6800</v>
          </cell>
          <cell r="C1726">
            <v>61203</v>
          </cell>
          <cell r="D1726">
            <v>0</v>
          </cell>
          <cell r="E1726" t="str">
            <v>BPL VCR &amp; MICROWAVE OVEN -ATANU MUKHERJE</v>
          </cell>
          <cell r="F1726">
            <v>1</v>
          </cell>
          <cell r="G1726">
            <v>35509</v>
          </cell>
          <cell r="H1726">
            <v>28500</v>
          </cell>
        </row>
        <row r="1727">
          <cell r="A1727">
            <v>3400003768</v>
          </cell>
          <cell r="B1727">
            <v>6800</v>
          </cell>
          <cell r="C1727">
            <v>61203</v>
          </cell>
          <cell r="D1727">
            <v>0</v>
          </cell>
          <cell r="E1727" t="str">
            <v>BPL REFRIGERATOR -ATANU MUKHERJEE</v>
          </cell>
          <cell r="F1727">
            <v>1</v>
          </cell>
          <cell r="G1727">
            <v>35509</v>
          </cell>
          <cell r="H1727">
            <v>19500</v>
          </cell>
        </row>
        <row r="1728">
          <cell r="A1728">
            <v>3400002474</v>
          </cell>
          <cell r="B1728">
            <v>6801</v>
          </cell>
          <cell r="C1728">
            <v>61161</v>
          </cell>
          <cell r="D1728">
            <v>0</v>
          </cell>
          <cell r="E1728" t="str">
            <v>WATER COLLER</v>
          </cell>
          <cell r="F1728">
            <v>1</v>
          </cell>
          <cell r="G1728">
            <v>35339</v>
          </cell>
          <cell r="H1728">
            <v>11200</v>
          </cell>
        </row>
        <row r="1729">
          <cell r="A1729">
            <v>3400002478</v>
          </cell>
          <cell r="B1729">
            <v>6801</v>
          </cell>
          <cell r="C1729">
            <v>61203</v>
          </cell>
          <cell r="D1729">
            <v>0</v>
          </cell>
          <cell r="E1729" t="str">
            <v>WHITE MATT BOARD</v>
          </cell>
          <cell r="F1729">
            <v>1</v>
          </cell>
          <cell r="G1729">
            <v>35339</v>
          </cell>
          <cell r="H1729">
            <v>8100</v>
          </cell>
        </row>
        <row r="1730">
          <cell r="A1730">
            <v>3400002479</v>
          </cell>
          <cell r="B1730">
            <v>6801</v>
          </cell>
          <cell r="C1730">
            <v>61161</v>
          </cell>
          <cell r="D1730">
            <v>0</v>
          </cell>
          <cell r="E1730" t="str">
            <v>WIPE OFF BOARD WITH ACCESSORIES</v>
          </cell>
          <cell r="F1730">
            <v>1</v>
          </cell>
          <cell r="G1730">
            <v>35339</v>
          </cell>
          <cell r="H1730">
            <v>5100</v>
          </cell>
        </row>
        <row r="1731">
          <cell r="A1731">
            <v>3400002482</v>
          </cell>
          <cell r="B1731">
            <v>6801</v>
          </cell>
          <cell r="C1731">
            <v>61206</v>
          </cell>
          <cell r="D1731">
            <v>0</v>
          </cell>
          <cell r="E1731" t="str">
            <v>WOODEN CHAMBER WITH GLASS WOOL</v>
          </cell>
          <cell r="F1731">
            <v>1</v>
          </cell>
          <cell r="G1731">
            <v>35339</v>
          </cell>
          <cell r="H1731">
            <v>64800</v>
          </cell>
        </row>
        <row r="1732">
          <cell r="A1732">
            <v>3400002483</v>
          </cell>
          <cell r="B1732">
            <v>6801</v>
          </cell>
          <cell r="C1732">
            <v>61162</v>
          </cell>
          <cell r="D1732">
            <v>0</v>
          </cell>
          <cell r="E1732" t="str">
            <v>WOODEN CUP BOARD</v>
          </cell>
          <cell r="F1732">
            <v>1</v>
          </cell>
          <cell r="G1732">
            <v>35339</v>
          </cell>
          <cell r="H1732">
            <v>5100</v>
          </cell>
        </row>
        <row r="1733">
          <cell r="A1733">
            <v>3400002484</v>
          </cell>
          <cell r="B1733">
            <v>6801</v>
          </cell>
          <cell r="C1733">
            <v>61206</v>
          </cell>
          <cell r="D1733">
            <v>0</v>
          </cell>
          <cell r="E1733" t="str">
            <v>WOODEN FILE CABINET</v>
          </cell>
          <cell r="F1733">
            <v>1</v>
          </cell>
          <cell r="G1733">
            <v>35339</v>
          </cell>
          <cell r="H1733">
            <v>31900</v>
          </cell>
        </row>
        <row r="1734">
          <cell r="A1734">
            <v>3400002487</v>
          </cell>
          <cell r="B1734">
            <v>6801</v>
          </cell>
          <cell r="C1734">
            <v>61200</v>
          </cell>
          <cell r="D1734">
            <v>0</v>
          </cell>
          <cell r="E1734" t="str">
            <v>WOODEN PARTITION WITH DOORS</v>
          </cell>
          <cell r="F1734">
            <v>1</v>
          </cell>
          <cell r="G1734">
            <v>35339</v>
          </cell>
          <cell r="H1734">
            <v>85300</v>
          </cell>
        </row>
        <row r="1735">
          <cell r="A1735">
            <v>3400002488</v>
          </cell>
          <cell r="B1735">
            <v>6801</v>
          </cell>
          <cell r="C1735">
            <v>61206</v>
          </cell>
          <cell r="D1735">
            <v>0</v>
          </cell>
          <cell r="E1735" t="str">
            <v>WOODEN STRUCTURED ALUMINIUM ALMIRAH</v>
          </cell>
          <cell r="F1735">
            <v>1</v>
          </cell>
          <cell r="G1735">
            <v>35339</v>
          </cell>
          <cell r="H1735">
            <v>8500</v>
          </cell>
        </row>
        <row r="1736">
          <cell r="A1736">
            <v>3400002489</v>
          </cell>
          <cell r="B1736">
            <v>6801</v>
          </cell>
          <cell r="C1736">
            <v>61206</v>
          </cell>
          <cell r="D1736">
            <v>0</v>
          </cell>
          <cell r="E1736" t="str">
            <v>WOODEN STRUCTURED ALUMINIUM ALMIRAH</v>
          </cell>
          <cell r="F1736">
            <v>1</v>
          </cell>
          <cell r="G1736">
            <v>35339</v>
          </cell>
          <cell r="H1736">
            <v>5700</v>
          </cell>
        </row>
        <row r="1737">
          <cell r="A1737">
            <v>3400002490</v>
          </cell>
          <cell r="B1737">
            <v>6801</v>
          </cell>
          <cell r="C1737">
            <v>61206</v>
          </cell>
          <cell r="D1737">
            <v>0</v>
          </cell>
          <cell r="E1737" t="str">
            <v>WORK STATION</v>
          </cell>
          <cell r="F1737">
            <v>1</v>
          </cell>
          <cell r="G1737">
            <v>35339</v>
          </cell>
          <cell r="H1737">
            <v>5100</v>
          </cell>
        </row>
        <row r="1738">
          <cell r="A1738">
            <v>3400002495</v>
          </cell>
          <cell r="B1738">
            <v>6801</v>
          </cell>
          <cell r="C1738">
            <v>61162</v>
          </cell>
          <cell r="D1738">
            <v>0</v>
          </cell>
          <cell r="E1738" t="str">
            <v>WORK MANAGER'S CUBICLE</v>
          </cell>
          <cell r="F1738">
            <v>1</v>
          </cell>
          <cell r="G1738">
            <v>35339</v>
          </cell>
          <cell r="H1738">
            <v>30900</v>
          </cell>
        </row>
        <row r="1739">
          <cell r="A1739">
            <v>3400002497</v>
          </cell>
          <cell r="B1739">
            <v>6801</v>
          </cell>
          <cell r="C1739">
            <v>61203</v>
          </cell>
          <cell r="D1739">
            <v>0</v>
          </cell>
          <cell r="E1739" t="str">
            <v>XEROX MACHINE</v>
          </cell>
          <cell r="F1739">
            <v>1</v>
          </cell>
          <cell r="G1739">
            <v>35339</v>
          </cell>
          <cell r="H1739">
            <v>68000</v>
          </cell>
        </row>
        <row r="1740">
          <cell r="A1740">
            <v>3400002499</v>
          </cell>
          <cell r="B1740">
            <v>6801</v>
          </cell>
          <cell r="C1740">
            <v>61201</v>
          </cell>
          <cell r="D1740">
            <v>0</v>
          </cell>
          <cell r="E1740" t="str">
            <v>STENO TABLE WITH SIDE UNIT</v>
          </cell>
          <cell r="F1740">
            <v>1</v>
          </cell>
          <cell r="G1740">
            <v>35339</v>
          </cell>
          <cell r="H1740">
            <v>5000</v>
          </cell>
        </row>
        <row r="1741">
          <cell r="A1741">
            <v>3400002500</v>
          </cell>
          <cell r="B1741">
            <v>6801</v>
          </cell>
          <cell r="C1741">
            <v>61159</v>
          </cell>
          <cell r="D1741">
            <v>0</v>
          </cell>
          <cell r="E1741" t="str">
            <v>STENO TABLE WITH SIDE UNIT</v>
          </cell>
          <cell r="F1741">
            <v>1</v>
          </cell>
          <cell r="G1741">
            <v>35339</v>
          </cell>
          <cell r="H1741">
            <v>4500</v>
          </cell>
        </row>
        <row r="1742">
          <cell r="A1742">
            <v>3400002502</v>
          </cell>
          <cell r="B1742">
            <v>6801</v>
          </cell>
          <cell r="C1742">
            <v>61206</v>
          </cell>
          <cell r="D1742">
            <v>0</v>
          </cell>
          <cell r="E1742" t="str">
            <v>STUDU TABLE</v>
          </cell>
          <cell r="F1742">
            <v>1</v>
          </cell>
          <cell r="G1742">
            <v>35339</v>
          </cell>
          <cell r="H1742">
            <v>5000</v>
          </cell>
        </row>
        <row r="1743">
          <cell r="A1743">
            <v>3400002507</v>
          </cell>
          <cell r="B1743">
            <v>6801</v>
          </cell>
          <cell r="C1743">
            <v>61161</v>
          </cell>
          <cell r="D1743">
            <v>0</v>
          </cell>
          <cell r="E1743" t="str">
            <v>TABLES CANTEEN</v>
          </cell>
          <cell r="F1743">
            <v>1</v>
          </cell>
          <cell r="G1743">
            <v>35339</v>
          </cell>
          <cell r="H1743">
            <v>7600</v>
          </cell>
        </row>
        <row r="1744">
          <cell r="A1744">
            <v>3400002513</v>
          </cell>
          <cell r="B1744">
            <v>6801</v>
          </cell>
          <cell r="C1744">
            <v>61206</v>
          </cell>
          <cell r="D1744">
            <v>0</v>
          </cell>
          <cell r="E1744" t="str">
            <v>TWO SEATER TUB WITH SEATING ARRANGEMENT</v>
          </cell>
          <cell r="F1744">
            <v>1</v>
          </cell>
          <cell r="G1744">
            <v>35339</v>
          </cell>
          <cell r="H1744">
            <v>5100</v>
          </cell>
        </row>
        <row r="1745">
          <cell r="A1745">
            <v>3400002514</v>
          </cell>
          <cell r="B1745">
            <v>6801</v>
          </cell>
          <cell r="C1745">
            <v>61159</v>
          </cell>
          <cell r="D1745">
            <v>0</v>
          </cell>
          <cell r="E1745" t="str">
            <v>TYPEWRITER MANUAL REMINGTON</v>
          </cell>
          <cell r="F1745">
            <v>1</v>
          </cell>
          <cell r="G1745">
            <v>35339</v>
          </cell>
          <cell r="H1745">
            <v>8800</v>
          </cell>
        </row>
        <row r="1746">
          <cell r="A1746">
            <v>3400002517</v>
          </cell>
          <cell r="B1746">
            <v>6801</v>
          </cell>
          <cell r="C1746">
            <v>61161</v>
          </cell>
          <cell r="D1746">
            <v>0</v>
          </cell>
          <cell r="E1746" t="str">
            <v>VENUS 50LTS WATER HEATER</v>
          </cell>
          <cell r="F1746">
            <v>1</v>
          </cell>
          <cell r="G1746">
            <v>35339</v>
          </cell>
          <cell r="H1746">
            <v>5600</v>
          </cell>
        </row>
        <row r="1747">
          <cell r="A1747">
            <v>3400002522</v>
          </cell>
          <cell r="B1747">
            <v>6801</v>
          </cell>
          <cell r="C1747">
            <v>61162</v>
          </cell>
          <cell r="D1747">
            <v>0</v>
          </cell>
          <cell r="E1747" t="str">
            <v>WALL CABINET</v>
          </cell>
          <cell r="F1747">
            <v>1</v>
          </cell>
          <cell r="G1747">
            <v>35339</v>
          </cell>
          <cell r="H1747">
            <v>7800</v>
          </cell>
        </row>
        <row r="1748">
          <cell r="A1748">
            <v>3400002524</v>
          </cell>
          <cell r="B1748">
            <v>6801</v>
          </cell>
          <cell r="C1748">
            <v>61161</v>
          </cell>
          <cell r="D1748">
            <v>0</v>
          </cell>
          <cell r="E1748" t="str">
            <v>WASHING MACHINE</v>
          </cell>
          <cell r="F1748">
            <v>1</v>
          </cell>
          <cell r="G1748">
            <v>35339</v>
          </cell>
          <cell r="H1748">
            <v>16600</v>
          </cell>
        </row>
        <row r="1749">
          <cell r="A1749">
            <v>3400002526</v>
          </cell>
          <cell r="B1749">
            <v>6801</v>
          </cell>
          <cell r="C1749">
            <v>61206</v>
          </cell>
          <cell r="D1749">
            <v>0</v>
          </cell>
          <cell r="E1749" t="str">
            <v>SECRETARIAT TABLE</v>
          </cell>
          <cell r="F1749">
            <v>1</v>
          </cell>
          <cell r="G1749">
            <v>35339</v>
          </cell>
          <cell r="H1749">
            <v>5100</v>
          </cell>
        </row>
        <row r="1750">
          <cell r="A1750">
            <v>3400002527</v>
          </cell>
          <cell r="B1750">
            <v>6801</v>
          </cell>
          <cell r="C1750">
            <v>61206</v>
          </cell>
          <cell r="D1750">
            <v>0</v>
          </cell>
          <cell r="E1750" t="str">
            <v>SECRETARIAT TABLE</v>
          </cell>
          <cell r="F1750">
            <v>1</v>
          </cell>
          <cell r="G1750">
            <v>35339</v>
          </cell>
          <cell r="H1750">
            <v>5100</v>
          </cell>
        </row>
        <row r="1751">
          <cell r="A1751">
            <v>3400002528</v>
          </cell>
          <cell r="B1751">
            <v>6801</v>
          </cell>
          <cell r="C1751">
            <v>61151</v>
          </cell>
          <cell r="D1751">
            <v>0</v>
          </cell>
          <cell r="E1751" t="str">
            <v>SERVO VOLTAGE STABILISER</v>
          </cell>
          <cell r="F1751">
            <v>1</v>
          </cell>
          <cell r="G1751">
            <v>35339</v>
          </cell>
          <cell r="H1751">
            <v>5900</v>
          </cell>
        </row>
        <row r="1752">
          <cell r="A1752">
            <v>3400002540</v>
          </cell>
          <cell r="B1752">
            <v>6801</v>
          </cell>
          <cell r="C1752">
            <v>61101</v>
          </cell>
          <cell r="D1752">
            <v>0</v>
          </cell>
          <cell r="E1752" t="str">
            <v>STEEL ALMIRAH</v>
          </cell>
          <cell r="F1752">
            <v>1</v>
          </cell>
          <cell r="G1752">
            <v>35339</v>
          </cell>
          <cell r="H1752">
            <v>6900</v>
          </cell>
        </row>
        <row r="1753">
          <cell r="A1753">
            <v>3400002541</v>
          </cell>
          <cell r="B1753">
            <v>6801</v>
          </cell>
          <cell r="C1753">
            <v>61206</v>
          </cell>
          <cell r="D1753">
            <v>0</v>
          </cell>
          <cell r="E1753" t="str">
            <v>STEEL ALMIRAH</v>
          </cell>
          <cell r="F1753">
            <v>1</v>
          </cell>
          <cell r="G1753">
            <v>35339</v>
          </cell>
          <cell r="H1753">
            <v>4900</v>
          </cell>
        </row>
        <row r="1754">
          <cell r="A1754">
            <v>3400002542</v>
          </cell>
          <cell r="B1754">
            <v>6801</v>
          </cell>
          <cell r="C1754">
            <v>61101</v>
          </cell>
          <cell r="D1754">
            <v>0</v>
          </cell>
          <cell r="E1754" t="str">
            <v>STEEL ALMIRAH</v>
          </cell>
          <cell r="F1754">
            <v>1</v>
          </cell>
          <cell r="G1754">
            <v>35339</v>
          </cell>
          <cell r="H1754">
            <v>6900</v>
          </cell>
        </row>
        <row r="1755">
          <cell r="A1755">
            <v>3400002543</v>
          </cell>
          <cell r="B1755">
            <v>6801</v>
          </cell>
          <cell r="C1755">
            <v>61112</v>
          </cell>
          <cell r="D1755">
            <v>0</v>
          </cell>
          <cell r="E1755" t="str">
            <v>STEEL ALMIRAH</v>
          </cell>
          <cell r="F1755">
            <v>1</v>
          </cell>
          <cell r="G1755">
            <v>35339</v>
          </cell>
          <cell r="H1755">
            <v>6600</v>
          </cell>
        </row>
        <row r="1756">
          <cell r="A1756">
            <v>3400002544</v>
          </cell>
          <cell r="B1756">
            <v>6801</v>
          </cell>
          <cell r="C1756">
            <v>61112</v>
          </cell>
          <cell r="D1756">
            <v>0</v>
          </cell>
          <cell r="E1756" t="str">
            <v>STEEL ALMIRAH</v>
          </cell>
          <cell r="F1756">
            <v>1</v>
          </cell>
          <cell r="G1756">
            <v>35339</v>
          </cell>
          <cell r="H1756">
            <v>6600</v>
          </cell>
        </row>
        <row r="1757">
          <cell r="A1757">
            <v>3400002545</v>
          </cell>
          <cell r="B1757">
            <v>6801</v>
          </cell>
          <cell r="C1757">
            <v>61112</v>
          </cell>
          <cell r="D1757">
            <v>0</v>
          </cell>
          <cell r="E1757" t="str">
            <v>STEEL ALMIRAH</v>
          </cell>
          <cell r="F1757">
            <v>1</v>
          </cell>
          <cell r="G1757">
            <v>35339</v>
          </cell>
          <cell r="H1757">
            <v>6600</v>
          </cell>
        </row>
        <row r="1758">
          <cell r="A1758">
            <v>3400002546</v>
          </cell>
          <cell r="B1758">
            <v>6801</v>
          </cell>
          <cell r="C1758">
            <v>61112</v>
          </cell>
          <cell r="D1758">
            <v>0</v>
          </cell>
          <cell r="E1758" t="str">
            <v>STEEL ALMIRAH</v>
          </cell>
          <cell r="F1758">
            <v>1</v>
          </cell>
          <cell r="G1758">
            <v>35339</v>
          </cell>
          <cell r="H1758">
            <v>5300</v>
          </cell>
        </row>
        <row r="1759">
          <cell r="A1759">
            <v>3400002547</v>
          </cell>
          <cell r="B1759">
            <v>6801</v>
          </cell>
          <cell r="C1759">
            <v>61206</v>
          </cell>
          <cell r="D1759">
            <v>0</v>
          </cell>
          <cell r="E1759" t="str">
            <v>STEEL ALMIRAH</v>
          </cell>
          <cell r="F1759">
            <v>1</v>
          </cell>
          <cell r="G1759">
            <v>35339</v>
          </cell>
          <cell r="H1759">
            <v>4800</v>
          </cell>
        </row>
        <row r="1760">
          <cell r="A1760">
            <v>3400002548</v>
          </cell>
          <cell r="B1760">
            <v>6801</v>
          </cell>
          <cell r="C1760">
            <v>61161</v>
          </cell>
          <cell r="D1760">
            <v>0</v>
          </cell>
          <cell r="E1760" t="str">
            <v>STEEL ALMIRAH WITH LOCKERS</v>
          </cell>
          <cell r="F1760">
            <v>1</v>
          </cell>
          <cell r="G1760">
            <v>35339</v>
          </cell>
          <cell r="H1760">
            <v>5100</v>
          </cell>
        </row>
        <row r="1761">
          <cell r="A1761">
            <v>3400002549</v>
          </cell>
          <cell r="B1761">
            <v>6801</v>
          </cell>
          <cell r="C1761">
            <v>61161</v>
          </cell>
          <cell r="D1761">
            <v>0</v>
          </cell>
          <cell r="E1761" t="str">
            <v>STEEL ALMIRAH WITH LOCKERS</v>
          </cell>
          <cell r="F1761">
            <v>1</v>
          </cell>
          <cell r="G1761">
            <v>35339</v>
          </cell>
          <cell r="H1761">
            <v>5100</v>
          </cell>
        </row>
        <row r="1762">
          <cell r="A1762">
            <v>3400002551</v>
          </cell>
          <cell r="B1762">
            <v>6801</v>
          </cell>
          <cell r="C1762">
            <v>61161</v>
          </cell>
          <cell r="D1762">
            <v>0</v>
          </cell>
          <cell r="E1762" t="str">
            <v>STEEL ALMIRAHS WITH 6 LOCKERS</v>
          </cell>
          <cell r="F1762">
            <v>1</v>
          </cell>
          <cell r="G1762">
            <v>35339</v>
          </cell>
          <cell r="H1762">
            <v>5100</v>
          </cell>
        </row>
        <row r="1763">
          <cell r="A1763">
            <v>3400002552</v>
          </cell>
          <cell r="B1763">
            <v>6801</v>
          </cell>
          <cell r="C1763">
            <v>61161</v>
          </cell>
          <cell r="D1763">
            <v>0</v>
          </cell>
          <cell r="E1763" t="str">
            <v>STEEL ALMIRAHS WITH 6 LOCKERS</v>
          </cell>
          <cell r="F1763">
            <v>1</v>
          </cell>
          <cell r="G1763">
            <v>35339</v>
          </cell>
          <cell r="H1763">
            <v>5100</v>
          </cell>
        </row>
        <row r="1764">
          <cell r="A1764">
            <v>3400002553</v>
          </cell>
          <cell r="B1764">
            <v>6801</v>
          </cell>
          <cell r="C1764">
            <v>61161</v>
          </cell>
          <cell r="D1764">
            <v>0</v>
          </cell>
          <cell r="E1764" t="str">
            <v>STEEL ALMIRAHS WITH 6 LOCKERS</v>
          </cell>
          <cell r="F1764">
            <v>1</v>
          </cell>
          <cell r="G1764">
            <v>35339</v>
          </cell>
          <cell r="H1764">
            <v>5100</v>
          </cell>
        </row>
        <row r="1765">
          <cell r="A1765">
            <v>3400002554</v>
          </cell>
          <cell r="B1765">
            <v>6801</v>
          </cell>
          <cell r="C1765">
            <v>61161</v>
          </cell>
          <cell r="D1765">
            <v>0</v>
          </cell>
          <cell r="E1765" t="str">
            <v>STEEL ALMIRAHS WITH 6 LOCKERS</v>
          </cell>
          <cell r="F1765">
            <v>1</v>
          </cell>
          <cell r="G1765">
            <v>35339</v>
          </cell>
          <cell r="H1765">
            <v>5000</v>
          </cell>
        </row>
        <row r="1766">
          <cell r="A1766">
            <v>3400002555</v>
          </cell>
          <cell r="B1766">
            <v>6801</v>
          </cell>
          <cell r="C1766">
            <v>61161</v>
          </cell>
          <cell r="D1766">
            <v>0</v>
          </cell>
          <cell r="E1766" t="str">
            <v>STEEL ALMIRAHS WITH 6 LOCKERS</v>
          </cell>
          <cell r="F1766">
            <v>1</v>
          </cell>
          <cell r="G1766">
            <v>35339</v>
          </cell>
          <cell r="H1766">
            <v>5000</v>
          </cell>
        </row>
        <row r="1767">
          <cell r="A1767">
            <v>3400002564</v>
          </cell>
          <cell r="B1767">
            <v>6801</v>
          </cell>
          <cell r="C1767">
            <v>61206</v>
          </cell>
          <cell r="D1767">
            <v>0</v>
          </cell>
          <cell r="E1767" t="str">
            <v>OFFICER TABLE WITH DECOLAH TOP</v>
          </cell>
          <cell r="F1767">
            <v>1</v>
          </cell>
          <cell r="G1767">
            <v>35339</v>
          </cell>
          <cell r="H1767">
            <v>5500</v>
          </cell>
        </row>
        <row r="1768">
          <cell r="A1768">
            <v>3400002568</v>
          </cell>
          <cell r="B1768">
            <v>6801</v>
          </cell>
          <cell r="C1768">
            <v>61155</v>
          </cell>
          <cell r="D1768">
            <v>0</v>
          </cell>
          <cell r="E1768" t="str">
            <v>PCAT SYSTEM</v>
          </cell>
          <cell r="F1768">
            <v>1</v>
          </cell>
          <cell r="G1768">
            <v>35339</v>
          </cell>
          <cell r="H1768">
            <v>24400</v>
          </cell>
        </row>
        <row r="1769">
          <cell r="A1769">
            <v>3400002569</v>
          </cell>
          <cell r="B1769">
            <v>6801</v>
          </cell>
          <cell r="C1769">
            <v>61208</v>
          </cell>
          <cell r="D1769">
            <v>0</v>
          </cell>
          <cell r="E1769" t="str">
            <v>PC XT SYSTEM</v>
          </cell>
          <cell r="F1769">
            <v>1</v>
          </cell>
          <cell r="G1769">
            <v>35339</v>
          </cell>
          <cell r="H1769">
            <v>17700</v>
          </cell>
        </row>
        <row r="1770">
          <cell r="A1770">
            <v>3400002570</v>
          </cell>
          <cell r="B1770">
            <v>6801</v>
          </cell>
          <cell r="C1770">
            <v>61159</v>
          </cell>
          <cell r="D1770">
            <v>0</v>
          </cell>
          <cell r="E1770" t="str">
            <v>PC 286</v>
          </cell>
          <cell r="F1770">
            <v>1</v>
          </cell>
          <cell r="G1770">
            <v>35339</v>
          </cell>
          <cell r="H1770">
            <v>9200</v>
          </cell>
        </row>
        <row r="1771">
          <cell r="A1771">
            <v>3400002571</v>
          </cell>
          <cell r="B1771">
            <v>6801</v>
          </cell>
          <cell r="C1771">
            <v>61160</v>
          </cell>
          <cell r="D1771">
            <v>0</v>
          </cell>
          <cell r="E1771" t="str">
            <v>PC AT 286</v>
          </cell>
          <cell r="F1771">
            <v>1</v>
          </cell>
          <cell r="G1771">
            <v>35339</v>
          </cell>
          <cell r="H1771">
            <v>38100</v>
          </cell>
        </row>
        <row r="1772">
          <cell r="A1772">
            <v>3400002572</v>
          </cell>
          <cell r="B1772">
            <v>6801</v>
          </cell>
          <cell r="C1772">
            <v>61100</v>
          </cell>
          <cell r="D1772">
            <v>0</v>
          </cell>
          <cell r="E1772" t="str">
            <v>PC AT 386DX</v>
          </cell>
          <cell r="F1772">
            <v>1</v>
          </cell>
          <cell r="G1772">
            <v>35339</v>
          </cell>
          <cell r="H1772">
            <v>53800</v>
          </cell>
        </row>
        <row r="1773">
          <cell r="A1773">
            <v>3400002573</v>
          </cell>
          <cell r="B1773">
            <v>6801</v>
          </cell>
          <cell r="C1773">
            <v>61155</v>
          </cell>
          <cell r="D1773">
            <v>0</v>
          </cell>
          <cell r="E1773" t="str">
            <v>PC AT 386DX</v>
          </cell>
          <cell r="F1773">
            <v>1</v>
          </cell>
          <cell r="G1773">
            <v>35339</v>
          </cell>
          <cell r="H1773">
            <v>49400</v>
          </cell>
        </row>
        <row r="1774">
          <cell r="A1774">
            <v>3400002574</v>
          </cell>
          <cell r="B1774">
            <v>6801</v>
          </cell>
          <cell r="C1774">
            <v>61154</v>
          </cell>
          <cell r="D1774">
            <v>0</v>
          </cell>
          <cell r="E1774" t="str">
            <v>PC AT 386DX</v>
          </cell>
          <cell r="F1774">
            <v>1</v>
          </cell>
          <cell r="G1774">
            <v>35339</v>
          </cell>
          <cell r="H1774">
            <v>49400</v>
          </cell>
        </row>
        <row r="1775">
          <cell r="A1775">
            <v>3400002575</v>
          </cell>
          <cell r="B1775">
            <v>6801</v>
          </cell>
          <cell r="C1775">
            <v>61160</v>
          </cell>
          <cell r="D1775">
            <v>0</v>
          </cell>
          <cell r="E1775" t="str">
            <v>PC AT 386DX</v>
          </cell>
          <cell r="F1775">
            <v>1</v>
          </cell>
          <cell r="G1775">
            <v>35339</v>
          </cell>
          <cell r="H1775">
            <v>49400</v>
          </cell>
        </row>
        <row r="1776">
          <cell r="A1776">
            <v>3400002576</v>
          </cell>
          <cell r="B1776">
            <v>6801</v>
          </cell>
          <cell r="C1776">
            <v>61155</v>
          </cell>
          <cell r="D1776">
            <v>0</v>
          </cell>
          <cell r="E1776" t="str">
            <v>PC AT 386 SX</v>
          </cell>
          <cell r="F1776">
            <v>1</v>
          </cell>
          <cell r="G1776">
            <v>35339</v>
          </cell>
          <cell r="H1776">
            <v>48000</v>
          </cell>
        </row>
        <row r="1777">
          <cell r="A1777">
            <v>3400002577</v>
          </cell>
          <cell r="B1777">
            <v>6801</v>
          </cell>
          <cell r="C1777">
            <v>61155</v>
          </cell>
          <cell r="D1777">
            <v>0</v>
          </cell>
          <cell r="E1777" t="str">
            <v>PC AT 386 SX</v>
          </cell>
          <cell r="F1777">
            <v>1</v>
          </cell>
          <cell r="G1777">
            <v>35339</v>
          </cell>
          <cell r="H1777">
            <v>40800</v>
          </cell>
        </row>
        <row r="1778">
          <cell r="A1778">
            <v>3400002578</v>
          </cell>
          <cell r="B1778">
            <v>6801</v>
          </cell>
          <cell r="C1778">
            <v>61155</v>
          </cell>
          <cell r="D1778">
            <v>0</v>
          </cell>
          <cell r="E1778" t="str">
            <v>PC AT 386SX WITH ACTIVE HUB</v>
          </cell>
          <cell r="F1778">
            <v>1</v>
          </cell>
          <cell r="G1778">
            <v>35339</v>
          </cell>
          <cell r="H1778">
            <v>46000</v>
          </cell>
        </row>
        <row r="1779">
          <cell r="A1779">
            <v>3400002579</v>
          </cell>
          <cell r="B1779">
            <v>6801</v>
          </cell>
          <cell r="C1779">
            <v>61155</v>
          </cell>
          <cell r="D1779">
            <v>0</v>
          </cell>
          <cell r="E1779" t="str">
            <v>PC AT 386SX WITH ACTIVE HUB</v>
          </cell>
          <cell r="F1779">
            <v>1</v>
          </cell>
          <cell r="G1779">
            <v>35339</v>
          </cell>
          <cell r="H1779">
            <v>46000</v>
          </cell>
        </row>
        <row r="1780">
          <cell r="A1780">
            <v>3400002582</v>
          </cell>
          <cell r="B1780">
            <v>6801</v>
          </cell>
          <cell r="C1780">
            <v>61161</v>
          </cell>
          <cell r="D1780">
            <v>0</v>
          </cell>
          <cell r="E1780" t="str">
            <v>PERSONAL COMPUTER</v>
          </cell>
          <cell r="F1780">
            <v>1</v>
          </cell>
          <cell r="G1780">
            <v>35339</v>
          </cell>
          <cell r="H1780">
            <v>11600</v>
          </cell>
        </row>
        <row r="1781">
          <cell r="A1781">
            <v>3400002585</v>
          </cell>
          <cell r="B1781">
            <v>6801</v>
          </cell>
          <cell r="C1781">
            <v>61150</v>
          </cell>
          <cell r="D1781">
            <v>0</v>
          </cell>
          <cell r="E1781" t="str">
            <v>PIGEON HOLE SLOTTED ANGLE STORAGE UNIT</v>
          </cell>
          <cell r="F1781">
            <v>1</v>
          </cell>
          <cell r="G1781">
            <v>35339</v>
          </cell>
          <cell r="H1781">
            <v>6600</v>
          </cell>
        </row>
        <row r="1782">
          <cell r="A1782">
            <v>3400002586</v>
          </cell>
          <cell r="B1782">
            <v>6801</v>
          </cell>
          <cell r="C1782">
            <v>61150</v>
          </cell>
          <cell r="D1782">
            <v>0</v>
          </cell>
          <cell r="E1782" t="str">
            <v>PIGEON HOLE SLOTTED ANGLE STORAGE UNIT</v>
          </cell>
          <cell r="F1782">
            <v>1</v>
          </cell>
          <cell r="G1782">
            <v>35339</v>
          </cell>
          <cell r="H1782">
            <v>6600</v>
          </cell>
        </row>
        <row r="1783">
          <cell r="A1783">
            <v>3400002587</v>
          </cell>
          <cell r="B1783">
            <v>6801</v>
          </cell>
          <cell r="C1783">
            <v>61150</v>
          </cell>
          <cell r="D1783">
            <v>0</v>
          </cell>
          <cell r="E1783" t="str">
            <v>PIGEON HOLE SLOTTED ANGLE STORAGE UNIT</v>
          </cell>
          <cell r="F1783">
            <v>1</v>
          </cell>
          <cell r="G1783">
            <v>35339</v>
          </cell>
          <cell r="H1783">
            <v>6600</v>
          </cell>
        </row>
        <row r="1784">
          <cell r="A1784">
            <v>3400002588</v>
          </cell>
          <cell r="B1784">
            <v>6801</v>
          </cell>
          <cell r="C1784">
            <v>61206</v>
          </cell>
          <cell r="D1784">
            <v>0</v>
          </cell>
          <cell r="E1784" t="str">
            <v>PLAN FILING CABINET</v>
          </cell>
          <cell r="F1784">
            <v>1</v>
          </cell>
          <cell r="G1784">
            <v>35339</v>
          </cell>
          <cell r="H1784">
            <v>4900</v>
          </cell>
        </row>
        <row r="1785">
          <cell r="A1785">
            <v>3400002590</v>
          </cell>
          <cell r="B1785">
            <v>6801</v>
          </cell>
          <cell r="C1785">
            <v>61203</v>
          </cell>
          <cell r="D1785">
            <v>0</v>
          </cell>
          <cell r="E1785" t="str">
            <v>PODIUM AT RECEPTION</v>
          </cell>
          <cell r="F1785">
            <v>1</v>
          </cell>
          <cell r="G1785">
            <v>35339</v>
          </cell>
          <cell r="H1785">
            <v>67800</v>
          </cell>
        </row>
        <row r="1786">
          <cell r="A1786">
            <v>3400002592</v>
          </cell>
          <cell r="B1786">
            <v>6801</v>
          </cell>
          <cell r="C1786">
            <v>61203</v>
          </cell>
          <cell r="D1786">
            <v>0</v>
          </cell>
          <cell r="E1786" t="str">
            <v>POSTAL WEIGHING MACHINE</v>
          </cell>
          <cell r="F1786">
            <v>1</v>
          </cell>
          <cell r="G1786">
            <v>35339</v>
          </cell>
          <cell r="H1786">
            <v>7400</v>
          </cell>
        </row>
        <row r="1787">
          <cell r="A1787">
            <v>3400002593</v>
          </cell>
          <cell r="B1787">
            <v>6801</v>
          </cell>
          <cell r="C1787">
            <v>61206</v>
          </cell>
          <cell r="D1787">
            <v>0</v>
          </cell>
          <cell r="E1787" t="str">
            <v>PRINTER STATION</v>
          </cell>
          <cell r="F1787">
            <v>1</v>
          </cell>
          <cell r="G1787">
            <v>35339</v>
          </cell>
          <cell r="H1787">
            <v>2200</v>
          </cell>
        </row>
        <row r="1788">
          <cell r="A1788">
            <v>3400002596</v>
          </cell>
          <cell r="B1788">
            <v>6801</v>
          </cell>
          <cell r="C1788">
            <v>61161</v>
          </cell>
          <cell r="D1788">
            <v>0</v>
          </cell>
          <cell r="E1788" t="str">
            <v>REFRIGERATOR</v>
          </cell>
          <cell r="F1788">
            <v>1</v>
          </cell>
          <cell r="G1788">
            <v>35339</v>
          </cell>
          <cell r="H1788">
            <v>8300</v>
          </cell>
        </row>
        <row r="1789">
          <cell r="A1789">
            <v>3400002598</v>
          </cell>
          <cell r="B1789">
            <v>6801</v>
          </cell>
          <cell r="C1789">
            <v>61159</v>
          </cell>
          <cell r="D1789">
            <v>0</v>
          </cell>
          <cell r="E1789" t="str">
            <v>SAFE MODEL 41 DEFENDER</v>
          </cell>
          <cell r="F1789">
            <v>1</v>
          </cell>
          <cell r="G1789">
            <v>35339</v>
          </cell>
          <cell r="H1789">
            <v>25100</v>
          </cell>
        </row>
        <row r="1790">
          <cell r="A1790">
            <v>3400002599</v>
          </cell>
          <cell r="B1790">
            <v>6801</v>
          </cell>
          <cell r="C1790">
            <v>61206</v>
          </cell>
          <cell r="D1790">
            <v>0</v>
          </cell>
          <cell r="E1790" t="str">
            <v>ISS CARD FOR RH32</v>
          </cell>
          <cell r="F1790">
            <v>1</v>
          </cell>
          <cell r="G1790">
            <v>35339</v>
          </cell>
          <cell r="H1790">
            <v>7600</v>
          </cell>
        </row>
        <row r="1791">
          <cell r="A1791">
            <v>3400002600</v>
          </cell>
          <cell r="B1791">
            <v>6801</v>
          </cell>
          <cell r="C1791">
            <v>61161</v>
          </cell>
          <cell r="D1791">
            <v>0</v>
          </cell>
          <cell r="E1791" t="str">
            <v>KELVINATOR REFRIGERATOR</v>
          </cell>
          <cell r="F1791">
            <v>1</v>
          </cell>
          <cell r="G1791">
            <v>35339</v>
          </cell>
          <cell r="H1791">
            <v>5700</v>
          </cell>
        </row>
        <row r="1792">
          <cell r="A1792">
            <v>3400002605</v>
          </cell>
          <cell r="B1792">
            <v>6801</v>
          </cell>
          <cell r="C1792">
            <v>61162</v>
          </cell>
          <cell r="D1792">
            <v>0</v>
          </cell>
          <cell r="E1792" t="str">
            <v>KITCHEN DESK</v>
          </cell>
          <cell r="F1792">
            <v>1</v>
          </cell>
          <cell r="G1792">
            <v>35339</v>
          </cell>
          <cell r="H1792">
            <v>6800</v>
          </cell>
        </row>
        <row r="1793">
          <cell r="A1793">
            <v>3400002606</v>
          </cell>
          <cell r="B1793">
            <v>6801</v>
          </cell>
          <cell r="C1793">
            <v>61162</v>
          </cell>
          <cell r="D1793">
            <v>0</v>
          </cell>
          <cell r="E1793" t="str">
            <v>KITCHEN SINK UNIT</v>
          </cell>
          <cell r="F1793">
            <v>1</v>
          </cell>
          <cell r="G1793">
            <v>35339</v>
          </cell>
          <cell r="H1793">
            <v>4900</v>
          </cell>
        </row>
        <row r="1794">
          <cell r="A1794">
            <v>3400002608</v>
          </cell>
          <cell r="B1794">
            <v>6801</v>
          </cell>
          <cell r="C1794">
            <v>61206</v>
          </cell>
          <cell r="D1794">
            <v>0</v>
          </cell>
          <cell r="E1794" t="str">
            <v>KTS CARD OR RH32</v>
          </cell>
          <cell r="F1794">
            <v>1</v>
          </cell>
          <cell r="G1794">
            <v>35339</v>
          </cell>
          <cell r="H1794">
            <v>6100</v>
          </cell>
        </row>
        <row r="1795">
          <cell r="A1795">
            <v>3400002609</v>
          </cell>
          <cell r="B1795">
            <v>6801</v>
          </cell>
          <cell r="C1795">
            <v>61159</v>
          </cell>
          <cell r="D1795">
            <v>0</v>
          </cell>
          <cell r="E1795" t="str">
            <v>L&amp;T DOT MATRIX PRINTER</v>
          </cell>
          <cell r="F1795">
            <v>1</v>
          </cell>
          <cell r="G1795">
            <v>35339</v>
          </cell>
          <cell r="H1795">
            <v>12200</v>
          </cell>
        </row>
        <row r="1796">
          <cell r="A1796">
            <v>3400002618</v>
          </cell>
          <cell r="B1796">
            <v>6801</v>
          </cell>
          <cell r="C1796">
            <v>61206</v>
          </cell>
          <cell r="D1796">
            <v>0</v>
          </cell>
          <cell r="E1796" t="str">
            <v>MS RACKS (THREE TIER)</v>
          </cell>
          <cell r="F1796">
            <v>1</v>
          </cell>
          <cell r="G1796">
            <v>35339</v>
          </cell>
          <cell r="H1796">
            <v>8300</v>
          </cell>
        </row>
        <row r="1797">
          <cell r="A1797">
            <v>3400002619</v>
          </cell>
          <cell r="B1797">
            <v>6801</v>
          </cell>
          <cell r="C1797">
            <v>61206</v>
          </cell>
          <cell r="D1797">
            <v>0</v>
          </cell>
          <cell r="E1797" t="str">
            <v>MS WELDED MOBILE RACK</v>
          </cell>
          <cell r="F1797">
            <v>1</v>
          </cell>
          <cell r="G1797">
            <v>35339</v>
          </cell>
          <cell r="H1797">
            <v>5600</v>
          </cell>
        </row>
        <row r="1798">
          <cell r="A1798">
            <v>3400002622</v>
          </cell>
          <cell r="B1798">
            <v>6801</v>
          </cell>
          <cell r="C1798">
            <v>61206</v>
          </cell>
          <cell r="D1798">
            <v>0</v>
          </cell>
          <cell r="E1798" t="str">
            <v>MANAGERS TABLE</v>
          </cell>
          <cell r="F1798">
            <v>1</v>
          </cell>
          <cell r="G1798">
            <v>35339</v>
          </cell>
          <cell r="H1798">
            <v>4400</v>
          </cell>
        </row>
        <row r="1799">
          <cell r="A1799">
            <v>3400002623</v>
          </cell>
          <cell r="B1799">
            <v>6801</v>
          </cell>
          <cell r="C1799">
            <v>61206</v>
          </cell>
          <cell r="D1799">
            <v>0</v>
          </cell>
          <cell r="E1799" t="str">
            <v>MANAGERS TABLE</v>
          </cell>
          <cell r="F1799">
            <v>1</v>
          </cell>
          <cell r="G1799">
            <v>35339</v>
          </cell>
          <cell r="H1799">
            <v>4500</v>
          </cell>
        </row>
        <row r="1800">
          <cell r="A1800">
            <v>3400002625</v>
          </cell>
          <cell r="B1800">
            <v>6801</v>
          </cell>
          <cell r="C1800">
            <v>61206</v>
          </cell>
          <cell r="D1800">
            <v>0</v>
          </cell>
          <cell r="E1800" t="str">
            <v>MICRO PROCESSOR BASED COMPUTER SYSTEM</v>
          </cell>
          <cell r="F1800">
            <v>1</v>
          </cell>
          <cell r="G1800">
            <v>35339</v>
          </cell>
          <cell r="H1800">
            <v>14400</v>
          </cell>
        </row>
        <row r="1801">
          <cell r="A1801">
            <v>3400002627</v>
          </cell>
          <cell r="B1801">
            <v>6801</v>
          </cell>
          <cell r="C1801">
            <v>61108</v>
          </cell>
          <cell r="D1801">
            <v>0</v>
          </cell>
          <cell r="E1801" t="str">
            <v>MS SHELF WITH WOODEN PLATFORM</v>
          </cell>
          <cell r="F1801">
            <v>1</v>
          </cell>
          <cell r="G1801">
            <v>35339</v>
          </cell>
          <cell r="H1801">
            <v>24500</v>
          </cell>
        </row>
        <row r="1802">
          <cell r="A1802">
            <v>3400002628</v>
          </cell>
          <cell r="B1802">
            <v>6801</v>
          </cell>
          <cell r="C1802">
            <v>61115</v>
          </cell>
          <cell r="D1802">
            <v>0</v>
          </cell>
          <cell r="E1802" t="str">
            <v>MOBILE STEP PLATFORM</v>
          </cell>
          <cell r="F1802">
            <v>1</v>
          </cell>
          <cell r="G1802">
            <v>35339</v>
          </cell>
          <cell r="H1802">
            <v>4500</v>
          </cell>
        </row>
        <row r="1803">
          <cell r="A1803">
            <v>3400002632</v>
          </cell>
          <cell r="B1803">
            <v>6801</v>
          </cell>
          <cell r="C1803">
            <v>61154</v>
          </cell>
          <cell r="D1803">
            <v>0</v>
          </cell>
          <cell r="E1803" t="str">
            <v>DESK JET PRINTER</v>
          </cell>
          <cell r="F1803">
            <v>1</v>
          </cell>
          <cell r="G1803">
            <v>35339</v>
          </cell>
          <cell r="H1803">
            <v>16600</v>
          </cell>
        </row>
        <row r="1804">
          <cell r="A1804">
            <v>3400002633</v>
          </cell>
          <cell r="B1804">
            <v>6801</v>
          </cell>
          <cell r="C1804">
            <v>61159</v>
          </cell>
          <cell r="D1804">
            <v>0</v>
          </cell>
          <cell r="E1804" t="str">
            <v>DOT MATRIX PRINTERS</v>
          </cell>
          <cell r="F1804">
            <v>1</v>
          </cell>
          <cell r="G1804">
            <v>35339</v>
          </cell>
          <cell r="H1804">
            <v>8000</v>
          </cell>
        </row>
        <row r="1805">
          <cell r="A1805">
            <v>3400002635</v>
          </cell>
          <cell r="B1805">
            <v>6801</v>
          </cell>
          <cell r="C1805">
            <v>61155</v>
          </cell>
          <cell r="D1805">
            <v>0</v>
          </cell>
          <cell r="E1805" t="str">
            <v>ELEC TYPEWRITER</v>
          </cell>
          <cell r="F1805">
            <v>1</v>
          </cell>
          <cell r="G1805">
            <v>35339</v>
          </cell>
          <cell r="H1805">
            <v>11800</v>
          </cell>
        </row>
        <row r="1806">
          <cell r="A1806">
            <v>3400002636</v>
          </cell>
          <cell r="B1806">
            <v>6801</v>
          </cell>
          <cell r="C1806">
            <v>61155</v>
          </cell>
          <cell r="D1806">
            <v>0</v>
          </cell>
          <cell r="E1806" t="str">
            <v>ELEC TYPEWRITER</v>
          </cell>
          <cell r="F1806">
            <v>1</v>
          </cell>
          <cell r="G1806">
            <v>35339</v>
          </cell>
          <cell r="H1806">
            <v>10600</v>
          </cell>
        </row>
        <row r="1807">
          <cell r="A1807">
            <v>3400002637</v>
          </cell>
          <cell r="B1807">
            <v>6801</v>
          </cell>
          <cell r="C1807">
            <v>61155</v>
          </cell>
          <cell r="D1807">
            <v>0</v>
          </cell>
          <cell r="E1807" t="str">
            <v>ELEC TYPEWRITER</v>
          </cell>
          <cell r="F1807">
            <v>1</v>
          </cell>
          <cell r="G1807">
            <v>35339</v>
          </cell>
          <cell r="H1807">
            <v>19600</v>
          </cell>
        </row>
        <row r="1808">
          <cell r="A1808">
            <v>3400002638</v>
          </cell>
          <cell r="B1808">
            <v>6801</v>
          </cell>
          <cell r="C1808">
            <v>61201</v>
          </cell>
          <cell r="D1808">
            <v>0</v>
          </cell>
          <cell r="E1808" t="str">
            <v>ELEC TYPEWRITER</v>
          </cell>
          <cell r="F1808">
            <v>1</v>
          </cell>
          <cell r="G1808">
            <v>35339</v>
          </cell>
          <cell r="H1808">
            <v>19300</v>
          </cell>
        </row>
        <row r="1809">
          <cell r="A1809">
            <v>3400002639</v>
          </cell>
          <cell r="B1809">
            <v>6801</v>
          </cell>
          <cell r="C1809">
            <v>61161</v>
          </cell>
          <cell r="D1809">
            <v>0</v>
          </cell>
          <cell r="E1809" t="str">
            <v>ELEC TYPEWRITER</v>
          </cell>
          <cell r="F1809">
            <v>1</v>
          </cell>
          <cell r="G1809">
            <v>35339</v>
          </cell>
          <cell r="H1809">
            <v>16700</v>
          </cell>
        </row>
        <row r="1810">
          <cell r="A1810">
            <v>3400002640</v>
          </cell>
          <cell r="B1810">
            <v>6801</v>
          </cell>
          <cell r="C1810">
            <v>61206</v>
          </cell>
          <cell r="D1810">
            <v>0</v>
          </cell>
          <cell r="E1810" t="str">
            <v>ELECTRONIC INVERTER</v>
          </cell>
          <cell r="F1810">
            <v>1</v>
          </cell>
          <cell r="G1810">
            <v>35339</v>
          </cell>
          <cell r="H1810">
            <v>1300</v>
          </cell>
        </row>
        <row r="1811">
          <cell r="A1811">
            <v>3400002642</v>
          </cell>
          <cell r="B1811">
            <v>6801</v>
          </cell>
          <cell r="C1811">
            <v>61203</v>
          </cell>
          <cell r="D1811">
            <v>0</v>
          </cell>
          <cell r="E1811" t="str">
            <v>EPABX RHAPSODY SYSTEM</v>
          </cell>
          <cell r="F1811">
            <v>1</v>
          </cell>
          <cell r="G1811">
            <v>35339</v>
          </cell>
          <cell r="H1811">
            <v>120200</v>
          </cell>
        </row>
        <row r="1812">
          <cell r="A1812">
            <v>3400002646</v>
          </cell>
          <cell r="B1812">
            <v>6801</v>
          </cell>
          <cell r="C1812">
            <v>61206</v>
          </cell>
          <cell r="D1812">
            <v>0</v>
          </cell>
          <cell r="E1812" t="str">
            <v>EXECUTIVE TABLE</v>
          </cell>
          <cell r="F1812">
            <v>1</v>
          </cell>
          <cell r="G1812">
            <v>35339</v>
          </cell>
          <cell r="H1812">
            <v>5200</v>
          </cell>
        </row>
        <row r="1813">
          <cell r="A1813">
            <v>3400002647</v>
          </cell>
          <cell r="B1813">
            <v>6801</v>
          </cell>
          <cell r="C1813">
            <v>61206</v>
          </cell>
          <cell r="D1813">
            <v>0</v>
          </cell>
          <cell r="E1813" t="str">
            <v>EXECUTIVE TABLE</v>
          </cell>
          <cell r="F1813">
            <v>1</v>
          </cell>
          <cell r="G1813">
            <v>35339</v>
          </cell>
          <cell r="H1813">
            <v>5200</v>
          </cell>
        </row>
        <row r="1814">
          <cell r="A1814">
            <v>3400002648</v>
          </cell>
          <cell r="B1814">
            <v>6801</v>
          </cell>
          <cell r="C1814">
            <v>61206</v>
          </cell>
          <cell r="D1814">
            <v>0</v>
          </cell>
          <cell r="E1814" t="str">
            <v>EXECUTIVE TABLE</v>
          </cell>
          <cell r="F1814">
            <v>1</v>
          </cell>
          <cell r="G1814">
            <v>35339</v>
          </cell>
          <cell r="H1814">
            <v>5200</v>
          </cell>
        </row>
        <row r="1815">
          <cell r="A1815">
            <v>3400002649</v>
          </cell>
          <cell r="B1815">
            <v>6801</v>
          </cell>
          <cell r="C1815">
            <v>61206</v>
          </cell>
          <cell r="D1815">
            <v>0</v>
          </cell>
          <cell r="E1815" t="str">
            <v>EXECUTIVE TABLE</v>
          </cell>
          <cell r="F1815">
            <v>1</v>
          </cell>
          <cell r="G1815">
            <v>35339</v>
          </cell>
          <cell r="H1815">
            <v>5200</v>
          </cell>
        </row>
        <row r="1816">
          <cell r="A1816">
            <v>3400002650</v>
          </cell>
          <cell r="B1816">
            <v>6801</v>
          </cell>
          <cell r="C1816">
            <v>61206</v>
          </cell>
          <cell r="D1816">
            <v>0</v>
          </cell>
          <cell r="E1816" t="str">
            <v>STEEL TABLE</v>
          </cell>
          <cell r="F1816">
            <v>1</v>
          </cell>
          <cell r="G1816">
            <v>35339</v>
          </cell>
          <cell r="H1816">
            <v>7400</v>
          </cell>
        </row>
        <row r="1817">
          <cell r="A1817">
            <v>3400002651</v>
          </cell>
          <cell r="B1817">
            <v>6801</v>
          </cell>
          <cell r="C1817">
            <v>61162</v>
          </cell>
          <cell r="D1817">
            <v>0</v>
          </cell>
          <cell r="E1817" t="str">
            <v>FACSIMILE MACHINE</v>
          </cell>
          <cell r="F1817">
            <v>1</v>
          </cell>
          <cell r="G1817">
            <v>35339</v>
          </cell>
          <cell r="H1817">
            <v>44100</v>
          </cell>
        </row>
        <row r="1818">
          <cell r="A1818">
            <v>3400002654</v>
          </cell>
          <cell r="B1818">
            <v>6801</v>
          </cell>
          <cell r="C1818">
            <v>61157</v>
          </cell>
          <cell r="D1818">
            <v>0</v>
          </cell>
          <cell r="E1818" t="str">
            <v>FIRE FIGHTING EQUIPMENT</v>
          </cell>
          <cell r="F1818">
            <v>1</v>
          </cell>
          <cell r="G1818">
            <v>35339</v>
          </cell>
          <cell r="H1818">
            <v>44500</v>
          </cell>
        </row>
        <row r="1819">
          <cell r="A1819">
            <v>3400002656</v>
          </cell>
          <cell r="B1819">
            <v>6801</v>
          </cell>
          <cell r="C1819">
            <v>61203</v>
          </cell>
          <cell r="D1819">
            <v>0</v>
          </cell>
          <cell r="E1819" t="str">
            <v>FRANKING MACHINE</v>
          </cell>
          <cell r="F1819">
            <v>1</v>
          </cell>
          <cell r="G1819">
            <v>35339</v>
          </cell>
          <cell r="H1819">
            <v>6500</v>
          </cell>
        </row>
        <row r="1820">
          <cell r="A1820">
            <v>3400002662</v>
          </cell>
          <cell r="B1820">
            <v>6801</v>
          </cell>
          <cell r="C1820">
            <v>61161</v>
          </cell>
          <cell r="D1820">
            <v>0</v>
          </cell>
          <cell r="E1820" t="str">
            <v>HOT POT MODEL R 20</v>
          </cell>
          <cell r="F1820">
            <v>1</v>
          </cell>
          <cell r="G1820">
            <v>35339</v>
          </cell>
          <cell r="H1820">
            <v>5700</v>
          </cell>
        </row>
        <row r="1821">
          <cell r="A1821">
            <v>3400002663</v>
          </cell>
          <cell r="B1821">
            <v>6801</v>
          </cell>
          <cell r="C1821">
            <v>61161</v>
          </cell>
          <cell r="D1821">
            <v>0</v>
          </cell>
          <cell r="E1821" t="str">
            <v>HOT POT MACHINE</v>
          </cell>
          <cell r="F1821">
            <v>1</v>
          </cell>
          <cell r="G1821">
            <v>35339</v>
          </cell>
          <cell r="H1821">
            <v>10000</v>
          </cell>
        </row>
        <row r="1822">
          <cell r="A1822">
            <v>3400002664</v>
          </cell>
          <cell r="B1822">
            <v>6801</v>
          </cell>
          <cell r="C1822">
            <v>61206</v>
          </cell>
          <cell r="D1822">
            <v>0</v>
          </cell>
          <cell r="E1822" t="str">
            <v>INVERTER WITH BATTERIES</v>
          </cell>
          <cell r="F1822">
            <v>1</v>
          </cell>
          <cell r="G1822">
            <v>35339</v>
          </cell>
          <cell r="H1822">
            <v>8700</v>
          </cell>
        </row>
        <row r="1823">
          <cell r="A1823">
            <v>3400002665</v>
          </cell>
          <cell r="B1823">
            <v>6801</v>
          </cell>
          <cell r="C1823">
            <v>61206</v>
          </cell>
          <cell r="D1823">
            <v>0</v>
          </cell>
          <cell r="E1823" t="str">
            <v>INVERTER WITH BATTERIES</v>
          </cell>
          <cell r="F1823">
            <v>1</v>
          </cell>
          <cell r="G1823">
            <v>35339</v>
          </cell>
          <cell r="H1823">
            <v>8700</v>
          </cell>
        </row>
        <row r="1824">
          <cell r="A1824">
            <v>3400002666</v>
          </cell>
          <cell r="B1824">
            <v>6801</v>
          </cell>
          <cell r="C1824">
            <v>61206</v>
          </cell>
          <cell r="D1824">
            <v>0</v>
          </cell>
          <cell r="E1824" t="str">
            <v>INVERTER WITH BATTERIES</v>
          </cell>
          <cell r="F1824">
            <v>1</v>
          </cell>
          <cell r="G1824">
            <v>35339</v>
          </cell>
          <cell r="H1824">
            <v>8700</v>
          </cell>
        </row>
        <row r="1825">
          <cell r="A1825">
            <v>3400002667</v>
          </cell>
          <cell r="B1825">
            <v>6801</v>
          </cell>
          <cell r="C1825">
            <v>61206</v>
          </cell>
          <cell r="D1825">
            <v>0</v>
          </cell>
          <cell r="E1825" t="str">
            <v>INVERTER WITH BATTERIES</v>
          </cell>
          <cell r="F1825">
            <v>1</v>
          </cell>
          <cell r="G1825">
            <v>35339</v>
          </cell>
          <cell r="H1825">
            <v>8700</v>
          </cell>
        </row>
        <row r="1826">
          <cell r="A1826">
            <v>3400002674</v>
          </cell>
          <cell r="B1826">
            <v>6801</v>
          </cell>
          <cell r="C1826">
            <v>61155</v>
          </cell>
          <cell r="D1826">
            <v>0</v>
          </cell>
          <cell r="E1826" t="str">
            <v>COMPUTER 386DX</v>
          </cell>
          <cell r="F1826">
            <v>1</v>
          </cell>
          <cell r="G1826">
            <v>35339</v>
          </cell>
          <cell r="H1826">
            <v>35200</v>
          </cell>
        </row>
        <row r="1827">
          <cell r="A1827">
            <v>3400002675</v>
          </cell>
          <cell r="B1827">
            <v>6801</v>
          </cell>
          <cell r="C1827">
            <v>61157</v>
          </cell>
          <cell r="D1827">
            <v>0</v>
          </cell>
          <cell r="E1827" t="str">
            <v>COMPUTER 386DX</v>
          </cell>
          <cell r="F1827">
            <v>1</v>
          </cell>
          <cell r="G1827">
            <v>35339</v>
          </cell>
          <cell r="H1827">
            <v>34700</v>
          </cell>
        </row>
        <row r="1828">
          <cell r="A1828">
            <v>3400002682</v>
          </cell>
          <cell r="B1828">
            <v>6801</v>
          </cell>
          <cell r="C1828">
            <v>61162</v>
          </cell>
          <cell r="D1828">
            <v>0</v>
          </cell>
          <cell r="E1828" t="str">
            <v>CUPBOARD</v>
          </cell>
          <cell r="F1828">
            <v>1</v>
          </cell>
          <cell r="G1828">
            <v>35339</v>
          </cell>
          <cell r="H1828">
            <v>17500</v>
          </cell>
        </row>
        <row r="1829">
          <cell r="A1829">
            <v>3400002683</v>
          </cell>
          <cell r="B1829">
            <v>6801</v>
          </cell>
          <cell r="C1829">
            <v>61206</v>
          </cell>
          <cell r="D1829">
            <v>0</v>
          </cell>
          <cell r="E1829" t="str">
            <v>CURVED LEG GLASS TABLE</v>
          </cell>
          <cell r="F1829">
            <v>1</v>
          </cell>
          <cell r="G1829">
            <v>35339</v>
          </cell>
          <cell r="H1829">
            <v>7700</v>
          </cell>
        </row>
        <row r="1830">
          <cell r="A1830">
            <v>3400002685</v>
          </cell>
          <cell r="B1830">
            <v>6801</v>
          </cell>
          <cell r="C1830">
            <v>61160</v>
          </cell>
          <cell r="D1830">
            <v>0</v>
          </cell>
          <cell r="E1830" t="str">
            <v>DOT MATRIX PRINTERS TVSE</v>
          </cell>
          <cell r="F1830">
            <v>1</v>
          </cell>
          <cell r="G1830">
            <v>35339</v>
          </cell>
          <cell r="H1830">
            <v>9800</v>
          </cell>
        </row>
        <row r="1831">
          <cell r="A1831">
            <v>3400002686</v>
          </cell>
          <cell r="B1831">
            <v>6801</v>
          </cell>
          <cell r="C1831">
            <v>61160</v>
          </cell>
          <cell r="D1831">
            <v>0</v>
          </cell>
          <cell r="E1831" t="str">
            <v>DOT MATRIX PRINTERS TVSE</v>
          </cell>
          <cell r="F1831">
            <v>1</v>
          </cell>
          <cell r="G1831">
            <v>35339</v>
          </cell>
          <cell r="H1831">
            <v>9700</v>
          </cell>
        </row>
        <row r="1832">
          <cell r="A1832">
            <v>3400002687</v>
          </cell>
          <cell r="B1832">
            <v>6801</v>
          </cell>
          <cell r="C1832">
            <v>61100</v>
          </cell>
          <cell r="D1832">
            <v>0</v>
          </cell>
          <cell r="E1832" t="str">
            <v>DOT MATRIX PRINTERS TVSE</v>
          </cell>
          <cell r="F1832">
            <v>1</v>
          </cell>
          <cell r="G1832">
            <v>35339</v>
          </cell>
          <cell r="H1832">
            <v>9000</v>
          </cell>
        </row>
        <row r="1833">
          <cell r="A1833">
            <v>3400002692</v>
          </cell>
          <cell r="B1833">
            <v>6801</v>
          </cell>
          <cell r="C1833">
            <v>61150</v>
          </cell>
          <cell r="D1833">
            <v>0</v>
          </cell>
          <cell r="E1833" t="str">
            <v>REFRIGERATOR KELVINATOR</v>
          </cell>
          <cell r="F1833">
            <v>1</v>
          </cell>
          <cell r="G1833">
            <v>35339</v>
          </cell>
          <cell r="H1833">
            <v>11800</v>
          </cell>
        </row>
        <row r="1834">
          <cell r="A1834">
            <v>3400002693</v>
          </cell>
          <cell r="B1834">
            <v>6801</v>
          </cell>
          <cell r="C1834">
            <v>61200</v>
          </cell>
          <cell r="D1834">
            <v>0</v>
          </cell>
          <cell r="E1834" t="str">
            <v>INVERTOR 500 WATTS</v>
          </cell>
          <cell r="F1834">
            <v>1</v>
          </cell>
          <cell r="G1834">
            <v>35339</v>
          </cell>
          <cell r="H1834">
            <v>6700</v>
          </cell>
        </row>
        <row r="1835">
          <cell r="A1835">
            <v>3400002694</v>
          </cell>
          <cell r="B1835">
            <v>6801</v>
          </cell>
          <cell r="C1835">
            <v>61161</v>
          </cell>
          <cell r="D1835">
            <v>0</v>
          </cell>
          <cell r="E1835" t="str">
            <v>ADAMS SYSTEM KELTRON(IDCU)</v>
          </cell>
          <cell r="F1835">
            <v>1</v>
          </cell>
          <cell r="G1835">
            <v>35339</v>
          </cell>
          <cell r="H1835">
            <v>59700</v>
          </cell>
        </row>
        <row r="1836">
          <cell r="A1836">
            <v>3400002700</v>
          </cell>
          <cell r="B1836">
            <v>6801</v>
          </cell>
          <cell r="C1836">
            <v>61203</v>
          </cell>
          <cell r="D1836">
            <v>0</v>
          </cell>
          <cell r="E1836" t="str">
            <v>AQUAGUARD WATER PURIFIER</v>
          </cell>
          <cell r="F1836">
            <v>1</v>
          </cell>
          <cell r="G1836">
            <v>35339</v>
          </cell>
          <cell r="H1836">
            <v>6900</v>
          </cell>
        </row>
        <row r="1837">
          <cell r="A1837">
            <v>3400002706</v>
          </cell>
          <cell r="B1837">
            <v>6801</v>
          </cell>
          <cell r="C1837">
            <v>61206</v>
          </cell>
          <cell r="D1837">
            <v>0</v>
          </cell>
          <cell r="E1837" t="str">
            <v>TABLE BED SIDE</v>
          </cell>
          <cell r="F1837">
            <v>1</v>
          </cell>
          <cell r="G1837">
            <v>35339</v>
          </cell>
          <cell r="H1837">
            <v>1500</v>
          </cell>
        </row>
        <row r="1838">
          <cell r="A1838">
            <v>3400002885</v>
          </cell>
          <cell r="B1838">
            <v>6801</v>
          </cell>
          <cell r="C1838">
            <v>61206</v>
          </cell>
          <cell r="D1838">
            <v>0</v>
          </cell>
          <cell r="E1838" t="str">
            <v>CHIF MANAGER TABLE</v>
          </cell>
          <cell r="F1838">
            <v>1</v>
          </cell>
          <cell r="G1838">
            <v>35339</v>
          </cell>
          <cell r="H1838">
            <v>7000</v>
          </cell>
        </row>
        <row r="1839">
          <cell r="A1839">
            <v>3400002886</v>
          </cell>
          <cell r="B1839">
            <v>6801</v>
          </cell>
          <cell r="C1839">
            <v>61206</v>
          </cell>
          <cell r="D1839">
            <v>0</v>
          </cell>
          <cell r="E1839" t="str">
            <v>CHIF MANAGER TABLE</v>
          </cell>
          <cell r="F1839">
            <v>1</v>
          </cell>
          <cell r="G1839">
            <v>35339</v>
          </cell>
          <cell r="H1839">
            <v>6100</v>
          </cell>
        </row>
        <row r="1840">
          <cell r="A1840">
            <v>3400002887</v>
          </cell>
          <cell r="B1840">
            <v>6801</v>
          </cell>
          <cell r="C1840">
            <v>61206</v>
          </cell>
          <cell r="D1840">
            <v>0</v>
          </cell>
          <cell r="E1840" t="str">
            <v>MANAGER TABLE</v>
          </cell>
          <cell r="F1840">
            <v>1</v>
          </cell>
          <cell r="G1840">
            <v>35339</v>
          </cell>
          <cell r="H1840">
            <v>6100</v>
          </cell>
        </row>
        <row r="1841">
          <cell r="A1841">
            <v>3400002893</v>
          </cell>
          <cell r="B1841">
            <v>6801</v>
          </cell>
          <cell r="C1841">
            <v>61206</v>
          </cell>
          <cell r="D1841">
            <v>0</v>
          </cell>
          <cell r="E1841" t="str">
            <v>ONIDA TV</v>
          </cell>
          <cell r="F1841">
            <v>1</v>
          </cell>
          <cell r="G1841">
            <v>35339</v>
          </cell>
          <cell r="H1841">
            <v>11500</v>
          </cell>
        </row>
        <row r="1842">
          <cell r="A1842">
            <v>3400002894</v>
          </cell>
          <cell r="B1842">
            <v>6801</v>
          </cell>
          <cell r="C1842">
            <v>61203</v>
          </cell>
          <cell r="D1842">
            <v>0</v>
          </cell>
          <cell r="E1842" t="str">
            <v>AQUAGUARD &amp; PHILIPS GRINDER</v>
          </cell>
          <cell r="F1842">
            <v>1</v>
          </cell>
          <cell r="G1842">
            <v>35339</v>
          </cell>
          <cell r="H1842">
            <v>7000</v>
          </cell>
        </row>
        <row r="1843">
          <cell r="A1843">
            <v>3400002895</v>
          </cell>
          <cell r="B1843">
            <v>6801</v>
          </cell>
          <cell r="C1843">
            <v>61161</v>
          </cell>
          <cell r="D1843">
            <v>0</v>
          </cell>
          <cell r="E1843" t="str">
            <v>VIDEOCON WASHING M/C &amp; TELEPHONE CORDLES</v>
          </cell>
          <cell r="F1843">
            <v>1</v>
          </cell>
          <cell r="G1843">
            <v>35339</v>
          </cell>
          <cell r="H1843">
            <v>10300</v>
          </cell>
        </row>
        <row r="1844">
          <cell r="A1844">
            <v>3400002896</v>
          </cell>
          <cell r="B1844">
            <v>6801</v>
          </cell>
          <cell r="C1844">
            <v>61159</v>
          </cell>
          <cell r="D1844">
            <v>0</v>
          </cell>
          <cell r="E1844" t="str">
            <v>VIDEOCON WASHINE M/C &amp; WOODEN DIVAN</v>
          </cell>
          <cell r="F1844">
            <v>1</v>
          </cell>
          <cell r="G1844">
            <v>35339</v>
          </cell>
          <cell r="H1844">
            <v>14300</v>
          </cell>
        </row>
        <row r="1845">
          <cell r="A1845">
            <v>3400002946</v>
          </cell>
          <cell r="B1845">
            <v>6801</v>
          </cell>
          <cell r="C1845">
            <v>61161</v>
          </cell>
          <cell r="D1845">
            <v>0</v>
          </cell>
          <cell r="E1845" t="str">
            <v>KITCHEN TABLE</v>
          </cell>
          <cell r="F1845">
            <v>1</v>
          </cell>
          <cell r="G1845">
            <v>35339</v>
          </cell>
          <cell r="H1845">
            <v>9800</v>
          </cell>
        </row>
        <row r="1846">
          <cell r="A1846">
            <v>3400002958</v>
          </cell>
          <cell r="B1846">
            <v>6801</v>
          </cell>
          <cell r="C1846">
            <v>61157</v>
          </cell>
          <cell r="D1846">
            <v>0</v>
          </cell>
          <cell r="E1846" t="str">
            <v>MS RACKS AND WOODEN PLANK</v>
          </cell>
          <cell r="F1846">
            <v>1</v>
          </cell>
          <cell r="G1846">
            <v>35339</v>
          </cell>
          <cell r="H1846">
            <v>11900</v>
          </cell>
        </row>
        <row r="1847">
          <cell r="A1847">
            <v>3400002959</v>
          </cell>
          <cell r="B1847">
            <v>6801</v>
          </cell>
          <cell r="C1847">
            <v>61157</v>
          </cell>
          <cell r="D1847">
            <v>0</v>
          </cell>
          <cell r="E1847" t="str">
            <v>MS RACKS AND WOODEN PLANK</v>
          </cell>
          <cell r="F1847">
            <v>1</v>
          </cell>
          <cell r="G1847">
            <v>35339</v>
          </cell>
          <cell r="H1847">
            <v>9500</v>
          </cell>
        </row>
        <row r="1848">
          <cell r="A1848">
            <v>3400002960</v>
          </cell>
          <cell r="B1848">
            <v>6801</v>
          </cell>
          <cell r="C1848">
            <v>61200</v>
          </cell>
          <cell r="D1848">
            <v>0</v>
          </cell>
          <cell r="E1848" t="str">
            <v>3 FOLDED WOODEN DOOR BATTERY ROOM</v>
          </cell>
          <cell r="F1848">
            <v>1</v>
          </cell>
          <cell r="G1848">
            <v>35339</v>
          </cell>
          <cell r="H1848">
            <v>6700</v>
          </cell>
        </row>
        <row r="1849">
          <cell r="A1849">
            <v>3400002962</v>
          </cell>
          <cell r="B1849">
            <v>6801</v>
          </cell>
          <cell r="C1849">
            <v>61203</v>
          </cell>
          <cell r="D1849">
            <v>0</v>
          </cell>
          <cell r="E1849" t="str">
            <v>STEEL ALMIRAH WITH LOCKER</v>
          </cell>
          <cell r="F1849">
            <v>1</v>
          </cell>
          <cell r="G1849">
            <v>35339</v>
          </cell>
          <cell r="H1849">
            <v>5300</v>
          </cell>
        </row>
        <row r="1850">
          <cell r="A1850">
            <v>3400002963</v>
          </cell>
          <cell r="B1850">
            <v>6801</v>
          </cell>
          <cell r="C1850">
            <v>61203</v>
          </cell>
          <cell r="D1850">
            <v>0</v>
          </cell>
          <cell r="E1850" t="str">
            <v>STEEL ALMIRAH WITH LOCKER</v>
          </cell>
          <cell r="F1850">
            <v>1</v>
          </cell>
          <cell r="G1850">
            <v>35339</v>
          </cell>
          <cell r="H1850">
            <v>5300</v>
          </cell>
        </row>
        <row r="1851">
          <cell r="A1851">
            <v>3400002964</v>
          </cell>
          <cell r="B1851">
            <v>6801</v>
          </cell>
          <cell r="C1851">
            <v>61203</v>
          </cell>
          <cell r="D1851">
            <v>0</v>
          </cell>
          <cell r="E1851" t="str">
            <v>STEEL ALMIRAH WITH LOCKER</v>
          </cell>
          <cell r="F1851">
            <v>1</v>
          </cell>
          <cell r="G1851">
            <v>35339</v>
          </cell>
          <cell r="H1851">
            <v>5300</v>
          </cell>
        </row>
        <row r="1852">
          <cell r="A1852">
            <v>3400003003</v>
          </cell>
          <cell r="B1852">
            <v>6801</v>
          </cell>
          <cell r="C1852">
            <v>61100</v>
          </cell>
          <cell r="D1852">
            <v>0</v>
          </cell>
          <cell r="E1852" t="str">
            <v>SPINPIK VERTICAL CAROUSEL CONVEYOR</v>
          </cell>
          <cell r="F1852">
            <v>1</v>
          </cell>
          <cell r="G1852">
            <v>35339</v>
          </cell>
          <cell r="H1852">
            <v>252400</v>
          </cell>
        </row>
        <row r="1853">
          <cell r="A1853">
            <v>3400003004</v>
          </cell>
          <cell r="B1853">
            <v>6801</v>
          </cell>
          <cell r="C1853">
            <v>61100</v>
          </cell>
          <cell r="D1853">
            <v>0</v>
          </cell>
          <cell r="E1853" t="str">
            <v>SPINPIK VERTICAL CAROUSEL CONVEYOR</v>
          </cell>
          <cell r="F1853">
            <v>1</v>
          </cell>
          <cell r="G1853">
            <v>35339</v>
          </cell>
          <cell r="H1853">
            <v>220300</v>
          </cell>
        </row>
        <row r="1854">
          <cell r="A1854">
            <v>3400003006</v>
          </cell>
          <cell r="B1854">
            <v>6801</v>
          </cell>
          <cell r="C1854">
            <v>61208</v>
          </cell>
          <cell r="D1854">
            <v>0</v>
          </cell>
          <cell r="E1854" t="str">
            <v>SPINPIK VERTICAL CAROUSEL CONVEYOR</v>
          </cell>
          <cell r="F1854">
            <v>1</v>
          </cell>
          <cell r="G1854">
            <v>35339</v>
          </cell>
          <cell r="H1854">
            <v>252400</v>
          </cell>
        </row>
        <row r="1855">
          <cell r="A1855">
            <v>3400003008</v>
          </cell>
          <cell r="B1855">
            <v>6801</v>
          </cell>
          <cell r="C1855">
            <v>61107</v>
          </cell>
          <cell r="D1855">
            <v>0</v>
          </cell>
          <cell r="E1855" t="str">
            <v>TURN TABLE TOP</v>
          </cell>
          <cell r="F1855">
            <v>1</v>
          </cell>
          <cell r="G1855">
            <v>35339</v>
          </cell>
          <cell r="H1855">
            <v>5900</v>
          </cell>
        </row>
        <row r="1856">
          <cell r="A1856">
            <v>3400003012</v>
          </cell>
          <cell r="B1856">
            <v>6801</v>
          </cell>
          <cell r="C1856">
            <v>61102</v>
          </cell>
          <cell r="D1856">
            <v>0</v>
          </cell>
          <cell r="E1856" t="str">
            <v>SPINPEK VERTICAL CAROUSEL CONVEYOR</v>
          </cell>
          <cell r="F1856">
            <v>1</v>
          </cell>
          <cell r="G1856">
            <v>35339</v>
          </cell>
          <cell r="H1856">
            <v>564500</v>
          </cell>
        </row>
        <row r="1857">
          <cell r="A1857">
            <v>3400003019</v>
          </cell>
          <cell r="B1857">
            <v>6801</v>
          </cell>
          <cell r="C1857">
            <v>61203</v>
          </cell>
          <cell r="D1857">
            <v>0</v>
          </cell>
          <cell r="E1857" t="str">
            <v>ESD STEEL ALMIRAH</v>
          </cell>
          <cell r="F1857">
            <v>1</v>
          </cell>
          <cell r="G1857">
            <v>35339</v>
          </cell>
          <cell r="H1857">
            <v>5000</v>
          </cell>
        </row>
        <row r="1858">
          <cell r="A1858">
            <v>3400003020</v>
          </cell>
          <cell r="B1858">
            <v>6801</v>
          </cell>
          <cell r="C1858">
            <v>61203</v>
          </cell>
          <cell r="D1858">
            <v>0</v>
          </cell>
          <cell r="E1858" t="str">
            <v>ESD STEEL ALMIRAH</v>
          </cell>
          <cell r="F1858">
            <v>1</v>
          </cell>
          <cell r="G1858">
            <v>35339</v>
          </cell>
          <cell r="H1858">
            <v>5000</v>
          </cell>
        </row>
        <row r="1859">
          <cell r="A1859">
            <v>3400003021</v>
          </cell>
          <cell r="B1859">
            <v>6801</v>
          </cell>
          <cell r="C1859">
            <v>61203</v>
          </cell>
          <cell r="D1859">
            <v>0</v>
          </cell>
          <cell r="E1859" t="str">
            <v>ESD STEEL ALMIRAH</v>
          </cell>
          <cell r="F1859">
            <v>1</v>
          </cell>
          <cell r="G1859">
            <v>35339</v>
          </cell>
          <cell r="H1859">
            <v>5200</v>
          </cell>
        </row>
        <row r="1860">
          <cell r="A1860">
            <v>3400003022</v>
          </cell>
          <cell r="B1860">
            <v>6801</v>
          </cell>
          <cell r="C1860">
            <v>61203</v>
          </cell>
          <cell r="D1860">
            <v>0</v>
          </cell>
          <cell r="E1860" t="str">
            <v>ESD STEEL ALMIRAH</v>
          </cell>
          <cell r="F1860">
            <v>1</v>
          </cell>
          <cell r="G1860">
            <v>35339</v>
          </cell>
          <cell r="H1860">
            <v>5200</v>
          </cell>
        </row>
        <row r="1861">
          <cell r="A1861">
            <v>3400003026</v>
          </cell>
          <cell r="B1861">
            <v>6801</v>
          </cell>
          <cell r="C1861">
            <v>61201</v>
          </cell>
          <cell r="D1861">
            <v>0</v>
          </cell>
          <cell r="E1861" t="str">
            <v>STEEL ALMIRAH</v>
          </cell>
          <cell r="F1861">
            <v>1</v>
          </cell>
          <cell r="G1861">
            <v>35339</v>
          </cell>
          <cell r="H1861">
            <v>6300</v>
          </cell>
        </row>
        <row r="1862">
          <cell r="A1862">
            <v>3400003176</v>
          </cell>
          <cell r="B1862">
            <v>6801</v>
          </cell>
          <cell r="C1862">
            <v>61162</v>
          </cell>
          <cell r="D1862">
            <v>0</v>
          </cell>
          <cell r="E1862" t="str">
            <v>ALMIRAH</v>
          </cell>
          <cell r="F1862">
            <v>1</v>
          </cell>
          <cell r="G1862">
            <v>35339</v>
          </cell>
          <cell r="H1862">
            <v>31400</v>
          </cell>
        </row>
        <row r="1863">
          <cell r="A1863">
            <v>3400003177</v>
          </cell>
          <cell r="B1863">
            <v>6801</v>
          </cell>
          <cell r="C1863">
            <v>61162</v>
          </cell>
          <cell r="D1863">
            <v>0</v>
          </cell>
          <cell r="E1863" t="str">
            <v>DESIGNER  CHAIRS</v>
          </cell>
          <cell r="F1863">
            <v>1</v>
          </cell>
          <cell r="G1863">
            <v>35339</v>
          </cell>
          <cell r="H1863">
            <v>22400</v>
          </cell>
        </row>
        <row r="1864">
          <cell r="A1864">
            <v>3400003182</v>
          </cell>
          <cell r="B1864">
            <v>6801</v>
          </cell>
          <cell r="C1864">
            <v>61162</v>
          </cell>
          <cell r="D1864">
            <v>0</v>
          </cell>
          <cell r="E1864" t="str">
            <v>VIDEOCON -T.V. 6301R</v>
          </cell>
          <cell r="F1864">
            <v>1</v>
          </cell>
          <cell r="G1864">
            <v>35339</v>
          </cell>
          <cell r="H1864">
            <v>25200</v>
          </cell>
        </row>
        <row r="1865">
          <cell r="A1865">
            <v>3400003183</v>
          </cell>
          <cell r="B1865">
            <v>6801</v>
          </cell>
          <cell r="C1865">
            <v>61162</v>
          </cell>
          <cell r="D1865">
            <v>0</v>
          </cell>
          <cell r="E1865" t="str">
            <v>VIDEOCON -T.V. 6301R</v>
          </cell>
          <cell r="F1865">
            <v>1</v>
          </cell>
          <cell r="G1865">
            <v>35339</v>
          </cell>
          <cell r="H1865">
            <v>25200</v>
          </cell>
        </row>
        <row r="1866">
          <cell r="A1866">
            <v>3400003185</v>
          </cell>
          <cell r="B1866">
            <v>6801</v>
          </cell>
          <cell r="C1866">
            <v>61162</v>
          </cell>
          <cell r="D1866">
            <v>0</v>
          </cell>
          <cell r="E1866" t="str">
            <v>MICRO PANASONIC 300WATTS</v>
          </cell>
          <cell r="F1866">
            <v>1</v>
          </cell>
          <cell r="G1866">
            <v>35339</v>
          </cell>
          <cell r="H1866">
            <v>20000</v>
          </cell>
        </row>
        <row r="1867">
          <cell r="A1867">
            <v>3400003187</v>
          </cell>
          <cell r="B1867">
            <v>6801</v>
          </cell>
          <cell r="C1867">
            <v>61162</v>
          </cell>
          <cell r="D1867">
            <v>0</v>
          </cell>
          <cell r="E1867" t="str">
            <v>INALSA  COOKING GAS</v>
          </cell>
          <cell r="F1867">
            <v>1</v>
          </cell>
          <cell r="G1867">
            <v>35339</v>
          </cell>
          <cell r="H1867">
            <v>12300</v>
          </cell>
        </row>
        <row r="1868">
          <cell r="A1868">
            <v>3400003188</v>
          </cell>
          <cell r="B1868">
            <v>6801</v>
          </cell>
          <cell r="C1868">
            <v>61162</v>
          </cell>
          <cell r="D1868">
            <v>0</v>
          </cell>
          <cell r="E1868" t="str">
            <v>HOTLINE JUICER MIXER GRINDER</v>
          </cell>
          <cell r="F1868">
            <v>1</v>
          </cell>
          <cell r="G1868">
            <v>35339</v>
          </cell>
          <cell r="H1868">
            <v>2200</v>
          </cell>
        </row>
        <row r="1869">
          <cell r="A1869">
            <v>3400003189</v>
          </cell>
          <cell r="B1869">
            <v>6801</v>
          </cell>
          <cell r="C1869">
            <v>61162</v>
          </cell>
          <cell r="D1869">
            <v>0</v>
          </cell>
          <cell r="E1869" t="str">
            <v>VOLTAGE STBLR</v>
          </cell>
          <cell r="F1869">
            <v>1</v>
          </cell>
          <cell r="G1869">
            <v>35339</v>
          </cell>
          <cell r="H1869">
            <v>2400</v>
          </cell>
        </row>
        <row r="1870">
          <cell r="A1870">
            <v>3400003190</v>
          </cell>
          <cell r="B1870">
            <v>6801</v>
          </cell>
          <cell r="C1870">
            <v>61162</v>
          </cell>
          <cell r="D1870">
            <v>0</v>
          </cell>
          <cell r="E1870" t="str">
            <v>MODI-VACCUM CLEANER</v>
          </cell>
          <cell r="F1870">
            <v>1</v>
          </cell>
          <cell r="G1870">
            <v>35339</v>
          </cell>
          <cell r="H1870">
            <v>6500</v>
          </cell>
        </row>
        <row r="1871">
          <cell r="A1871">
            <v>3400003191</v>
          </cell>
          <cell r="B1871">
            <v>6801</v>
          </cell>
          <cell r="C1871">
            <v>61162</v>
          </cell>
          <cell r="D1871">
            <v>0</v>
          </cell>
          <cell r="E1871" t="str">
            <v>HAND MXR,BASE AND BOWL ,TOASTER</v>
          </cell>
          <cell r="F1871">
            <v>1</v>
          </cell>
          <cell r="G1871">
            <v>35339</v>
          </cell>
          <cell r="H1871">
            <v>2600</v>
          </cell>
        </row>
        <row r="1872">
          <cell r="A1872">
            <v>3400003192</v>
          </cell>
          <cell r="B1872">
            <v>6801</v>
          </cell>
          <cell r="C1872">
            <v>61162</v>
          </cell>
          <cell r="D1872">
            <v>0</v>
          </cell>
          <cell r="E1872" t="str">
            <v>SWARNA REKHA BED</v>
          </cell>
          <cell r="F1872">
            <v>1</v>
          </cell>
          <cell r="G1872">
            <v>35339</v>
          </cell>
          <cell r="H1872">
            <v>10800</v>
          </cell>
        </row>
        <row r="1873">
          <cell r="A1873">
            <v>3400003194</v>
          </cell>
          <cell r="B1873">
            <v>6801</v>
          </cell>
          <cell r="C1873">
            <v>61162</v>
          </cell>
          <cell r="D1873">
            <v>0</v>
          </cell>
          <cell r="E1873" t="str">
            <v>DRESSING    TABLES</v>
          </cell>
          <cell r="F1873">
            <v>1</v>
          </cell>
          <cell r="G1873">
            <v>35339</v>
          </cell>
          <cell r="H1873">
            <v>13100</v>
          </cell>
        </row>
        <row r="1874">
          <cell r="A1874">
            <v>3400003195</v>
          </cell>
          <cell r="B1874">
            <v>6801</v>
          </cell>
          <cell r="C1874">
            <v>61162</v>
          </cell>
          <cell r="D1874">
            <v>0</v>
          </cell>
          <cell r="E1874" t="str">
            <v>ALMIRAH-40CM DEPTH</v>
          </cell>
          <cell r="F1874">
            <v>1</v>
          </cell>
          <cell r="G1874">
            <v>35339</v>
          </cell>
          <cell r="H1874">
            <v>19800</v>
          </cell>
        </row>
        <row r="1875">
          <cell r="A1875">
            <v>3400003196</v>
          </cell>
          <cell r="B1875">
            <v>6801</v>
          </cell>
          <cell r="C1875">
            <v>61162</v>
          </cell>
          <cell r="D1875">
            <v>0</v>
          </cell>
          <cell r="E1875" t="str">
            <v>STEOL</v>
          </cell>
          <cell r="F1875">
            <v>1</v>
          </cell>
          <cell r="G1875">
            <v>35339</v>
          </cell>
          <cell r="H1875">
            <v>3400</v>
          </cell>
        </row>
        <row r="1876">
          <cell r="A1876">
            <v>3400003197</v>
          </cell>
          <cell r="B1876">
            <v>6801</v>
          </cell>
          <cell r="C1876">
            <v>61162</v>
          </cell>
          <cell r="D1876">
            <v>0</v>
          </cell>
          <cell r="E1876" t="str">
            <v>SIDE BOARD</v>
          </cell>
          <cell r="F1876">
            <v>1</v>
          </cell>
          <cell r="G1876">
            <v>35339</v>
          </cell>
          <cell r="H1876">
            <v>17900</v>
          </cell>
        </row>
        <row r="1877">
          <cell r="A1877">
            <v>3400003198</v>
          </cell>
          <cell r="B1877">
            <v>6801</v>
          </cell>
          <cell r="C1877">
            <v>61162</v>
          </cell>
          <cell r="D1877">
            <v>0</v>
          </cell>
          <cell r="E1877" t="str">
            <v>MATTRESS-6X6/ 6X4</v>
          </cell>
          <cell r="F1877">
            <v>1</v>
          </cell>
          <cell r="G1877">
            <v>35339</v>
          </cell>
          <cell r="H1877">
            <v>5100</v>
          </cell>
        </row>
        <row r="1878">
          <cell r="A1878">
            <v>3400003200</v>
          </cell>
          <cell r="B1878">
            <v>6801</v>
          </cell>
          <cell r="C1878">
            <v>61155</v>
          </cell>
          <cell r="D1878">
            <v>0</v>
          </cell>
          <cell r="E1878" t="str">
            <v>VERTICAL BLIND</v>
          </cell>
          <cell r="F1878">
            <v>1</v>
          </cell>
          <cell r="G1878">
            <v>35339</v>
          </cell>
          <cell r="H1878">
            <v>17200</v>
          </cell>
        </row>
        <row r="1879">
          <cell r="A1879">
            <v>3400003202</v>
          </cell>
          <cell r="B1879">
            <v>6801</v>
          </cell>
          <cell r="C1879">
            <v>61108</v>
          </cell>
          <cell r="D1879">
            <v>0</v>
          </cell>
          <cell r="E1879" t="str">
            <v>WOODEN PALLET</v>
          </cell>
          <cell r="F1879">
            <v>1</v>
          </cell>
          <cell r="G1879">
            <v>35339</v>
          </cell>
          <cell r="H1879">
            <v>28000</v>
          </cell>
        </row>
        <row r="1880">
          <cell r="A1880">
            <v>3400003219</v>
          </cell>
          <cell r="B1880">
            <v>6801</v>
          </cell>
          <cell r="C1880">
            <v>61102</v>
          </cell>
          <cell r="D1880">
            <v>0</v>
          </cell>
          <cell r="E1880" t="str">
            <v>FEEDER STORAGE RACK (SMT)</v>
          </cell>
          <cell r="F1880">
            <v>1</v>
          </cell>
          <cell r="G1880">
            <v>35339</v>
          </cell>
          <cell r="H1880">
            <v>17200</v>
          </cell>
        </row>
        <row r="1881">
          <cell r="A1881">
            <v>3400003294</v>
          </cell>
          <cell r="B1881">
            <v>6801</v>
          </cell>
          <cell r="C1881">
            <v>61162</v>
          </cell>
          <cell r="D1881">
            <v>0</v>
          </cell>
          <cell r="E1881" t="str">
            <v>CHIEF MANAGERS TABLE</v>
          </cell>
          <cell r="F1881">
            <v>1</v>
          </cell>
          <cell r="G1881">
            <v>35339</v>
          </cell>
          <cell r="H1881">
            <v>9300</v>
          </cell>
        </row>
        <row r="1882">
          <cell r="A1882">
            <v>3400003304</v>
          </cell>
          <cell r="B1882">
            <v>6801</v>
          </cell>
          <cell r="C1882">
            <v>61203</v>
          </cell>
          <cell r="D1882">
            <v>0</v>
          </cell>
          <cell r="E1882" t="str">
            <v>EXECUTIVE TABLE</v>
          </cell>
          <cell r="F1882">
            <v>1</v>
          </cell>
          <cell r="G1882">
            <v>35339</v>
          </cell>
          <cell r="H1882">
            <v>5600</v>
          </cell>
        </row>
        <row r="1883">
          <cell r="A1883">
            <v>3400003305</v>
          </cell>
          <cell r="B1883">
            <v>6801</v>
          </cell>
          <cell r="C1883">
            <v>61203</v>
          </cell>
          <cell r="D1883">
            <v>0</v>
          </cell>
          <cell r="E1883" t="str">
            <v>EXECUTIVE TABLE</v>
          </cell>
          <cell r="F1883">
            <v>1</v>
          </cell>
          <cell r="G1883">
            <v>35339</v>
          </cell>
          <cell r="H1883">
            <v>5600</v>
          </cell>
        </row>
        <row r="1884">
          <cell r="A1884">
            <v>3400003306</v>
          </cell>
          <cell r="B1884">
            <v>6801</v>
          </cell>
          <cell r="C1884">
            <v>61203</v>
          </cell>
          <cell r="D1884">
            <v>0</v>
          </cell>
          <cell r="E1884" t="str">
            <v>EXECUTIVE TABLE</v>
          </cell>
          <cell r="F1884">
            <v>1</v>
          </cell>
          <cell r="G1884">
            <v>35339</v>
          </cell>
          <cell r="H1884">
            <v>5600</v>
          </cell>
        </row>
        <row r="1885">
          <cell r="A1885">
            <v>3400003307</v>
          </cell>
          <cell r="B1885">
            <v>6801</v>
          </cell>
          <cell r="C1885">
            <v>61203</v>
          </cell>
          <cell r="D1885">
            <v>0</v>
          </cell>
          <cell r="E1885" t="str">
            <v>EXECUTIVE TABLE</v>
          </cell>
          <cell r="F1885">
            <v>1</v>
          </cell>
          <cell r="G1885">
            <v>35339</v>
          </cell>
          <cell r="H1885">
            <v>5600</v>
          </cell>
        </row>
        <row r="1886">
          <cell r="A1886">
            <v>3400003308</v>
          </cell>
          <cell r="B1886">
            <v>6801</v>
          </cell>
          <cell r="C1886">
            <v>61203</v>
          </cell>
          <cell r="D1886">
            <v>0</v>
          </cell>
          <cell r="E1886" t="str">
            <v>EXECUTIVE TABLE</v>
          </cell>
          <cell r="F1886">
            <v>1</v>
          </cell>
          <cell r="G1886">
            <v>35339</v>
          </cell>
          <cell r="H1886">
            <v>5600</v>
          </cell>
        </row>
        <row r="1887">
          <cell r="A1887">
            <v>3400003309</v>
          </cell>
          <cell r="B1887">
            <v>6801</v>
          </cell>
          <cell r="C1887">
            <v>61203</v>
          </cell>
          <cell r="D1887">
            <v>0</v>
          </cell>
          <cell r="E1887" t="str">
            <v>EXECUTIVE TABLE</v>
          </cell>
          <cell r="F1887">
            <v>1</v>
          </cell>
          <cell r="G1887">
            <v>35339</v>
          </cell>
          <cell r="H1887">
            <v>5600</v>
          </cell>
        </row>
        <row r="1888">
          <cell r="A1888">
            <v>3400003310</v>
          </cell>
          <cell r="B1888">
            <v>6801</v>
          </cell>
          <cell r="C1888">
            <v>61203</v>
          </cell>
          <cell r="D1888">
            <v>0</v>
          </cell>
          <cell r="E1888" t="str">
            <v>EXECUTIVE TABLE</v>
          </cell>
          <cell r="F1888">
            <v>1</v>
          </cell>
          <cell r="G1888">
            <v>35339</v>
          </cell>
          <cell r="H1888">
            <v>5600</v>
          </cell>
        </row>
        <row r="1889">
          <cell r="A1889">
            <v>3400003311</v>
          </cell>
          <cell r="B1889">
            <v>6801</v>
          </cell>
          <cell r="C1889">
            <v>61203</v>
          </cell>
          <cell r="D1889">
            <v>0</v>
          </cell>
          <cell r="E1889" t="str">
            <v>EXECUTIVE TABLE</v>
          </cell>
          <cell r="F1889">
            <v>1</v>
          </cell>
          <cell r="G1889">
            <v>35339</v>
          </cell>
          <cell r="H1889">
            <v>5600</v>
          </cell>
        </row>
        <row r="1890">
          <cell r="A1890">
            <v>3400003339</v>
          </cell>
          <cell r="B1890">
            <v>6801</v>
          </cell>
          <cell r="C1890">
            <v>61155</v>
          </cell>
          <cell r="D1890">
            <v>0</v>
          </cell>
          <cell r="E1890" t="str">
            <v>OFFICE TABLE (BIG)</v>
          </cell>
          <cell r="F1890">
            <v>1</v>
          </cell>
          <cell r="G1890">
            <v>35339</v>
          </cell>
          <cell r="H1890">
            <v>6000</v>
          </cell>
        </row>
        <row r="1891">
          <cell r="A1891">
            <v>3400003355</v>
          </cell>
          <cell r="B1891">
            <v>6801</v>
          </cell>
          <cell r="C1891">
            <v>61102</v>
          </cell>
          <cell r="D1891">
            <v>0</v>
          </cell>
          <cell r="E1891" t="str">
            <v>COMPONENT STORAGE RACK</v>
          </cell>
          <cell r="F1891">
            <v>1</v>
          </cell>
          <cell r="G1891">
            <v>35339</v>
          </cell>
          <cell r="H1891">
            <v>7000</v>
          </cell>
        </row>
        <row r="1892">
          <cell r="A1892">
            <v>3400003366</v>
          </cell>
          <cell r="B1892">
            <v>6801</v>
          </cell>
          <cell r="C1892">
            <v>61150</v>
          </cell>
          <cell r="D1892">
            <v>0</v>
          </cell>
          <cell r="E1892" t="str">
            <v>GODREJ HEAVY DUTY RACK</v>
          </cell>
          <cell r="F1892">
            <v>27</v>
          </cell>
          <cell r="G1892">
            <v>35339</v>
          </cell>
          <cell r="H1892">
            <v>803100</v>
          </cell>
        </row>
        <row r="1893">
          <cell r="A1893">
            <v>3400003370</v>
          </cell>
          <cell r="B1893">
            <v>6801</v>
          </cell>
          <cell r="C1893">
            <v>61155</v>
          </cell>
          <cell r="D1893">
            <v>0</v>
          </cell>
          <cell r="E1893" t="str">
            <v>PREMIUM HIGH BACK CHAIR-7001</v>
          </cell>
          <cell r="F1893">
            <v>1</v>
          </cell>
          <cell r="G1893">
            <v>35339</v>
          </cell>
          <cell r="H1893">
            <v>6400</v>
          </cell>
        </row>
        <row r="1894">
          <cell r="A1894">
            <v>3400003371</v>
          </cell>
          <cell r="B1894">
            <v>6801</v>
          </cell>
          <cell r="C1894">
            <v>61155</v>
          </cell>
          <cell r="D1894">
            <v>0</v>
          </cell>
          <cell r="E1894" t="str">
            <v>PREMIUM HIGH BACK CHAIR-7001</v>
          </cell>
          <cell r="F1894">
            <v>1</v>
          </cell>
          <cell r="G1894">
            <v>35339</v>
          </cell>
          <cell r="H1894">
            <v>6400</v>
          </cell>
        </row>
        <row r="1895">
          <cell r="A1895">
            <v>3400003372</v>
          </cell>
          <cell r="B1895">
            <v>6801</v>
          </cell>
          <cell r="C1895">
            <v>61206</v>
          </cell>
          <cell r="D1895">
            <v>0</v>
          </cell>
          <cell r="E1895" t="str">
            <v>PREMIUM HIGH BACK CHAIR-7001</v>
          </cell>
          <cell r="F1895">
            <v>1</v>
          </cell>
          <cell r="G1895">
            <v>35339</v>
          </cell>
          <cell r="H1895">
            <v>6400</v>
          </cell>
        </row>
        <row r="1896">
          <cell r="A1896">
            <v>3400003373</v>
          </cell>
          <cell r="B1896">
            <v>6801</v>
          </cell>
          <cell r="C1896">
            <v>61119</v>
          </cell>
          <cell r="D1896">
            <v>0</v>
          </cell>
          <cell r="E1896" t="str">
            <v>PREMIUM HIGH BACK CHAIR-7001</v>
          </cell>
          <cell r="F1896">
            <v>1</v>
          </cell>
          <cell r="G1896">
            <v>35339</v>
          </cell>
          <cell r="H1896">
            <v>7900</v>
          </cell>
        </row>
        <row r="1897">
          <cell r="A1897">
            <v>3400003531</v>
          </cell>
          <cell r="B1897">
            <v>6801</v>
          </cell>
          <cell r="C1897">
            <v>61200</v>
          </cell>
          <cell r="D1897">
            <v>0</v>
          </cell>
          <cell r="E1897" t="str">
            <v>FALSECEILING IN AUXILLARY B</v>
          </cell>
          <cell r="F1897">
            <v>1</v>
          </cell>
          <cell r="G1897">
            <v>35339</v>
          </cell>
          <cell r="H1897">
            <v>14200</v>
          </cell>
        </row>
        <row r="1898">
          <cell r="A1898">
            <v>3400003532</v>
          </cell>
          <cell r="B1898">
            <v>6801</v>
          </cell>
          <cell r="C1898">
            <v>61200</v>
          </cell>
          <cell r="D1898">
            <v>0</v>
          </cell>
          <cell r="E1898" t="str">
            <v>ERECTION OF WOODEN ENCLOSURE</v>
          </cell>
          <cell r="F1898">
            <v>1</v>
          </cell>
          <cell r="G1898">
            <v>35339</v>
          </cell>
          <cell r="H1898">
            <v>10000</v>
          </cell>
        </row>
        <row r="1899">
          <cell r="A1899">
            <v>3400003533</v>
          </cell>
          <cell r="B1899">
            <v>6801</v>
          </cell>
          <cell r="C1899">
            <v>61116</v>
          </cell>
          <cell r="D1899">
            <v>0</v>
          </cell>
          <cell r="E1899" t="str">
            <v>PANEL COVERING FOR RUN IN CHAMBER</v>
          </cell>
          <cell r="F1899">
            <v>1</v>
          </cell>
          <cell r="G1899">
            <v>35339</v>
          </cell>
          <cell r="H1899">
            <v>32500</v>
          </cell>
        </row>
        <row r="1900">
          <cell r="A1900">
            <v>3400003939</v>
          </cell>
          <cell r="B1900">
            <v>6801</v>
          </cell>
          <cell r="C1900">
            <v>61116</v>
          </cell>
          <cell r="D1900">
            <v>0</v>
          </cell>
          <cell r="E1900" t="str">
            <v>WOODEN PLATFORM WITH LADDER</v>
          </cell>
          <cell r="F1900">
            <v>1</v>
          </cell>
          <cell r="G1900">
            <v>35339</v>
          </cell>
          <cell r="H1900">
            <v>12600</v>
          </cell>
        </row>
        <row r="1901">
          <cell r="A1901">
            <v>3400003953</v>
          </cell>
          <cell r="B1901">
            <v>6801</v>
          </cell>
          <cell r="C1901">
            <v>61206</v>
          </cell>
          <cell r="D1901">
            <v>0</v>
          </cell>
          <cell r="E1901" t="str">
            <v>HSEGRUD STEEL ALMIRAH WESD 78X35X19</v>
          </cell>
          <cell r="F1901">
            <v>1</v>
          </cell>
          <cell r="G1901">
            <v>35339</v>
          </cell>
          <cell r="H1901">
            <v>2700</v>
          </cell>
        </row>
        <row r="1902">
          <cell r="A1902">
            <v>3400003954</v>
          </cell>
          <cell r="B1902">
            <v>6801</v>
          </cell>
          <cell r="C1902">
            <v>61206</v>
          </cell>
          <cell r="D1902">
            <v>0</v>
          </cell>
          <cell r="E1902" t="str">
            <v>HSEGRUD STEEL ALMIRAH EWSD 78X35X19</v>
          </cell>
          <cell r="F1902">
            <v>1</v>
          </cell>
          <cell r="G1902">
            <v>35339</v>
          </cell>
          <cell r="H1902">
            <v>2700</v>
          </cell>
        </row>
        <row r="1903">
          <cell r="A1903">
            <v>3400003955</v>
          </cell>
          <cell r="B1903">
            <v>6801</v>
          </cell>
          <cell r="C1903">
            <v>61206</v>
          </cell>
          <cell r="D1903">
            <v>0</v>
          </cell>
          <cell r="E1903" t="str">
            <v>HSEGRUD INTER STEEL ALMIRAH-EWSD78X35X19</v>
          </cell>
          <cell r="F1903">
            <v>1</v>
          </cell>
          <cell r="G1903">
            <v>35339</v>
          </cell>
          <cell r="H1903">
            <v>2700</v>
          </cell>
        </row>
        <row r="1904">
          <cell r="A1904">
            <v>3400003956</v>
          </cell>
          <cell r="B1904">
            <v>6801</v>
          </cell>
          <cell r="C1904">
            <v>61154</v>
          </cell>
          <cell r="D1904">
            <v>0</v>
          </cell>
          <cell r="E1904" t="str">
            <v>HSEGRUD STEEL CARD INDEX CABINET EWSD</v>
          </cell>
          <cell r="F1904">
            <v>1</v>
          </cell>
          <cell r="G1904">
            <v>35339</v>
          </cell>
          <cell r="H1904">
            <v>1300</v>
          </cell>
        </row>
        <row r="1905">
          <cell r="A1905">
            <v>3400003957</v>
          </cell>
          <cell r="B1905">
            <v>6801</v>
          </cell>
          <cell r="C1905">
            <v>61154</v>
          </cell>
          <cell r="D1905">
            <v>0</v>
          </cell>
          <cell r="E1905" t="str">
            <v>HSEGRUD STEEL CARD INDEX CABINET EWSD</v>
          </cell>
          <cell r="F1905">
            <v>1</v>
          </cell>
          <cell r="G1905">
            <v>35339</v>
          </cell>
          <cell r="H1905">
            <v>1500</v>
          </cell>
        </row>
        <row r="1906">
          <cell r="A1906">
            <v>3400004107</v>
          </cell>
          <cell r="B1906">
            <v>6801</v>
          </cell>
          <cell r="C1906">
            <v>61102</v>
          </cell>
          <cell r="D1906">
            <v>0</v>
          </cell>
          <cell r="E1906" t="str">
            <v>ESD WORKING TABLE</v>
          </cell>
          <cell r="F1906">
            <v>1</v>
          </cell>
          <cell r="G1906">
            <v>35339</v>
          </cell>
          <cell r="H1906">
            <v>2400</v>
          </cell>
        </row>
        <row r="1907">
          <cell r="A1907">
            <v>3400004108</v>
          </cell>
          <cell r="B1907">
            <v>6801</v>
          </cell>
          <cell r="C1907">
            <v>61102</v>
          </cell>
          <cell r="D1907">
            <v>0</v>
          </cell>
          <cell r="E1907" t="str">
            <v>ESD WORKING TABLE</v>
          </cell>
          <cell r="F1907">
            <v>1</v>
          </cell>
          <cell r="G1907">
            <v>35339</v>
          </cell>
          <cell r="H1907">
            <v>2400</v>
          </cell>
        </row>
        <row r="1908">
          <cell r="A1908">
            <v>3400004109</v>
          </cell>
          <cell r="B1908">
            <v>6801</v>
          </cell>
          <cell r="C1908">
            <v>61102</v>
          </cell>
          <cell r="D1908">
            <v>0</v>
          </cell>
          <cell r="E1908" t="str">
            <v>ESD WORKING TABLE</v>
          </cell>
          <cell r="F1908">
            <v>1</v>
          </cell>
          <cell r="G1908">
            <v>35339</v>
          </cell>
          <cell r="H1908">
            <v>2400</v>
          </cell>
        </row>
        <row r="1909">
          <cell r="A1909">
            <v>3400004110</v>
          </cell>
          <cell r="B1909">
            <v>6801</v>
          </cell>
          <cell r="C1909">
            <v>61102</v>
          </cell>
          <cell r="D1909">
            <v>0</v>
          </cell>
          <cell r="E1909" t="str">
            <v>ESD WORKING TABLE</v>
          </cell>
          <cell r="F1909">
            <v>1</v>
          </cell>
          <cell r="G1909">
            <v>35339</v>
          </cell>
          <cell r="H1909">
            <v>2400</v>
          </cell>
        </row>
        <row r="1910">
          <cell r="A1910">
            <v>3400004111</v>
          </cell>
          <cell r="B1910">
            <v>6801</v>
          </cell>
          <cell r="C1910">
            <v>61102</v>
          </cell>
          <cell r="D1910">
            <v>0</v>
          </cell>
          <cell r="E1910" t="str">
            <v>ESD WORKING TABLE</v>
          </cell>
          <cell r="F1910">
            <v>1</v>
          </cell>
          <cell r="G1910">
            <v>35339</v>
          </cell>
          <cell r="H1910">
            <v>2100</v>
          </cell>
        </row>
        <row r="1911">
          <cell r="A1911">
            <v>3400004112</v>
          </cell>
          <cell r="B1911">
            <v>6801</v>
          </cell>
          <cell r="C1911">
            <v>61102</v>
          </cell>
          <cell r="D1911">
            <v>0</v>
          </cell>
          <cell r="E1911" t="str">
            <v>ESD WORKING TABLE</v>
          </cell>
          <cell r="F1911">
            <v>1</v>
          </cell>
          <cell r="G1911">
            <v>35339</v>
          </cell>
          <cell r="H1911">
            <v>1800</v>
          </cell>
        </row>
        <row r="1912">
          <cell r="A1912">
            <v>3400004113</v>
          </cell>
          <cell r="B1912">
            <v>6801</v>
          </cell>
          <cell r="C1912">
            <v>61102</v>
          </cell>
          <cell r="D1912">
            <v>0</v>
          </cell>
          <cell r="E1912" t="str">
            <v>ESD WORKING TABLE</v>
          </cell>
          <cell r="F1912">
            <v>1</v>
          </cell>
          <cell r="G1912">
            <v>35339</v>
          </cell>
          <cell r="H1912">
            <v>1800</v>
          </cell>
        </row>
        <row r="1913">
          <cell r="A1913">
            <v>3400004114</v>
          </cell>
          <cell r="B1913">
            <v>6801</v>
          </cell>
          <cell r="C1913">
            <v>61102</v>
          </cell>
          <cell r="D1913">
            <v>0</v>
          </cell>
          <cell r="E1913" t="str">
            <v>ESD WORKING TABLE</v>
          </cell>
          <cell r="F1913">
            <v>1</v>
          </cell>
          <cell r="G1913">
            <v>35339</v>
          </cell>
          <cell r="H1913">
            <v>2600</v>
          </cell>
        </row>
        <row r="1914">
          <cell r="A1914">
            <v>3400004115</v>
          </cell>
          <cell r="B1914">
            <v>6801</v>
          </cell>
          <cell r="C1914">
            <v>61102</v>
          </cell>
          <cell r="D1914">
            <v>0</v>
          </cell>
          <cell r="E1914" t="str">
            <v>ESD WORKING TABLE</v>
          </cell>
          <cell r="F1914">
            <v>1</v>
          </cell>
          <cell r="G1914">
            <v>35339</v>
          </cell>
          <cell r="H1914">
            <v>2600</v>
          </cell>
        </row>
        <row r="1915">
          <cell r="A1915">
            <v>3400004116</v>
          </cell>
          <cell r="B1915">
            <v>6801</v>
          </cell>
          <cell r="C1915">
            <v>61102</v>
          </cell>
          <cell r="D1915">
            <v>0</v>
          </cell>
          <cell r="E1915" t="str">
            <v>ESD WORKING TABLE</v>
          </cell>
          <cell r="F1915">
            <v>1</v>
          </cell>
          <cell r="G1915">
            <v>35339</v>
          </cell>
          <cell r="H1915">
            <v>2600</v>
          </cell>
        </row>
        <row r="1916">
          <cell r="A1916">
            <v>3400004117</v>
          </cell>
          <cell r="B1916">
            <v>6801</v>
          </cell>
          <cell r="C1916">
            <v>61115</v>
          </cell>
          <cell r="D1916">
            <v>0</v>
          </cell>
          <cell r="E1916" t="str">
            <v>ESD WORKING TABLE</v>
          </cell>
          <cell r="F1916">
            <v>1</v>
          </cell>
          <cell r="G1916">
            <v>35339</v>
          </cell>
          <cell r="H1916">
            <v>2600</v>
          </cell>
        </row>
        <row r="1917">
          <cell r="A1917">
            <v>3400004118</v>
          </cell>
          <cell r="B1917">
            <v>6801</v>
          </cell>
          <cell r="C1917">
            <v>61115</v>
          </cell>
          <cell r="D1917">
            <v>0</v>
          </cell>
          <cell r="E1917" t="str">
            <v>ESD WORKING TABLE</v>
          </cell>
          <cell r="F1917">
            <v>1</v>
          </cell>
          <cell r="G1917">
            <v>35339</v>
          </cell>
          <cell r="H1917">
            <v>2600</v>
          </cell>
        </row>
        <row r="1918">
          <cell r="A1918">
            <v>3400004119</v>
          </cell>
          <cell r="B1918">
            <v>6801</v>
          </cell>
          <cell r="C1918">
            <v>61115</v>
          </cell>
          <cell r="D1918">
            <v>0</v>
          </cell>
          <cell r="E1918" t="str">
            <v>ESD WORKING TABLE</v>
          </cell>
          <cell r="F1918">
            <v>1</v>
          </cell>
          <cell r="G1918">
            <v>35339</v>
          </cell>
          <cell r="H1918">
            <v>2600</v>
          </cell>
        </row>
        <row r="1919">
          <cell r="A1919">
            <v>3400004120</v>
          </cell>
          <cell r="B1919">
            <v>6801</v>
          </cell>
          <cell r="C1919">
            <v>61115</v>
          </cell>
          <cell r="D1919">
            <v>0</v>
          </cell>
          <cell r="E1919" t="str">
            <v>ESD WORKING TABLE</v>
          </cell>
          <cell r="F1919">
            <v>1</v>
          </cell>
          <cell r="G1919">
            <v>35339</v>
          </cell>
          <cell r="H1919">
            <v>2600</v>
          </cell>
        </row>
        <row r="1920">
          <cell r="A1920">
            <v>3400004121</v>
          </cell>
          <cell r="B1920">
            <v>6801</v>
          </cell>
          <cell r="C1920">
            <v>61100</v>
          </cell>
          <cell r="D1920">
            <v>0</v>
          </cell>
          <cell r="E1920" t="str">
            <v>ESD WORKING TABLE</v>
          </cell>
          <cell r="F1920">
            <v>1</v>
          </cell>
          <cell r="G1920">
            <v>35339</v>
          </cell>
          <cell r="H1920">
            <v>2100</v>
          </cell>
        </row>
        <row r="1921">
          <cell r="A1921">
            <v>3400004122</v>
          </cell>
          <cell r="B1921">
            <v>6801</v>
          </cell>
          <cell r="C1921">
            <v>61103</v>
          </cell>
          <cell r="D1921">
            <v>0</v>
          </cell>
          <cell r="E1921" t="str">
            <v>ESD STEEL RACK</v>
          </cell>
          <cell r="F1921">
            <v>1</v>
          </cell>
          <cell r="G1921">
            <v>35339</v>
          </cell>
          <cell r="H1921">
            <v>2200</v>
          </cell>
        </row>
        <row r="1922">
          <cell r="A1922">
            <v>3400004122</v>
          </cell>
          <cell r="B1922">
            <v>6801</v>
          </cell>
          <cell r="C1922">
            <v>61103</v>
          </cell>
          <cell r="D1922">
            <v>1</v>
          </cell>
          <cell r="E1922" t="str">
            <v>NET COVERING OF ESD STEEL RACK</v>
          </cell>
          <cell r="F1922">
            <v>1</v>
          </cell>
          <cell r="G1922">
            <v>35339</v>
          </cell>
          <cell r="H1922">
            <v>7300</v>
          </cell>
        </row>
        <row r="1923">
          <cell r="A1923">
            <v>3400004123</v>
          </cell>
          <cell r="B1923">
            <v>6801</v>
          </cell>
          <cell r="C1923">
            <v>61103</v>
          </cell>
          <cell r="D1923">
            <v>0</v>
          </cell>
          <cell r="E1923" t="str">
            <v>ESD STEEL RACK</v>
          </cell>
          <cell r="F1923">
            <v>1</v>
          </cell>
          <cell r="G1923">
            <v>35339</v>
          </cell>
          <cell r="H1923">
            <v>2200</v>
          </cell>
        </row>
        <row r="1924">
          <cell r="A1924">
            <v>3400004123</v>
          </cell>
          <cell r="B1924">
            <v>6801</v>
          </cell>
          <cell r="C1924">
            <v>61103</v>
          </cell>
          <cell r="D1924">
            <v>1</v>
          </cell>
          <cell r="E1924" t="str">
            <v>NET COVERING OF ESD STEEL RACK</v>
          </cell>
          <cell r="F1924">
            <v>1</v>
          </cell>
          <cell r="G1924">
            <v>35339</v>
          </cell>
          <cell r="H1924">
            <v>7300</v>
          </cell>
        </row>
        <row r="1925">
          <cell r="A1925">
            <v>3400004124</v>
          </cell>
          <cell r="B1925">
            <v>6801</v>
          </cell>
          <cell r="C1925">
            <v>61206</v>
          </cell>
          <cell r="D1925">
            <v>0</v>
          </cell>
          <cell r="E1925" t="str">
            <v>ESD STEEL RACK</v>
          </cell>
          <cell r="F1925">
            <v>1</v>
          </cell>
          <cell r="G1925">
            <v>35339</v>
          </cell>
          <cell r="H1925">
            <v>1800</v>
          </cell>
        </row>
        <row r="1926">
          <cell r="A1926">
            <v>3400004124</v>
          </cell>
          <cell r="B1926">
            <v>6801</v>
          </cell>
          <cell r="C1926">
            <v>61206</v>
          </cell>
          <cell r="D1926">
            <v>1</v>
          </cell>
          <cell r="E1926" t="str">
            <v>NET COVERING OF ESD STEEL RACK</v>
          </cell>
          <cell r="F1926">
            <v>1</v>
          </cell>
          <cell r="G1926">
            <v>35339</v>
          </cell>
          <cell r="H1926">
            <v>5400</v>
          </cell>
        </row>
        <row r="1927">
          <cell r="A1927">
            <v>3400004125</v>
          </cell>
          <cell r="B1927">
            <v>6801</v>
          </cell>
          <cell r="C1927">
            <v>61206</v>
          </cell>
          <cell r="D1927">
            <v>0</v>
          </cell>
          <cell r="E1927" t="str">
            <v>ESD STEEL RACK</v>
          </cell>
          <cell r="F1927">
            <v>1</v>
          </cell>
          <cell r="G1927">
            <v>35339</v>
          </cell>
          <cell r="H1927">
            <v>1800</v>
          </cell>
        </row>
        <row r="1928">
          <cell r="A1928">
            <v>3400004125</v>
          </cell>
          <cell r="B1928">
            <v>6801</v>
          </cell>
          <cell r="C1928">
            <v>61206</v>
          </cell>
          <cell r="D1928">
            <v>1</v>
          </cell>
          <cell r="E1928" t="str">
            <v>NET COVERING OF ESD STEEL RACK</v>
          </cell>
          <cell r="F1928">
            <v>1</v>
          </cell>
          <cell r="G1928">
            <v>35339</v>
          </cell>
          <cell r="H1928">
            <v>7300</v>
          </cell>
        </row>
        <row r="1929">
          <cell r="A1929">
            <v>3400004126</v>
          </cell>
          <cell r="B1929">
            <v>6801</v>
          </cell>
          <cell r="C1929">
            <v>61206</v>
          </cell>
          <cell r="D1929">
            <v>0</v>
          </cell>
          <cell r="E1929" t="str">
            <v>ESD STEEL RACK</v>
          </cell>
          <cell r="F1929">
            <v>1</v>
          </cell>
          <cell r="G1929">
            <v>35339</v>
          </cell>
          <cell r="H1929">
            <v>1800</v>
          </cell>
        </row>
        <row r="1930">
          <cell r="A1930">
            <v>3400004126</v>
          </cell>
          <cell r="B1930">
            <v>6801</v>
          </cell>
          <cell r="C1930">
            <v>61206</v>
          </cell>
          <cell r="D1930">
            <v>1</v>
          </cell>
          <cell r="E1930" t="str">
            <v>NET COVERING OF ESD STEEL RACK</v>
          </cell>
          <cell r="F1930">
            <v>1</v>
          </cell>
          <cell r="G1930">
            <v>35339</v>
          </cell>
          <cell r="H1930">
            <v>7300</v>
          </cell>
        </row>
        <row r="1931">
          <cell r="A1931">
            <v>3400004127</v>
          </cell>
          <cell r="B1931">
            <v>6801</v>
          </cell>
          <cell r="C1931">
            <v>61101</v>
          </cell>
          <cell r="D1931">
            <v>0</v>
          </cell>
          <cell r="E1931" t="str">
            <v>ESD STEEL RACK</v>
          </cell>
          <cell r="F1931">
            <v>1</v>
          </cell>
          <cell r="G1931">
            <v>35339</v>
          </cell>
          <cell r="H1931">
            <v>2200</v>
          </cell>
        </row>
        <row r="1932">
          <cell r="A1932">
            <v>3400004128</v>
          </cell>
          <cell r="B1932">
            <v>6801</v>
          </cell>
          <cell r="C1932">
            <v>61206</v>
          </cell>
          <cell r="D1932">
            <v>0</v>
          </cell>
          <cell r="E1932" t="str">
            <v>ESD STEEL RACK</v>
          </cell>
          <cell r="F1932">
            <v>1</v>
          </cell>
          <cell r="G1932">
            <v>35339</v>
          </cell>
          <cell r="H1932">
            <v>2400</v>
          </cell>
        </row>
        <row r="1933">
          <cell r="A1933">
            <v>3400004129</v>
          </cell>
          <cell r="B1933">
            <v>6801</v>
          </cell>
          <cell r="C1933">
            <v>61206</v>
          </cell>
          <cell r="D1933">
            <v>0</v>
          </cell>
          <cell r="E1933" t="str">
            <v>ESD STEEL RACK</v>
          </cell>
          <cell r="F1933">
            <v>1</v>
          </cell>
          <cell r="G1933">
            <v>35339</v>
          </cell>
          <cell r="H1933">
            <v>1800</v>
          </cell>
        </row>
        <row r="1934">
          <cell r="A1934">
            <v>3400004130</v>
          </cell>
          <cell r="B1934">
            <v>6801</v>
          </cell>
          <cell r="C1934">
            <v>61206</v>
          </cell>
          <cell r="D1934">
            <v>0</v>
          </cell>
          <cell r="E1934" t="str">
            <v>ESD STEEL RACK</v>
          </cell>
          <cell r="F1934">
            <v>1</v>
          </cell>
          <cell r="G1934">
            <v>35339</v>
          </cell>
          <cell r="H1934">
            <v>1600</v>
          </cell>
        </row>
        <row r="1935">
          <cell r="A1935">
            <v>3400004131</v>
          </cell>
          <cell r="B1935">
            <v>6801</v>
          </cell>
          <cell r="C1935">
            <v>61206</v>
          </cell>
          <cell r="D1935">
            <v>0</v>
          </cell>
          <cell r="E1935" t="str">
            <v>ESD STEEL RACK</v>
          </cell>
          <cell r="F1935">
            <v>1</v>
          </cell>
          <cell r="G1935">
            <v>35339</v>
          </cell>
          <cell r="H1935">
            <v>2200</v>
          </cell>
        </row>
        <row r="1936">
          <cell r="A1936">
            <v>3400004133</v>
          </cell>
          <cell r="B1936">
            <v>6801</v>
          </cell>
          <cell r="C1936">
            <v>61102</v>
          </cell>
          <cell r="D1936">
            <v>0</v>
          </cell>
          <cell r="E1936" t="str">
            <v>ESD CHAIRS</v>
          </cell>
          <cell r="F1936">
            <v>1</v>
          </cell>
          <cell r="G1936">
            <v>35339</v>
          </cell>
          <cell r="H1936">
            <v>1700</v>
          </cell>
        </row>
        <row r="1937">
          <cell r="A1937">
            <v>3400004134</v>
          </cell>
          <cell r="B1937">
            <v>6801</v>
          </cell>
          <cell r="C1937">
            <v>61102</v>
          </cell>
          <cell r="D1937">
            <v>0</v>
          </cell>
          <cell r="E1937" t="str">
            <v>ESD CHAIRS</v>
          </cell>
          <cell r="F1937">
            <v>1</v>
          </cell>
          <cell r="G1937">
            <v>35339</v>
          </cell>
          <cell r="H1937">
            <v>1700</v>
          </cell>
        </row>
        <row r="1938">
          <cell r="A1938">
            <v>3400004135</v>
          </cell>
          <cell r="B1938">
            <v>6801</v>
          </cell>
          <cell r="C1938">
            <v>61102</v>
          </cell>
          <cell r="D1938">
            <v>0</v>
          </cell>
          <cell r="E1938" t="str">
            <v>ESD CHAIRS</v>
          </cell>
          <cell r="F1938">
            <v>1</v>
          </cell>
          <cell r="G1938">
            <v>35339</v>
          </cell>
          <cell r="H1938">
            <v>1700</v>
          </cell>
        </row>
        <row r="1939">
          <cell r="A1939">
            <v>3400004136</v>
          </cell>
          <cell r="B1939">
            <v>6801</v>
          </cell>
          <cell r="C1939">
            <v>61102</v>
          </cell>
          <cell r="D1939">
            <v>0</v>
          </cell>
          <cell r="E1939" t="str">
            <v>ESD CHAIRS</v>
          </cell>
          <cell r="F1939">
            <v>1</v>
          </cell>
          <cell r="G1939">
            <v>35339</v>
          </cell>
          <cell r="H1939">
            <v>1700</v>
          </cell>
        </row>
        <row r="1940">
          <cell r="A1940">
            <v>3400004137</v>
          </cell>
          <cell r="B1940">
            <v>6801</v>
          </cell>
          <cell r="C1940">
            <v>61102</v>
          </cell>
          <cell r="D1940">
            <v>0</v>
          </cell>
          <cell r="E1940" t="str">
            <v>ESD CHAIRS</v>
          </cell>
          <cell r="F1940">
            <v>1</v>
          </cell>
          <cell r="G1940">
            <v>35339</v>
          </cell>
          <cell r="H1940">
            <v>1700</v>
          </cell>
        </row>
        <row r="1941">
          <cell r="A1941">
            <v>3400004138</v>
          </cell>
          <cell r="B1941">
            <v>6801</v>
          </cell>
          <cell r="C1941">
            <v>61102</v>
          </cell>
          <cell r="D1941">
            <v>0</v>
          </cell>
          <cell r="E1941" t="str">
            <v>ESD CHAIRS</v>
          </cell>
          <cell r="F1941">
            <v>1</v>
          </cell>
          <cell r="G1941">
            <v>35339</v>
          </cell>
          <cell r="H1941">
            <v>1700</v>
          </cell>
        </row>
        <row r="1942">
          <cell r="A1942">
            <v>3400004139</v>
          </cell>
          <cell r="B1942">
            <v>6801</v>
          </cell>
          <cell r="C1942">
            <v>61102</v>
          </cell>
          <cell r="D1942">
            <v>0</v>
          </cell>
          <cell r="E1942" t="str">
            <v>ESD CHAIRS</v>
          </cell>
          <cell r="F1942">
            <v>1</v>
          </cell>
          <cell r="G1942">
            <v>35339</v>
          </cell>
          <cell r="H1942">
            <v>1700</v>
          </cell>
        </row>
        <row r="1943">
          <cell r="A1943">
            <v>3400004140</v>
          </cell>
          <cell r="B1943">
            <v>6801</v>
          </cell>
          <cell r="C1943">
            <v>61102</v>
          </cell>
          <cell r="D1943">
            <v>0</v>
          </cell>
          <cell r="E1943" t="str">
            <v>ESD CHAIRS</v>
          </cell>
          <cell r="F1943">
            <v>1</v>
          </cell>
          <cell r="G1943">
            <v>35339</v>
          </cell>
          <cell r="H1943">
            <v>1700</v>
          </cell>
        </row>
        <row r="1944">
          <cell r="A1944">
            <v>3400004141</v>
          </cell>
          <cell r="B1944">
            <v>6801</v>
          </cell>
          <cell r="C1944">
            <v>61102</v>
          </cell>
          <cell r="D1944">
            <v>0</v>
          </cell>
          <cell r="E1944" t="str">
            <v>ESD CHAIRS</v>
          </cell>
          <cell r="F1944">
            <v>1</v>
          </cell>
          <cell r="G1944">
            <v>35339</v>
          </cell>
          <cell r="H1944">
            <v>1700</v>
          </cell>
        </row>
        <row r="1945">
          <cell r="A1945">
            <v>3400004142</v>
          </cell>
          <cell r="B1945">
            <v>6801</v>
          </cell>
          <cell r="C1945">
            <v>61102</v>
          </cell>
          <cell r="D1945">
            <v>0</v>
          </cell>
          <cell r="E1945" t="str">
            <v>ESD CHAIRS</v>
          </cell>
          <cell r="F1945">
            <v>1</v>
          </cell>
          <cell r="G1945">
            <v>35339</v>
          </cell>
          <cell r="H1945">
            <v>1700</v>
          </cell>
        </row>
        <row r="1946">
          <cell r="A1946">
            <v>3400004143</v>
          </cell>
          <cell r="B1946">
            <v>6801</v>
          </cell>
          <cell r="C1946">
            <v>61115</v>
          </cell>
          <cell r="D1946">
            <v>0</v>
          </cell>
          <cell r="E1946" t="str">
            <v>ESD CHAIRS</v>
          </cell>
          <cell r="F1946">
            <v>1</v>
          </cell>
          <cell r="G1946">
            <v>35339</v>
          </cell>
          <cell r="H1946">
            <v>1700</v>
          </cell>
        </row>
        <row r="1947">
          <cell r="A1947">
            <v>3400004144</v>
          </cell>
          <cell r="B1947">
            <v>6801</v>
          </cell>
          <cell r="C1947">
            <v>61115</v>
          </cell>
          <cell r="D1947">
            <v>0</v>
          </cell>
          <cell r="E1947" t="str">
            <v>ESD CHAIRS</v>
          </cell>
          <cell r="F1947">
            <v>1</v>
          </cell>
          <cell r="G1947">
            <v>35339</v>
          </cell>
          <cell r="H1947">
            <v>1700</v>
          </cell>
        </row>
        <row r="1948">
          <cell r="A1948">
            <v>3400004145</v>
          </cell>
          <cell r="B1948">
            <v>6801</v>
          </cell>
          <cell r="C1948">
            <v>61115</v>
          </cell>
          <cell r="D1948">
            <v>0</v>
          </cell>
          <cell r="E1948" t="str">
            <v>ESD CHAIRS</v>
          </cell>
          <cell r="F1948">
            <v>1</v>
          </cell>
          <cell r="G1948">
            <v>35339</v>
          </cell>
          <cell r="H1948">
            <v>1700</v>
          </cell>
        </row>
        <row r="1949">
          <cell r="A1949">
            <v>3400004146</v>
          </cell>
          <cell r="B1949">
            <v>6801</v>
          </cell>
          <cell r="C1949">
            <v>61115</v>
          </cell>
          <cell r="D1949">
            <v>0</v>
          </cell>
          <cell r="E1949" t="str">
            <v>ESD CHAIRS</v>
          </cell>
          <cell r="F1949">
            <v>1</v>
          </cell>
          <cell r="G1949">
            <v>35339</v>
          </cell>
          <cell r="H1949">
            <v>1400</v>
          </cell>
        </row>
        <row r="1950">
          <cell r="A1950">
            <v>3400004147</v>
          </cell>
          <cell r="B1950">
            <v>6801</v>
          </cell>
          <cell r="C1950">
            <v>61100</v>
          </cell>
          <cell r="D1950">
            <v>0</v>
          </cell>
          <cell r="E1950" t="str">
            <v>ESD CHAIRS</v>
          </cell>
          <cell r="F1950">
            <v>1</v>
          </cell>
          <cell r="G1950">
            <v>35339</v>
          </cell>
          <cell r="H1950">
            <v>1400</v>
          </cell>
        </row>
        <row r="1951">
          <cell r="A1951">
            <v>3400004148</v>
          </cell>
          <cell r="B1951">
            <v>6801</v>
          </cell>
          <cell r="C1951">
            <v>61100</v>
          </cell>
          <cell r="D1951">
            <v>0</v>
          </cell>
          <cell r="E1951" t="str">
            <v>ESD CHAIRS</v>
          </cell>
          <cell r="F1951">
            <v>1</v>
          </cell>
          <cell r="G1951">
            <v>35339</v>
          </cell>
          <cell r="H1951">
            <v>1700</v>
          </cell>
        </row>
        <row r="1952">
          <cell r="A1952">
            <v>3400004149</v>
          </cell>
          <cell r="B1952">
            <v>6801</v>
          </cell>
          <cell r="C1952">
            <v>61100</v>
          </cell>
          <cell r="D1952">
            <v>0</v>
          </cell>
          <cell r="E1952" t="str">
            <v>ESD CHAIRS</v>
          </cell>
          <cell r="F1952">
            <v>1</v>
          </cell>
          <cell r="G1952">
            <v>35339</v>
          </cell>
          <cell r="H1952">
            <v>1400</v>
          </cell>
        </row>
        <row r="1953">
          <cell r="A1953">
            <v>3400004150</v>
          </cell>
          <cell r="B1953">
            <v>6801</v>
          </cell>
          <cell r="C1953">
            <v>61100</v>
          </cell>
          <cell r="D1953">
            <v>0</v>
          </cell>
          <cell r="E1953" t="str">
            <v>ESD CHAIRS</v>
          </cell>
          <cell r="F1953">
            <v>1</v>
          </cell>
          <cell r="G1953">
            <v>35339</v>
          </cell>
          <cell r="H1953">
            <v>1400</v>
          </cell>
        </row>
        <row r="1954">
          <cell r="A1954">
            <v>3400004151</v>
          </cell>
          <cell r="B1954">
            <v>6801</v>
          </cell>
          <cell r="C1954">
            <v>61100</v>
          </cell>
          <cell r="D1954">
            <v>0</v>
          </cell>
          <cell r="E1954" t="str">
            <v>ESD CHAIRS</v>
          </cell>
          <cell r="F1954">
            <v>1</v>
          </cell>
          <cell r="G1954">
            <v>35339</v>
          </cell>
          <cell r="H1954">
            <v>1400</v>
          </cell>
        </row>
        <row r="1955">
          <cell r="A1955">
            <v>3400004152</v>
          </cell>
          <cell r="B1955">
            <v>6801</v>
          </cell>
          <cell r="C1955">
            <v>61100</v>
          </cell>
          <cell r="D1955">
            <v>0</v>
          </cell>
          <cell r="E1955" t="str">
            <v>ESD CHAIRS</v>
          </cell>
          <cell r="F1955">
            <v>1</v>
          </cell>
          <cell r="G1955">
            <v>35339</v>
          </cell>
          <cell r="H1955">
            <v>1400</v>
          </cell>
        </row>
        <row r="1956">
          <cell r="A1956">
            <v>3400004153</v>
          </cell>
          <cell r="B1956">
            <v>6801</v>
          </cell>
          <cell r="C1956">
            <v>61100</v>
          </cell>
          <cell r="D1956">
            <v>0</v>
          </cell>
          <cell r="E1956" t="str">
            <v>ESD CHAIRS</v>
          </cell>
          <cell r="F1956">
            <v>1</v>
          </cell>
          <cell r="G1956">
            <v>35339</v>
          </cell>
          <cell r="H1956">
            <v>1700</v>
          </cell>
        </row>
        <row r="1957">
          <cell r="A1957">
            <v>3400004154</v>
          </cell>
          <cell r="B1957">
            <v>6801</v>
          </cell>
          <cell r="C1957">
            <v>61100</v>
          </cell>
          <cell r="D1957">
            <v>0</v>
          </cell>
          <cell r="E1957" t="str">
            <v>ESD CHAIRS</v>
          </cell>
          <cell r="F1957">
            <v>1</v>
          </cell>
          <cell r="G1957">
            <v>35339</v>
          </cell>
          <cell r="H1957">
            <v>1700</v>
          </cell>
        </row>
        <row r="1958">
          <cell r="A1958">
            <v>3400004155</v>
          </cell>
          <cell r="B1958">
            <v>6801</v>
          </cell>
          <cell r="C1958">
            <v>61100</v>
          </cell>
          <cell r="D1958">
            <v>0</v>
          </cell>
          <cell r="E1958" t="str">
            <v>ESD CHAIRS</v>
          </cell>
          <cell r="F1958">
            <v>1</v>
          </cell>
          <cell r="G1958">
            <v>35339</v>
          </cell>
          <cell r="H1958">
            <v>1700</v>
          </cell>
        </row>
        <row r="1959">
          <cell r="A1959">
            <v>3400004156</v>
          </cell>
          <cell r="B1959">
            <v>6801</v>
          </cell>
          <cell r="C1959">
            <v>61100</v>
          </cell>
          <cell r="D1959">
            <v>0</v>
          </cell>
          <cell r="E1959" t="str">
            <v>ESD CHAIRS</v>
          </cell>
          <cell r="F1959">
            <v>1</v>
          </cell>
          <cell r="G1959">
            <v>35339</v>
          </cell>
          <cell r="H1959">
            <v>1700</v>
          </cell>
        </row>
        <row r="1960">
          <cell r="A1960">
            <v>3400004157</v>
          </cell>
          <cell r="B1960">
            <v>6801</v>
          </cell>
          <cell r="C1960">
            <v>61100</v>
          </cell>
          <cell r="D1960">
            <v>0</v>
          </cell>
          <cell r="E1960" t="str">
            <v>ESD CHAIRS</v>
          </cell>
          <cell r="F1960">
            <v>1</v>
          </cell>
          <cell r="G1960">
            <v>35339</v>
          </cell>
          <cell r="H1960">
            <v>1700</v>
          </cell>
        </row>
        <row r="1961">
          <cell r="A1961">
            <v>3400004158</v>
          </cell>
          <cell r="B1961">
            <v>6801</v>
          </cell>
          <cell r="C1961">
            <v>61100</v>
          </cell>
          <cell r="D1961">
            <v>0</v>
          </cell>
          <cell r="E1961" t="str">
            <v>ESD CHAIRS</v>
          </cell>
          <cell r="F1961">
            <v>1</v>
          </cell>
          <cell r="G1961">
            <v>35339</v>
          </cell>
          <cell r="H1961">
            <v>1700</v>
          </cell>
        </row>
        <row r="1962">
          <cell r="A1962">
            <v>3400004159</v>
          </cell>
          <cell r="B1962">
            <v>6801</v>
          </cell>
          <cell r="C1962">
            <v>61100</v>
          </cell>
          <cell r="D1962">
            <v>0</v>
          </cell>
          <cell r="E1962" t="str">
            <v>ESD CHAIRS</v>
          </cell>
          <cell r="F1962">
            <v>1</v>
          </cell>
          <cell r="G1962">
            <v>35339</v>
          </cell>
          <cell r="H1962">
            <v>1700</v>
          </cell>
        </row>
        <row r="1963">
          <cell r="A1963">
            <v>3400004160</v>
          </cell>
          <cell r="B1963">
            <v>6801</v>
          </cell>
          <cell r="C1963">
            <v>61100</v>
          </cell>
          <cell r="D1963">
            <v>0</v>
          </cell>
          <cell r="E1963" t="str">
            <v>ESD CHAIRS</v>
          </cell>
          <cell r="F1963">
            <v>1</v>
          </cell>
          <cell r="G1963">
            <v>35339</v>
          </cell>
          <cell r="H1963">
            <v>1700</v>
          </cell>
        </row>
        <row r="1964">
          <cell r="A1964">
            <v>3400004161</v>
          </cell>
          <cell r="B1964">
            <v>6801</v>
          </cell>
          <cell r="C1964">
            <v>61100</v>
          </cell>
          <cell r="D1964">
            <v>0</v>
          </cell>
          <cell r="E1964" t="str">
            <v>ESD CHAIRS</v>
          </cell>
          <cell r="F1964">
            <v>1</v>
          </cell>
          <cell r="G1964">
            <v>35339</v>
          </cell>
          <cell r="H1964">
            <v>1700</v>
          </cell>
        </row>
        <row r="1965">
          <cell r="A1965">
            <v>3400004162</v>
          </cell>
          <cell r="B1965">
            <v>6801</v>
          </cell>
          <cell r="C1965">
            <v>61100</v>
          </cell>
          <cell r="D1965">
            <v>0</v>
          </cell>
          <cell r="E1965" t="str">
            <v>ESD CHAIRS</v>
          </cell>
          <cell r="F1965">
            <v>1</v>
          </cell>
          <cell r="G1965">
            <v>35339</v>
          </cell>
          <cell r="H1965">
            <v>1700</v>
          </cell>
        </row>
        <row r="1966">
          <cell r="A1966">
            <v>3400004163</v>
          </cell>
          <cell r="B1966">
            <v>6801</v>
          </cell>
          <cell r="C1966">
            <v>61100</v>
          </cell>
          <cell r="D1966">
            <v>0</v>
          </cell>
          <cell r="E1966" t="str">
            <v>ESD CHAIRS</v>
          </cell>
          <cell r="F1966">
            <v>1</v>
          </cell>
          <cell r="G1966">
            <v>35339</v>
          </cell>
          <cell r="H1966">
            <v>1700</v>
          </cell>
        </row>
        <row r="1967">
          <cell r="A1967">
            <v>3400004164</v>
          </cell>
          <cell r="B1967">
            <v>6801</v>
          </cell>
          <cell r="C1967">
            <v>61100</v>
          </cell>
          <cell r="D1967">
            <v>0</v>
          </cell>
          <cell r="E1967" t="str">
            <v>ESD CHAIRS</v>
          </cell>
          <cell r="F1967">
            <v>1</v>
          </cell>
          <cell r="G1967">
            <v>35339</v>
          </cell>
          <cell r="H1967">
            <v>1700</v>
          </cell>
        </row>
        <row r="1968">
          <cell r="A1968">
            <v>3400004165</v>
          </cell>
          <cell r="B1968">
            <v>6801</v>
          </cell>
          <cell r="C1968">
            <v>61100</v>
          </cell>
          <cell r="D1968">
            <v>0</v>
          </cell>
          <cell r="E1968" t="str">
            <v>ESD CHAIRS</v>
          </cell>
          <cell r="F1968">
            <v>1</v>
          </cell>
          <cell r="G1968">
            <v>35339</v>
          </cell>
          <cell r="H1968">
            <v>1700</v>
          </cell>
        </row>
        <row r="1969">
          <cell r="A1969">
            <v>3400004166</v>
          </cell>
          <cell r="B1969">
            <v>6801</v>
          </cell>
          <cell r="C1969">
            <v>61100</v>
          </cell>
          <cell r="D1969">
            <v>0</v>
          </cell>
          <cell r="E1969" t="str">
            <v>ESD CHAIRS</v>
          </cell>
          <cell r="F1969">
            <v>1</v>
          </cell>
          <cell r="G1969">
            <v>35339</v>
          </cell>
          <cell r="H1969">
            <v>1700</v>
          </cell>
        </row>
        <row r="1970">
          <cell r="A1970">
            <v>3400004167</v>
          </cell>
          <cell r="B1970">
            <v>6801</v>
          </cell>
          <cell r="C1970">
            <v>61100</v>
          </cell>
          <cell r="D1970">
            <v>0</v>
          </cell>
          <cell r="E1970" t="str">
            <v>ESD CHAIRS</v>
          </cell>
          <cell r="F1970">
            <v>1</v>
          </cell>
          <cell r="G1970">
            <v>35339</v>
          </cell>
          <cell r="H1970">
            <v>1700</v>
          </cell>
        </row>
        <row r="1971">
          <cell r="A1971">
            <v>3400004175</v>
          </cell>
          <cell r="B1971">
            <v>6801</v>
          </cell>
          <cell r="C1971">
            <v>61100</v>
          </cell>
          <cell r="D1971">
            <v>0</v>
          </cell>
          <cell r="E1971" t="str">
            <v>WORKING TABLE</v>
          </cell>
          <cell r="F1971">
            <v>1</v>
          </cell>
          <cell r="G1971">
            <v>35339</v>
          </cell>
          <cell r="H1971">
            <v>2600</v>
          </cell>
        </row>
        <row r="1972">
          <cell r="A1972">
            <v>3400004176</v>
          </cell>
          <cell r="B1972">
            <v>6801</v>
          </cell>
          <cell r="C1972">
            <v>61100</v>
          </cell>
          <cell r="D1972">
            <v>0</v>
          </cell>
          <cell r="E1972" t="str">
            <v>WORKING TABLE</v>
          </cell>
          <cell r="F1972">
            <v>1</v>
          </cell>
          <cell r="G1972">
            <v>35339</v>
          </cell>
          <cell r="H1972">
            <v>2600</v>
          </cell>
        </row>
        <row r="1973">
          <cell r="A1973">
            <v>3400004177</v>
          </cell>
          <cell r="B1973">
            <v>6801</v>
          </cell>
          <cell r="C1973">
            <v>61100</v>
          </cell>
          <cell r="D1973">
            <v>0</v>
          </cell>
          <cell r="E1973" t="str">
            <v>WORKING TABLE</v>
          </cell>
          <cell r="F1973">
            <v>1</v>
          </cell>
          <cell r="G1973">
            <v>35339</v>
          </cell>
          <cell r="H1973">
            <v>2600</v>
          </cell>
        </row>
        <row r="1974">
          <cell r="A1974">
            <v>3400004178</v>
          </cell>
          <cell r="B1974">
            <v>6801</v>
          </cell>
          <cell r="C1974">
            <v>61100</v>
          </cell>
          <cell r="D1974">
            <v>0</v>
          </cell>
          <cell r="E1974" t="str">
            <v>WORKING TABLE</v>
          </cell>
          <cell r="F1974">
            <v>1</v>
          </cell>
          <cell r="G1974">
            <v>35339</v>
          </cell>
          <cell r="H1974">
            <v>2600</v>
          </cell>
        </row>
        <row r="1975">
          <cell r="A1975">
            <v>3400004179</v>
          </cell>
          <cell r="B1975">
            <v>6801</v>
          </cell>
          <cell r="C1975">
            <v>61100</v>
          </cell>
          <cell r="D1975">
            <v>0</v>
          </cell>
          <cell r="E1975" t="str">
            <v>WORKING TABLE</v>
          </cell>
          <cell r="F1975">
            <v>1</v>
          </cell>
          <cell r="G1975">
            <v>35339</v>
          </cell>
          <cell r="H1975">
            <v>2600</v>
          </cell>
        </row>
        <row r="1976">
          <cell r="A1976">
            <v>3400004180</v>
          </cell>
          <cell r="B1976">
            <v>6801</v>
          </cell>
          <cell r="C1976">
            <v>61100</v>
          </cell>
          <cell r="D1976">
            <v>0</v>
          </cell>
          <cell r="E1976" t="str">
            <v>WORKING TABLE</v>
          </cell>
          <cell r="F1976">
            <v>1</v>
          </cell>
          <cell r="G1976">
            <v>35339</v>
          </cell>
          <cell r="H1976">
            <v>2600</v>
          </cell>
        </row>
        <row r="1977">
          <cell r="A1977">
            <v>3400004181</v>
          </cell>
          <cell r="B1977">
            <v>6801</v>
          </cell>
          <cell r="C1977">
            <v>61100</v>
          </cell>
          <cell r="D1977">
            <v>0</v>
          </cell>
          <cell r="E1977" t="str">
            <v>WORKING TABLE</v>
          </cell>
          <cell r="F1977">
            <v>1</v>
          </cell>
          <cell r="G1977">
            <v>35339</v>
          </cell>
          <cell r="H1977">
            <v>2600</v>
          </cell>
        </row>
        <row r="1978">
          <cell r="A1978">
            <v>3400004182</v>
          </cell>
          <cell r="B1978">
            <v>6801</v>
          </cell>
          <cell r="C1978">
            <v>61100</v>
          </cell>
          <cell r="D1978">
            <v>0</v>
          </cell>
          <cell r="E1978" t="str">
            <v>WORKING TABLE</v>
          </cell>
          <cell r="F1978">
            <v>1</v>
          </cell>
          <cell r="G1978">
            <v>35339</v>
          </cell>
          <cell r="H1978">
            <v>2600</v>
          </cell>
        </row>
        <row r="1979">
          <cell r="A1979">
            <v>3400004183</v>
          </cell>
          <cell r="B1979">
            <v>6801</v>
          </cell>
          <cell r="C1979">
            <v>61100</v>
          </cell>
          <cell r="D1979">
            <v>0</v>
          </cell>
          <cell r="E1979" t="str">
            <v>WORKING TABLE</v>
          </cell>
          <cell r="F1979">
            <v>1</v>
          </cell>
          <cell r="G1979">
            <v>35339</v>
          </cell>
          <cell r="H1979">
            <v>2600</v>
          </cell>
        </row>
        <row r="1980">
          <cell r="A1980">
            <v>3400004184</v>
          </cell>
          <cell r="B1980">
            <v>6801</v>
          </cell>
          <cell r="C1980">
            <v>61100</v>
          </cell>
          <cell r="D1980">
            <v>0</v>
          </cell>
          <cell r="E1980" t="str">
            <v>WORKING TABLE</v>
          </cell>
          <cell r="F1980">
            <v>1</v>
          </cell>
          <cell r="G1980">
            <v>35339</v>
          </cell>
          <cell r="H1980">
            <v>2600</v>
          </cell>
        </row>
        <row r="1981">
          <cell r="A1981">
            <v>3400004185</v>
          </cell>
          <cell r="B1981">
            <v>6801</v>
          </cell>
          <cell r="C1981">
            <v>61100</v>
          </cell>
          <cell r="D1981">
            <v>0</v>
          </cell>
          <cell r="E1981" t="str">
            <v>WORKING TABLE</v>
          </cell>
          <cell r="F1981">
            <v>1</v>
          </cell>
          <cell r="G1981">
            <v>35339</v>
          </cell>
          <cell r="H1981">
            <v>2600</v>
          </cell>
        </row>
        <row r="1982">
          <cell r="A1982">
            <v>3400004186</v>
          </cell>
          <cell r="B1982">
            <v>6801</v>
          </cell>
          <cell r="C1982">
            <v>61100</v>
          </cell>
          <cell r="D1982">
            <v>0</v>
          </cell>
          <cell r="E1982" t="str">
            <v>WORKING TABLE</v>
          </cell>
          <cell r="F1982">
            <v>1</v>
          </cell>
          <cell r="G1982">
            <v>35339</v>
          </cell>
          <cell r="H1982">
            <v>2600</v>
          </cell>
        </row>
        <row r="1983">
          <cell r="A1983">
            <v>3400004187</v>
          </cell>
          <cell r="B1983">
            <v>6801</v>
          </cell>
          <cell r="C1983">
            <v>61100</v>
          </cell>
          <cell r="D1983">
            <v>0</v>
          </cell>
          <cell r="E1983" t="str">
            <v>WORKING TABLE</v>
          </cell>
          <cell r="F1983">
            <v>1</v>
          </cell>
          <cell r="G1983">
            <v>35339</v>
          </cell>
          <cell r="H1983">
            <v>2600</v>
          </cell>
        </row>
        <row r="1984">
          <cell r="A1984">
            <v>3400004188</v>
          </cell>
          <cell r="B1984">
            <v>6801</v>
          </cell>
          <cell r="C1984">
            <v>61100</v>
          </cell>
          <cell r="D1984">
            <v>0</v>
          </cell>
          <cell r="E1984" t="str">
            <v>WORKING TABLE</v>
          </cell>
          <cell r="F1984">
            <v>1</v>
          </cell>
          <cell r="G1984">
            <v>35339</v>
          </cell>
          <cell r="H1984">
            <v>2600</v>
          </cell>
        </row>
        <row r="1985">
          <cell r="A1985">
            <v>3400004189</v>
          </cell>
          <cell r="B1985">
            <v>6801</v>
          </cell>
          <cell r="C1985">
            <v>61100</v>
          </cell>
          <cell r="D1985">
            <v>0</v>
          </cell>
          <cell r="E1985" t="str">
            <v>WORKING TABLE</v>
          </cell>
          <cell r="F1985">
            <v>1</v>
          </cell>
          <cell r="G1985">
            <v>35339</v>
          </cell>
          <cell r="H1985">
            <v>2600</v>
          </cell>
        </row>
        <row r="1986">
          <cell r="A1986">
            <v>3400004190</v>
          </cell>
          <cell r="B1986">
            <v>6801</v>
          </cell>
          <cell r="C1986">
            <v>61100</v>
          </cell>
          <cell r="D1986">
            <v>0</v>
          </cell>
          <cell r="E1986" t="str">
            <v>WORKING TABLE</v>
          </cell>
          <cell r="F1986">
            <v>1</v>
          </cell>
          <cell r="G1986">
            <v>35339</v>
          </cell>
          <cell r="H1986">
            <v>2600</v>
          </cell>
        </row>
        <row r="1987">
          <cell r="A1987">
            <v>3400004191</v>
          </cell>
          <cell r="B1987">
            <v>6801</v>
          </cell>
          <cell r="C1987">
            <v>61100</v>
          </cell>
          <cell r="D1987">
            <v>0</v>
          </cell>
          <cell r="E1987" t="str">
            <v>WORKING TABLE</v>
          </cell>
          <cell r="F1987">
            <v>1</v>
          </cell>
          <cell r="G1987">
            <v>35339</v>
          </cell>
          <cell r="H1987">
            <v>2600</v>
          </cell>
        </row>
        <row r="1988">
          <cell r="A1988">
            <v>3400004192</v>
          </cell>
          <cell r="B1988">
            <v>6801</v>
          </cell>
          <cell r="C1988">
            <v>61100</v>
          </cell>
          <cell r="D1988">
            <v>0</v>
          </cell>
          <cell r="E1988" t="str">
            <v>WORKING TABLE</v>
          </cell>
          <cell r="F1988">
            <v>1</v>
          </cell>
          <cell r="G1988">
            <v>35339</v>
          </cell>
          <cell r="H1988">
            <v>2600</v>
          </cell>
        </row>
        <row r="1989">
          <cell r="A1989">
            <v>3400004193</v>
          </cell>
          <cell r="B1989">
            <v>6801</v>
          </cell>
          <cell r="C1989">
            <v>61100</v>
          </cell>
          <cell r="D1989">
            <v>0</v>
          </cell>
          <cell r="E1989" t="str">
            <v>WORKING TABLE</v>
          </cell>
          <cell r="F1989">
            <v>1</v>
          </cell>
          <cell r="G1989">
            <v>35339</v>
          </cell>
          <cell r="H1989">
            <v>2600</v>
          </cell>
        </row>
        <row r="1990">
          <cell r="A1990">
            <v>3400004194</v>
          </cell>
          <cell r="B1990">
            <v>6801</v>
          </cell>
          <cell r="C1990">
            <v>61100</v>
          </cell>
          <cell r="D1990">
            <v>0</v>
          </cell>
          <cell r="E1990" t="str">
            <v>WORKING TABLE</v>
          </cell>
          <cell r="F1990">
            <v>1</v>
          </cell>
          <cell r="G1990">
            <v>35339</v>
          </cell>
          <cell r="H1990">
            <v>2600</v>
          </cell>
        </row>
        <row r="1991">
          <cell r="A1991">
            <v>3400004195</v>
          </cell>
          <cell r="B1991">
            <v>6801</v>
          </cell>
          <cell r="C1991">
            <v>61100</v>
          </cell>
          <cell r="D1991">
            <v>0</v>
          </cell>
          <cell r="E1991" t="str">
            <v>WORKING TABLE</v>
          </cell>
          <cell r="F1991">
            <v>1</v>
          </cell>
          <cell r="G1991">
            <v>35339</v>
          </cell>
          <cell r="H1991">
            <v>2600</v>
          </cell>
        </row>
        <row r="1992">
          <cell r="A1992">
            <v>3400004196</v>
          </cell>
          <cell r="B1992">
            <v>6801</v>
          </cell>
          <cell r="C1992">
            <v>61103</v>
          </cell>
          <cell r="D1992">
            <v>0</v>
          </cell>
          <cell r="E1992" t="str">
            <v>WORKING TABLE</v>
          </cell>
          <cell r="F1992">
            <v>1</v>
          </cell>
          <cell r="G1992">
            <v>35339</v>
          </cell>
          <cell r="H1992">
            <v>2600</v>
          </cell>
        </row>
        <row r="1993">
          <cell r="A1993">
            <v>3400004197</v>
          </cell>
          <cell r="B1993">
            <v>6801</v>
          </cell>
          <cell r="C1993">
            <v>61100</v>
          </cell>
          <cell r="D1993">
            <v>0</v>
          </cell>
          <cell r="E1993" t="str">
            <v>WORKING TABLE</v>
          </cell>
          <cell r="F1993">
            <v>1</v>
          </cell>
          <cell r="G1993">
            <v>35339</v>
          </cell>
          <cell r="H1993">
            <v>2600</v>
          </cell>
        </row>
        <row r="1994">
          <cell r="A1994">
            <v>3400004198</v>
          </cell>
          <cell r="B1994">
            <v>6801</v>
          </cell>
          <cell r="C1994">
            <v>61100</v>
          </cell>
          <cell r="D1994">
            <v>0</v>
          </cell>
          <cell r="E1994" t="str">
            <v>WORKING TABLE</v>
          </cell>
          <cell r="F1994">
            <v>1</v>
          </cell>
          <cell r="G1994">
            <v>35339</v>
          </cell>
          <cell r="H1994">
            <v>2600</v>
          </cell>
        </row>
        <row r="1995">
          <cell r="A1995">
            <v>3400004199</v>
          </cell>
          <cell r="B1995">
            <v>6801</v>
          </cell>
          <cell r="C1995">
            <v>61100</v>
          </cell>
          <cell r="D1995">
            <v>0</v>
          </cell>
          <cell r="E1995" t="str">
            <v>WORKING TABLE</v>
          </cell>
          <cell r="F1995">
            <v>1</v>
          </cell>
          <cell r="G1995">
            <v>35339</v>
          </cell>
          <cell r="H1995">
            <v>2600</v>
          </cell>
        </row>
        <row r="1996">
          <cell r="A1996">
            <v>3400004200</v>
          </cell>
          <cell r="B1996">
            <v>6801</v>
          </cell>
          <cell r="C1996">
            <v>61100</v>
          </cell>
          <cell r="D1996">
            <v>0</v>
          </cell>
          <cell r="E1996" t="str">
            <v>WORKING TABLE</v>
          </cell>
          <cell r="F1996">
            <v>1</v>
          </cell>
          <cell r="G1996">
            <v>35339</v>
          </cell>
          <cell r="H1996">
            <v>2600</v>
          </cell>
        </row>
        <row r="1997">
          <cell r="A1997">
            <v>3400004201</v>
          </cell>
          <cell r="B1997">
            <v>6801</v>
          </cell>
          <cell r="C1997">
            <v>61100</v>
          </cell>
          <cell r="D1997">
            <v>0</v>
          </cell>
          <cell r="E1997" t="str">
            <v>WORKING TABLE</v>
          </cell>
          <cell r="F1997">
            <v>1</v>
          </cell>
          <cell r="G1997">
            <v>35339</v>
          </cell>
          <cell r="H1997">
            <v>2600</v>
          </cell>
        </row>
        <row r="1998">
          <cell r="A1998">
            <v>3400004202</v>
          </cell>
          <cell r="B1998">
            <v>6801</v>
          </cell>
          <cell r="C1998">
            <v>61100</v>
          </cell>
          <cell r="D1998">
            <v>0</v>
          </cell>
          <cell r="E1998" t="str">
            <v>WORKING TABLE</v>
          </cell>
          <cell r="F1998">
            <v>1</v>
          </cell>
          <cell r="G1998">
            <v>35339</v>
          </cell>
          <cell r="H1998">
            <v>2600</v>
          </cell>
        </row>
        <row r="1999">
          <cell r="A1999">
            <v>3400004203</v>
          </cell>
          <cell r="B1999">
            <v>6801</v>
          </cell>
          <cell r="C1999">
            <v>61100</v>
          </cell>
          <cell r="D1999">
            <v>0</v>
          </cell>
          <cell r="E1999" t="str">
            <v>WORKING TABLE</v>
          </cell>
          <cell r="F1999">
            <v>1</v>
          </cell>
          <cell r="G1999">
            <v>35339</v>
          </cell>
          <cell r="H1999">
            <v>2600</v>
          </cell>
        </row>
        <row r="2000">
          <cell r="A2000">
            <v>3400004204</v>
          </cell>
          <cell r="B2000">
            <v>6801</v>
          </cell>
          <cell r="C2000">
            <v>61100</v>
          </cell>
          <cell r="D2000">
            <v>0</v>
          </cell>
          <cell r="E2000" t="str">
            <v>WORKING TABLE</v>
          </cell>
          <cell r="F2000">
            <v>1</v>
          </cell>
          <cell r="G2000">
            <v>35339</v>
          </cell>
          <cell r="H2000">
            <v>2600</v>
          </cell>
        </row>
        <row r="2001">
          <cell r="A2001">
            <v>3400004205</v>
          </cell>
          <cell r="B2001">
            <v>6801</v>
          </cell>
          <cell r="C2001">
            <v>61100</v>
          </cell>
          <cell r="D2001">
            <v>0</v>
          </cell>
          <cell r="E2001" t="str">
            <v>WORKING TABLE</v>
          </cell>
          <cell r="F2001">
            <v>1</v>
          </cell>
          <cell r="G2001">
            <v>35339</v>
          </cell>
          <cell r="H2001">
            <v>2600</v>
          </cell>
        </row>
        <row r="2002">
          <cell r="A2002">
            <v>3400004206</v>
          </cell>
          <cell r="B2002">
            <v>6801</v>
          </cell>
          <cell r="C2002">
            <v>61100</v>
          </cell>
          <cell r="D2002">
            <v>0</v>
          </cell>
          <cell r="E2002" t="str">
            <v>WORKING TABLE</v>
          </cell>
          <cell r="F2002">
            <v>1</v>
          </cell>
          <cell r="G2002">
            <v>35339</v>
          </cell>
          <cell r="H2002">
            <v>2600</v>
          </cell>
        </row>
        <row r="2003">
          <cell r="A2003">
            <v>3400004207</v>
          </cell>
          <cell r="B2003">
            <v>6801</v>
          </cell>
          <cell r="C2003">
            <v>61100</v>
          </cell>
          <cell r="D2003">
            <v>0</v>
          </cell>
          <cell r="E2003" t="str">
            <v>WORKING TABLE</v>
          </cell>
          <cell r="F2003">
            <v>1</v>
          </cell>
          <cell r="G2003">
            <v>35339</v>
          </cell>
          <cell r="H2003">
            <v>2600</v>
          </cell>
        </row>
        <row r="2004">
          <cell r="A2004">
            <v>3400004208</v>
          </cell>
          <cell r="B2004">
            <v>6801</v>
          </cell>
          <cell r="C2004">
            <v>61100</v>
          </cell>
          <cell r="D2004">
            <v>0</v>
          </cell>
          <cell r="E2004" t="str">
            <v>WORKING TABLE</v>
          </cell>
          <cell r="F2004">
            <v>1</v>
          </cell>
          <cell r="G2004">
            <v>35339</v>
          </cell>
          <cell r="H2004">
            <v>2600</v>
          </cell>
        </row>
        <row r="2005">
          <cell r="A2005">
            <v>3400004209</v>
          </cell>
          <cell r="B2005">
            <v>6801</v>
          </cell>
          <cell r="C2005">
            <v>61100</v>
          </cell>
          <cell r="D2005">
            <v>0</v>
          </cell>
          <cell r="E2005" t="str">
            <v>WORKING TABLE</v>
          </cell>
          <cell r="F2005">
            <v>1</v>
          </cell>
          <cell r="G2005">
            <v>35339</v>
          </cell>
          <cell r="H2005">
            <v>2600</v>
          </cell>
        </row>
        <row r="2006">
          <cell r="A2006">
            <v>3400004210</v>
          </cell>
          <cell r="B2006">
            <v>6801</v>
          </cell>
          <cell r="C2006">
            <v>61100</v>
          </cell>
          <cell r="D2006">
            <v>0</v>
          </cell>
          <cell r="E2006" t="str">
            <v>WORKING TABLE</v>
          </cell>
          <cell r="F2006">
            <v>1</v>
          </cell>
          <cell r="G2006">
            <v>35339</v>
          </cell>
          <cell r="H2006">
            <v>2600</v>
          </cell>
        </row>
        <row r="2007">
          <cell r="A2007">
            <v>3400004211</v>
          </cell>
          <cell r="B2007">
            <v>6801</v>
          </cell>
          <cell r="C2007">
            <v>61100</v>
          </cell>
          <cell r="D2007">
            <v>0</v>
          </cell>
          <cell r="E2007" t="str">
            <v>WORKING TABLE</v>
          </cell>
          <cell r="F2007">
            <v>1</v>
          </cell>
          <cell r="G2007">
            <v>35339</v>
          </cell>
          <cell r="H2007">
            <v>2600</v>
          </cell>
        </row>
        <row r="2008">
          <cell r="A2008">
            <v>3400004212</v>
          </cell>
          <cell r="B2008">
            <v>6801</v>
          </cell>
          <cell r="C2008">
            <v>61103</v>
          </cell>
          <cell r="D2008">
            <v>0</v>
          </cell>
          <cell r="E2008" t="str">
            <v>WORKING TABLE</v>
          </cell>
          <cell r="F2008">
            <v>1</v>
          </cell>
          <cell r="G2008">
            <v>35339</v>
          </cell>
          <cell r="H2008">
            <v>2600</v>
          </cell>
        </row>
        <row r="2009">
          <cell r="A2009">
            <v>3400004213</v>
          </cell>
          <cell r="B2009">
            <v>6801</v>
          </cell>
          <cell r="C2009">
            <v>61103</v>
          </cell>
          <cell r="D2009">
            <v>0</v>
          </cell>
          <cell r="E2009" t="str">
            <v>WORKING TABLE</v>
          </cell>
          <cell r="F2009">
            <v>1</v>
          </cell>
          <cell r="G2009">
            <v>35339</v>
          </cell>
          <cell r="H2009">
            <v>2600</v>
          </cell>
        </row>
        <row r="2010">
          <cell r="A2010">
            <v>3400004214</v>
          </cell>
          <cell r="B2010">
            <v>6801</v>
          </cell>
          <cell r="C2010">
            <v>61103</v>
          </cell>
          <cell r="D2010">
            <v>0</v>
          </cell>
          <cell r="E2010" t="str">
            <v>WORKING TABLE</v>
          </cell>
          <cell r="F2010">
            <v>1</v>
          </cell>
          <cell r="G2010">
            <v>35339</v>
          </cell>
          <cell r="H2010">
            <v>2600</v>
          </cell>
        </row>
        <row r="2011">
          <cell r="A2011">
            <v>3400004215</v>
          </cell>
          <cell r="B2011">
            <v>6801</v>
          </cell>
          <cell r="C2011">
            <v>61103</v>
          </cell>
          <cell r="D2011">
            <v>0</v>
          </cell>
          <cell r="E2011" t="str">
            <v>WORKING TABLE</v>
          </cell>
          <cell r="F2011">
            <v>1</v>
          </cell>
          <cell r="G2011">
            <v>35339</v>
          </cell>
          <cell r="H2011">
            <v>2600</v>
          </cell>
        </row>
        <row r="2012">
          <cell r="A2012">
            <v>3400004216</v>
          </cell>
          <cell r="B2012">
            <v>6801</v>
          </cell>
          <cell r="C2012">
            <v>61206</v>
          </cell>
          <cell r="D2012">
            <v>0</v>
          </cell>
          <cell r="E2012" t="str">
            <v>WORKING TABLE</v>
          </cell>
          <cell r="F2012">
            <v>1</v>
          </cell>
          <cell r="G2012">
            <v>35339</v>
          </cell>
          <cell r="H2012">
            <v>2600</v>
          </cell>
        </row>
        <row r="2013">
          <cell r="A2013">
            <v>3400004217</v>
          </cell>
          <cell r="B2013">
            <v>6801</v>
          </cell>
          <cell r="C2013">
            <v>61206</v>
          </cell>
          <cell r="D2013">
            <v>0</v>
          </cell>
          <cell r="E2013" t="str">
            <v>WORKING TABLE</v>
          </cell>
          <cell r="F2013">
            <v>1</v>
          </cell>
          <cell r="G2013">
            <v>35339</v>
          </cell>
          <cell r="H2013">
            <v>2600</v>
          </cell>
        </row>
        <row r="2014">
          <cell r="A2014">
            <v>3400004218</v>
          </cell>
          <cell r="B2014">
            <v>6801</v>
          </cell>
          <cell r="C2014">
            <v>61206</v>
          </cell>
          <cell r="D2014">
            <v>0</v>
          </cell>
          <cell r="E2014" t="str">
            <v>WORKING TABLE</v>
          </cell>
          <cell r="F2014">
            <v>1</v>
          </cell>
          <cell r="G2014">
            <v>35339</v>
          </cell>
          <cell r="H2014">
            <v>2100</v>
          </cell>
        </row>
        <row r="2015">
          <cell r="A2015">
            <v>3400004219</v>
          </cell>
          <cell r="B2015">
            <v>6801</v>
          </cell>
          <cell r="C2015">
            <v>61206</v>
          </cell>
          <cell r="D2015">
            <v>0</v>
          </cell>
          <cell r="E2015" t="str">
            <v>WORKING TABLE</v>
          </cell>
          <cell r="F2015">
            <v>1</v>
          </cell>
          <cell r="G2015">
            <v>35339</v>
          </cell>
          <cell r="H2015">
            <v>2100</v>
          </cell>
        </row>
        <row r="2016">
          <cell r="A2016">
            <v>3400004220</v>
          </cell>
          <cell r="B2016">
            <v>6801</v>
          </cell>
          <cell r="C2016">
            <v>61206</v>
          </cell>
          <cell r="D2016">
            <v>0</v>
          </cell>
          <cell r="E2016" t="str">
            <v>WORKING TABLE</v>
          </cell>
          <cell r="F2016">
            <v>1</v>
          </cell>
          <cell r="G2016">
            <v>35339</v>
          </cell>
          <cell r="H2016">
            <v>2600</v>
          </cell>
        </row>
        <row r="2017">
          <cell r="A2017">
            <v>3400004221</v>
          </cell>
          <cell r="B2017">
            <v>6801</v>
          </cell>
          <cell r="C2017">
            <v>61206</v>
          </cell>
          <cell r="D2017">
            <v>0</v>
          </cell>
          <cell r="E2017" t="str">
            <v>WORKING TABLE</v>
          </cell>
          <cell r="F2017">
            <v>1</v>
          </cell>
          <cell r="G2017">
            <v>35339</v>
          </cell>
          <cell r="H2017">
            <v>2100</v>
          </cell>
        </row>
        <row r="2018">
          <cell r="A2018">
            <v>3400004222</v>
          </cell>
          <cell r="B2018">
            <v>6801</v>
          </cell>
          <cell r="C2018">
            <v>61206</v>
          </cell>
          <cell r="D2018">
            <v>0</v>
          </cell>
          <cell r="E2018" t="str">
            <v>WORKING TABLE</v>
          </cell>
          <cell r="F2018">
            <v>1</v>
          </cell>
          <cell r="G2018">
            <v>35339</v>
          </cell>
          <cell r="H2018">
            <v>2600</v>
          </cell>
        </row>
        <row r="2019">
          <cell r="A2019">
            <v>3400004223</v>
          </cell>
          <cell r="B2019">
            <v>6801</v>
          </cell>
          <cell r="C2019">
            <v>61206</v>
          </cell>
          <cell r="D2019">
            <v>0</v>
          </cell>
          <cell r="E2019" t="str">
            <v>WORKING TABLE</v>
          </cell>
          <cell r="F2019">
            <v>1</v>
          </cell>
          <cell r="G2019">
            <v>35339</v>
          </cell>
          <cell r="H2019">
            <v>2100</v>
          </cell>
        </row>
        <row r="2020">
          <cell r="A2020">
            <v>3400004231</v>
          </cell>
          <cell r="B2020">
            <v>6801</v>
          </cell>
          <cell r="C2020">
            <v>61150</v>
          </cell>
          <cell r="D2020">
            <v>0</v>
          </cell>
          <cell r="E2020" t="str">
            <v>OPEN STEEL RACK WITH ANGLES</v>
          </cell>
          <cell r="F2020">
            <v>1</v>
          </cell>
          <cell r="G2020">
            <v>35339</v>
          </cell>
          <cell r="H2020">
            <v>1300</v>
          </cell>
        </row>
        <row r="2021">
          <cell r="A2021">
            <v>3400004232</v>
          </cell>
          <cell r="B2021">
            <v>6801</v>
          </cell>
          <cell r="C2021">
            <v>61150</v>
          </cell>
          <cell r="D2021">
            <v>0</v>
          </cell>
          <cell r="E2021" t="str">
            <v>OPEN STEEL RACK WITH ANGLES</v>
          </cell>
          <cell r="F2021">
            <v>1</v>
          </cell>
          <cell r="G2021">
            <v>35339</v>
          </cell>
          <cell r="H2021">
            <v>1500</v>
          </cell>
        </row>
        <row r="2022">
          <cell r="A2022">
            <v>3400004255</v>
          </cell>
          <cell r="B2022">
            <v>6801</v>
          </cell>
          <cell r="C2022">
            <v>61154</v>
          </cell>
          <cell r="D2022">
            <v>0</v>
          </cell>
          <cell r="E2022" t="str">
            <v>WOODEN STRVCTURE FOR DOCUMENTATION CENTR</v>
          </cell>
          <cell r="F2022">
            <v>1</v>
          </cell>
          <cell r="G2022">
            <v>35339</v>
          </cell>
          <cell r="H2022">
            <v>70500</v>
          </cell>
        </row>
        <row r="2023">
          <cell r="A2023">
            <v>3400004258</v>
          </cell>
          <cell r="B2023">
            <v>6801</v>
          </cell>
          <cell r="C2023">
            <v>61206</v>
          </cell>
          <cell r="D2023">
            <v>0</v>
          </cell>
          <cell r="E2023" t="str">
            <v>HSEGRUD INTER STEEL ALMIRAH-EWSD78X35X19</v>
          </cell>
          <cell r="F2023">
            <v>1</v>
          </cell>
          <cell r="G2023">
            <v>35339</v>
          </cell>
          <cell r="H2023">
            <v>3300</v>
          </cell>
        </row>
        <row r="2024">
          <cell r="A2024">
            <v>3400004259</v>
          </cell>
          <cell r="B2024">
            <v>6801</v>
          </cell>
          <cell r="C2024">
            <v>61160</v>
          </cell>
          <cell r="D2024">
            <v>0</v>
          </cell>
          <cell r="E2024" t="str">
            <v>STEEL CARD INDEX HOLDER</v>
          </cell>
          <cell r="F2024">
            <v>1</v>
          </cell>
          <cell r="G2024">
            <v>35339</v>
          </cell>
          <cell r="H2024">
            <v>1300</v>
          </cell>
        </row>
        <row r="2025">
          <cell r="A2025">
            <v>3400004260</v>
          </cell>
          <cell r="B2025">
            <v>6801</v>
          </cell>
          <cell r="C2025">
            <v>61206</v>
          </cell>
          <cell r="D2025">
            <v>0</v>
          </cell>
          <cell r="E2025" t="str">
            <v>STEEL ALHIRAH</v>
          </cell>
          <cell r="F2025">
            <v>1</v>
          </cell>
          <cell r="G2025">
            <v>35339</v>
          </cell>
          <cell r="H2025">
            <v>3300</v>
          </cell>
        </row>
        <row r="2026">
          <cell r="A2026">
            <v>3400004261</v>
          </cell>
          <cell r="B2026">
            <v>6801</v>
          </cell>
          <cell r="C2026">
            <v>61206</v>
          </cell>
          <cell r="D2026">
            <v>0</v>
          </cell>
          <cell r="E2026" t="str">
            <v>STEEL ALHIRAH</v>
          </cell>
          <cell r="F2026">
            <v>1</v>
          </cell>
          <cell r="G2026">
            <v>35339</v>
          </cell>
          <cell r="H2026">
            <v>3300</v>
          </cell>
        </row>
        <row r="2027">
          <cell r="A2027">
            <v>3400004262</v>
          </cell>
          <cell r="B2027">
            <v>6801</v>
          </cell>
          <cell r="C2027">
            <v>61154</v>
          </cell>
          <cell r="D2027">
            <v>0</v>
          </cell>
          <cell r="E2027" t="str">
            <v>STEEL CARD INDEX HOLDER</v>
          </cell>
          <cell r="F2027">
            <v>1</v>
          </cell>
          <cell r="G2027">
            <v>35339</v>
          </cell>
          <cell r="H2027">
            <v>1500</v>
          </cell>
        </row>
        <row r="2028">
          <cell r="A2028">
            <v>3400004272</v>
          </cell>
          <cell r="B2028">
            <v>6801</v>
          </cell>
          <cell r="C2028">
            <v>61104</v>
          </cell>
          <cell r="D2028">
            <v>0</v>
          </cell>
          <cell r="E2028" t="str">
            <v>STEEL RACK</v>
          </cell>
          <cell r="F2028">
            <v>1</v>
          </cell>
          <cell r="G2028">
            <v>35339</v>
          </cell>
          <cell r="H2028">
            <v>2200</v>
          </cell>
        </row>
        <row r="2029">
          <cell r="A2029">
            <v>3400004273</v>
          </cell>
          <cell r="B2029">
            <v>6801</v>
          </cell>
          <cell r="C2029">
            <v>61104</v>
          </cell>
          <cell r="D2029">
            <v>0</v>
          </cell>
          <cell r="E2029" t="str">
            <v>STEEL RACK</v>
          </cell>
          <cell r="F2029">
            <v>1</v>
          </cell>
          <cell r="G2029">
            <v>35339</v>
          </cell>
          <cell r="H2029">
            <v>2200</v>
          </cell>
        </row>
        <row r="2030">
          <cell r="A2030">
            <v>3400004274</v>
          </cell>
          <cell r="B2030">
            <v>6801</v>
          </cell>
          <cell r="C2030">
            <v>61104</v>
          </cell>
          <cell r="D2030">
            <v>0</v>
          </cell>
          <cell r="E2030" t="str">
            <v>STEEL RACK</v>
          </cell>
          <cell r="F2030">
            <v>1</v>
          </cell>
          <cell r="G2030">
            <v>35339</v>
          </cell>
          <cell r="H2030">
            <v>2200</v>
          </cell>
        </row>
        <row r="2031">
          <cell r="A2031">
            <v>3400004275</v>
          </cell>
          <cell r="B2031">
            <v>6801</v>
          </cell>
          <cell r="C2031">
            <v>61104</v>
          </cell>
          <cell r="D2031">
            <v>0</v>
          </cell>
          <cell r="E2031" t="str">
            <v>STEEL RACK</v>
          </cell>
          <cell r="F2031">
            <v>1</v>
          </cell>
          <cell r="G2031">
            <v>35339</v>
          </cell>
          <cell r="H2031">
            <v>2200</v>
          </cell>
        </row>
        <row r="2032">
          <cell r="A2032">
            <v>3400004276</v>
          </cell>
          <cell r="B2032">
            <v>6801</v>
          </cell>
          <cell r="C2032">
            <v>61104</v>
          </cell>
          <cell r="D2032">
            <v>0</v>
          </cell>
          <cell r="E2032" t="str">
            <v>STEEL RACK</v>
          </cell>
          <cell r="F2032">
            <v>1</v>
          </cell>
          <cell r="G2032">
            <v>35339</v>
          </cell>
          <cell r="H2032">
            <v>2200</v>
          </cell>
        </row>
        <row r="2033">
          <cell r="A2033">
            <v>3400004277</v>
          </cell>
          <cell r="B2033">
            <v>6801</v>
          </cell>
          <cell r="C2033">
            <v>61104</v>
          </cell>
          <cell r="D2033">
            <v>0</v>
          </cell>
          <cell r="E2033" t="str">
            <v>STEEL RACK</v>
          </cell>
          <cell r="F2033">
            <v>1</v>
          </cell>
          <cell r="G2033">
            <v>35339</v>
          </cell>
          <cell r="H2033">
            <v>2200</v>
          </cell>
        </row>
        <row r="2034">
          <cell r="A2034">
            <v>3400004278</v>
          </cell>
          <cell r="B2034">
            <v>6801</v>
          </cell>
          <cell r="C2034">
            <v>61104</v>
          </cell>
          <cell r="D2034">
            <v>0</v>
          </cell>
          <cell r="E2034" t="str">
            <v>STEEL RACK</v>
          </cell>
          <cell r="F2034">
            <v>1</v>
          </cell>
          <cell r="G2034">
            <v>35339</v>
          </cell>
          <cell r="H2034">
            <v>2200</v>
          </cell>
        </row>
        <row r="2035">
          <cell r="A2035">
            <v>3400004279</v>
          </cell>
          <cell r="B2035">
            <v>6801</v>
          </cell>
          <cell r="C2035">
            <v>61104</v>
          </cell>
          <cell r="D2035">
            <v>0</v>
          </cell>
          <cell r="E2035" t="str">
            <v>STEEL RACK</v>
          </cell>
          <cell r="F2035">
            <v>1</v>
          </cell>
          <cell r="G2035">
            <v>35339</v>
          </cell>
          <cell r="H2035">
            <v>2600</v>
          </cell>
        </row>
        <row r="2036">
          <cell r="A2036">
            <v>3400004280</v>
          </cell>
          <cell r="B2036">
            <v>6801</v>
          </cell>
          <cell r="C2036">
            <v>61104</v>
          </cell>
          <cell r="D2036">
            <v>0</v>
          </cell>
          <cell r="E2036" t="str">
            <v>STEEL RACK</v>
          </cell>
          <cell r="F2036">
            <v>1</v>
          </cell>
          <cell r="G2036">
            <v>35339</v>
          </cell>
          <cell r="H2036">
            <v>2200</v>
          </cell>
        </row>
        <row r="2037">
          <cell r="A2037">
            <v>3400004281</v>
          </cell>
          <cell r="B2037">
            <v>6801</v>
          </cell>
          <cell r="C2037">
            <v>61104</v>
          </cell>
          <cell r="D2037">
            <v>0</v>
          </cell>
          <cell r="E2037" t="str">
            <v>STEEL RACK</v>
          </cell>
          <cell r="F2037">
            <v>1</v>
          </cell>
          <cell r="G2037">
            <v>35339</v>
          </cell>
          <cell r="H2037">
            <v>2200</v>
          </cell>
        </row>
        <row r="2038">
          <cell r="A2038">
            <v>3400004297</v>
          </cell>
          <cell r="B2038">
            <v>6801</v>
          </cell>
          <cell r="C2038">
            <v>61112</v>
          </cell>
          <cell r="D2038">
            <v>0</v>
          </cell>
          <cell r="E2038" t="str">
            <v>STEEL ALHIRAH</v>
          </cell>
          <cell r="F2038">
            <v>1</v>
          </cell>
          <cell r="G2038">
            <v>35339</v>
          </cell>
          <cell r="H2038">
            <v>3500</v>
          </cell>
        </row>
        <row r="2039">
          <cell r="A2039">
            <v>3400004298</v>
          </cell>
          <cell r="B2039">
            <v>6801</v>
          </cell>
          <cell r="C2039">
            <v>61112</v>
          </cell>
          <cell r="D2039">
            <v>0</v>
          </cell>
          <cell r="E2039" t="str">
            <v>STEEL ALHIRAH</v>
          </cell>
          <cell r="F2039">
            <v>1</v>
          </cell>
          <cell r="G2039">
            <v>35339</v>
          </cell>
          <cell r="H2039">
            <v>3000</v>
          </cell>
        </row>
        <row r="2040">
          <cell r="A2040">
            <v>3400004299</v>
          </cell>
          <cell r="B2040">
            <v>6801</v>
          </cell>
          <cell r="C2040">
            <v>61112</v>
          </cell>
          <cell r="D2040">
            <v>0</v>
          </cell>
          <cell r="E2040" t="str">
            <v>STEEL ALHIRAH</v>
          </cell>
          <cell r="F2040">
            <v>1</v>
          </cell>
          <cell r="G2040">
            <v>35339</v>
          </cell>
          <cell r="H2040">
            <v>2700</v>
          </cell>
        </row>
        <row r="2041">
          <cell r="A2041">
            <v>3400004300</v>
          </cell>
          <cell r="B2041">
            <v>6801</v>
          </cell>
          <cell r="C2041">
            <v>61112</v>
          </cell>
          <cell r="D2041">
            <v>0</v>
          </cell>
          <cell r="E2041" t="str">
            <v>STEEL ALHIRAH</v>
          </cell>
          <cell r="F2041">
            <v>1</v>
          </cell>
          <cell r="G2041">
            <v>35339</v>
          </cell>
          <cell r="H2041">
            <v>3000</v>
          </cell>
        </row>
        <row r="2042">
          <cell r="A2042">
            <v>3400004301</v>
          </cell>
          <cell r="B2042">
            <v>6801</v>
          </cell>
          <cell r="C2042">
            <v>61112</v>
          </cell>
          <cell r="D2042">
            <v>0</v>
          </cell>
          <cell r="E2042" t="str">
            <v>STEEL ALHIRAH</v>
          </cell>
          <cell r="F2042">
            <v>1</v>
          </cell>
          <cell r="G2042">
            <v>35339</v>
          </cell>
          <cell r="H2042">
            <v>3000</v>
          </cell>
        </row>
        <row r="2043">
          <cell r="A2043">
            <v>3400004302</v>
          </cell>
          <cell r="B2043">
            <v>6801</v>
          </cell>
          <cell r="C2043">
            <v>61112</v>
          </cell>
          <cell r="D2043">
            <v>0</v>
          </cell>
          <cell r="E2043" t="str">
            <v>STEEL ALHIRAH</v>
          </cell>
          <cell r="F2043">
            <v>1</v>
          </cell>
          <cell r="G2043">
            <v>35339</v>
          </cell>
          <cell r="H2043">
            <v>3000</v>
          </cell>
        </row>
        <row r="2044">
          <cell r="A2044">
            <v>3400004303</v>
          </cell>
          <cell r="B2044">
            <v>6801</v>
          </cell>
          <cell r="C2044">
            <v>61154</v>
          </cell>
          <cell r="D2044">
            <v>0</v>
          </cell>
          <cell r="E2044" t="str">
            <v>STEEL ALHIRAH</v>
          </cell>
          <cell r="F2044">
            <v>1</v>
          </cell>
          <cell r="G2044">
            <v>35339</v>
          </cell>
          <cell r="H2044">
            <v>4300</v>
          </cell>
        </row>
        <row r="2045">
          <cell r="A2045">
            <v>3400004304</v>
          </cell>
          <cell r="B2045">
            <v>6801</v>
          </cell>
          <cell r="C2045">
            <v>61112</v>
          </cell>
          <cell r="D2045">
            <v>0</v>
          </cell>
          <cell r="E2045" t="str">
            <v>STEEL ALHIRAH</v>
          </cell>
          <cell r="F2045">
            <v>1</v>
          </cell>
          <cell r="G2045">
            <v>35339</v>
          </cell>
          <cell r="H2045">
            <v>3000</v>
          </cell>
        </row>
        <row r="2046">
          <cell r="A2046">
            <v>3400004305</v>
          </cell>
          <cell r="B2046">
            <v>6801</v>
          </cell>
          <cell r="C2046">
            <v>61112</v>
          </cell>
          <cell r="D2046">
            <v>0</v>
          </cell>
          <cell r="E2046" t="str">
            <v>STEEL ALHIRAH</v>
          </cell>
          <cell r="F2046">
            <v>1</v>
          </cell>
          <cell r="G2046">
            <v>35339</v>
          </cell>
          <cell r="H2046">
            <v>3700</v>
          </cell>
        </row>
        <row r="2047">
          <cell r="A2047">
            <v>3400004306</v>
          </cell>
          <cell r="B2047">
            <v>6801</v>
          </cell>
          <cell r="C2047">
            <v>61112</v>
          </cell>
          <cell r="D2047">
            <v>0</v>
          </cell>
          <cell r="E2047" t="str">
            <v>STEEL ALHIRAH</v>
          </cell>
          <cell r="F2047">
            <v>1</v>
          </cell>
          <cell r="G2047">
            <v>35339</v>
          </cell>
          <cell r="H2047">
            <v>3700</v>
          </cell>
        </row>
        <row r="2048">
          <cell r="A2048">
            <v>3400004307</v>
          </cell>
          <cell r="B2048">
            <v>6801</v>
          </cell>
          <cell r="C2048">
            <v>61102</v>
          </cell>
          <cell r="D2048">
            <v>0</v>
          </cell>
          <cell r="E2048" t="str">
            <v>STEEL ALHIRAH</v>
          </cell>
          <cell r="F2048">
            <v>1</v>
          </cell>
          <cell r="G2048">
            <v>35339</v>
          </cell>
          <cell r="H2048">
            <v>3700</v>
          </cell>
        </row>
        <row r="2049">
          <cell r="A2049">
            <v>3400004308</v>
          </cell>
          <cell r="B2049">
            <v>6801</v>
          </cell>
          <cell r="C2049">
            <v>61102</v>
          </cell>
          <cell r="D2049">
            <v>0</v>
          </cell>
          <cell r="E2049" t="str">
            <v>STEEL ALHIRAH</v>
          </cell>
          <cell r="F2049">
            <v>1</v>
          </cell>
          <cell r="G2049">
            <v>35339</v>
          </cell>
          <cell r="H2049">
            <v>3700</v>
          </cell>
        </row>
        <row r="2050">
          <cell r="A2050">
            <v>3400004309</v>
          </cell>
          <cell r="B2050">
            <v>6801</v>
          </cell>
          <cell r="C2050">
            <v>61153</v>
          </cell>
          <cell r="D2050">
            <v>0</v>
          </cell>
          <cell r="E2050" t="str">
            <v>STEEL ALHIRAH</v>
          </cell>
          <cell r="F2050">
            <v>1</v>
          </cell>
          <cell r="G2050">
            <v>35339</v>
          </cell>
          <cell r="H2050">
            <v>3700</v>
          </cell>
        </row>
        <row r="2051">
          <cell r="A2051">
            <v>3400004310</v>
          </cell>
          <cell r="B2051">
            <v>6801</v>
          </cell>
          <cell r="C2051">
            <v>61153</v>
          </cell>
          <cell r="D2051">
            <v>0</v>
          </cell>
          <cell r="E2051" t="str">
            <v>STEEL ALHIRAH</v>
          </cell>
          <cell r="F2051">
            <v>1</v>
          </cell>
          <cell r="G2051">
            <v>35339</v>
          </cell>
          <cell r="H2051">
            <v>3700</v>
          </cell>
        </row>
        <row r="2052">
          <cell r="A2052">
            <v>3400004311</v>
          </cell>
          <cell r="B2052">
            <v>6801</v>
          </cell>
          <cell r="C2052">
            <v>61153</v>
          </cell>
          <cell r="D2052">
            <v>0</v>
          </cell>
          <cell r="E2052" t="str">
            <v>STEEL ALHIRAH</v>
          </cell>
          <cell r="F2052">
            <v>1</v>
          </cell>
          <cell r="G2052">
            <v>35339</v>
          </cell>
          <cell r="H2052">
            <v>3700</v>
          </cell>
        </row>
        <row r="2053">
          <cell r="A2053">
            <v>3400004312</v>
          </cell>
          <cell r="B2053">
            <v>6801</v>
          </cell>
          <cell r="C2053">
            <v>61153</v>
          </cell>
          <cell r="D2053">
            <v>0</v>
          </cell>
          <cell r="E2053" t="str">
            <v>STEEL ALHIRAH</v>
          </cell>
          <cell r="F2053">
            <v>1</v>
          </cell>
          <cell r="G2053">
            <v>35339</v>
          </cell>
          <cell r="H2053">
            <v>3700</v>
          </cell>
        </row>
        <row r="2054">
          <cell r="A2054">
            <v>3400004313</v>
          </cell>
          <cell r="B2054">
            <v>6801</v>
          </cell>
          <cell r="C2054">
            <v>61153</v>
          </cell>
          <cell r="D2054">
            <v>0</v>
          </cell>
          <cell r="E2054" t="str">
            <v>STEEL ALHIRAH</v>
          </cell>
          <cell r="F2054">
            <v>1</v>
          </cell>
          <cell r="G2054">
            <v>35339</v>
          </cell>
          <cell r="H2054">
            <v>3500</v>
          </cell>
        </row>
        <row r="2055">
          <cell r="A2055">
            <v>3400004314</v>
          </cell>
          <cell r="B2055">
            <v>6801</v>
          </cell>
          <cell r="C2055">
            <v>61102</v>
          </cell>
          <cell r="D2055">
            <v>0</v>
          </cell>
          <cell r="E2055" t="str">
            <v>STEEL ALHIRAH</v>
          </cell>
          <cell r="F2055">
            <v>1</v>
          </cell>
          <cell r="G2055">
            <v>35339</v>
          </cell>
          <cell r="H2055">
            <v>3700</v>
          </cell>
        </row>
        <row r="2056">
          <cell r="A2056">
            <v>3400004315</v>
          </cell>
          <cell r="B2056">
            <v>6801</v>
          </cell>
          <cell r="C2056">
            <v>61102</v>
          </cell>
          <cell r="D2056">
            <v>0</v>
          </cell>
          <cell r="E2056" t="str">
            <v>STEEL ALHIRAH</v>
          </cell>
          <cell r="F2056">
            <v>1</v>
          </cell>
          <cell r="G2056">
            <v>35339</v>
          </cell>
          <cell r="H2056">
            <v>3700</v>
          </cell>
        </row>
        <row r="2057">
          <cell r="A2057">
            <v>3400004316</v>
          </cell>
          <cell r="B2057">
            <v>6801</v>
          </cell>
          <cell r="C2057">
            <v>61154</v>
          </cell>
          <cell r="D2057">
            <v>0</v>
          </cell>
          <cell r="E2057" t="str">
            <v>STEEL ALHIRAH</v>
          </cell>
          <cell r="F2057">
            <v>1</v>
          </cell>
          <cell r="G2057">
            <v>35339</v>
          </cell>
          <cell r="H2057">
            <v>3700</v>
          </cell>
        </row>
        <row r="2058">
          <cell r="A2058">
            <v>3400004317</v>
          </cell>
          <cell r="B2058">
            <v>6801</v>
          </cell>
          <cell r="C2058">
            <v>61150</v>
          </cell>
          <cell r="D2058">
            <v>0</v>
          </cell>
          <cell r="E2058" t="str">
            <v>GODREJ SLOTTED ANGLE RACK</v>
          </cell>
          <cell r="F2058">
            <v>1</v>
          </cell>
          <cell r="G2058">
            <v>35339</v>
          </cell>
          <cell r="H2058">
            <v>12600</v>
          </cell>
        </row>
        <row r="2059">
          <cell r="A2059">
            <v>3400004318</v>
          </cell>
          <cell r="B2059">
            <v>6801</v>
          </cell>
          <cell r="C2059">
            <v>61150</v>
          </cell>
          <cell r="D2059">
            <v>0</v>
          </cell>
          <cell r="E2059" t="str">
            <v>MEK SLOTTED ANGLED RACKS</v>
          </cell>
          <cell r="F2059">
            <v>1</v>
          </cell>
          <cell r="G2059">
            <v>35339</v>
          </cell>
          <cell r="H2059">
            <v>15200</v>
          </cell>
        </row>
        <row r="2060">
          <cell r="A2060">
            <v>3400004319</v>
          </cell>
          <cell r="B2060">
            <v>6801</v>
          </cell>
          <cell r="C2060">
            <v>61154</v>
          </cell>
          <cell r="D2060">
            <v>0</v>
          </cell>
          <cell r="E2060" t="str">
            <v>STEEL ALMIRAH</v>
          </cell>
          <cell r="F2060">
            <v>1</v>
          </cell>
          <cell r="G2060">
            <v>35339</v>
          </cell>
          <cell r="H2060">
            <v>3700</v>
          </cell>
        </row>
        <row r="2061">
          <cell r="A2061">
            <v>3400004320</v>
          </cell>
          <cell r="B2061">
            <v>6801</v>
          </cell>
          <cell r="C2061">
            <v>61154</v>
          </cell>
          <cell r="D2061">
            <v>0</v>
          </cell>
          <cell r="E2061" t="str">
            <v>STEEL ALMIRAH</v>
          </cell>
          <cell r="F2061">
            <v>1</v>
          </cell>
          <cell r="G2061">
            <v>35339</v>
          </cell>
          <cell r="H2061">
            <v>4300</v>
          </cell>
        </row>
        <row r="2062">
          <cell r="A2062">
            <v>3400004321</v>
          </cell>
          <cell r="B2062">
            <v>6801</v>
          </cell>
          <cell r="C2062">
            <v>61154</v>
          </cell>
          <cell r="D2062">
            <v>0</v>
          </cell>
          <cell r="E2062" t="str">
            <v>STEEL ALMIRAH</v>
          </cell>
          <cell r="F2062">
            <v>1</v>
          </cell>
          <cell r="G2062">
            <v>35339</v>
          </cell>
          <cell r="H2062">
            <v>4300</v>
          </cell>
        </row>
        <row r="2063">
          <cell r="A2063">
            <v>3400004322</v>
          </cell>
          <cell r="B2063">
            <v>6801</v>
          </cell>
          <cell r="C2063">
            <v>61154</v>
          </cell>
          <cell r="D2063">
            <v>0</v>
          </cell>
          <cell r="E2063" t="str">
            <v>STEEL ALMIRAH</v>
          </cell>
          <cell r="F2063">
            <v>1</v>
          </cell>
          <cell r="G2063">
            <v>35339</v>
          </cell>
          <cell r="H2063">
            <v>4300</v>
          </cell>
        </row>
        <row r="2064">
          <cell r="A2064">
            <v>3400004323</v>
          </cell>
          <cell r="B2064">
            <v>6801</v>
          </cell>
          <cell r="C2064">
            <v>61104</v>
          </cell>
          <cell r="D2064">
            <v>0</v>
          </cell>
          <cell r="E2064" t="str">
            <v>STEEL RACK</v>
          </cell>
          <cell r="F2064">
            <v>1</v>
          </cell>
          <cell r="G2064">
            <v>35339</v>
          </cell>
          <cell r="H2064">
            <v>2200</v>
          </cell>
        </row>
        <row r="2065">
          <cell r="A2065">
            <v>3400004324</v>
          </cell>
          <cell r="B2065">
            <v>6801</v>
          </cell>
          <cell r="C2065">
            <v>61104</v>
          </cell>
          <cell r="D2065">
            <v>0</v>
          </cell>
          <cell r="E2065" t="str">
            <v>STEEL RACK</v>
          </cell>
          <cell r="F2065">
            <v>1</v>
          </cell>
          <cell r="G2065">
            <v>35339</v>
          </cell>
          <cell r="H2065">
            <v>2200</v>
          </cell>
        </row>
        <row r="2066">
          <cell r="A2066">
            <v>3400004325</v>
          </cell>
          <cell r="B2066">
            <v>6801</v>
          </cell>
          <cell r="C2066">
            <v>61104</v>
          </cell>
          <cell r="D2066">
            <v>0</v>
          </cell>
          <cell r="E2066" t="str">
            <v>STEEL RACK</v>
          </cell>
          <cell r="F2066">
            <v>1</v>
          </cell>
          <cell r="G2066">
            <v>35339</v>
          </cell>
          <cell r="H2066">
            <v>2200</v>
          </cell>
        </row>
        <row r="2067">
          <cell r="A2067">
            <v>3400004326</v>
          </cell>
          <cell r="B2067">
            <v>6801</v>
          </cell>
          <cell r="C2067">
            <v>61206</v>
          </cell>
          <cell r="D2067">
            <v>0</v>
          </cell>
          <cell r="E2067" t="str">
            <v>STEEL RACK</v>
          </cell>
          <cell r="F2067">
            <v>1</v>
          </cell>
          <cell r="G2067">
            <v>35339</v>
          </cell>
          <cell r="H2067">
            <v>2200</v>
          </cell>
        </row>
        <row r="2068">
          <cell r="A2068">
            <v>3400004327</v>
          </cell>
          <cell r="B2068">
            <v>6801</v>
          </cell>
          <cell r="C2068">
            <v>61206</v>
          </cell>
          <cell r="D2068">
            <v>0</v>
          </cell>
          <cell r="E2068" t="str">
            <v>STEEL ALMIRAH</v>
          </cell>
          <cell r="F2068">
            <v>1</v>
          </cell>
          <cell r="G2068">
            <v>35339</v>
          </cell>
          <cell r="H2068">
            <v>4200</v>
          </cell>
        </row>
        <row r="2069">
          <cell r="A2069">
            <v>3400004328</v>
          </cell>
          <cell r="B2069">
            <v>6801</v>
          </cell>
          <cell r="C2069">
            <v>61206</v>
          </cell>
          <cell r="D2069">
            <v>0</v>
          </cell>
          <cell r="E2069" t="str">
            <v>STEEL ALMIRAH</v>
          </cell>
          <cell r="F2069">
            <v>1</v>
          </cell>
          <cell r="G2069">
            <v>35339</v>
          </cell>
          <cell r="H2069">
            <v>4200</v>
          </cell>
        </row>
        <row r="2070">
          <cell r="A2070">
            <v>3400004329</v>
          </cell>
          <cell r="B2070">
            <v>6801</v>
          </cell>
          <cell r="C2070">
            <v>61206</v>
          </cell>
          <cell r="D2070">
            <v>0</v>
          </cell>
          <cell r="E2070" t="str">
            <v>STEEL RACK</v>
          </cell>
          <cell r="F2070">
            <v>1</v>
          </cell>
          <cell r="G2070">
            <v>35339</v>
          </cell>
          <cell r="H2070">
            <v>2200</v>
          </cell>
        </row>
        <row r="2071">
          <cell r="A2071">
            <v>3400004330</v>
          </cell>
          <cell r="B2071">
            <v>6801</v>
          </cell>
          <cell r="C2071">
            <v>61206</v>
          </cell>
          <cell r="D2071">
            <v>0</v>
          </cell>
          <cell r="E2071" t="str">
            <v>STEEL RACK</v>
          </cell>
          <cell r="F2071">
            <v>1</v>
          </cell>
          <cell r="G2071">
            <v>35339</v>
          </cell>
          <cell r="H2071">
            <v>2200</v>
          </cell>
        </row>
        <row r="2072">
          <cell r="A2072">
            <v>3400004331</v>
          </cell>
          <cell r="B2072">
            <v>6801</v>
          </cell>
          <cell r="C2072">
            <v>61206</v>
          </cell>
          <cell r="D2072">
            <v>0</v>
          </cell>
          <cell r="E2072" t="str">
            <v>STEEL RACK</v>
          </cell>
          <cell r="F2072">
            <v>1</v>
          </cell>
          <cell r="G2072">
            <v>35339</v>
          </cell>
          <cell r="H2072">
            <v>2200</v>
          </cell>
        </row>
        <row r="2073">
          <cell r="A2073">
            <v>3400004332</v>
          </cell>
          <cell r="B2073">
            <v>6801</v>
          </cell>
          <cell r="C2073">
            <v>61206</v>
          </cell>
          <cell r="D2073">
            <v>0</v>
          </cell>
          <cell r="E2073" t="str">
            <v>STEEL RACK</v>
          </cell>
          <cell r="F2073">
            <v>1</v>
          </cell>
          <cell r="G2073">
            <v>35339</v>
          </cell>
          <cell r="H2073">
            <v>2200</v>
          </cell>
        </row>
        <row r="2074">
          <cell r="A2074">
            <v>3400004333</v>
          </cell>
          <cell r="B2074">
            <v>6801</v>
          </cell>
          <cell r="C2074">
            <v>61206</v>
          </cell>
          <cell r="D2074">
            <v>0</v>
          </cell>
          <cell r="E2074" t="str">
            <v>WOODEN RACK</v>
          </cell>
          <cell r="F2074">
            <v>1</v>
          </cell>
          <cell r="G2074">
            <v>35339</v>
          </cell>
          <cell r="H2074">
            <v>3600</v>
          </cell>
        </row>
        <row r="2075">
          <cell r="A2075">
            <v>3400004334</v>
          </cell>
          <cell r="B2075">
            <v>6801</v>
          </cell>
          <cell r="C2075">
            <v>61206</v>
          </cell>
          <cell r="D2075">
            <v>0</v>
          </cell>
          <cell r="E2075" t="str">
            <v>WOODEN RACK</v>
          </cell>
          <cell r="F2075">
            <v>1</v>
          </cell>
          <cell r="G2075">
            <v>35339</v>
          </cell>
          <cell r="H2075">
            <v>3300</v>
          </cell>
        </row>
        <row r="2076">
          <cell r="A2076">
            <v>3400004335</v>
          </cell>
          <cell r="B2076">
            <v>6801</v>
          </cell>
          <cell r="C2076">
            <v>61206</v>
          </cell>
          <cell r="D2076">
            <v>0</v>
          </cell>
          <cell r="E2076" t="str">
            <v>WOODEN RACK</v>
          </cell>
          <cell r="F2076">
            <v>1</v>
          </cell>
          <cell r="G2076">
            <v>35339</v>
          </cell>
          <cell r="H2076">
            <v>3300</v>
          </cell>
        </row>
        <row r="2077">
          <cell r="A2077">
            <v>3400004337</v>
          </cell>
          <cell r="B2077">
            <v>6801</v>
          </cell>
          <cell r="C2077">
            <v>61101</v>
          </cell>
          <cell r="D2077">
            <v>0</v>
          </cell>
          <cell r="E2077" t="str">
            <v>WOODEN FILING CABINET</v>
          </cell>
          <cell r="F2077">
            <v>1</v>
          </cell>
          <cell r="G2077">
            <v>35339</v>
          </cell>
          <cell r="H2077">
            <v>2600</v>
          </cell>
        </row>
        <row r="2078">
          <cell r="A2078">
            <v>3400004338</v>
          </cell>
          <cell r="B2078">
            <v>6801</v>
          </cell>
          <cell r="C2078">
            <v>61100</v>
          </cell>
          <cell r="D2078">
            <v>0</v>
          </cell>
          <cell r="E2078" t="str">
            <v>WORKHEN CHAIR W/O ARMREST</v>
          </cell>
          <cell r="F2078">
            <v>1</v>
          </cell>
          <cell r="G2078">
            <v>35339</v>
          </cell>
          <cell r="H2078">
            <v>2000</v>
          </cell>
        </row>
        <row r="2079">
          <cell r="A2079">
            <v>3400004339</v>
          </cell>
          <cell r="B2079">
            <v>6801</v>
          </cell>
          <cell r="C2079">
            <v>61100</v>
          </cell>
          <cell r="D2079">
            <v>0</v>
          </cell>
          <cell r="E2079" t="str">
            <v>WORKHEN CHAIR W/O ARMREST</v>
          </cell>
          <cell r="F2079">
            <v>1</v>
          </cell>
          <cell r="G2079">
            <v>35339</v>
          </cell>
          <cell r="H2079">
            <v>2000</v>
          </cell>
        </row>
        <row r="2080">
          <cell r="A2080">
            <v>3400004340</v>
          </cell>
          <cell r="B2080">
            <v>6801</v>
          </cell>
          <cell r="C2080">
            <v>61100</v>
          </cell>
          <cell r="D2080">
            <v>0</v>
          </cell>
          <cell r="E2080" t="str">
            <v>WORKHEN CHAIR W/O ARMREST</v>
          </cell>
          <cell r="F2080">
            <v>1</v>
          </cell>
          <cell r="G2080">
            <v>35339</v>
          </cell>
          <cell r="H2080">
            <v>2000</v>
          </cell>
        </row>
        <row r="2081">
          <cell r="A2081">
            <v>3400004341</v>
          </cell>
          <cell r="B2081">
            <v>6801</v>
          </cell>
          <cell r="C2081">
            <v>61100</v>
          </cell>
          <cell r="D2081">
            <v>0</v>
          </cell>
          <cell r="E2081" t="str">
            <v>WORKHEN CHAIR W/O ARMREST</v>
          </cell>
          <cell r="F2081">
            <v>1</v>
          </cell>
          <cell r="G2081">
            <v>35339</v>
          </cell>
          <cell r="H2081">
            <v>2000</v>
          </cell>
        </row>
        <row r="2082">
          <cell r="A2082">
            <v>3400004342</v>
          </cell>
          <cell r="B2082">
            <v>6801</v>
          </cell>
          <cell r="C2082">
            <v>61101</v>
          </cell>
          <cell r="D2082">
            <v>0</v>
          </cell>
          <cell r="E2082" t="str">
            <v>WORKHEN CHAIR W/O ARMREST</v>
          </cell>
          <cell r="F2082">
            <v>1</v>
          </cell>
          <cell r="G2082">
            <v>35339</v>
          </cell>
          <cell r="H2082">
            <v>1800</v>
          </cell>
        </row>
        <row r="2083">
          <cell r="A2083">
            <v>3400004343</v>
          </cell>
          <cell r="B2083">
            <v>6801</v>
          </cell>
          <cell r="C2083">
            <v>61101</v>
          </cell>
          <cell r="D2083">
            <v>0</v>
          </cell>
          <cell r="E2083" t="str">
            <v>WORKHEN CHAIR W/O ARMREST</v>
          </cell>
          <cell r="F2083">
            <v>1</v>
          </cell>
          <cell r="G2083">
            <v>35339</v>
          </cell>
          <cell r="H2083">
            <v>1800</v>
          </cell>
        </row>
        <row r="2084">
          <cell r="A2084">
            <v>3400004344</v>
          </cell>
          <cell r="B2084">
            <v>6801</v>
          </cell>
          <cell r="C2084">
            <v>61101</v>
          </cell>
          <cell r="D2084">
            <v>0</v>
          </cell>
          <cell r="E2084" t="str">
            <v>WORKHEN CHAIR W/O ARMREST</v>
          </cell>
          <cell r="F2084">
            <v>1</v>
          </cell>
          <cell r="G2084">
            <v>35339</v>
          </cell>
          <cell r="H2084">
            <v>1800</v>
          </cell>
        </row>
        <row r="2085">
          <cell r="A2085">
            <v>3400004345</v>
          </cell>
          <cell r="B2085">
            <v>6801</v>
          </cell>
          <cell r="C2085">
            <v>61101</v>
          </cell>
          <cell r="D2085">
            <v>0</v>
          </cell>
          <cell r="E2085" t="str">
            <v>WORKHEN CHAIR W/O ARMREST</v>
          </cell>
          <cell r="F2085">
            <v>1</v>
          </cell>
          <cell r="G2085">
            <v>35339</v>
          </cell>
          <cell r="H2085">
            <v>1600</v>
          </cell>
        </row>
        <row r="2086">
          <cell r="A2086">
            <v>3400004346</v>
          </cell>
          <cell r="B2086">
            <v>6801</v>
          </cell>
          <cell r="C2086">
            <v>61101</v>
          </cell>
          <cell r="D2086">
            <v>0</v>
          </cell>
          <cell r="E2086" t="str">
            <v>WORKHEN CHAIR W/O ARMREST</v>
          </cell>
          <cell r="F2086">
            <v>1</v>
          </cell>
          <cell r="G2086">
            <v>35339</v>
          </cell>
          <cell r="H2086">
            <v>1600</v>
          </cell>
        </row>
        <row r="2087">
          <cell r="A2087">
            <v>3400004347</v>
          </cell>
          <cell r="B2087">
            <v>6801</v>
          </cell>
          <cell r="C2087">
            <v>61101</v>
          </cell>
          <cell r="D2087">
            <v>0</v>
          </cell>
          <cell r="E2087" t="str">
            <v>WORKHEN CHAIR W/O ARMREST</v>
          </cell>
          <cell r="F2087">
            <v>1</v>
          </cell>
          <cell r="G2087">
            <v>35339</v>
          </cell>
          <cell r="H2087">
            <v>2000</v>
          </cell>
        </row>
        <row r="2088">
          <cell r="A2088">
            <v>3400004348</v>
          </cell>
          <cell r="B2088">
            <v>6801</v>
          </cell>
          <cell r="C2088">
            <v>61101</v>
          </cell>
          <cell r="D2088">
            <v>0</v>
          </cell>
          <cell r="E2088" t="str">
            <v>WORKHEN CHAIR W/O ARMREST</v>
          </cell>
          <cell r="F2088">
            <v>1</v>
          </cell>
          <cell r="G2088">
            <v>35339</v>
          </cell>
          <cell r="H2088">
            <v>2000</v>
          </cell>
        </row>
        <row r="2089">
          <cell r="A2089">
            <v>3400004349</v>
          </cell>
          <cell r="B2089">
            <v>6801</v>
          </cell>
          <cell r="C2089">
            <v>61101</v>
          </cell>
          <cell r="D2089">
            <v>0</v>
          </cell>
          <cell r="E2089" t="str">
            <v>WORKHEN CHAIR W/O ARMREST</v>
          </cell>
          <cell r="F2089">
            <v>1</v>
          </cell>
          <cell r="G2089">
            <v>35339</v>
          </cell>
          <cell r="H2089">
            <v>1800</v>
          </cell>
        </row>
        <row r="2090">
          <cell r="A2090">
            <v>3400004350</v>
          </cell>
          <cell r="B2090">
            <v>6801</v>
          </cell>
          <cell r="C2090">
            <v>61101</v>
          </cell>
          <cell r="D2090">
            <v>0</v>
          </cell>
          <cell r="E2090" t="str">
            <v>WORKHEN CHAIR W/O ARMREST</v>
          </cell>
          <cell r="F2090">
            <v>1</v>
          </cell>
          <cell r="G2090">
            <v>35339</v>
          </cell>
          <cell r="H2090">
            <v>1800</v>
          </cell>
        </row>
        <row r="2091">
          <cell r="A2091">
            <v>3400004351</v>
          </cell>
          <cell r="B2091">
            <v>6801</v>
          </cell>
          <cell r="C2091">
            <v>61101</v>
          </cell>
          <cell r="D2091">
            <v>0</v>
          </cell>
          <cell r="E2091" t="str">
            <v>WORKMEN CHAIR W/O ARMREST</v>
          </cell>
          <cell r="F2091">
            <v>1</v>
          </cell>
          <cell r="G2091">
            <v>35339</v>
          </cell>
          <cell r="H2091">
            <v>1800</v>
          </cell>
        </row>
        <row r="2092">
          <cell r="A2092">
            <v>3400004352</v>
          </cell>
          <cell r="B2092">
            <v>6801</v>
          </cell>
          <cell r="C2092">
            <v>61101</v>
          </cell>
          <cell r="D2092">
            <v>0</v>
          </cell>
          <cell r="E2092" t="str">
            <v>WORK MEN CHAIR W/O ARMREST</v>
          </cell>
          <cell r="F2092">
            <v>1</v>
          </cell>
          <cell r="G2092">
            <v>35339</v>
          </cell>
          <cell r="H2092">
            <v>1800</v>
          </cell>
        </row>
        <row r="2093">
          <cell r="A2093">
            <v>3400004353</v>
          </cell>
          <cell r="B2093">
            <v>6801</v>
          </cell>
          <cell r="C2093">
            <v>61150</v>
          </cell>
          <cell r="D2093">
            <v>0</v>
          </cell>
          <cell r="E2093" t="str">
            <v>MEK SLOTTED ANGLE RACK</v>
          </cell>
          <cell r="F2093">
            <v>1</v>
          </cell>
          <cell r="G2093">
            <v>35339</v>
          </cell>
          <cell r="H2093">
            <v>15200</v>
          </cell>
        </row>
        <row r="2094">
          <cell r="A2094">
            <v>3400004354</v>
          </cell>
          <cell r="B2094">
            <v>6801</v>
          </cell>
          <cell r="C2094">
            <v>61150</v>
          </cell>
          <cell r="D2094">
            <v>0</v>
          </cell>
          <cell r="E2094" t="str">
            <v>MEK SLOTTED ANGLE RACK</v>
          </cell>
          <cell r="F2094">
            <v>1</v>
          </cell>
          <cell r="G2094">
            <v>35339</v>
          </cell>
          <cell r="H2094">
            <v>15200</v>
          </cell>
        </row>
        <row r="2095">
          <cell r="A2095">
            <v>3400004423</v>
          </cell>
          <cell r="B2095">
            <v>6801</v>
          </cell>
          <cell r="C2095">
            <v>61158</v>
          </cell>
          <cell r="D2095">
            <v>0</v>
          </cell>
          <cell r="E2095" t="str">
            <v>STEELAGE COMPUTER DATAGUARD CABINET WITH</v>
          </cell>
          <cell r="F2095">
            <v>1</v>
          </cell>
          <cell r="G2095">
            <v>35339</v>
          </cell>
          <cell r="H2095">
            <v>68700</v>
          </cell>
        </row>
        <row r="2096">
          <cell r="A2096">
            <v>3400004423</v>
          </cell>
          <cell r="B2096">
            <v>6801</v>
          </cell>
          <cell r="C2096">
            <v>61158</v>
          </cell>
          <cell r="D2096">
            <v>1</v>
          </cell>
          <cell r="E2096" t="str">
            <v>SHELF FOR COMPUTER DATAGUARD CABINET</v>
          </cell>
          <cell r="F2096">
            <v>1</v>
          </cell>
          <cell r="G2096">
            <v>35339</v>
          </cell>
          <cell r="H2096">
            <v>1400</v>
          </cell>
        </row>
        <row r="2097">
          <cell r="A2097">
            <v>3400004427</v>
          </cell>
          <cell r="B2097">
            <v>6801</v>
          </cell>
          <cell r="C2097">
            <v>61107</v>
          </cell>
          <cell r="D2097">
            <v>0</v>
          </cell>
          <cell r="E2097" t="str">
            <v>DOUBLE TIRE CABLE DRUM</v>
          </cell>
          <cell r="F2097">
            <v>1</v>
          </cell>
          <cell r="G2097">
            <v>35339</v>
          </cell>
          <cell r="H2097">
            <v>5700</v>
          </cell>
        </row>
        <row r="2098">
          <cell r="A2098">
            <v>3400004453</v>
          </cell>
          <cell r="B2098">
            <v>6801</v>
          </cell>
          <cell r="C2098">
            <v>61206</v>
          </cell>
          <cell r="D2098">
            <v>0</v>
          </cell>
          <cell r="E2098" t="str">
            <v>NILKAMAL CRATE CONDUCTIVE BLACK</v>
          </cell>
          <cell r="F2098">
            <v>1</v>
          </cell>
          <cell r="G2098">
            <v>35339</v>
          </cell>
          <cell r="H2098">
            <v>314500</v>
          </cell>
        </row>
        <row r="2099">
          <cell r="A2099">
            <v>3400004459</v>
          </cell>
          <cell r="B2099">
            <v>6801</v>
          </cell>
          <cell r="C2099">
            <v>61162</v>
          </cell>
          <cell r="D2099">
            <v>0</v>
          </cell>
          <cell r="E2099" t="str">
            <v>PHILIPS 21" COLOUR TELEVISION</v>
          </cell>
          <cell r="F2099">
            <v>1</v>
          </cell>
          <cell r="G2099">
            <v>35339</v>
          </cell>
          <cell r="H2099">
            <v>19200</v>
          </cell>
        </row>
        <row r="2100">
          <cell r="A2100">
            <v>3400004461</v>
          </cell>
          <cell r="B2100">
            <v>6801</v>
          </cell>
          <cell r="C2100">
            <v>61153</v>
          </cell>
          <cell r="D2100">
            <v>0</v>
          </cell>
          <cell r="E2100" t="str">
            <v>CONDUCTIVE MAGAZINES FOR SMALL COMPONENT</v>
          </cell>
          <cell r="F2100">
            <v>1</v>
          </cell>
          <cell r="G2100">
            <v>35339</v>
          </cell>
          <cell r="H2100">
            <v>167100</v>
          </cell>
        </row>
        <row r="2101">
          <cell r="A2101">
            <v>3400004470</v>
          </cell>
          <cell r="B2101">
            <v>6801</v>
          </cell>
          <cell r="C2101">
            <v>61153</v>
          </cell>
          <cell r="D2101">
            <v>0</v>
          </cell>
          <cell r="E2101" t="str">
            <v>MODULE CARRYING CASE-LABEL PRINTING SYSM</v>
          </cell>
          <cell r="F2101">
            <v>1</v>
          </cell>
          <cell r="G2101">
            <v>35339</v>
          </cell>
          <cell r="H2101">
            <v>17000</v>
          </cell>
        </row>
        <row r="2102">
          <cell r="A2102">
            <v>3400004471</v>
          </cell>
          <cell r="B2102">
            <v>6801</v>
          </cell>
          <cell r="C2102">
            <v>61153</v>
          </cell>
          <cell r="D2102">
            <v>0</v>
          </cell>
          <cell r="E2102" t="str">
            <v>MODULE CARRYING CASE-LABEL PRINTING SYSM</v>
          </cell>
          <cell r="F2102">
            <v>1</v>
          </cell>
          <cell r="G2102">
            <v>35339</v>
          </cell>
          <cell r="H2102">
            <v>14800</v>
          </cell>
        </row>
        <row r="2103">
          <cell r="A2103">
            <v>3400004472</v>
          </cell>
          <cell r="B2103">
            <v>6801</v>
          </cell>
          <cell r="C2103">
            <v>61153</v>
          </cell>
          <cell r="D2103">
            <v>0</v>
          </cell>
          <cell r="E2103" t="str">
            <v>MODULE CARRYING CASE-LABEL PRINTING SYSM</v>
          </cell>
          <cell r="F2103">
            <v>1</v>
          </cell>
          <cell r="G2103">
            <v>35339</v>
          </cell>
          <cell r="H2103">
            <v>14800</v>
          </cell>
        </row>
        <row r="2104">
          <cell r="A2104">
            <v>3400004473</v>
          </cell>
          <cell r="B2104">
            <v>6801</v>
          </cell>
          <cell r="C2104">
            <v>61153</v>
          </cell>
          <cell r="D2104">
            <v>0</v>
          </cell>
          <cell r="E2104" t="str">
            <v>MODULE CARRYING CASE-LABEL PRINTING SYSM</v>
          </cell>
          <cell r="F2104">
            <v>1</v>
          </cell>
          <cell r="G2104">
            <v>35339</v>
          </cell>
          <cell r="H2104">
            <v>18300</v>
          </cell>
        </row>
        <row r="2105">
          <cell r="A2105">
            <v>3400004475</v>
          </cell>
          <cell r="B2105">
            <v>6801</v>
          </cell>
          <cell r="C2105">
            <v>61153</v>
          </cell>
          <cell r="D2105">
            <v>0</v>
          </cell>
          <cell r="E2105" t="str">
            <v>PRINTER TABLE FOR LABEL PRINTING SYSTEM</v>
          </cell>
          <cell r="F2105">
            <v>1</v>
          </cell>
          <cell r="G2105">
            <v>35339</v>
          </cell>
          <cell r="H2105">
            <v>29500</v>
          </cell>
        </row>
        <row r="2106">
          <cell r="A2106">
            <v>3400004478</v>
          </cell>
          <cell r="B2106">
            <v>6801</v>
          </cell>
          <cell r="C2106">
            <v>61206</v>
          </cell>
          <cell r="D2106">
            <v>0</v>
          </cell>
          <cell r="E2106" t="str">
            <v>WOODEN REFERENCE SHELF</v>
          </cell>
          <cell r="F2106">
            <v>1</v>
          </cell>
          <cell r="G2106">
            <v>35339</v>
          </cell>
          <cell r="H2106">
            <v>8600</v>
          </cell>
        </row>
        <row r="2107">
          <cell r="A2107">
            <v>3400004480</v>
          </cell>
          <cell r="B2107">
            <v>6801</v>
          </cell>
          <cell r="C2107">
            <v>61156</v>
          </cell>
          <cell r="D2107">
            <v>0</v>
          </cell>
          <cell r="E2107" t="str">
            <v>TOOL STORAGE CABINET</v>
          </cell>
          <cell r="F2107">
            <v>1</v>
          </cell>
          <cell r="G2107">
            <v>35339</v>
          </cell>
          <cell r="H2107">
            <v>16000</v>
          </cell>
        </row>
        <row r="2108">
          <cell r="A2108">
            <v>3400004490</v>
          </cell>
          <cell r="B2108">
            <v>6801</v>
          </cell>
          <cell r="C2108">
            <v>61206</v>
          </cell>
          <cell r="D2108">
            <v>0</v>
          </cell>
          <cell r="E2108" t="str">
            <v>INSPECTION FRAME TYPE 2</v>
          </cell>
          <cell r="F2108">
            <v>1</v>
          </cell>
          <cell r="G2108">
            <v>35339</v>
          </cell>
          <cell r="H2108">
            <v>10700</v>
          </cell>
        </row>
        <row r="2109">
          <cell r="A2109">
            <v>3400004532</v>
          </cell>
          <cell r="B2109">
            <v>6801</v>
          </cell>
          <cell r="C2109">
            <v>61150</v>
          </cell>
          <cell r="D2109">
            <v>0</v>
          </cell>
          <cell r="E2109" t="str">
            <v>SHELVES FOR STORE MEK MAKE</v>
          </cell>
          <cell r="F2109">
            <v>1</v>
          </cell>
          <cell r="G2109">
            <v>35339</v>
          </cell>
          <cell r="H2109">
            <v>19700</v>
          </cell>
        </row>
        <row r="2110">
          <cell r="A2110">
            <v>3400004534</v>
          </cell>
          <cell r="B2110">
            <v>6801</v>
          </cell>
          <cell r="C2110">
            <v>61206</v>
          </cell>
          <cell r="D2110">
            <v>0</v>
          </cell>
          <cell r="E2110" t="str">
            <v>HSEGRUD STEEL ALMIRAH 78X32X32</v>
          </cell>
          <cell r="F2110">
            <v>1</v>
          </cell>
          <cell r="G2110">
            <v>35339</v>
          </cell>
          <cell r="H2110">
            <v>6300</v>
          </cell>
        </row>
        <row r="2111">
          <cell r="A2111">
            <v>3400004786</v>
          </cell>
          <cell r="B2111">
            <v>6801</v>
          </cell>
          <cell r="C2111">
            <v>61203</v>
          </cell>
          <cell r="D2111">
            <v>0</v>
          </cell>
          <cell r="E2111" t="str">
            <v>STEEL ALMIRAHS WITH 6 LOCKERS</v>
          </cell>
          <cell r="F2111">
            <v>1</v>
          </cell>
          <cell r="G2111">
            <v>35339</v>
          </cell>
          <cell r="H2111">
            <v>5100</v>
          </cell>
        </row>
        <row r="2112">
          <cell r="A2112">
            <v>3400004796</v>
          </cell>
          <cell r="B2112">
            <v>6801</v>
          </cell>
          <cell r="C2112">
            <v>61203</v>
          </cell>
          <cell r="D2112">
            <v>0</v>
          </cell>
          <cell r="E2112" t="str">
            <v>WORKING TABLE</v>
          </cell>
          <cell r="F2112">
            <v>1</v>
          </cell>
          <cell r="G2112">
            <v>35339</v>
          </cell>
          <cell r="H2112">
            <v>1800</v>
          </cell>
        </row>
        <row r="2113">
          <cell r="A2113">
            <v>3400003565</v>
          </cell>
          <cell r="B2113">
            <v>6801</v>
          </cell>
          <cell r="C2113">
            <v>61162</v>
          </cell>
          <cell r="D2113">
            <v>0</v>
          </cell>
          <cell r="E2113" t="str">
            <v>HEX TABLE FOR MGM SEC.:GODREJ MAKE</v>
          </cell>
          <cell r="F2113">
            <v>1</v>
          </cell>
          <cell r="G2113">
            <v>35444</v>
          </cell>
          <cell r="H2113">
            <v>37009.81</v>
          </cell>
        </row>
        <row r="2114">
          <cell r="A2114">
            <v>3400003578</v>
          </cell>
          <cell r="B2114">
            <v>6801</v>
          </cell>
          <cell r="C2114">
            <v>61108</v>
          </cell>
          <cell r="D2114">
            <v>0</v>
          </cell>
          <cell r="E2114" t="str">
            <v>WOODEN PALLETE</v>
          </cell>
          <cell r="F2114">
            <v>1</v>
          </cell>
          <cell r="G2114">
            <v>35446</v>
          </cell>
          <cell r="H2114">
            <v>10000</v>
          </cell>
        </row>
        <row r="2115">
          <cell r="A2115">
            <v>3400003580</v>
          </cell>
          <cell r="B2115">
            <v>6801</v>
          </cell>
          <cell r="C2115">
            <v>61100</v>
          </cell>
          <cell r="D2115">
            <v>0</v>
          </cell>
          <cell r="E2115" t="str">
            <v>SPINPEK VERTICAL CAROUSEL CONVEYOR</v>
          </cell>
          <cell r="F2115">
            <v>1</v>
          </cell>
          <cell r="G2115">
            <v>35446</v>
          </cell>
          <cell r="H2115">
            <v>262648.98</v>
          </cell>
        </row>
        <row r="2116">
          <cell r="A2116">
            <v>3400003582</v>
          </cell>
          <cell r="B2116">
            <v>6801</v>
          </cell>
          <cell r="C2116">
            <v>61115</v>
          </cell>
          <cell r="D2116">
            <v>0</v>
          </cell>
          <cell r="E2116" t="str">
            <v>M.S.STRUCTURE FOR RUN IN CHAMBER</v>
          </cell>
          <cell r="F2116">
            <v>1</v>
          </cell>
          <cell r="G2116">
            <v>35446</v>
          </cell>
          <cell r="H2116">
            <v>68600</v>
          </cell>
        </row>
        <row r="2117">
          <cell r="A2117">
            <v>3400003590</v>
          </cell>
          <cell r="B2117">
            <v>6801</v>
          </cell>
          <cell r="C2117">
            <v>61162</v>
          </cell>
          <cell r="D2117">
            <v>0</v>
          </cell>
          <cell r="E2117" t="str">
            <v>PREMIUM EXECUTIVE CHAIR</v>
          </cell>
          <cell r="F2117">
            <v>1</v>
          </cell>
          <cell r="G2117">
            <v>35446</v>
          </cell>
          <cell r="H2117">
            <v>7740.1</v>
          </cell>
        </row>
        <row r="2118">
          <cell r="A2118">
            <v>3400003591</v>
          </cell>
          <cell r="B2118">
            <v>6801</v>
          </cell>
          <cell r="C2118">
            <v>61162</v>
          </cell>
          <cell r="D2118">
            <v>0</v>
          </cell>
          <cell r="E2118" t="str">
            <v>PREMIUM EXECUTIVE CHAIR WITH ARMREST</v>
          </cell>
          <cell r="F2118">
            <v>1</v>
          </cell>
          <cell r="G2118">
            <v>35446</v>
          </cell>
          <cell r="H2118">
            <v>7740.09</v>
          </cell>
        </row>
        <row r="2119">
          <cell r="A2119">
            <v>3400003186</v>
          </cell>
          <cell r="B2119">
            <v>6801</v>
          </cell>
          <cell r="C2119">
            <v>61162</v>
          </cell>
          <cell r="D2119">
            <v>0</v>
          </cell>
          <cell r="E2119" t="str">
            <v>DEESHA ELECTRIC CHIMNEY</v>
          </cell>
          <cell r="F2119">
            <v>1</v>
          </cell>
          <cell r="G2119">
            <v>35020</v>
          </cell>
          <cell r="H2119">
            <v>6500</v>
          </cell>
        </row>
        <row r="2120">
          <cell r="A2120">
            <v>3400003740</v>
          </cell>
          <cell r="B2120">
            <v>6801</v>
          </cell>
          <cell r="C2120">
            <v>61200</v>
          </cell>
          <cell r="D2120">
            <v>0</v>
          </cell>
          <cell r="E2120" t="str">
            <v>RECEPTION COUNTER</v>
          </cell>
          <cell r="F2120">
            <v>1</v>
          </cell>
          <cell r="G2120">
            <v>35479</v>
          </cell>
          <cell r="H2120">
            <v>21300</v>
          </cell>
        </row>
        <row r="2121">
          <cell r="A2121">
            <v>3400003615</v>
          </cell>
          <cell r="B2121">
            <v>6801</v>
          </cell>
          <cell r="C2121">
            <v>61200</v>
          </cell>
          <cell r="D2121">
            <v>0</v>
          </cell>
          <cell r="E2121" t="str">
            <v>PARTITION &amp; CUBICLESVOF MEZZ. FLOOR STOR</v>
          </cell>
          <cell r="F2121">
            <v>1</v>
          </cell>
          <cell r="G2121">
            <v>35450</v>
          </cell>
          <cell r="H2121">
            <v>138344.49</v>
          </cell>
        </row>
        <row r="2122">
          <cell r="A2122">
            <v>3400003771</v>
          </cell>
          <cell r="B2122">
            <v>6801</v>
          </cell>
          <cell r="C2122">
            <v>61102</v>
          </cell>
          <cell r="D2122">
            <v>0</v>
          </cell>
          <cell r="E2122" t="str">
            <v>ADDITIONAL  WOODEN PARTITION FOR SMT ARE</v>
          </cell>
          <cell r="F2122">
            <v>1</v>
          </cell>
          <cell r="G2122">
            <v>35509</v>
          </cell>
          <cell r="H2122">
            <v>6986</v>
          </cell>
        </row>
        <row r="2123">
          <cell r="A2123">
            <v>3400002965</v>
          </cell>
          <cell r="B2123">
            <v>6801</v>
          </cell>
          <cell r="C2123">
            <v>61203</v>
          </cell>
          <cell r="D2123">
            <v>0</v>
          </cell>
          <cell r="E2123" t="str">
            <v>STEEL ALMIRAH WITH LOCKER</v>
          </cell>
          <cell r="F2123">
            <v>1</v>
          </cell>
          <cell r="G2123">
            <v>35025</v>
          </cell>
          <cell r="H2123">
            <v>5300</v>
          </cell>
        </row>
        <row r="2124">
          <cell r="A2124">
            <v>3400002709</v>
          </cell>
          <cell r="B2124">
            <v>6802</v>
          </cell>
          <cell r="C2124">
            <v>61157</v>
          </cell>
          <cell r="D2124">
            <v>0</v>
          </cell>
          <cell r="E2124" t="str">
            <v>CABLE FOR EPABX</v>
          </cell>
          <cell r="F2124">
            <v>1</v>
          </cell>
          <cell r="G2124">
            <v>35339</v>
          </cell>
          <cell r="H2124">
            <v>26500</v>
          </cell>
        </row>
        <row r="2125">
          <cell r="A2125">
            <v>3400002890</v>
          </cell>
          <cell r="B2125">
            <v>6900</v>
          </cell>
          <cell r="C2125">
            <v>61200</v>
          </cell>
          <cell r="D2125">
            <v>0</v>
          </cell>
          <cell r="E2125" t="str">
            <v>HAND HELD METAL DETECTOR SM IOC</v>
          </cell>
          <cell r="F2125">
            <v>1</v>
          </cell>
          <cell r="G2125">
            <v>34790</v>
          </cell>
          <cell r="H2125">
            <v>3000</v>
          </cell>
        </row>
        <row r="2126">
          <cell r="A2126">
            <v>3400002882</v>
          </cell>
          <cell r="B2126">
            <v>6900</v>
          </cell>
          <cell r="C2126">
            <v>61200</v>
          </cell>
          <cell r="D2126">
            <v>0</v>
          </cell>
          <cell r="E2126" t="str">
            <v>HAND HELD METAL DETECOTR</v>
          </cell>
          <cell r="F2126">
            <v>1</v>
          </cell>
          <cell r="G2126">
            <v>34820</v>
          </cell>
          <cell r="H2126">
            <v>3000</v>
          </cell>
        </row>
        <row r="2127">
          <cell r="A2127">
            <v>3400002897</v>
          </cell>
          <cell r="B2127">
            <v>6900</v>
          </cell>
          <cell r="C2127">
            <v>61200</v>
          </cell>
          <cell r="D2127">
            <v>0</v>
          </cell>
          <cell r="E2127" t="str">
            <v>HAND HELD METAL DETECTOR MODEL 10C</v>
          </cell>
          <cell r="F2127">
            <v>2</v>
          </cell>
          <cell r="G2127">
            <v>34851</v>
          </cell>
          <cell r="H2127">
            <v>6000</v>
          </cell>
        </row>
        <row r="2128">
          <cell r="A2128">
            <v>3400004432</v>
          </cell>
          <cell r="B2128">
            <v>6900</v>
          </cell>
          <cell r="C2128">
            <v>61158</v>
          </cell>
          <cell r="D2128">
            <v>0</v>
          </cell>
          <cell r="E2128" t="str">
            <v>1MB RAM CHIP MODULE 70 NOS</v>
          </cell>
          <cell r="F2128">
            <v>4</v>
          </cell>
          <cell r="G2128">
            <v>34639</v>
          </cell>
          <cell r="H2128">
            <v>3400</v>
          </cell>
        </row>
        <row r="2129">
          <cell r="A2129">
            <v>3400003367</v>
          </cell>
          <cell r="B2129">
            <v>6900</v>
          </cell>
          <cell r="C2129">
            <v>61150</v>
          </cell>
          <cell r="D2129">
            <v>0</v>
          </cell>
          <cell r="E2129" t="str">
            <v>PLASTIC DIGIT/LETTER WITH MAGNETIC FIXIN</v>
          </cell>
          <cell r="F2129">
            <v>1350</v>
          </cell>
          <cell r="G2129">
            <v>35285</v>
          </cell>
          <cell r="H2129">
            <v>10100</v>
          </cell>
        </row>
        <row r="2130">
          <cell r="A2130">
            <v>3400003342</v>
          </cell>
          <cell r="B2130">
            <v>6900</v>
          </cell>
          <cell r="C2130">
            <v>61116</v>
          </cell>
          <cell r="D2130">
            <v>0</v>
          </cell>
          <cell r="E2130" t="str">
            <v>INSTRUMENT CARRYING CASE</v>
          </cell>
          <cell r="F2130">
            <v>1</v>
          </cell>
          <cell r="G2130">
            <v>35167</v>
          </cell>
          <cell r="H2130">
            <v>10100</v>
          </cell>
        </row>
        <row r="2131">
          <cell r="A2131">
            <v>3400002953</v>
          </cell>
          <cell r="B2131">
            <v>6900</v>
          </cell>
          <cell r="C2131">
            <v>61108</v>
          </cell>
          <cell r="D2131">
            <v>0</v>
          </cell>
          <cell r="E2131" t="str">
            <v>WOODEN PALLET</v>
          </cell>
          <cell r="F2131">
            <v>10</v>
          </cell>
          <cell r="G2131">
            <v>35015</v>
          </cell>
          <cell r="H2131">
            <v>4700</v>
          </cell>
        </row>
        <row r="2132">
          <cell r="A2132">
            <v>3400003315</v>
          </cell>
          <cell r="B2132">
            <v>6900</v>
          </cell>
          <cell r="C2132">
            <v>61200</v>
          </cell>
          <cell r="D2132">
            <v>0</v>
          </cell>
          <cell r="E2132" t="str">
            <v>FIRE EXTINGUISHERS</v>
          </cell>
          <cell r="F2132">
            <v>13</v>
          </cell>
          <cell r="G2132">
            <v>35144</v>
          </cell>
          <cell r="H2132">
            <v>63300</v>
          </cell>
        </row>
        <row r="2133">
          <cell r="A2133">
            <v>3400003324</v>
          </cell>
          <cell r="B2133">
            <v>6900</v>
          </cell>
          <cell r="C2133">
            <v>61161</v>
          </cell>
          <cell r="D2133">
            <v>0</v>
          </cell>
          <cell r="E2133" t="str">
            <v>25 LITRES TEA CONTAINER</v>
          </cell>
          <cell r="F2133">
            <v>1</v>
          </cell>
          <cell r="G2133">
            <v>34932</v>
          </cell>
          <cell r="H2133">
            <v>1300</v>
          </cell>
        </row>
        <row r="2134">
          <cell r="A2134">
            <v>3400002941</v>
          </cell>
          <cell r="B2134">
            <v>6900</v>
          </cell>
          <cell r="C2134">
            <v>61157</v>
          </cell>
          <cell r="D2134">
            <v>0</v>
          </cell>
          <cell r="E2134" t="str">
            <v>FIRE EXTINGUISHERS</v>
          </cell>
          <cell r="F2134">
            <v>6</v>
          </cell>
          <cell r="G2134">
            <v>35060</v>
          </cell>
          <cell r="H2134">
            <v>16000</v>
          </cell>
        </row>
        <row r="2135">
          <cell r="A2135">
            <v>3400004363</v>
          </cell>
          <cell r="B2135">
            <v>6901</v>
          </cell>
          <cell r="C2135">
            <v>61206</v>
          </cell>
          <cell r="D2135">
            <v>0</v>
          </cell>
          <cell r="E2135" t="str">
            <v>ESD CRATES</v>
          </cell>
          <cell r="F2135">
            <v>188</v>
          </cell>
          <cell r="G2135">
            <v>34425</v>
          </cell>
          <cell r="H2135">
            <v>26100</v>
          </cell>
        </row>
        <row r="2136">
          <cell r="A2136">
            <v>3400003924</v>
          </cell>
          <cell r="B2136">
            <v>6901</v>
          </cell>
          <cell r="C2136">
            <v>61109</v>
          </cell>
          <cell r="D2136">
            <v>0</v>
          </cell>
          <cell r="E2136" t="str">
            <v>TROLLEY TYPE 'A'</v>
          </cell>
          <cell r="F2136">
            <v>1</v>
          </cell>
          <cell r="G2136">
            <v>34700</v>
          </cell>
          <cell r="H2136">
            <v>13000</v>
          </cell>
        </row>
        <row r="2137">
          <cell r="A2137">
            <v>3400004424</v>
          </cell>
          <cell r="B2137">
            <v>6901</v>
          </cell>
          <cell r="C2137">
            <v>61101</v>
          </cell>
          <cell r="D2137">
            <v>0</v>
          </cell>
          <cell r="E2137" t="str">
            <v>ANTISTATIC WORKMEN CHAIR</v>
          </cell>
          <cell r="F2137">
            <v>1</v>
          </cell>
          <cell r="G2137">
            <v>34700</v>
          </cell>
          <cell r="H2137">
            <v>12400</v>
          </cell>
        </row>
        <row r="2138">
          <cell r="A2138">
            <v>3400004425</v>
          </cell>
          <cell r="B2138">
            <v>6901</v>
          </cell>
          <cell r="C2138">
            <v>61104</v>
          </cell>
          <cell r="D2138">
            <v>0</v>
          </cell>
          <cell r="E2138" t="str">
            <v>ANTISTATIC CHAIR WITH CUSHION</v>
          </cell>
          <cell r="F2138">
            <v>15</v>
          </cell>
          <cell r="G2138">
            <v>34700</v>
          </cell>
          <cell r="H2138">
            <v>26300</v>
          </cell>
        </row>
        <row r="2139">
          <cell r="A2139">
            <v>3400004455</v>
          </cell>
          <cell r="B2139">
            <v>6901</v>
          </cell>
          <cell r="C2139">
            <v>61206</v>
          </cell>
          <cell r="D2139">
            <v>0</v>
          </cell>
          <cell r="E2139" t="str">
            <v>HSEGRUD MAKE STEEL ALMIRAH 78"X35"X19"</v>
          </cell>
          <cell r="F2139">
            <v>3</v>
          </cell>
          <cell r="G2139">
            <v>34700</v>
          </cell>
          <cell r="H2139">
            <v>13900</v>
          </cell>
        </row>
        <row r="2140">
          <cell r="A2140">
            <v>3400004457</v>
          </cell>
          <cell r="B2140">
            <v>6901</v>
          </cell>
          <cell r="C2140">
            <v>61206</v>
          </cell>
          <cell r="D2140">
            <v>0</v>
          </cell>
          <cell r="E2140" t="str">
            <v>HSEGRUD MAKE STEEL ALMIRAH 50"X38"X19"</v>
          </cell>
          <cell r="F2140">
            <v>2</v>
          </cell>
          <cell r="G2140">
            <v>34731</v>
          </cell>
          <cell r="H2140">
            <v>10500</v>
          </cell>
        </row>
        <row r="2141">
          <cell r="A2141">
            <v>3400002475</v>
          </cell>
          <cell r="B2141">
            <v>6901</v>
          </cell>
          <cell r="C2141">
            <v>61161</v>
          </cell>
          <cell r="D2141">
            <v>0</v>
          </cell>
          <cell r="E2141" t="str">
            <v>WATER HEATER</v>
          </cell>
          <cell r="F2141">
            <v>1</v>
          </cell>
          <cell r="G2141">
            <v>34790</v>
          </cell>
          <cell r="H2141">
            <v>1600</v>
          </cell>
        </row>
        <row r="2142">
          <cell r="A2142">
            <v>3400002476</v>
          </cell>
          <cell r="B2142">
            <v>6901</v>
          </cell>
          <cell r="C2142">
            <v>61161</v>
          </cell>
          <cell r="D2142">
            <v>0</v>
          </cell>
          <cell r="E2142" t="str">
            <v>WATER PURIFIER &amp; ACCESSORIES</v>
          </cell>
          <cell r="F2142">
            <v>2</v>
          </cell>
          <cell r="G2142">
            <v>34790</v>
          </cell>
          <cell r="H2142">
            <v>6400</v>
          </cell>
        </row>
        <row r="2143">
          <cell r="A2143">
            <v>3400002477</v>
          </cell>
          <cell r="B2143">
            <v>6901</v>
          </cell>
          <cell r="C2143">
            <v>61206</v>
          </cell>
          <cell r="D2143">
            <v>0</v>
          </cell>
          <cell r="E2143" t="str">
            <v>WHEEL CASTOR WITH NUT &amp; BOLT</v>
          </cell>
          <cell r="F2143">
            <v>36</v>
          </cell>
          <cell r="G2143">
            <v>34790</v>
          </cell>
          <cell r="H2143">
            <v>3900</v>
          </cell>
        </row>
        <row r="2144">
          <cell r="A2144">
            <v>3400002480</v>
          </cell>
          <cell r="B2144">
            <v>6901</v>
          </cell>
          <cell r="C2144">
            <v>61206</v>
          </cell>
          <cell r="D2144">
            <v>0</v>
          </cell>
          <cell r="E2144" t="str">
            <v>WOODEN BRIDGE FIXING BOX</v>
          </cell>
          <cell r="F2144">
            <v>1</v>
          </cell>
          <cell r="G2144">
            <v>34790</v>
          </cell>
          <cell r="H2144">
            <v>400</v>
          </cell>
        </row>
        <row r="2145">
          <cell r="A2145">
            <v>3400002481</v>
          </cell>
          <cell r="B2145">
            <v>6901</v>
          </cell>
          <cell r="C2145">
            <v>61206</v>
          </cell>
          <cell r="D2145">
            <v>0</v>
          </cell>
          <cell r="E2145" t="str">
            <v>WOODEN CABINETS</v>
          </cell>
          <cell r="F2145">
            <v>14</v>
          </cell>
          <cell r="G2145">
            <v>34790</v>
          </cell>
          <cell r="H2145">
            <v>22600</v>
          </cell>
        </row>
        <row r="2146">
          <cell r="A2146">
            <v>3400002485</v>
          </cell>
          <cell r="B2146">
            <v>6901</v>
          </cell>
          <cell r="C2146">
            <v>61161</v>
          </cell>
          <cell r="D2146">
            <v>0</v>
          </cell>
          <cell r="E2146" t="str">
            <v>WOODEN FLOWER BOX</v>
          </cell>
          <cell r="F2146">
            <v>1</v>
          </cell>
          <cell r="G2146">
            <v>34790</v>
          </cell>
          <cell r="H2146">
            <v>1700</v>
          </cell>
        </row>
        <row r="2147">
          <cell r="A2147">
            <v>3400002486</v>
          </cell>
          <cell r="B2147">
            <v>6901</v>
          </cell>
          <cell r="C2147">
            <v>61206</v>
          </cell>
          <cell r="D2147">
            <v>0</v>
          </cell>
          <cell r="E2147" t="str">
            <v>WOODEN MAGAZINE RACK</v>
          </cell>
          <cell r="F2147">
            <v>1</v>
          </cell>
          <cell r="G2147">
            <v>34790</v>
          </cell>
          <cell r="H2147">
            <v>800</v>
          </cell>
        </row>
        <row r="2148">
          <cell r="A2148">
            <v>3400002491</v>
          </cell>
          <cell r="B2148">
            <v>6901</v>
          </cell>
          <cell r="C2148">
            <v>61206</v>
          </cell>
          <cell r="D2148">
            <v>0</v>
          </cell>
          <cell r="E2148" t="str">
            <v>WORK TABLE UNIVERSAL</v>
          </cell>
          <cell r="F2148">
            <v>1</v>
          </cell>
          <cell r="G2148">
            <v>34790</v>
          </cell>
          <cell r="H2148">
            <v>1800</v>
          </cell>
        </row>
        <row r="2149">
          <cell r="A2149">
            <v>3400002492</v>
          </cell>
          <cell r="B2149">
            <v>6901</v>
          </cell>
          <cell r="C2149">
            <v>61206</v>
          </cell>
          <cell r="D2149">
            <v>0</v>
          </cell>
          <cell r="E2149" t="str">
            <v>WORKMAN CHAIR</v>
          </cell>
          <cell r="F2149">
            <v>58</v>
          </cell>
          <cell r="G2149">
            <v>34790</v>
          </cell>
          <cell r="H2149">
            <v>67900</v>
          </cell>
        </row>
        <row r="2150">
          <cell r="A2150">
            <v>3400002493</v>
          </cell>
          <cell r="B2150">
            <v>6901</v>
          </cell>
          <cell r="C2150">
            <v>61161</v>
          </cell>
          <cell r="D2150">
            <v>0</v>
          </cell>
          <cell r="E2150" t="str">
            <v>WORKMEN'S LOCKER</v>
          </cell>
          <cell r="F2150">
            <v>25</v>
          </cell>
          <cell r="G2150">
            <v>34790</v>
          </cell>
          <cell r="H2150">
            <v>75700</v>
          </cell>
        </row>
        <row r="2151">
          <cell r="A2151">
            <v>3400002494</v>
          </cell>
          <cell r="B2151">
            <v>6901</v>
          </cell>
          <cell r="C2151">
            <v>61206</v>
          </cell>
          <cell r="D2151">
            <v>0</v>
          </cell>
          <cell r="E2151" t="str">
            <v>WORKPLACE TROLLEY</v>
          </cell>
          <cell r="F2151">
            <v>1</v>
          </cell>
          <cell r="G2151">
            <v>34790</v>
          </cell>
          <cell r="H2151">
            <v>800</v>
          </cell>
        </row>
        <row r="2152">
          <cell r="A2152">
            <v>3400002496</v>
          </cell>
          <cell r="B2152">
            <v>6901</v>
          </cell>
          <cell r="C2152">
            <v>61206</v>
          </cell>
          <cell r="D2152">
            <v>0</v>
          </cell>
          <cell r="E2152" t="str">
            <v>WORKSHOP TROLLEYS WITH BOARD</v>
          </cell>
          <cell r="F2152">
            <v>36</v>
          </cell>
          <cell r="G2152">
            <v>34790</v>
          </cell>
          <cell r="H2152">
            <v>40800</v>
          </cell>
        </row>
        <row r="2153">
          <cell r="A2153">
            <v>3400002498</v>
          </cell>
          <cell r="B2153">
            <v>6901</v>
          </cell>
          <cell r="C2153">
            <v>61203</v>
          </cell>
          <cell r="D2153">
            <v>0</v>
          </cell>
          <cell r="E2153" t="str">
            <v>XEROX TABLE</v>
          </cell>
          <cell r="F2153">
            <v>1</v>
          </cell>
          <cell r="G2153">
            <v>34790</v>
          </cell>
          <cell r="H2153">
            <v>1400</v>
          </cell>
        </row>
        <row r="2154">
          <cell r="A2154">
            <v>3400002501</v>
          </cell>
          <cell r="B2154">
            <v>6901</v>
          </cell>
          <cell r="C2154">
            <v>61206</v>
          </cell>
          <cell r="D2154">
            <v>0</v>
          </cell>
          <cell r="E2154" t="str">
            <v>STORWELL STEEL ALMIRAH</v>
          </cell>
          <cell r="F2154">
            <v>1</v>
          </cell>
          <cell r="G2154">
            <v>34790</v>
          </cell>
          <cell r="H2154">
            <v>3700</v>
          </cell>
        </row>
        <row r="2155">
          <cell r="A2155">
            <v>3400002503</v>
          </cell>
          <cell r="B2155">
            <v>6901</v>
          </cell>
          <cell r="C2155">
            <v>61161</v>
          </cell>
          <cell r="D2155">
            <v>0</v>
          </cell>
          <cell r="E2155" t="str">
            <v>TABLES FOR CANTEEN</v>
          </cell>
          <cell r="F2155">
            <v>1</v>
          </cell>
          <cell r="G2155">
            <v>34790</v>
          </cell>
          <cell r="H2155">
            <v>6700</v>
          </cell>
        </row>
        <row r="2156">
          <cell r="A2156">
            <v>3400002504</v>
          </cell>
          <cell r="B2156">
            <v>6901</v>
          </cell>
          <cell r="C2156">
            <v>61161</v>
          </cell>
          <cell r="D2156">
            <v>0</v>
          </cell>
          <cell r="E2156" t="str">
            <v>TABLE FOR KELTRON MACHINE</v>
          </cell>
          <cell r="F2156">
            <v>1</v>
          </cell>
          <cell r="G2156">
            <v>34790</v>
          </cell>
          <cell r="H2156">
            <v>2800</v>
          </cell>
        </row>
        <row r="2157">
          <cell r="A2157">
            <v>3400002505</v>
          </cell>
          <cell r="B2157">
            <v>6901</v>
          </cell>
          <cell r="C2157">
            <v>61206</v>
          </cell>
          <cell r="D2157">
            <v>0</v>
          </cell>
          <cell r="E2157" t="str">
            <v>TABLE WITH PLATFORMS</v>
          </cell>
          <cell r="F2157">
            <v>3</v>
          </cell>
          <cell r="G2157">
            <v>34790</v>
          </cell>
          <cell r="H2157">
            <v>5800</v>
          </cell>
        </row>
        <row r="2158">
          <cell r="A2158">
            <v>3400002506</v>
          </cell>
          <cell r="B2158">
            <v>6901</v>
          </cell>
          <cell r="C2158">
            <v>61206</v>
          </cell>
          <cell r="D2158">
            <v>0</v>
          </cell>
          <cell r="E2158" t="str">
            <v>TABLE OFFICE</v>
          </cell>
          <cell r="F2158">
            <v>38</v>
          </cell>
          <cell r="G2158">
            <v>34790</v>
          </cell>
          <cell r="H2158">
            <v>95500</v>
          </cell>
        </row>
        <row r="2159">
          <cell r="A2159">
            <v>3400002508</v>
          </cell>
          <cell r="B2159">
            <v>6901</v>
          </cell>
          <cell r="C2159">
            <v>61206</v>
          </cell>
          <cell r="D2159">
            <v>0</v>
          </cell>
          <cell r="E2159" t="str">
            <v>TABLES WORKSHOP</v>
          </cell>
          <cell r="F2159">
            <v>11</v>
          </cell>
          <cell r="G2159">
            <v>34790</v>
          </cell>
          <cell r="H2159">
            <v>13500</v>
          </cell>
        </row>
        <row r="2160">
          <cell r="A2160">
            <v>3400002509</v>
          </cell>
          <cell r="B2160">
            <v>6901</v>
          </cell>
          <cell r="C2160">
            <v>61157</v>
          </cell>
          <cell r="D2160">
            <v>0</v>
          </cell>
          <cell r="E2160" t="str">
            <v>TELEPHONE PBX</v>
          </cell>
          <cell r="F2160">
            <v>16</v>
          </cell>
          <cell r="G2160">
            <v>34790</v>
          </cell>
          <cell r="H2160">
            <v>11400</v>
          </cell>
        </row>
        <row r="2161">
          <cell r="A2161">
            <v>3400002510</v>
          </cell>
          <cell r="B2161">
            <v>6901</v>
          </cell>
          <cell r="C2161">
            <v>61206</v>
          </cell>
          <cell r="D2161">
            <v>0</v>
          </cell>
          <cell r="E2161" t="str">
            <v>TABLES STENO</v>
          </cell>
          <cell r="F2161">
            <v>5</v>
          </cell>
          <cell r="G2161">
            <v>34790</v>
          </cell>
          <cell r="H2161">
            <v>14900</v>
          </cell>
        </row>
        <row r="2162">
          <cell r="A2162">
            <v>3400002511</v>
          </cell>
          <cell r="B2162">
            <v>6901</v>
          </cell>
          <cell r="C2162">
            <v>61203</v>
          </cell>
          <cell r="D2162">
            <v>0</v>
          </cell>
          <cell r="E2162" t="str">
            <v>TELEPRINTER TABLE</v>
          </cell>
          <cell r="F2162">
            <v>1</v>
          </cell>
          <cell r="G2162">
            <v>34790</v>
          </cell>
          <cell r="H2162">
            <v>3200</v>
          </cell>
        </row>
        <row r="2163">
          <cell r="A2163">
            <v>3400002512</v>
          </cell>
          <cell r="B2163">
            <v>6901</v>
          </cell>
          <cell r="C2163">
            <v>61206</v>
          </cell>
          <cell r="D2163">
            <v>0</v>
          </cell>
          <cell r="E2163" t="str">
            <v>TRANSPORT BOARD</v>
          </cell>
          <cell r="F2163">
            <v>20</v>
          </cell>
          <cell r="G2163">
            <v>34790</v>
          </cell>
          <cell r="H2163">
            <v>7500</v>
          </cell>
        </row>
        <row r="2164">
          <cell r="A2164">
            <v>3400002515</v>
          </cell>
          <cell r="B2164">
            <v>6901</v>
          </cell>
          <cell r="C2164">
            <v>61104</v>
          </cell>
          <cell r="D2164">
            <v>0</v>
          </cell>
          <cell r="E2164" t="str">
            <v>UNIVERSAL WORKMAN TABLE</v>
          </cell>
          <cell r="F2164">
            <v>6</v>
          </cell>
          <cell r="G2164">
            <v>34790</v>
          </cell>
          <cell r="H2164">
            <v>20700</v>
          </cell>
        </row>
        <row r="2165">
          <cell r="A2165">
            <v>3400002516</v>
          </cell>
          <cell r="B2165">
            <v>6901</v>
          </cell>
          <cell r="C2165">
            <v>61157</v>
          </cell>
          <cell r="D2165">
            <v>0</v>
          </cell>
          <cell r="E2165" t="str">
            <v>VACUMN CLEANER</v>
          </cell>
          <cell r="F2165">
            <v>2</v>
          </cell>
          <cell r="G2165">
            <v>34790</v>
          </cell>
          <cell r="H2165">
            <v>5000</v>
          </cell>
        </row>
        <row r="2166">
          <cell r="A2166">
            <v>3400002518</v>
          </cell>
          <cell r="B2166">
            <v>6901</v>
          </cell>
          <cell r="C2166">
            <v>61161</v>
          </cell>
          <cell r="D2166">
            <v>0</v>
          </cell>
          <cell r="E2166" t="str">
            <v>VENUS WATER HEATER</v>
          </cell>
          <cell r="F2166">
            <v>2</v>
          </cell>
          <cell r="G2166">
            <v>34790</v>
          </cell>
          <cell r="H2166">
            <v>4700</v>
          </cell>
        </row>
        <row r="2167">
          <cell r="A2167">
            <v>3400002519</v>
          </cell>
          <cell r="B2167">
            <v>6901</v>
          </cell>
          <cell r="C2167">
            <v>61206</v>
          </cell>
          <cell r="D2167">
            <v>0</v>
          </cell>
          <cell r="E2167" t="str">
            <v>VOLTAGE STABILISER</v>
          </cell>
          <cell r="F2167">
            <v>2</v>
          </cell>
          <cell r="G2167">
            <v>34790</v>
          </cell>
          <cell r="H2167">
            <v>2400</v>
          </cell>
        </row>
        <row r="2168">
          <cell r="A2168">
            <v>3400002520</v>
          </cell>
          <cell r="B2168">
            <v>6901</v>
          </cell>
          <cell r="C2168">
            <v>61206</v>
          </cell>
          <cell r="D2168">
            <v>0</v>
          </cell>
          <cell r="E2168" t="str">
            <v>VOLTAGE STABILISER</v>
          </cell>
          <cell r="F2168">
            <v>1</v>
          </cell>
          <cell r="G2168">
            <v>34790</v>
          </cell>
          <cell r="H2168">
            <v>800</v>
          </cell>
        </row>
        <row r="2169">
          <cell r="A2169">
            <v>3400002521</v>
          </cell>
          <cell r="B2169">
            <v>6901</v>
          </cell>
          <cell r="C2169">
            <v>61206</v>
          </cell>
          <cell r="D2169">
            <v>0</v>
          </cell>
          <cell r="E2169" t="str">
            <v>VOLTAGE TRANSFORMER</v>
          </cell>
          <cell r="F2169">
            <v>1</v>
          </cell>
          <cell r="G2169">
            <v>34790</v>
          </cell>
          <cell r="H2169">
            <v>2300</v>
          </cell>
        </row>
        <row r="2170">
          <cell r="A2170">
            <v>3400002523</v>
          </cell>
          <cell r="B2170">
            <v>6901</v>
          </cell>
          <cell r="C2170">
            <v>61206</v>
          </cell>
          <cell r="D2170">
            <v>0</v>
          </cell>
          <cell r="E2170" t="str">
            <v>WALL CABINET</v>
          </cell>
          <cell r="F2170">
            <v>1</v>
          </cell>
          <cell r="G2170">
            <v>34790</v>
          </cell>
          <cell r="H2170">
            <v>900</v>
          </cell>
        </row>
        <row r="2171">
          <cell r="A2171">
            <v>3400002525</v>
          </cell>
          <cell r="B2171">
            <v>6901</v>
          </cell>
          <cell r="C2171">
            <v>61161</v>
          </cell>
          <cell r="D2171">
            <v>0</v>
          </cell>
          <cell r="E2171" t="str">
            <v>WATER CONTAINER</v>
          </cell>
          <cell r="F2171">
            <v>1</v>
          </cell>
          <cell r="G2171">
            <v>34790</v>
          </cell>
          <cell r="H2171">
            <v>1500</v>
          </cell>
        </row>
        <row r="2172">
          <cell r="A2172">
            <v>3400002529</v>
          </cell>
          <cell r="B2172">
            <v>6901</v>
          </cell>
          <cell r="C2172">
            <v>61206</v>
          </cell>
          <cell r="D2172">
            <v>0</v>
          </cell>
          <cell r="E2172" t="str">
            <v>SIDE UNIT (MICO)</v>
          </cell>
          <cell r="F2172">
            <v>1</v>
          </cell>
          <cell r="G2172">
            <v>34790</v>
          </cell>
          <cell r="H2172">
            <v>2900</v>
          </cell>
        </row>
        <row r="2173">
          <cell r="A2173">
            <v>3400002530</v>
          </cell>
          <cell r="B2173">
            <v>6901</v>
          </cell>
          <cell r="C2173">
            <v>61157</v>
          </cell>
          <cell r="D2173">
            <v>0</v>
          </cell>
          <cell r="E2173" t="str">
            <v>SIEMENS CHANGE OVER SWITCH</v>
          </cell>
          <cell r="F2173">
            <v>1</v>
          </cell>
          <cell r="G2173">
            <v>34790</v>
          </cell>
          <cell r="H2173">
            <v>800</v>
          </cell>
        </row>
        <row r="2174">
          <cell r="A2174">
            <v>3400002531</v>
          </cell>
          <cell r="B2174">
            <v>6901</v>
          </cell>
          <cell r="C2174">
            <v>61162</v>
          </cell>
          <cell r="D2174">
            <v>0</v>
          </cell>
          <cell r="E2174" t="str">
            <v>SINGLE COT</v>
          </cell>
          <cell r="F2174">
            <v>2</v>
          </cell>
          <cell r="G2174">
            <v>34790</v>
          </cell>
          <cell r="H2174">
            <v>6000</v>
          </cell>
        </row>
        <row r="2175">
          <cell r="A2175">
            <v>3400002532</v>
          </cell>
          <cell r="B2175">
            <v>6901</v>
          </cell>
          <cell r="C2175">
            <v>61206</v>
          </cell>
          <cell r="D2175">
            <v>0</v>
          </cell>
          <cell r="E2175" t="str">
            <v>SLIDING DOOR ALMIRAH</v>
          </cell>
          <cell r="F2175">
            <v>1</v>
          </cell>
          <cell r="G2175">
            <v>34790</v>
          </cell>
          <cell r="H2175">
            <v>2700</v>
          </cell>
        </row>
        <row r="2176">
          <cell r="A2176">
            <v>3400002533</v>
          </cell>
          <cell r="B2176">
            <v>6901</v>
          </cell>
          <cell r="C2176">
            <v>61206</v>
          </cell>
          <cell r="D2176">
            <v>0</v>
          </cell>
          <cell r="E2176" t="str">
            <v>SLIDING SHUTTERS</v>
          </cell>
          <cell r="F2176">
            <v>2</v>
          </cell>
          <cell r="G2176">
            <v>34790</v>
          </cell>
          <cell r="H2176">
            <v>2000</v>
          </cell>
        </row>
        <row r="2177">
          <cell r="A2177">
            <v>3400002534</v>
          </cell>
          <cell r="B2177">
            <v>6901</v>
          </cell>
          <cell r="C2177">
            <v>61150</v>
          </cell>
          <cell r="D2177">
            <v>0</v>
          </cell>
          <cell r="E2177" t="str">
            <v>SLOTTED ANGLE RACKS</v>
          </cell>
          <cell r="F2177">
            <v>37</v>
          </cell>
          <cell r="G2177">
            <v>34790</v>
          </cell>
          <cell r="H2177">
            <v>149300</v>
          </cell>
        </row>
        <row r="2178">
          <cell r="A2178">
            <v>3400002535</v>
          </cell>
          <cell r="B2178">
            <v>6901</v>
          </cell>
          <cell r="C2178">
            <v>61206</v>
          </cell>
          <cell r="D2178">
            <v>0</v>
          </cell>
          <cell r="E2178" t="str">
            <v>SPECIAL PROJECTED STANDS</v>
          </cell>
          <cell r="F2178">
            <v>1</v>
          </cell>
          <cell r="G2178">
            <v>34790</v>
          </cell>
          <cell r="H2178">
            <v>2600</v>
          </cell>
        </row>
        <row r="2179">
          <cell r="A2179">
            <v>3400002536</v>
          </cell>
          <cell r="B2179">
            <v>6901</v>
          </cell>
          <cell r="C2179">
            <v>61206</v>
          </cell>
          <cell r="D2179">
            <v>0</v>
          </cell>
          <cell r="E2179" t="str">
            <v>STABILISER (VOLTAGE)</v>
          </cell>
          <cell r="F2179">
            <v>1</v>
          </cell>
          <cell r="G2179">
            <v>34790</v>
          </cell>
          <cell r="H2179">
            <v>2700</v>
          </cell>
        </row>
        <row r="2180">
          <cell r="A2180">
            <v>3400002537</v>
          </cell>
          <cell r="B2180">
            <v>6901</v>
          </cell>
          <cell r="C2180">
            <v>61206</v>
          </cell>
          <cell r="D2180">
            <v>0</v>
          </cell>
          <cell r="E2180" t="str">
            <v>STAFF TABLE</v>
          </cell>
          <cell r="F2180">
            <v>9</v>
          </cell>
          <cell r="G2180">
            <v>34790</v>
          </cell>
          <cell r="H2180">
            <v>20600</v>
          </cell>
        </row>
        <row r="2181">
          <cell r="A2181">
            <v>3400002538</v>
          </cell>
          <cell r="B2181">
            <v>6901</v>
          </cell>
          <cell r="C2181">
            <v>61206</v>
          </cell>
          <cell r="D2181">
            <v>0</v>
          </cell>
          <cell r="E2181" t="str">
            <v>STAINLESS STEEL BOXES</v>
          </cell>
          <cell r="F2181">
            <v>2</v>
          </cell>
          <cell r="G2181">
            <v>34790</v>
          </cell>
          <cell r="H2181">
            <v>1200</v>
          </cell>
        </row>
        <row r="2182">
          <cell r="A2182">
            <v>3400002539</v>
          </cell>
          <cell r="B2182">
            <v>6901</v>
          </cell>
          <cell r="C2182">
            <v>61206</v>
          </cell>
          <cell r="D2182">
            <v>0</v>
          </cell>
          <cell r="E2182" t="str">
            <v>STEEL ALMIRAH HSEGRUD MAKE</v>
          </cell>
          <cell r="F2182">
            <v>29</v>
          </cell>
          <cell r="G2182">
            <v>34790</v>
          </cell>
          <cell r="H2182">
            <v>80700</v>
          </cell>
        </row>
        <row r="2183">
          <cell r="A2183">
            <v>3400002550</v>
          </cell>
          <cell r="B2183">
            <v>6901</v>
          </cell>
          <cell r="C2183">
            <v>61100</v>
          </cell>
          <cell r="D2183">
            <v>0</v>
          </cell>
          <cell r="E2183" t="str">
            <v>STEEL ALMIRAH WITH SHELVES</v>
          </cell>
          <cell r="F2183">
            <v>1</v>
          </cell>
          <cell r="G2183">
            <v>34790</v>
          </cell>
          <cell r="H2183">
            <v>5900</v>
          </cell>
        </row>
        <row r="2184">
          <cell r="A2184">
            <v>3400002556</v>
          </cell>
          <cell r="B2184">
            <v>6901</v>
          </cell>
          <cell r="C2184">
            <v>61206</v>
          </cell>
          <cell r="D2184">
            <v>0</v>
          </cell>
          <cell r="E2184" t="str">
            <v>STEEL BOOKCASE</v>
          </cell>
          <cell r="F2184">
            <v>3</v>
          </cell>
          <cell r="G2184">
            <v>34790</v>
          </cell>
          <cell r="H2184">
            <v>7000</v>
          </cell>
        </row>
        <row r="2185">
          <cell r="A2185">
            <v>3400002557</v>
          </cell>
          <cell r="B2185">
            <v>6901</v>
          </cell>
          <cell r="C2185">
            <v>61206</v>
          </cell>
          <cell r="D2185">
            <v>0</v>
          </cell>
          <cell r="E2185" t="str">
            <v>STEEL BOX FOR TECHNICIALNS TABLE</v>
          </cell>
          <cell r="F2185">
            <v>3</v>
          </cell>
          <cell r="G2185">
            <v>34790</v>
          </cell>
          <cell r="H2185">
            <v>4700</v>
          </cell>
        </row>
        <row r="2186">
          <cell r="A2186">
            <v>3400002558</v>
          </cell>
          <cell r="B2186">
            <v>6901</v>
          </cell>
          <cell r="C2186">
            <v>61206</v>
          </cell>
          <cell r="D2186">
            <v>0</v>
          </cell>
          <cell r="E2186" t="str">
            <v>STEEL FILING CABINETS WITH POCKETS</v>
          </cell>
          <cell r="F2186">
            <v>1</v>
          </cell>
          <cell r="G2186">
            <v>34790</v>
          </cell>
          <cell r="H2186">
            <v>4100</v>
          </cell>
        </row>
        <row r="2187">
          <cell r="A2187">
            <v>3400002559</v>
          </cell>
          <cell r="B2187">
            <v>6901</v>
          </cell>
          <cell r="C2187">
            <v>61161</v>
          </cell>
          <cell r="D2187">
            <v>0</v>
          </cell>
          <cell r="E2187" t="str">
            <v>STEEL LOCKER ALMIRAH</v>
          </cell>
          <cell r="F2187">
            <v>2</v>
          </cell>
          <cell r="G2187">
            <v>34790</v>
          </cell>
          <cell r="H2187">
            <v>8200</v>
          </cell>
        </row>
        <row r="2188">
          <cell r="A2188">
            <v>3400002560</v>
          </cell>
          <cell r="B2188">
            <v>6901</v>
          </cell>
          <cell r="C2188">
            <v>61206</v>
          </cell>
          <cell r="D2188">
            <v>0</v>
          </cell>
          <cell r="E2188" t="str">
            <v>STEEL SLIDING DOOR FILING CABINET</v>
          </cell>
          <cell r="F2188">
            <v>11</v>
          </cell>
          <cell r="G2188">
            <v>34790</v>
          </cell>
          <cell r="H2188">
            <v>27500</v>
          </cell>
        </row>
        <row r="2189">
          <cell r="A2189">
            <v>3400002561</v>
          </cell>
          <cell r="B2189">
            <v>6901</v>
          </cell>
          <cell r="C2189">
            <v>61104</v>
          </cell>
          <cell r="D2189">
            <v>0</v>
          </cell>
          <cell r="E2189" t="str">
            <v>NILKAMAL CRATES(LARGE)</v>
          </cell>
          <cell r="F2189">
            <v>33</v>
          </cell>
          <cell r="G2189">
            <v>34790</v>
          </cell>
          <cell r="H2189">
            <v>9400</v>
          </cell>
        </row>
        <row r="2190">
          <cell r="A2190">
            <v>3400002562</v>
          </cell>
          <cell r="B2190">
            <v>6901</v>
          </cell>
          <cell r="C2190">
            <v>61206</v>
          </cell>
          <cell r="D2190">
            <v>0</v>
          </cell>
          <cell r="E2190" t="str">
            <v>OFFICE TABLE</v>
          </cell>
          <cell r="F2190">
            <v>21</v>
          </cell>
          <cell r="G2190">
            <v>34790</v>
          </cell>
          <cell r="H2190">
            <v>68100</v>
          </cell>
        </row>
        <row r="2191">
          <cell r="A2191">
            <v>3400002563</v>
          </cell>
          <cell r="B2191">
            <v>6901</v>
          </cell>
          <cell r="C2191">
            <v>61104</v>
          </cell>
          <cell r="D2191">
            <v>0</v>
          </cell>
          <cell r="E2191" t="str">
            <v>OFFICER TABLE WITH DECOLAH TOP</v>
          </cell>
          <cell r="F2191">
            <v>4</v>
          </cell>
          <cell r="G2191">
            <v>34790</v>
          </cell>
          <cell r="H2191">
            <v>15100</v>
          </cell>
        </row>
        <row r="2192">
          <cell r="A2192">
            <v>3400002565</v>
          </cell>
          <cell r="B2192">
            <v>6901</v>
          </cell>
          <cell r="C2192">
            <v>61162</v>
          </cell>
          <cell r="D2192">
            <v>0</v>
          </cell>
          <cell r="E2192" t="str">
            <v>OVERHEAD PROJECTOR</v>
          </cell>
          <cell r="F2192">
            <v>1</v>
          </cell>
          <cell r="G2192">
            <v>34790</v>
          </cell>
          <cell r="H2192">
            <v>4400</v>
          </cell>
        </row>
        <row r="2193">
          <cell r="A2193">
            <v>3400002566</v>
          </cell>
          <cell r="B2193">
            <v>6901</v>
          </cell>
          <cell r="C2193">
            <v>61206</v>
          </cell>
          <cell r="D2193">
            <v>0</v>
          </cell>
          <cell r="E2193" t="str">
            <v>PARTINAX BASE</v>
          </cell>
          <cell r="F2193">
            <v>1</v>
          </cell>
          <cell r="G2193">
            <v>34790</v>
          </cell>
          <cell r="H2193">
            <v>1400</v>
          </cell>
        </row>
        <row r="2194">
          <cell r="A2194">
            <v>3400002580</v>
          </cell>
          <cell r="B2194">
            <v>6901</v>
          </cell>
          <cell r="C2194">
            <v>61206</v>
          </cell>
          <cell r="D2194">
            <v>0</v>
          </cell>
          <cell r="E2194" t="str">
            <v>PCB CARRIERS</v>
          </cell>
          <cell r="F2194">
            <v>86</v>
          </cell>
          <cell r="G2194">
            <v>34790</v>
          </cell>
          <cell r="H2194">
            <v>31800</v>
          </cell>
        </row>
        <row r="2195">
          <cell r="A2195">
            <v>3400002581</v>
          </cell>
          <cell r="B2195">
            <v>6901</v>
          </cell>
          <cell r="C2195">
            <v>61206</v>
          </cell>
          <cell r="D2195">
            <v>0</v>
          </cell>
          <cell r="E2195" t="str">
            <v>PEDESTRAL FANS</v>
          </cell>
          <cell r="F2195">
            <v>3</v>
          </cell>
          <cell r="G2195">
            <v>34790</v>
          </cell>
          <cell r="H2195">
            <v>2800</v>
          </cell>
        </row>
        <row r="2196">
          <cell r="A2196">
            <v>3400002583</v>
          </cell>
          <cell r="B2196">
            <v>6901</v>
          </cell>
          <cell r="C2196">
            <v>61206</v>
          </cell>
          <cell r="D2196">
            <v>0</v>
          </cell>
          <cell r="E2196" t="str">
            <v>PERPEX BAR FIXTURES</v>
          </cell>
          <cell r="F2196">
            <v>1</v>
          </cell>
          <cell r="G2196">
            <v>34790</v>
          </cell>
          <cell r="H2196">
            <v>200</v>
          </cell>
        </row>
        <row r="2197">
          <cell r="A2197">
            <v>3400002584</v>
          </cell>
          <cell r="B2197">
            <v>6901</v>
          </cell>
          <cell r="C2197">
            <v>61150</v>
          </cell>
          <cell r="D2197">
            <v>0</v>
          </cell>
          <cell r="E2197" t="str">
            <v>PIGEON HOLE STORAGE UNIT</v>
          </cell>
          <cell r="F2197">
            <v>1</v>
          </cell>
          <cell r="G2197">
            <v>34790</v>
          </cell>
          <cell r="H2197">
            <v>1800</v>
          </cell>
        </row>
        <row r="2198">
          <cell r="A2198">
            <v>3400002589</v>
          </cell>
          <cell r="B2198">
            <v>6901</v>
          </cell>
          <cell r="C2198">
            <v>61206</v>
          </cell>
          <cell r="D2198">
            <v>0</v>
          </cell>
          <cell r="E2198" t="str">
            <v>PLASTIC BUCKET CHAIR</v>
          </cell>
          <cell r="F2198">
            <v>10</v>
          </cell>
          <cell r="G2198">
            <v>34790</v>
          </cell>
          <cell r="H2198">
            <v>2500</v>
          </cell>
        </row>
        <row r="2199">
          <cell r="A2199">
            <v>3400002591</v>
          </cell>
          <cell r="B2199">
            <v>6901</v>
          </cell>
          <cell r="C2199">
            <v>61200</v>
          </cell>
          <cell r="D2199">
            <v>0</v>
          </cell>
          <cell r="E2199" t="str">
            <v>POLAR CEILING FANS</v>
          </cell>
          <cell r="F2199">
            <v>3</v>
          </cell>
          <cell r="G2199">
            <v>34790</v>
          </cell>
          <cell r="H2199">
            <v>2700</v>
          </cell>
        </row>
        <row r="2200">
          <cell r="A2200">
            <v>3400002594</v>
          </cell>
          <cell r="B2200">
            <v>6901</v>
          </cell>
          <cell r="C2200">
            <v>61161</v>
          </cell>
          <cell r="D2200">
            <v>0</v>
          </cell>
          <cell r="E2200" t="str">
            <v>RACK FOR KEEPING COFFEE PERCOLATOR</v>
          </cell>
          <cell r="F2200">
            <v>1</v>
          </cell>
          <cell r="G2200">
            <v>34790</v>
          </cell>
          <cell r="H2200">
            <v>1600</v>
          </cell>
        </row>
        <row r="2201">
          <cell r="A2201">
            <v>3400002595</v>
          </cell>
          <cell r="B2201">
            <v>6901</v>
          </cell>
          <cell r="C2201">
            <v>61206</v>
          </cell>
          <cell r="D2201">
            <v>0</v>
          </cell>
          <cell r="E2201" t="str">
            <v>RACK TROLLEY</v>
          </cell>
          <cell r="F2201">
            <v>9</v>
          </cell>
          <cell r="G2201">
            <v>34790</v>
          </cell>
          <cell r="H2201">
            <v>25500</v>
          </cell>
        </row>
        <row r="2202">
          <cell r="A2202">
            <v>3400002597</v>
          </cell>
          <cell r="B2202">
            <v>6901</v>
          </cell>
          <cell r="C2202">
            <v>61206</v>
          </cell>
          <cell r="D2202">
            <v>0</v>
          </cell>
          <cell r="E2202" t="str">
            <v>REVOLVING CHAIR</v>
          </cell>
          <cell r="F2202">
            <v>19</v>
          </cell>
          <cell r="G2202">
            <v>34790</v>
          </cell>
          <cell r="H2202">
            <v>8800</v>
          </cell>
        </row>
        <row r="2203">
          <cell r="A2203">
            <v>3400002601</v>
          </cell>
          <cell r="B2203">
            <v>6901</v>
          </cell>
          <cell r="C2203">
            <v>61200</v>
          </cell>
          <cell r="D2203">
            <v>0</v>
          </cell>
          <cell r="E2203" t="str">
            <v>KHAITAN FRESH AIR FANS</v>
          </cell>
          <cell r="F2203">
            <v>1</v>
          </cell>
          <cell r="G2203">
            <v>34790</v>
          </cell>
          <cell r="H2203">
            <v>500</v>
          </cell>
        </row>
        <row r="2204">
          <cell r="A2204">
            <v>3400002602</v>
          </cell>
          <cell r="B2204">
            <v>6901</v>
          </cell>
          <cell r="C2204">
            <v>61162</v>
          </cell>
          <cell r="D2204">
            <v>0</v>
          </cell>
          <cell r="E2204" t="str">
            <v>KITCHEN BUILT IN CUPBOARD</v>
          </cell>
          <cell r="F2204">
            <v>1</v>
          </cell>
          <cell r="G2204">
            <v>34790</v>
          </cell>
          <cell r="H2204">
            <v>3900</v>
          </cell>
        </row>
        <row r="2205">
          <cell r="A2205">
            <v>3400002603</v>
          </cell>
          <cell r="B2205">
            <v>6901</v>
          </cell>
          <cell r="C2205">
            <v>61162</v>
          </cell>
          <cell r="D2205">
            <v>0</v>
          </cell>
          <cell r="E2205" t="str">
            <v>KITCHEN CABINET</v>
          </cell>
          <cell r="F2205">
            <v>1</v>
          </cell>
          <cell r="G2205">
            <v>34790</v>
          </cell>
          <cell r="H2205">
            <v>1900</v>
          </cell>
        </row>
        <row r="2206">
          <cell r="A2206">
            <v>3400002604</v>
          </cell>
          <cell r="B2206">
            <v>6901</v>
          </cell>
          <cell r="C2206">
            <v>61162</v>
          </cell>
          <cell r="D2206">
            <v>0</v>
          </cell>
          <cell r="E2206" t="str">
            <v>KITCHEN CUPBOARD</v>
          </cell>
          <cell r="F2206">
            <v>1</v>
          </cell>
          <cell r="G2206">
            <v>34790</v>
          </cell>
          <cell r="H2206">
            <v>2300</v>
          </cell>
        </row>
        <row r="2207">
          <cell r="A2207">
            <v>3400002607</v>
          </cell>
          <cell r="B2207">
            <v>6901</v>
          </cell>
          <cell r="C2207">
            <v>61162</v>
          </cell>
          <cell r="D2207">
            <v>0</v>
          </cell>
          <cell r="E2207" t="str">
            <v>KITCHEN TROLLEY</v>
          </cell>
          <cell r="F2207">
            <v>1</v>
          </cell>
          <cell r="G2207">
            <v>34790</v>
          </cell>
          <cell r="H2207">
            <v>3100</v>
          </cell>
        </row>
        <row r="2208">
          <cell r="A2208">
            <v>3400002610</v>
          </cell>
          <cell r="B2208">
            <v>6901</v>
          </cell>
          <cell r="C2208">
            <v>61161</v>
          </cell>
          <cell r="D2208">
            <v>0</v>
          </cell>
          <cell r="E2208" t="str">
            <v>LAWN MOWER WITH BOX 16</v>
          </cell>
          <cell r="F2208">
            <v>1</v>
          </cell>
          <cell r="G2208">
            <v>34790</v>
          </cell>
          <cell r="H2208">
            <v>1800</v>
          </cell>
        </row>
        <row r="2209">
          <cell r="A2209">
            <v>3400002611</v>
          </cell>
          <cell r="B2209">
            <v>6901</v>
          </cell>
          <cell r="C2209">
            <v>61161</v>
          </cell>
          <cell r="D2209">
            <v>0</v>
          </cell>
          <cell r="E2209" t="str">
            <v>LAWN MOWER WITH BOX 24</v>
          </cell>
          <cell r="F2209">
            <v>1</v>
          </cell>
          <cell r="G2209">
            <v>34790</v>
          </cell>
          <cell r="H2209">
            <v>2700</v>
          </cell>
        </row>
        <row r="2210">
          <cell r="A2210">
            <v>3400002612</v>
          </cell>
          <cell r="B2210">
            <v>6901</v>
          </cell>
          <cell r="C2210">
            <v>61162</v>
          </cell>
          <cell r="D2210">
            <v>0</v>
          </cell>
          <cell r="E2210" t="str">
            <v>LOW BACK CONFERENCE ROOM CHAIR</v>
          </cell>
          <cell r="F2210">
            <v>16</v>
          </cell>
          <cell r="G2210">
            <v>34790</v>
          </cell>
          <cell r="H2210">
            <v>52400</v>
          </cell>
        </row>
        <row r="2211">
          <cell r="A2211">
            <v>3400002613</v>
          </cell>
          <cell r="B2211">
            <v>6901</v>
          </cell>
          <cell r="C2211">
            <v>61151</v>
          </cell>
          <cell r="D2211">
            <v>0</v>
          </cell>
          <cell r="E2211" t="str">
            <v>LUX METER</v>
          </cell>
          <cell r="F2211">
            <v>1</v>
          </cell>
          <cell r="G2211">
            <v>34790</v>
          </cell>
          <cell r="H2211">
            <v>2000</v>
          </cell>
        </row>
        <row r="2212">
          <cell r="A2212">
            <v>3400002614</v>
          </cell>
          <cell r="B2212">
            <v>6901</v>
          </cell>
          <cell r="C2212">
            <v>61206</v>
          </cell>
          <cell r="D2212">
            <v>0</v>
          </cell>
          <cell r="E2212" t="str">
            <v>MS RACK TROLLEY</v>
          </cell>
          <cell r="F2212">
            <v>46</v>
          </cell>
          <cell r="G2212">
            <v>34790</v>
          </cell>
          <cell r="H2212">
            <v>151200</v>
          </cell>
        </row>
        <row r="2213">
          <cell r="A2213">
            <v>3400002615</v>
          </cell>
          <cell r="B2213">
            <v>6901</v>
          </cell>
          <cell r="C2213">
            <v>61206</v>
          </cell>
          <cell r="D2213">
            <v>0</v>
          </cell>
          <cell r="E2213" t="str">
            <v>MS RACKS</v>
          </cell>
          <cell r="F2213">
            <v>6</v>
          </cell>
          <cell r="G2213">
            <v>34790</v>
          </cell>
          <cell r="H2213">
            <v>24800</v>
          </cell>
        </row>
        <row r="2214">
          <cell r="A2214">
            <v>3400002616</v>
          </cell>
          <cell r="B2214">
            <v>6901</v>
          </cell>
          <cell r="C2214">
            <v>61206</v>
          </cell>
          <cell r="D2214">
            <v>0</v>
          </cell>
          <cell r="E2214" t="str">
            <v>MS RACKS (THREE TIER)</v>
          </cell>
          <cell r="F2214">
            <v>6</v>
          </cell>
          <cell r="G2214">
            <v>34790</v>
          </cell>
          <cell r="H2214">
            <v>25400</v>
          </cell>
        </row>
        <row r="2215">
          <cell r="A2215">
            <v>3400002617</v>
          </cell>
          <cell r="B2215">
            <v>6901</v>
          </cell>
          <cell r="C2215">
            <v>61150</v>
          </cell>
          <cell r="D2215">
            <v>0</v>
          </cell>
          <cell r="E2215" t="str">
            <v>MS RACKS (5 TIER)</v>
          </cell>
          <cell r="F2215">
            <v>5</v>
          </cell>
          <cell r="G2215">
            <v>34790</v>
          </cell>
          <cell r="H2215">
            <v>19900</v>
          </cell>
        </row>
        <row r="2216">
          <cell r="A2216">
            <v>3400002620</v>
          </cell>
          <cell r="B2216">
            <v>6901</v>
          </cell>
          <cell r="C2216">
            <v>61206</v>
          </cell>
          <cell r="D2216">
            <v>0</v>
          </cell>
          <cell r="E2216" t="str">
            <v>MS RACK WITH WOODEN PARTITION</v>
          </cell>
          <cell r="F2216">
            <v>3</v>
          </cell>
          <cell r="G2216">
            <v>34790</v>
          </cell>
          <cell r="H2216">
            <v>13700</v>
          </cell>
        </row>
        <row r="2217">
          <cell r="A2217">
            <v>3400002621</v>
          </cell>
          <cell r="B2217">
            <v>6901</v>
          </cell>
          <cell r="C2217">
            <v>61206</v>
          </cell>
          <cell r="D2217">
            <v>0</v>
          </cell>
          <cell r="E2217" t="str">
            <v>MS WORK TABLE</v>
          </cell>
          <cell r="F2217">
            <v>32</v>
          </cell>
          <cell r="G2217">
            <v>34790</v>
          </cell>
          <cell r="H2217">
            <v>84300</v>
          </cell>
        </row>
        <row r="2218">
          <cell r="A2218">
            <v>3400002624</v>
          </cell>
          <cell r="B2218">
            <v>6901</v>
          </cell>
          <cell r="C2218">
            <v>61206</v>
          </cell>
          <cell r="D2218">
            <v>0</v>
          </cell>
          <cell r="E2218" t="str">
            <v>MANUAL TRAY</v>
          </cell>
          <cell r="F2218">
            <v>1</v>
          </cell>
          <cell r="G2218">
            <v>34790</v>
          </cell>
          <cell r="H2218">
            <v>1300</v>
          </cell>
        </row>
        <row r="2219">
          <cell r="A2219">
            <v>3400002626</v>
          </cell>
          <cell r="B2219">
            <v>6901</v>
          </cell>
          <cell r="C2219">
            <v>61206</v>
          </cell>
          <cell r="D2219">
            <v>0</v>
          </cell>
          <cell r="E2219" t="str">
            <v>MOBILE RACKS</v>
          </cell>
          <cell r="F2219">
            <v>5</v>
          </cell>
          <cell r="G2219">
            <v>34790</v>
          </cell>
          <cell r="H2219">
            <v>9800</v>
          </cell>
        </row>
        <row r="2220">
          <cell r="A2220">
            <v>3400002629</v>
          </cell>
          <cell r="B2220">
            <v>6901</v>
          </cell>
          <cell r="C2220">
            <v>61206</v>
          </cell>
          <cell r="D2220">
            <v>0</v>
          </cell>
          <cell r="E2220" t="str">
            <v>MS ANGLE MOBILE RACKS</v>
          </cell>
          <cell r="F2220">
            <v>7</v>
          </cell>
          <cell r="G2220">
            <v>34790</v>
          </cell>
          <cell r="H2220">
            <v>13600</v>
          </cell>
        </row>
        <row r="2221">
          <cell r="A2221">
            <v>3400002630</v>
          </cell>
          <cell r="B2221">
            <v>6901</v>
          </cell>
          <cell r="C2221">
            <v>61206</v>
          </cell>
          <cell r="D2221">
            <v>0</v>
          </cell>
          <cell r="E2221" t="str">
            <v>NILKAMAL BIN</v>
          </cell>
          <cell r="F2221">
            <v>152</v>
          </cell>
          <cell r="G2221">
            <v>34790</v>
          </cell>
          <cell r="H2221">
            <v>15900</v>
          </cell>
        </row>
        <row r="2222">
          <cell r="A2222">
            <v>3400002631</v>
          </cell>
          <cell r="B2222">
            <v>6901</v>
          </cell>
          <cell r="C2222">
            <v>61206</v>
          </cell>
          <cell r="D2222">
            <v>0</v>
          </cell>
          <cell r="E2222" t="str">
            <v>DISCUSSION TABLE</v>
          </cell>
          <cell r="F2222">
            <v>1</v>
          </cell>
          <cell r="G2222">
            <v>34790</v>
          </cell>
          <cell r="H2222">
            <v>3200</v>
          </cell>
        </row>
        <row r="2223">
          <cell r="A2223">
            <v>3400002634</v>
          </cell>
          <cell r="B2223">
            <v>6901</v>
          </cell>
          <cell r="C2223">
            <v>61161</v>
          </cell>
          <cell r="D2223">
            <v>0</v>
          </cell>
          <cell r="E2223" t="str">
            <v>DRAWING BOARD</v>
          </cell>
          <cell r="F2223">
            <v>1</v>
          </cell>
          <cell r="G2223">
            <v>34790</v>
          </cell>
          <cell r="H2223">
            <v>3600</v>
          </cell>
        </row>
        <row r="2224">
          <cell r="A2224">
            <v>3400002641</v>
          </cell>
          <cell r="B2224">
            <v>6901</v>
          </cell>
          <cell r="C2224">
            <v>61157</v>
          </cell>
          <cell r="D2224">
            <v>0</v>
          </cell>
          <cell r="E2224" t="str">
            <v>ELECTRONIC PUSH BUTTON TELEPNONES</v>
          </cell>
          <cell r="F2224">
            <v>13</v>
          </cell>
          <cell r="G2224">
            <v>34790</v>
          </cell>
          <cell r="H2224">
            <v>9200</v>
          </cell>
        </row>
        <row r="2225">
          <cell r="A2225">
            <v>3400002643</v>
          </cell>
          <cell r="B2225">
            <v>6901</v>
          </cell>
          <cell r="C2225">
            <v>61206</v>
          </cell>
          <cell r="D2225">
            <v>0</v>
          </cell>
          <cell r="E2225" t="str">
            <v>ESD BIN BOX</v>
          </cell>
          <cell r="F2225">
            <v>1</v>
          </cell>
          <cell r="G2225">
            <v>34790</v>
          </cell>
          <cell r="H2225">
            <v>700</v>
          </cell>
        </row>
        <row r="2226">
          <cell r="A2226">
            <v>3400002644</v>
          </cell>
          <cell r="B2226">
            <v>6901</v>
          </cell>
          <cell r="C2226">
            <v>61206</v>
          </cell>
          <cell r="D2226">
            <v>0</v>
          </cell>
          <cell r="E2226" t="str">
            <v>ESD BIN RACKS</v>
          </cell>
          <cell r="F2226">
            <v>81</v>
          </cell>
          <cell r="G2226">
            <v>34790</v>
          </cell>
          <cell r="H2226">
            <v>60900</v>
          </cell>
        </row>
        <row r="2227">
          <cell r="A2227">
            <v>3400002645</v>
          </cell>
          <cell r="B2227">
            <v>6901</v>
          </cell>
          <cell r="C2227">
            <v>61206</v>
          </cell>
          <cell r="D2227">
            <v>0</v>
          </cell>
          <cell r="E2227" t="str">
            <v>EXECUTIVE TABLE</v>
          </cell>
          <cell r="F2227">
            <v>1</v>
          </cell>
          <cell r="G2227">
            <v>34790</v>
          </cell>
          <cell r="H2227">
            <v>3000</v>
          </cell>
        </row>
        <row r="2228">
          <cell r="A2228">
            <v>3400002652</v>
          </cell>
          <cell r="B2228">
            <v>6901</v>
          </cell>
          <cell r="C2228">
            <v>61206</v>
          </cell>
          <cell r="D2228">
            <v>0</v>
          </cell>
          <cell r="E2228" t="str">
            <v>PEDESTRAL FANS</v>
          </cell>
          <cell r="F2228">
            <v>1</v>
          </cell>
          <cell r="G2228">
            <v>34790</v>
          </cell>
          <cell r="H2228">
            <v>900</v>
          </cell>
        </row>
        <row r="2229">
          <cell r="A2229">
            <v>3400002653</v>
          </cell>
          <cell r="B2229">
            <v>6901</v>
          </cell>
          <cell r="C2229">
            <v>61206</v>
          </cell>
          <cell r="D2229">
            <v>0</v>
          </cell>
          <cell r="E2229" t="str">
            <v>FILING CABINET</v>
          </cell>
          <cell r="F2229">
            <v>14</v>
          </cell>
          <cell r="G2229">
            <v>34790</v>
          </cell>
          <cell r="H2229">
            <v>83700</v>
          </cell>
        </row>
        <row r="2230">
          <cell r="A2230">
            <v>3400002655</v>
          </cell>
          <cell r="B2230">
            <v>6901</v>
          </cell>
          <cell r="C2230">
            <v>61161</v>
          </cell>
          <cell r="D2230">
            <v>0</v>
          </cell>
          <cell r="E2230" t="str">
            <v>FLY KILLER TUBE</v>
          </cell>
          <cell r="F2230">
            <v>1</v>
          </cell>
          <cell r="G2230">
            <v>34790</v>
          </cell>
          <cell r="H2230">
            <v>2700</v>
          </cell>
        </row>
        <row r="2231">
          <cell r="A2231">
            <v>3400002657</v>
          </cell>
          <cell r="B2231">
            <v>6901</v>
          </cell>
          <cell r="C2231">
            <v>61200</v>
          </cell>
          <cell r="D2231">
            <v>0</v>
          </cell>
          <cell r="E2231" t="str">
            <v>EXHAUST FAN</v>
          </cell>
          <cell r="F2231">
            <v>1</v>
          </cell>
          <cell r="G2231">
            <v>34790</v>
          </cell>
          <cell r="H2231">
            <v>500</v>
          </cell>
        </row>
        <row r="2232">
          <cell r="A2232">
            <v>3400002658</v>
          </cell>
          <cell r="B2232">
            <v>6901</v>
          </cell>
          <cell r="C2232">
            <v>61206</v>
          </cell>
          <cell r="D2232">
            <v>0</v>
          </cell>
          <cell r="E2232" t="str">
            <v>GENELINE BATTERIES</v>
          </cell>
          <cell r="F2232">
            <v>4</v>
          </cell>
          <cell r="G2232">
            <v>34790</v>
          </cell>
          <cell r="H2232">
            <v>5700</v>
          </cell>
        </row>
        <row r="2233">
          <cell r="A2233">
            <v>3400002660</v>
          </cell>
          <cell r="B2233">
            <v>6901</v>
          </cell>
          <cell r="C2233">
            <v>61206</v>
          </cell>
          <cell r="D2233">
            <v>0</v>
          </cell>
          <cell r="E2233" t="str">
            <v>HIGH BACK EXECUTIVE CHAIR</v>
          </cell>
          <cell r="F2233">
            <v>2</v>
          </cell>
          <cell r="G2233">
            <v>34790</v>
          </cell>
          <cell r="H2233">
            <v>7600</v>
          </cell>
        </row>
        <row r="2234">
          <cell r="A2234">
            <v>3400002661</v>
          </cell>
          <cell r="B2234">
            <v>6901</v>
          </cell>
          <cell r="C2234">
            <v>61161</v>
          </cell>
          <cell r="D2234">
            <v>0</v>
          </cell>
          <cell r="E2234" t="str">
            <v>HOT PLATE MODEL KHPHDD 2</v>
          </cell>
          <cell r="F2234">
            <v>2</v>
          </cell>
          <cell r="G2234">
            <v>34790</v>
          </cell>
          <cell r="H2234">
            <v>1500</v>
          </cell>
        </row>
        <row r="2235">
          <cell r="A2235">
            <v>3400002668</v>
          </cell>
          <cell r="B2235">
            <v>6901</v>
          </cell>
          <cell r="C2235">
            <v>61161</v>
          </cell>
          <cell r="D2235">
            <v>0</v>
          </cell>
          <cell r="E2235" t="str">
            <v>CHAIRS CANTEEN</v>
          </cell>
          <cell r="F2235">
            <v>1</v>
          </cell>
          <cell r="G2235">
            <v>34790</v>
          </cell>
          <cell r="H2235">
            <v>2200</v>
          </cell>
        </row>
        <row r="2236">
          <cell r="A2236">
            <v>3400002669</v>
          </cell>
          <cell r="B2236">
            <v>6901</v>
          </cell>
          <cell r="C2236">
            <v>61161</v>
          </cell>
          <cell r="D2236">
            <v>0</v>
          </cell>
          <cell r="E2236" t="str">
            <v>CANTEEN TROLLEY</v>
          </cell>
          <cell r="F2236">
            <v>1</v>
          </cell>
          <cell r="G2236">
            <v>34790</v>
          </cell>
          <cell r="H2236">
            <v>3200</v>
          </cell>
        </row>
        <row r="2237">
          <cell r="A2237">
            <v>3400002671</v>
          </cell>
          <cell r="B2237">
            <v>6901</v>
          </cell>
          <cell r="C2237">
            <v>61206</v>
          </cell>
          <cell r="D2237">
            <v>0</v>
          </cell>
          <cell r="E2237" t="str">
            <v>CENTRE TABLE</v>
          </cell>
          <cell r="F2237">
            <v>2</v>
          </cell>
          <cell r="G2237">
            <v>34790</v>
          </cell>
          <cell r="H2237">
            <v>1200</v>
          </cell>
        </row>
        <row r="2238">
          <cell r="A2238">
            <v>3400002672</v>
          </cell>
          <cell r="B2238">
            <v>6901</v>
          </cell>
          <cell r="C2238">
            <v>61206</v>
          </cell>
          <cell r="D2238">
            <v>0</v>
          </cell>
          <cell r="E2238" t="str">
            <v>CHAIRS</v>
          </cell>
          <cell r="F2238">
            <v>199</v>
          </cell>
          <cell r="G2238">
            <v>34790</v>
          </cell>
          <cell r="H2238">
            <v>129700</v>
          </cell>
        </row>
        <row r="2239">
          <cell r="A2239">
            <v>3400002673</v>
          </cell>
          <cell r="B2239">
            <v>6901</v>
          </cell>
          <cell r="C2239">
            <v>61157</v>
          </cell>
          <cell r="D2239">
            <v>0</v>
          </cell>
          <cell r="E2239" t="str">
            <v>FIRE EXTINGUISHER</v>
          </cell>
          <cell r="F2239">
            <v>7</v>
          </cell>
          <cell r="G2239">
            <v>34790</v>
          </cell>
          <cell r="H2239">
            <v>12100</v>
          </cell>
        </row>
        <row r="2240">
          <cell r="A2240">
            <v>3400002676</v>
          </cell>
          <cell r="B2240">
            <v>6901</v>
          </cell>
          <cell r="C2240">
            <v>61206</v>
          </cell>
          <cell r="D2240">
            <v>0</v>
          </cell>
          <cell r="E2240" t="str">
            <v>CONDUCTIVE PCB CARRIER</v>
          </cell>
          <cell r="F2240">
            <v>69</v>
          </cell>
          <cell r="G2240">
            <v>34790</v>
          </cell>
          <cell r="H2240">
            <v>53000</v>
          </cell>
        </row>
        <row r="2241">
          <cell r="A2241">
            <v>3400002677</v>
          </cell>
          <cell r="B2241">
            <v>6901</v>
          </cell>
          <cell r="C2241">
            <v>61161</v>
          </cell>
          <cell r="D2241">
            <v>0</v>
          </cell>
          <cell r="E2241" t="str">
            <v>CPNFERENCE TABLE</v>
          </cell>
          <cell r="F2241">
            <v>4</v>
          </cell>
          <cell r="G2241">
            <v>34790</v>
          </cell>
          <cell r="H2241">
            <v>9500</v>
          </cell>
        </row>
        <row r="2242">
          <cell r="A2242">
            <v>3400002678</v>
          </cell>
          <cell r="B2242">
            <v>6901</v>
          </cell>
          <cell r="C2242">
            <v>61150</v>
          </cell>
          <cell r="D2242">
            <v>0</v>
          </cell>
          <cell r="E2242" t="str">
            <v>CRATES</v>
          </cell>
          <cell r="F2242">
            <v>362</v>
          </cell>
          <cell r="G2242">
            <v>34790</v>
          </cell>
          <cell r="H2242">
            <v>95600</v>
          </cell>
        </row>
        <row r="2243">
          <cell r="A2243">
            <v>3400002679</v>
          </cell>
          <cell r="B2243">
            <v>6901</v>
          </cell>
          <cell r="C2243">
            <v>61206</v>
          </cell>
          <cell r="D2243">
            <v>0</v>
          </cell>
          <cell r="E2243" t="str">
            <v>CRATES CONDUCTIVE (BLACK)</v>
          </cell>
          <cell r="F2243">
            <v>125</v>
          </cell>
          <cell r="G2243">
            <v>34790</v>
          </cell>
          <cell r="H2243">
            <v>129200</v>
          </cell>
        </row>
        <row r="2244">
          <cell r="A2244">
            <v>3400002680</v>
          </cell>
          <cell r="B2244">
            <v>6901</v>
          </cell>
          <cell r="C2244">
            <v>61200</v>
          </cell>
          <cell r="D2244">
            <v>0</v>
          </cell>
          <cell r="E2244" t="str">
            <v>CEILING FANS CROMPTON</v>
          </cell>
          <cell r="F2244">
            <v>12</v>
          </cell>
          <cell r="G2244">
            <v>34790</v>
          </cell>
          <cell r="H2244">
            <v>3400</v>
          </cell>
        </row>
        <row r="2245">
          <cell r="A2245">
            <v>3400002681</v>
          </cell>
          <cell r="B2245">
            <v>6901</v>
          </cell>
          <cell r="C2245">
            <v>61200</v>
          </cell>
          <cell r="D2245">
            <v>0</v>
          </cell>
          <cell r="E2245" t="str">
            <v>CROMPTON WALL FANS</v>
          </cell>
          <cell r="F2245">
            <v>3</v>
          </cell>
          <cell r="G2245">
            <v>34790</v>
          </cell>
          <cell r="H2245">
            <v>2500</v>
          </cell>
        </row>
        <row r="2246">
          <cell r="A2246">
            <v>3400002684</v>
          </cell>
          <cell r="B2246">
            <v>6901</v>
          </cell>
          <cell r="C2246">
            <v>61158</v>
          </cell>
          <cell r="D2246">
            <v>0</v>
          </cell>
          <cell r="E2246" t="str">
            <v>TURBO C SOFTWARE</v>
          </cell>
          <cell r="F2246">
            <v>1</v>
          </cell>
          <cell r="G2246">
            <v>34790</v>
          </cell>
          <cell r="H2246">
            <v>4800</v>
          </cell>
        </row>
        <row r="2247">
          <cell r="A2247">
            <v>3400002688</v>
          </cell>
          <cell r="B2247">
            <v>6901</v>
          </cell>
          <cell r="C2247">
            <v>61200</v>
          </cell>
          <cell r="D2247">
            <v>0</v>
          </cell>
          <cell r="E2247" t="str">
            <v>PEDESTRAL FANS 16</v>
          </cell>
          <cell r="F2247">
            <v>5</v>
          </cell>
          <cell r="G2247">
            <v>34790</v>
          </cell>
          <cell r="H2247">
            <v>3900</v>
          </cell>
        </row>
        <row r="2248">
          <cell r="A2248">
            <v>3400002689</v>
          </cell>
          <cell r="B2248">
            <v>6901</v>
          </cell>
          <cell r="C2248">
            <v>61161</v>
          </cell>
          <cell r="D2248">
            <v>0</v>
          </cell>
          <cell r="E2248" t="str">
            <v>BENCH WITH CUSHION</v>
          </cell>
          <cell r="F2248">
            <v>1</v>
          </cell>
          <cell r="G2248">
            <v>34790</v>
          </cell>
          <cell r="H2248">
            <v>3000</v>
          </cell>
        </row>
        <row r="2249">
          <cell r="A2249">
            <v>3400002690</v>
          </cell>
          <cell r="B2249">
            <v>6901</v>
          </cell>
          <cell r="C2249">
            <v>61161</v>
          </cell>
          <cell r="D2249">
            <v>0</v>
          </cell>
          <cell r="E2249" t="str">
            <v>VACUMN CLEANERS &amp; ACCESSORIES</v>
          </cell>
          <cell r="F2249">
            <v>2</v>
          </cell>
          <cell r="G2249">
            <v>34790</v>
          </cell>
          <cell r="H2249">
            <v>8800</v>
          </cell>
        </row>
        <row r="2250">
          <cell r="A2250">
            <v>3400002691</v>
          </cell>
          <cell r="B2250">
            <v>6901</v>
          </cell>
          <cell r="C2250">
            <v>61206</v>
          </cell>
          <cell r="D2250">
            <v>0</v>
          </cell>
          <cell r="E2250" t="str">
            <v>SEATER BENCH</v>
          </cell>
          <cell r="F2250">
            <v>1</v>
          </cell>
          <cell r="G2250">
            <v>34790</v>
          </cell>
          <cell r="H2250">
            <v>4200</v>
          </cell>
        </row>
        <row r="2251">
          <cell r="A2251">
            <v>3400002696</v>
          </cell>
          <cell r="B2251">
            <v>6901</v>
          </cell>
          <cell r="C2251">
            <v>61150</v>
          </cell>
          <cell r="D2251">
            <v>0</v>
          </cell>
          <cell r="E2251" t="str">
            <v>ANTISTATIC BINS BLUE</v>
          </cell>
          <cell r="F2251">
            <v>275</v>
          </cell>
          <cell r="G2251">
            <v>34790</v>
          </cell>
          <cell r="H2251">
            <v>27400</v>
          </cell>
        </row>
        <row r="2252">
          <cell r="A2252">
            <v>3400002697</v>
          </cell>
          <cell r="B2252">
            <v>6901</v>
          </cell>
          <cell r="C2252">
            <v>61150</v>
          </cell>
          <cell r="D2252">
            <v>0</v>
          </cell>
          <cell r="E2252" t="str">
            <v>ANTISTATIC BINS RED</v>
          </cell>
          <cell r="F2252">
            <v>260</v>
          </cell>
          <cell r="G2252">
            <v>34790</v>
          </cell>
          <cell r="H2252">
            <v>25900</v>
          </cell>
        </row>
        <row r="2253">
          <cell r="A2253">
            <v>3400002698</v>
          </cell>
          <cell r="B2253">
            <v>6901</v>
          </cell>
          <cell r="C2253">
            <v>61206</v>
          </cell>
          <cell r="D2253">
            <v>0</v>
          </cell>
          <cell r="E2253" t="str">
            <v>ANTISTATIC PCB CARRIERS</v>
          </cell>
          <cell r="F2253">
            <v>30</v>
          </cell>
          <cell r="G2253">
            <v>34790</v>
          </cell>
          <cell r="H2253">
            <v>34400</v>
          </cell>
        </row>
        <row r="2254">
          <cell r="A2254">
            <v>3400002699</v>
          </cell>
          <cell r="B2254">
            <v>6901</v>
          </cell>
          <cell r="C2254">
            <v>61161</v>
          </cell>
          <cell r="D2254">
            <v>0</v>
          </cell>
          <cell r="E2254" t="str">
            <v>AQUAGUARD WATER PURIFIER</v>
          </cell>
          <cell r="F2254">
            <v>4</v>
          </cell>
          <cell r="G2254">
            <v>34790</v>
          </cell>
          <cell r="H2254">
            <v>10200</v>
          </cell>
        </row>
        <row r="2255">
          <cell r="A2255">
            <v>3400002884</v>
          </cell>
          <cell r="B2255">
            <v>6901</v>
          </cell>
          <cell r="C2255">
            <v>61206</v>
          </cell>
          <cell r="D2255">
            <v>0</v>
          </cell>
          <cell r="E2255" t="str">
            <v>EXECUTIV E TALE</v>
          </cell>
          <cell r="F2255">
            <v>4</v>
          </cell>
          <cell r="G2255">
            <v>34790</v>
          </cell>
          <cell r="H2255">
            <v>15400</v>
          </cell>
        </row>
        <row r="2256">
          <cell r="A2256">
            <v>3400002901</v>
          </cell>
          <cell r="B2256">
            <v>6901</v>
          </cell>
          <cell r="C2256">
            <v>61206</v>
          </cell>
          <cell r="D2256">
            <v>0</v>
          </cell>
          <cell r="E2256" t="str">
            <v>WOODEN CHAIRS</v>
          </cell>
          <cell r="F2256">
            <v>30</v>
          </cell>
          <cell r="G2256">
            <v>34790</v>
          </cell>
          <cell r="H2256">
            <v>32800</v>
          </cell>
        </row>
        <row r="2257">
          <cell r="A2257">
            <v>3400004787</v>
          </cell>
          <cell r="B2257">
            <v>6901</v>
          </cell>
          <cell r="C2257">
            <v>61203</v>
          </cell>
          <cell r="D2257">
            <v>0</v>
          </cell>
          <cell r="E2257" t="str">
            <v>CONDUCTIVE CRATE</v>
          </cell>
          <cell r="F2257">
            <v>64</v>
          </cell>
          <cell r="G2257">
            <v>34790</v>
          </cell>
          <cell r="H2257">
            <v>29900</v>
          </cell>
        </row>
        <row r="2258">
          <cell r="A2258">
            <v>3400002883</v>
          </cell>
          <cell r="B2258">
            <v>6901</v>
          </cell>
          <cell r="C2258">
            <v>61161</v>
          </cell>
          <cell r="D2258">
            <v>0</v>
          </cell>
          <cell r="E2258" t="str">
            <v>NOTICE BOARD 1.5 MT X1 MT</v>
          </cell>
          <cell r="F2258">
            <v>2</v>
          </cell>
          <cell r="G2258">
            <v>34820</v>
          </cell>
          <cell r="H2258">
            <v>6300</v>
          </cell>
        </row>
        <row r="2259">
          <cell r="A2259">
            <v>3400003949</v>
          </cell>
          <cell r="B2259">
            <v>6901</v>
          </cell>
          <cell r="C2259">
            <v>61109</v>
          </cell>
          <cell r="D2259">
            <v>0</v>
          </cell>
          <cell r="E2259" t="str">
            <v>ESD TOP STEEL ALMIRAH 50"X38"X19"</v>
          </cell>
          <cell r="F2259">
            <v>1</v>
          </cell>
          <cell r="G2259">
            <v>34820</v>
          </cell>
          <cell r="H2259">
            <v>3900</v>
          </cell>
        </row>
        <row r="2260">
          <cell r="A2260">
            <v>3400004539</v>
          </cell>
          <cell r="B2260">
            <v>6901</v>
          </cell>
          <cell r="C2260">
            <v>61108</v>
          </cell>
          <cell r="D2260">
            <v>0</v>
          </cell>
          <cell r="E2260" t="str">
            <v>WOODEN PALETTE FOR RACKS</v>
          </cell>
          <cell r="F2260">
            <v>10</v>
          </cell>
          <cell r="G2260">
            <v>34851</v>
          </cell>
          <cell r="H2260">
            <v>9600</v>
          </cell>
        </row>
        <row r="2261">
          <cell r="A2261">
            <v>3400004540</v>
          </cell>
          <cell r="B2261">
            <v>6901</v>
          </cell>
          <cell r="C2261">
            <v>61108</v>
          </cell>
          <cell r="D2261">
            <v>0</v>
          </cell>
          <cell r="E2261" t="str">
            <v>WOODEN PALETTE FOR RACKS</v>
          </cell>
          <cell r="F2261">
            <v>30</v>
          </cell>
          <cell r="G2261">
            <v>34851</v>
          </cell>
          <cell r="H2261">
            <v>28800</v>
          </cell>
        </row>
        <row r="2262">
          <cell r="A2262">
            <v>3400004516</v>
          </cell>
          <cell r="B2262">
            <v>6901</v>
          </cell>
          <cell r="C2262">
            <v>61206</v>
          </cell>
          <cell r="D2262">
            <v>0</v>
          </cell>
          <cell r="E2262" t="str">
            <v>RETURN TABLE WITH DECOLAM</v>
          </cell>
          <cell r="F2262">
            <v>1</v>
          </cell>
          <cell r="G2262">
            <v>34881</v>
          </cell>
          <cell r="H2262">
            <v>5300</v>
          </cell>
        </row>
        <row r="2263">
          <cell r="A2263">
            <v>3400004517</v>
          </cell>
          <cell r="B2263">
            <v>6901</v>
          </cell>
          <cell r="C2263">
            <v>61161</v>
          </cell>
          <cell r="D2263">
            <v>0</v>
          </cell>
          <cell r="E2263" t="str">
            <v>NOTICE BOARD 1.71 X 1.08</v>
          </cell>
          <cell r="F2263">
            <v>1</v>
          </cell>
          <cell r="G2263">
            <v>34881</v>
          </cell>
          <cell r="H2263">
            <v>3300</v>
          </cell>
        </row>
        <row r="2264">
          <cell r="A2264">
            <v>3400004450</v>
          </cell>
          <cell r="B2264">
            <v>6901</v>
          </cell>
          <cell r="C2264">
            <v>61150</v>
          </cell>
          <cell r="D2264">
            <v>0</v>
          </cell>
          <cell r="E2264" t="str">
            <v>HSEGRUD MAKE CAGE BOX</v>
          </cell>
          <cell r="F2264">
            <v>1</v>
          </cell>
          <cell r="G2264">
            <v>34547</v>
          </cell>
          <cell r="H2264">
            <v>3900</v>
          </cell>
        </row>
        <row r="2265">
          <cell r="A2265">
            <v>3400004451</v>
          </cell>
          <cell r="B2265">
            <v>6901</v>
          </cell>
          <cell r="C2265">
            <v>61104</v>
          </cell>
          <cell r="D2265">
            <v>0</v>
          </cell>
          <cell r="E2265" t="str">
            <v>HSEGRUD MAKE STEEL ANTISTATIC TABLE1.5X1</v>
          </cell>
          <cell r="F2265">
            <v>15</v>
          </cell>
          <cell r="G2265">
            <v>34547</v>
          </cell>
          <cell r="H2265">
            <v>56100</v>
          </cell>
        </row>
        <row r="2266">
          <cell r="A2266">
            <v>3400004243</v>
          </cell>
          <cell r="B2266">
            <v>6901</v>
          </cell>
          <cell r="C2266">
            <v>61150</v>
          </cell>
          <cell r="D2266">
            <v>0</v>
          </cell>
          <cell r="E2266" t="str">
            <v>PLASTIC BIN</v>
          </cell>
          <cell r="F2266">
            <v>150</v>
          </cell>
          <cell r="G2266">
            <v>34213</v>
          </cell>
          <cell r="H2266">
            <v>49700</v>
          </cell>
        </row>
        <row r="2267">
          <cell r="A2267">
            <v>3400004244</v>
          </cell>
          <cell r="B2267">
            <v>6901</v>
          </cell>
          <cell r="C2267">
            <v>61206</v>
          </cell>
          <cell r="D2267">
            <v>0</v>
          </cell>
          <cell r="E2267" t="str">
            <v>ESD CRATES</v>
          </cell>
          <cell r="F2267">
            <v>50</v>
          </cell>
          <cell r="G2267">
            <v>34213</v>
          </cell>
          <cell r="H2267">
            <v>23700</v>
          </cell>
        </row>
        <row r="2268">
          <cell r="A2268">
            <v>3400004245</v>
          </cell>
          <cell r="B2268">
            <v>6901</v>
          </cell>
          <cell r="C2268">
            <v>61206</v>
          </cell>
          <cell r="D2268">
            <v>0</v>
          </cell>
          <cell r="E2268" t="str">
            <v>ESD LTD FOR CRATES</v>
          </cell>
          <cell r="F2268">
            <v>20</v>
          </cell>
          <cell r="G2268">
            <v>34213</v>
          </cell>
          <cell r="H2268">
            <v>5000</v>
          </cell>
        </row>
        <row r="2269">
          <cell r="A2269">
            <v>3400004446</v>
          </cell>
          <cell r="B2269">
            <v>6901</v>
          </cell>
          <cell r="C2269">
            <v>61104</v>
          </cell>
          <cell r="D2269">
            <v>0</v>
          </cell>
          <cell r="E2269" t="str">
            <v>HSEGRUD MAKE CABLE TROLLEY 'B' TYPE WITH</v>
          </cell>
          <cell r="F2269">
            <v>5</v>
          </cell>
          <cell r="G2269">
            <v>34578</v>
          </cell>
          <cell r="H2269">
            <v>17900</v>
          </cell>
        </row>
        <row r="2270">
          <cell r="A2270">
            <v>3400002567</v>
          </cell>
          <cell r="B2270">
            <v>6901</v>
          </cell>
          <cell r="C2270">
            <v>61200</v>
          </cell>
          <cell r="D2270">
            <v>0</v>
          </cell>
          <cell r="E2270" t="str">
            <v>PARTITION WALL</v>
          </cell>
          <cell r="F2270">
            <v>58</v>
          </cell>
          <cell r="G2270">
            <v>34943</v>
          </cell>
          <cell r="H2270">
            <v>91200</v>
          </cell>
        </row>
        <row r="2271">
          <cell r="A2271">
            <v>3400002659</v>
          </cell>
          <cell r="B2271">
            <v>6901</v>
          </cell>
          <cell r="C2271">
            <v>61150</v>
          </cell>
          <cell r="D2271">
            <v>0</v>
          </cell>
          <cell r="E2271" t="str">
            <v>SLOTTED ANGLE RACKS</v>
          </cell>
          <cell r="F2271">
            <v>2</v>
          </cell>
          <cell r="G2271">
            <v>34943</v>
          </cell>
          <cell r="H2271">
            <v>8000</v>
          </cell>
        </row>
        <row r="2272">
          <cell r="A2272">
            <v>3400002670</v>
          </cell>
          <cell r="B2272">
            <v>6901</v>
          </cell>
          <cell r="C2272">
            <v>61159</v>
          </cell>
          <cell r="D2272">
            <v>0</v>
          </cell>
          <cell r="E2272" t="str">
            <v>CASH BOX</v>
          </cell>
          <cell r="F2272">
            <v>2</v>
          </cell>
          <cell r="G2272">
            <v>34943</v>
          </cell>
          <cell r="H2272">
            <v>400</v>
          </cell>
        </row>
        <row r="2273">
          <cell r="A2273">
            <v>3400002695</v>
          </cell>
          <cell r="B2273">
            <v>6901</v>
          </cell>
          <cell r="C2273">
            <v>61153</v>
          </cell>
          <cell r="D2273">
            <v>0</v>
          </cell>
          <cell r="E2273" t="str">
            <v>ANTISTATIC BIN BOXES</v>
          </cell>
          <cell r="F2273">
            <v>1</v>
          </cell>
          <cell r="G2273">
            <v>34943</v>
          </cell>
          <cell r="H2273">
            <v>155000</v>
          </cell>
        </row>
        <row r="2274">
          <cell r="A2274">
            <v>3400004360</v>
          </cell>
          <cell r="B2274">
            <v>6901</v>
          </cell>
          <cell r="C2274">
            <v>61206</v>
          </cell>
          <cell r="D2274">
            <v>0</v>
          </cell>
          <cell r="E2274" t="str">
            <v>ESD CRATES</v>
          </cell>
          <cell r="F2274">
            <v>131</v>
          </cell>
          <cell r="G2274">
            <v>34243</v>
          </cell>
          <cell r="H2274">
            <v>41400</v>
          </cell>
        </row>
        <row r="2275">
          <cell r="A2275">
            <v>3400004361</v>
          </cell>
          <cell r="B2275">
            <v>6901</v>
          </cell>
          <cell r="C2275">
            <v>61206</v>
          </cell>
          <cell r="D2275">
            <v>0</v>
          </cell>
          <cell r="E2275" t="str">
            <v>ESD CRATES</v>
          </cell>
          <cell r="F2275">
            <v>122</v>
          </cell>
          <cell r="G2275">
            <v>34243</v>
          </cell>
          <cell r="H2275">
            <v>43200</v>
          </cell>
        </row>
        <row r="2276">
          <cell r="A2276">
            <v>3400003928</v>
          </cell>
          <cell r="B2276">
            <v>6901</v>
          </cell>
          <cell r="C2276">
            <v>61116</v>
          </cell>
          <cell r="D2276">
            <v>0</v>
          </cell>
          <cell r="E2276" t="str">
            <v>HSEGRUD MAKE ANTISTATIC CHAIR</v>
          </cell>
          <cell r="F2276">
            <v>1</v>
          </cell>
          <cell r="G2276">
            <v>34608</v>
          </cell>
          <cell r="H2276">
            <v>5900</v>
          </cell>
        </row>
        <row r="2277">
          <cell r="A2277">
            <v>3400003937</v>
          </cell>
          <cell r="B2277">
            <v>6901</v>
          </cell>
          <cell r="C2277">
            <v>61116</v>
          </cell>
          <cell r="D2277">
            <v>0</v>
          </cell>
          <cell r="E2277" t="str">
            <v>HSEGRUD MAKE STEEL ALMIRAH 50"X38"X19"</v>
          </cell>
          <cell r="F2277">
            <v>1</v>
          </cell>
          <cell r="G2277">
            <v>34608</v>
          </cell>
          <cell r="H2277">
            <v>15100</v>
          </cell>
        </row>
        <row r="2278">
          <cell r="A2278">
            <v>3400003938</v>
          </cell>
          <cell r="B2278">
            <v>6901</v>
          </cell>
          <cell r="C2278">
            <v>61116</v>
          </cell>
          <cell r="D2278">
            <v>0</v>
          </cell>
          <cell r="E2278" t="str">
            <v>HSEGRUD MAKE STEEL ALMIRAR 50"HX38"WX19"</v>
          </cell>
          <cell r="F2278">
            <v>1</v>
          </cell>
          <cell r="G2278">
            <v>34608</v>
          </cell>
          <cell r="H2278">
            <v>15300</v>
          </cell>
        </row>
        <row r="2279">
          <cell r="A2279">
            <v>3400004485</v>
          </cell>
          <cell r="B2279">
            <v>6901</v>
          </cell>
          <cell r="C2279">
            <v>61206</v>
          </cell>
          <cell r="D2279">
            <v>0</v>
          </cell>
          <cell r="E2279" t="str">
            <v>ESD CHAIRS</v>
          </cell>
          <cell r="F2279">
            <v>22</v>
          </cell>
          <cell r="G2279">
            <v>34608</v>
          </cell>
          <cell r="H2279">
            <v>45800</v>
          </cell>
        </row>
        <row r="2280">
          <cell r="A2280">
            <v>3400004487</v>
          </cell>
          <cell r="B2280">
            <v>6901</v>
          </cell>
          <cell r="C2280">
            <v>61203</v>
          </cell>
          <cell r="D2280">
            <v>0</v>
          </cell>
          <cell r="E2280" t="str">
            <v>CONSOLE FOR PHOTO COPIER M/C</v>
          </cell>
          <cell r="F2280">
            <v>1</v>
          </cell>
          <cell r="G2280">
            <v>34608</v>
          </cell>
          <cell r="H2280">
            <v>2700</v>
          </cell>
        </row>
        <row r="2281">
          <cell r="A2281">
            <v>3400004491</v>
          </cell>
          <cell r="B2281">
            <v>6901</v>
          </cell>
          <cell r="C2281">
            <v>61206</v>
          </cell>
          <cell r="D2281">
            <v>0</v>
          </cell>
          <cell r="E2281" t="str">
            <v>WOODEN RACK WITH PEDESTAL</v>
          </cell>
          <cell r="F2281">
            <v>1</v>
          </cell>
          <cell r="G2281">
            <v>34608</v>
          </cell>
          <cell r="H2281">
            <v>4000</v>
          </cell>
        </row>
        <row r="2282">
          <cell r="A2282">
            <v>3400002701</v>
          </cell>
          <cell r="B2282">
            <v>6901</v>
          </cell>
          <cell r="C2282">
            <v>61206</v>
          </cell>
          <cell r="D2282">
            <v>0</v>
          </cell>
          <cell r="E2282" t="str">
            <v>ARMLESS CHAIRS</v>
          </cell>
          <cell r="F2282">
            <v>8</v>
          </cell>
          <cell r="G2282">
            <v>35339</v>
          </cell>
          <cell r="H2282">
            <v>9300</v>
          </cell>
        </row>
        <row r="2283">
          <cell r="A2283">
            <v>3400002702</v>
          </cell>
          <cell r="B2283">
            <v>6901</v>
          </cell>
          <cell r="C2283">
            <v>61206</v>
          </cell>
          <cell r="D2283">
            <v>0</v>
          </cell>
          <cell r="E2283" t="str">
            <v>VOLTAGE STABILISER</v>
          </cell>
          <cell r="F2283">
            <v>3</v>
          </cell>
          <cell r="G2283">
            <v>35339</v>
          </cell>
          <cell r="H2283">
            <v>6600</v>
          </cell>
        </row>
        <row r="2284">
          <cell r="A2284">
            <v>3400002703</v>
          </cell>
          <cell r="B2284">
            <v>6901</v>
          </cell>
          <cell r="C2284">
            <v>61161</v>
          </cell>
          <cell r="D2284">
            <v>0</v>
          </cell>
          <cell r="E2284" t="str">
            <v>HAND DRYER</v>
          </cell>
          <cell r="F2284">
            <v>2</v>
          </cell>
          <cell r="G2284">
            <v>35339</v>
          </cell>
          <cell r="H2284">
            <v>6000</v>
          </cell>
        </row>
        <row r="2285">
          <cell r="A2285">
            <v>3400002704</v>
          </cell>
          <cell r="B2285">
            <v>6901</v>
          </cell>
          <cell r="C2285">
            <v>61161</v>
          </cell>
          <cell r="D2285">
            <v>0</v>
          </cell>
          <cell r="E2285" t="str">
            <v>GEYSER BAJAJ</v>
          </cell>
          <cell r="F2285">
            <v>1</v>
          </cell>
          <cell r="G2285">
            <v>35339</v>
          </cell>
          <cell r="H2285">
            <v>800</v>
          </cell>
        </row>
        <row r="2286">
          <cell r="A2286">
            <v>3400002705</v>
          </cell>
          <cell r="B2286">
            <v>6901</v>
          </cell>
          <cell r="C2286">
            <v>61157</v>
          </cell>
          <cell r="D2286">
            <v>0</v>
          </cell>
          <cell r="E2286" t="str">
            <v>BATTERY RACK</v>
          </cell>
          <cell r="F2286">
            <v>1</v>
          </cell>
          <cell r="G2286">
            <v>35339</v>
          </cell>
          <cell r="H2286">
            <v>3900</v>
          </cell>
        </row>
        <row r="2287">
          <cell r="A2287">
            <v>3400002707</v>
          </cell>
          <cell r="B2287">
            <v>6901</v>
          </cell>
          <cell r="C2287">
            <v>61206</v>
          </cell>
          <cell r="D2287">
            <v>0</v>
          </cell>
          <cell r="E2287" t="str">
            <v>BOX VARIOUS TYPES</v>
          </cell>
          <cell r="F2287">
            <v>6</v>
          </cell>
          <cell r="G2287">
            <v>35339</v>
          </cell>
          <cell r="H2287">
            <v>6100</v>
          </cell>
        </row>
        <row r="2288">
          <cell r="A2288">
            <v>3400002708</v>
          </cell>
          <cell r="B2288">
            <v>6901</v>
          </cell>
          <cell r="C2288">
            <v>61206</v>
          </cell>
          <cell r="D2288">
            <v>0</v>
          </cell>
          <cell r="E2288" t="str">
            <v>CABINETS</v>
          </cell>
          <cell r="F2288">
            <v>39</v>
          </cell>
          <cell r="G2288">
            <v>35339</v>
          </cell>
          <cell r="H2288">
            <v>66800</v>
          </cell>
        </row>
        <row r="2289">
          <cell r="A2289">
            <v>3400003552</v>
          </cell>
          <cell r="B2289">
            <v>6901</v>
          </cell>
          <cell r="C2289">
            <v>61100</v>
          </cell>
          <cell r="D2289">
            <v>0</v>
          </cell>
          <cell r="E2289" t="str">
            <v>COMPUTER TABLE</v>
          </cell>
          <cell r="F2289">
            <v>1</v>
          </cell>
          <cell r="G2289">
            <v>35339</v>
          </cell>
          <cell r="H2289">
            <v>4500</v>
          </cell>
        </row>
        <row r="2290">
          <cell r="A2290">
            <v>3400003553</v>
          </cell>
          <cell r="B2290">
            <v>6901</v>
          </cell>
          <cell r="C2290">
            <v>61112</v>
          </cell>
          <cell r="D2290">
            <v>0</v>
          </cell>
          <cell r="E2290" t="str">
            <v>COMPUTER TABLE</v>
          </cell>
          <cell r="F2290">
            <v>1</v>
          </cell>
          <cell r="G2290">
            <v>35339</v>
          </cell>
          <cell r="H2290">
            <v>4500</v>
          </cell>
        </row>
        <row r="2291">
          <cell r="A2291">
            <v>3400003555</v>
          </cell>
          <cell r="B2291">
            <v>6901</v>
          </cell>
          <cell r="C2291">
            <v>61200</v>
          </cell>
          <cell r="D2291">
            <v>0</v>
          </cell>
          <cell r="E2291" t="str">
            <v>EXECUTIVE CHAIR RED FOR CONF.ROOM</v>
          </cell>
          <cell r="F2291">
            <v>17</v>
          </cell>
          <cell r="G2291">
            <v>35339</v>
          </cell>
          <cell r="H2291">
            <v>64332.800000000003</v>
          </cell>
        </row>
        <row r="2292">
          <cell r="A2292">
            <v>3400003556</v>
          </cell>
          <cell r="B2292">
            <v>6901</v>
          </cell>
          <cell r="C2292">
            <v>61159</v>
          </cell>
          <cell r="D2292">
            <v>0</v>
          </cell>
          <cell r="E2292" t="str">
            <v>EXECUTIVE PUSHBACK  CHAIR BLUE</v>
          </cell>
          <cell r="F2292">
            <v>2</v>
          </cell>
          <cell r="G2292">
            <v>35339</v>
          </cell>
          <cell r="H2292">
            <v>6433.28</v>
          </cell>
        </row>
        <row r="2293">
          <cell r="A2293">
            <v>3400003557</v>
          </cell>
          <cell r="B2293">
            <v>6901</v>
          </cell>
          <cell r="C2293">
            <v>61155</v>
          </cell>
          <cell r="D2293">
            <v>0</v>
          </cell>
          <cell r="E2293" t="str">
            <v>EXECUTIVE PUSHBACK CHAIR BLUE</v>
          </cell>
          <cell r="F2293">
            <v>12</v>
          </cell>
          <cell r="G2293">
            <v>35339</v>
          </cell>
          <cell r="H2293">
            <v>38599.68</v>
          </cell>
        </row>
        <row r="2294">
          <cell r="A2294">
            <v>3400003558</v>
          </cell>
          <cell r="B2294">
            <v>6901</v>
          </cell>
          <cell r="C2294">
            <v>61161</v>
          </cell>
          <cell r="D2294">
            <v>0</v>
          </cell>
          <cell r="E2294" t="str">
            <v>EXECUTIVE PUSHBACK CHAIR BLUE</v>
          </cell>
          <cell r="F2294">
            <v>2</v>
          </cell>
          <cell r="G2294">
            <v>35339</v>
          </cell>
          <cell r="H2294">
            <v>6433.28</v>
          </cell>
        </row>
        <row r="2295">
          <cell r="A2295">
            <v>3400003559</v>
          </cell>
          <cell r="B2295">
            <v>6901</v>
          </cell>
          <cell r="C2295">
            <v>61158</v>
          </cell>
          <cell r="D2295">
            <v>0</v>
          </cell>
          <cell r="E2295" t="str">
            <v>EXECUTIVE PUSH BACK CHAIR BLUE</v>
          </cell>
          <cell r="F2295">
            <v>1</v>
          </cell>
          <cell r="G2295">
            <v>35339</v>
          </cell>
          <cell r="H2295">
            <v>3216.64</v>
          </cell>
        </row>
        <row r="2296">
          <cell r="A2296">
            <v>3400003560</v>
          </cell>
          <cell r="B2296">
            <v>6901</v>
          </cell>
          <cell r="C2296">
            <v>61156</v>
          </cell>
          <cell r="D2296">
            <v>0</v>
          </cell>
          <cell r="E2296" t="str">
            <v>EXECUTIVE PUSH BACK CHAIR BLUE</v>
          </cell>
          <cell r="F2296">
            <v>3</v>
          </cell>
          <cell r="G2296">
            <v>35339</v>
          </cell>
          <cell r="H2296">
            <v>9649.92</v>
          </cell>
        </row>
        <row r="2297">
          <cell r="A2297">
            <v>3400003583</v>
          </cell>
          <cell r="B2297">
            <v>6901</v>
          </cell>
          <cell r="C2297">
            <v>61200</v>
          </cell>
          <cell r="D2297">
            <v>0</v>
          </cell>
          <cell r="E2297" t="str">
            <v>WOODEN FRAME FOR WINDOWS IN AC</v>
          </cell>
          <cell r="F2297">
            <v>4</v>
          </cell>
          <cell r="G2297">
            <v>35339</v>
          </cell>
          <cell r="H2297">
            <v>1600</v>
          </cell>
        </row>
        <row r="2298">
          <cell r="A2298">
            <v>3400003584</v>
          </cell>
          <cell r="B2298">
            <v>6901</v>
          </cell>
          <cell r="C2298">
            <v>61102</v>
          </cell>
          <cell r="D2298">
            <v>0</v>
          </cell>
          <cell r="E2298" t="str">
            <v>WOODEN RACK FOR STORING PRINTING STENCIL</v>
          </cell>
          <cell r="F2298">
            <v>1</v>
          </cell>
          <cell r="G2298">
            <v>35339</v>
          </cell>
          <cell r="H2298">
            <v>2472</v>
          </cell>
        </row>
        <row r="2299">
          <cell r="A2299">
            <v>3400003585</v>
          </cell>
          <cell r="B2299">
            <v>6901</v>
          </cell>
          <cell r="C2299">
            <v>61155</v>
          </cell>
          <cell r="D2299">
            <v>0</v>
          </cell>
          <cell r="E2299" t="str">
            <v>EXECUTIVE CHAIR WITH ARMREST-BLUE</v>
          </cell>
          <cell r="F2299">
            <v>8</v>
          </cell>
          <cell r="G2299">
            <v>35339</v>
          </cell>
          <cell r="H2299">
            <v>30440.12</v>
          </cell>
        </row>
        <row r="2300">
          <cell r="A2300">
            <v>3400003586</v>
          </cell>
          <cell r="B2300">
            <v>6901</v>
          </cell>
          <cell r="C2300">
            <v>61152</v>
          </cell>
          <cell r="D2300">
            <v>0</v>
          </cell>
          <cell r="E2300" t="str">
            <v>EXECUTIVE CHAIR WITH ARMREST-BLUE</v>
          </cell>
          <cell r="F2300">
            <v>1</v>
          </cell>
          <cell r="G2300">
            <v>35339</v>
          </cell>
          <cell r="H2300">
            <v>3805.26</v>
          </cell>
        </row>
        <row r="2301">
          <cell r="A2301">
            <v>3400003587</v>
          </cell>
          <cell r="B2301">
            <v>6901</v>
          </cell>
          <cell r="C2301">
            <v>61119</v>
          </cell>
          <cell r="D2301">
            <v>0</v>
          </cell>
          <cell r="E2301" t="str">
            <v>EXECUTIVE CHAIR WITH ARMREST-BLUE</v>
          </cell>
          <cell r="F2301">
            <v>1</v>
          </cell>
          <cell r="G2301">
            <v>35339</v>
          </cell>
          <cell r="H2301">
            <v>3805.26</v>
          </cell>
        </row>
        <row r="2302">
          <cell r="A2302">
            <v>3400003588</v>
          </cell>
          <cell r="B2302">
            <v>6901</v>
          </cell>
          <cell r="C2302">
            <v>61159</v>
          </cell>
          <cell r="D2302">
            <v>0</v>
          </cell>
          <cell r="E2302" t="str">
            <v>EXECUTIVE CHAIR WITH ARMREST-BLUE</v>
          </cell>
          <cell r="F2302">
            <v>5</v>
          </cell>
          <cell r="G2302">
            <v>35339</v>
          </cell>
          <cell r="H2302">
            <v>19025.32</v>
          </cell>
        </row>
        <row r="2303">
          <cell r="A2303">
            <v>3400003589</v>
          </cell>
          <cell r="B2303">
            <v>6901</v>
          </cell>
          <cell r="C2303">
            <v>61161</v>
          </cell>
          <cell r="D2303">
            <v>0</v>
          </cell>
          <cell r="E2303" t="str">
            <v>EXECUTIVE CHAIR WITH ARMREST-BLUE</v>
          </cell>
          <cell r="F2303">
            <v>2</v>
          </cell>
          <cell r="G2303">
            <v>35339</v>
          </cell>
          <cell r="H2303">
            <v>7610.53</v>
          </cell>
        </row>
        <row r="2304">
          <cell r="A2304">
            <v>3400003592</v>
          </cell>
          <cell r="B2304">
            <v>6901</v>
          </cell>
          <cell r="C2304">
            <v>61119</v>
          </cell>
          <cell r="D2304">
            <v>0</v>
          </cell>
          <cell r="E2304" t="str">
            <v>EXECUTIVE CHAIR WITH ARMREST-BLUE</v>
          </cell>
          <cell r="F2304">
            <v>2</v>
          </cell>
          <cell r="G2304">
            <v>35339</v>
          </cell>
          <cell r="H2304">
            <v>7610.17</v>
          </cell>
        </row>
        <row r="2305">
          <cell r="A2305">
            <v>3400003593</v>
          </cell>
          <cell r="B2305">
            <v>6901</v>
          </cell>
          <cell r="C2305">
            <v>61161</v>
          </cell>
          <cell r="D2305">
            <v>0</v>
          </cell>
          <cell r="E2305" t="str">
            <v>EXECUTIVE CHAIR WITH ARMREST-BLUE</v>
          </cell>
          <cell r="F2305">
            <v>2</v>
          </cell>
          <cell r="G2305">
            <v>35339</v>
          </cell>
          <cell r="H2305">
            <v>7610.17</v>
          </cell>
        </row>
        <row r="2306">
          <cell r="A2306">
            <v>3400003594</v>
          </cell>
          <cell r="B2306">
            <v>6901</v>
          </cell>
          <cell r="C2306">
            <v>61107</v>
          </cell>
          <cell r="D2306">
            <v>0</v>
          </cell>
          <cell r="E2306" t="str">
            <v>EXECUTIVE CHAIR WITH ARMREST-BLUE</v>
          </cell>
          <cell r="F2306">
            <v>2</v>
          </cell>
          <cell r="G2306">
            <v>35339</v>
          </cell>
          <cell r="H2306">
            <v>7610.17</v>
          </cell>
        </row>
        <row r="2307">
          <cell r="A2307">
            <v>3400003595</v>
          </cell>
          <cell r="B2307">
            <v>6901</v>
          </cell>
          <cell r="C2307">
            <v>61155</v>
          </cell>
          <cell r="D2307">
            <v>0</v>
          </cell>
          <cell r="E2307" t="str">
            <v>EXECUTIVE CHAIR WITH ARMREST-BLUE</v>
          </cell>
          <cell r="F2307">
            <v>6</v>
          </cell>
          <cell r="G2307">
            <v>35339</v>
          </cell>
          <cell r="H2307">
            <v>22830.51</v>
          </cell>
        </row>
        <row r="2308">
          <cell r="A2308">
            <v>3400003596</v>
          </cell>
          <cell r="B2308">
            <v>6901</v>
          </cell>
          <cell r="C2308">
            <v>61162</v>
          </cell>
          <cell r="D2308">
            <v>0</v>
          </cell>
          <cell r="E2308" t="str">
            <v>EXECUTIVE PUSHBACK CHAIR-BLUE</v>
          </cell>
          <cell r="F2308">
            <v>24</v>
          </cell>
          <cell r="G2308">
            <v>35339</v>
          </cell>
          <cell r="H2308">
            <v>91322.15</v>
          </cell>
        </row>
        <row r="2309">
          <cell r="A2309">
            <v>3400003598</v>
          </cell>
          <cell r="B2309">
            <v>6901</v>
          </cell>
          <cell r="C2309">
            <v>61162</v>
          </cell>
          <cell r="D2309">
            <v>0</v>
          </cell>
          <cell r="E2309" t="str">
            <v>LONG SIZE FILING CABINET FOR MGM SEC.</v>
          </cell>
          <cell r="F2309">
            <v>2</v>
          </cell>
          <cell r="G2309">
            <v>35339</v>
          </cell>
          <cell r="H2309">
            <v>8800</v>
          </cell>
        </row>
        <row r="2310">
          <cell r="A2310">
            <v>3400003599</v>
          </cell>
          <cell r="B2310">
            <v>6901</v>
          </cell>
          <cell r="C2310">
            <v>61162</v>
          </cell>
          <cell r="D2310">
            <v>0</v>
          </cell>
          <cell r="E2310" t="str">
            <v>FILING CABINET FOR MGM SEC.</v>
          </cell>
          <cell r="F2310">
            <v>2</v>
          </cell>
          <cell r="G2310">
            <v>35339</v>
          </cell>
          <cell r="H2310">
            <v>7300</v>
          </cell>
        </row>
        <row r="2311">
          <cell r="A2311">
            <v>3400003600</v>
          </cell>
          <cell r="B2311">
            <v>6901</v>
          </cell>
          <cell r="C2311">
            <v>61162</v>
          </cell>
          <cell r="D2311">
            <v>0</v>
          </cell>
          <cell r="E2311" t="str">
            <v>SMALL CABINET WITH 4 DRAWER FOR MGM SEC.</v>
          </cell>
          <cell r="F2311">
            <v>1</v>
          </cell>
          <cell r="G2311">
            <v>35339</v>
          </cell>
          <cell r="H2311">
            <v>3650</v>
          </cell>
        </row>
        <row r="2312">
          <cell r="A2312">
            <v>3400003613</v>
          </cell>
          <cell r="B2312">
            <v>6901</v>
          </cell>
          <cell r="C2312">
            <v>61100</v>
          </cell>
          <cell r="D2312">
            <v>0</v>
          </cell>
          <cell r="E2312" t="str">
            <v>TABLE SPACER WITH CLAMP</v>
          </cell>
          <cell r="F2312">
            <v>1</v>
          </cell>
          <cell r="G2312">
            <v>35339</v>
          </cell>
          <cell r="H2312">
            <v>4087</v>
          </cell>
        </row>
        <row r="2313">
          <cell r="A2313">
            <v>3400003614</v>
          </cell>
          <cell r="B2313">
            <v>6901</v>
          </cell>
          <cell r="C2313">
            <v>61111</v>
          </cell>
          <cell r="D2313">
            <v>0</v>
          </cell>
          <cell r="E2313" t="str">
            <v>TABLE SPACER WITH CLAMP</v>
          </cell>
          <cell r="F2313">
            <v>1</v>
          </cell>
          <cell r="G2313">
            <v>35339</v>
          </cell>
          <cell r="H2313">
            <v>2299</v>
          </cell>
        </row>
        <row r="2314">
          <cell r="A2314">
            <v>3400004362</v>
          </cell>
          <cell r="B2314">
            <v>6901</v>
          </cell>
          <cell r="C2314">
            <v>61206</v>
          </cell>
          <cell r="D2314">
            <v>0</v>
          </cell>
          <cell r="E2314" t="str">
            <v>ESD CRATES</v>
          </cell>
          <cell r="F2314">
            <v>180</v>
          </cell>
          <cell r="G2314">
            <v>34274</v>
          </cell>
          <cell r="H2314">
            <v>35800</v>
          </cell>
        </row>
        <row r="2315">
          <cell r="A2315">
            <v>3400003906</v>
          </cell>
          <cell r="B2315">
            <v>6901</v>
          </cell>
          <cell r="C2315">
            <v>61116</v>
          </cell>
          <cell r="D2315">
            <v>0</v>
          </cell>
          <cell r="E2315" t="str">
            <v>STEEL ALMIRAH 50"X38 1/4"X19"</v>
          </cell>
          <cell r="F2315">
            <v>1</v>
          </cell>
          <cell r="G2315">
            <v>34639</v>
          </cell>
          <cell r="H2315">
            <v>17100</v>
          </cell>
        </row>
        <row r="2316">
          <cell r="A2316">
            <v>3400004436</v>
          </cell>
          <cell r="B2316">
            <v>6901</v>
          </cell>
          <cell r="C2316">
            <v>61154</v>
          </cell>
          <cell r="D2316">
            <v>0</v>
          </cell>
          <cell r="E2316" t="str">
            <v>STEEL CARD INDEX CABINET WITH STAND</v>
          </cell>
          <cell r="F2316">
            <v>4</v>
          </cell>
          <cell r="G2316">
            <v>34639</v>
          </cell>
          <cell r="H2316">
            <v>6400</v>
          </cell>
        </row>
        <row r="2317">
          <cell r="A2317">
            <v>3400004336</v>
          </cell>
          <cell r="B2317">
            <v>6901</v>
          </cell>
          <cell r="C2317">
            <v>61161</v>
          </cell>
          <cell r="D2317">
            <v>0</v>
          </cell>
          <cell r="E2317" t="str">
            <v>WOODEN BENCH (2NOS</v>
          </cell>
          <cell r="F2317">
            <v>2</v>
          </cell>
          <cell r="G2317">
            <v>34304</v>
          </cell>
          <cell r="H2317">
            <v>900</v>
          </cell>
        </row>
        <row r="2318">
          <cell r="A2318">
            <v>3400004359</v>
          </cell>
          <cell r="B2318">
            <v>6901</v>
          </cell>
          <cell r="C2318">
            <v>61206</v>
          </cell>
          <cell r="D2318">
            <v>0</v>
          </cell>
          <cell r="E2318" t="str">
            <v>ESD CRATES</v>
          </cell>
          <cell r="F2318">
            <v>100</v>
          </cell>
          <cell r="G2318">
            <v>34304</v>
          </cell>
          <cell r="H2318">
            <v>3400</v>
          </cell>
        </row>
        <row r="2319">
          <cell r="A2319">
            <v>3400004426</v>
          </cell>
          <cell r="B2319">
            <v>6901</v>
          </cell>
          <cell r="C2319">
            <v>61206</v>
          </cell>
          <cell r="D2319">
            <v>0</v>
          </cell>
          <cell r="E2319" t="str">
            <v>HSEGRVD MAKE CAGE BOX 0.8M X 1.2M X 0.93</v>
          </cell>
          <cell r="F2319">
            <v>1</v>
          </cell>
          <cell r="G2319">
            <v>34669</v>
          </cell>
          <cell r="H2319">
            <v>14500</v>
          </cell>
        </row>
        <row r="2320">
          <cell r="A2320">
            <v>3400004431</v>
          </cell>
          <cell r="B2320">
            <v>6901</v>
          </cell>
          <cell r="C2320">
            <v>61206</v>
          </cell>
          <cell r="D2320">
            <v>0</v>
          </cell>
          <cell r="E2320" t="str">
            <v>HSEGRUD MAKE STEEL ANTISTATIC TABLE(1.5X</v>
          </cell>
          <cell r="F2320">
            <v>5</v>
          </cell>
          <cell r="G2320">
            <v>34669</v>
          </cell>
          <cell r="H2320">
            <v>19700</v>
          </cell>
        </row>
        <row r="2321">
          <cell r="A2321">
            <v>3400003037</v>
          </cell>
          <cell r="B2321">
            <v>6901</v>
          </cell>
          <cell r="C2321">
            <v>61115</v>
          </cell>
          <cell r="D2321">
            <v>0</v>
          </cell>
          <cell r="E2321" t="str">
            <v>ESD FOLDING LADDER WITH ESD WHEELS</v>
          </cell>
          <cell r="F2321">
            <v>2</v>
          </cell>
          <cell r="G2321">
            <v>35097</v>
          </cell>
          <cell r="H2321">
            <v>8700</v>
          </cell>
        </row>
        <row r="2322">
          <cell r="A2322">
            <v>3400002927</v>
          </cell>
          <cell r="B2322">
            <v>6901</v>
          </cell>
          <cell r="C2322">
            <v>61108</v>
          </cell>
          <cell r="D2322">
            <v>0</v>
          </cell>
          <cell r="E2322" t="str">
            <v>WOODEN PALLET</v>
          </cell>
          <cell r="F2322">
            <v>25</v>
          </cell>
          <cell r="G2322">
            <v>35067</v>
          </cell>
          <cell r="H2322">
            <v>18800</v>
          </cell>
        </row>
        <row r="2323">
          <cell r="A2323">
            <v>3400003007</v>
          </cell>
          <cell r="B2323">
            <v>6901</v>
          </cell>
          <cell r="C2323">
            <v>61100</v>
          </cell>
          <cell r="D2323">
            <v>0</v>
          </cell>
          <cell r="E2323" t="str">
            <v>E CLAMP WITH TABLE LOCKING</v>
          </cell>
          <cell r="F2323">
            <v>1</v>
          </cell>
          <cell r="G2323">
            <v>35006</v>
          </cell>
          <cell r="H2323">
            <v>2500</v>
          </cell>
        </row>
        <row r="2324">
          <cell r="A2324">
            <v>3400003936</v>
          </cell>
          <cell r="B2324">
            <v>6901</v>
          </cell>
          <cell r="C2324">
            <v>61116</v>
          </cell>
          <cell r="D2324">
            <v>0</v>
          </cell>
          <cell r="E2324" t="str">
            <v>HSEGRUD MAKE STEEL RACK</v>
          </cell>
          <cell r="F2324">
            <v>1</v>
          </cell>
          <cell r="G2324">
            <v>34703</v>
          </cell>
          <cell r="H2324">
            <v>1500</v>
          </cell>
        </row>
        <row r="2325">
          <cell r="A2325">
            <v>3400004488</v>
          </cell>
          <cell r="B2325">
            <v>6901</v>
          </cell>
          <cell r="C2325">
            <v>61150</v>
          </cell>
          <cell r="D2325">
            <v>0</v>
          </cell>
          <cell r="E2325" t="str">
            <v>LOADING LEVEL SLOTTED ANGLE RACK</v>
          </cell>
          <cell r="F2325">
            <v>24</v>
          </cell>
          <cell r="G2325">
            <v>34703</v>
          </cell>
          <cell r="H2325">
            <v>20200</v>
          </cell>
        </row>
        <row r="2326">
          <cell r="A2326">
            <v>3400003301</v>
          </cell>
          <cell r="B2326">
            <v>6901</v>
          </cell>
          <cell r="C2326">
            <v>61155</v>
          </cell>
          <cell r="D2326">
            <v>0</v>
          </cell>
          <cell r="E2326" t="str">
            <v>COMPUTER CHAIR W/O ARMS</v>
          </cell>
          <cell r="F2326">
            <v>6</v>
          </cell>
          <cell r="G2326">
            <v>34915</v>
          </cell>
          <cell r="H2326">
            <v>10000</v>
          </cell>
        </row>
        <row r="2327">
          <cell r="A2327">
            <v>3400003302</v>
          </cell>
          <cell r="B2327">
            <v>6901</v>
          </cell>
          <cell r="C2327">
            <v>61159</v>
          </cell>
          <cell r="D2327">
            <v>0</v>
          </cell>
          <cell r="E2327" t="str">
            <v>COMPUTER CHAIR W/O ARMREST</v>
          </cell>
          <cell r="F2327">
            <v>4</v>
          </cell>
          <cell r="G2327">
            <v>34915</v>
          </cell>
          <cell r="H2327">
            <v>7600</v>
          </cell>
        </row>
        <row r="2328">
          <cell r="A2328">
            <v>3400002942</v>
          </cell>
          <cell r="B2328">
            <v>6901</v>
          </cell>
          <cell r="C2328">
            <v>61159</v>
          </cell>
          <cell r="D2328">
            <v>0</v>
          </cell>
          <cell r="E2328" t="str">
            <v>COMPUTER CHAIRS</v>
          </cell>
          <cell r="F2328">
            <v>5</v>
          </cell>
          <cell r="G2328">
            <v>34946</v>
          </cell>
          <cell r="H2328">
            <v>8300</v>
          </cell>
        </row>
        <row r="2329">
          <cell r="A2329">
            <v>3400002943</v>
          </cell>
          <cell r="B2329">
            <v>6901</v>
          </cell>
          <cell r="C2329">
            <v>61159</v>
          </cell>
          <cell r="D2329">
            <v>0</v>
          </cell>
          <cell r="E2329" t="str">
            <v>COMPUTER CHAIRS</v>
          </cell>
          <cell r="F2329">
            <v>3</v>
          </cell>
          <cell r="G2329">
            <v>34946</v>
          </cell>
          <cell r="H2329">
            <v>5000</v>
          </cell>
        </row>
        <row r="2330">
          <cell r="A2330">
            <v>3400002944</v>
          </cell>
          <cell r="B2330">
            <v>6901</v>
          </cell>
          <cell r="C2330">
            <v>61159</v>
          </cell>
          <cell r="D2330">
            <v>0</v>
          </cell>
          <cell r="E2330" t="str">
            <v>COMPUTER CHAIRS</v>
          </cell>
          <cell r="F2330">
            <v>2</v>
          </cell>
          <cell r="G2330">
            <v>34946</v>
          </cell>
          <cell r="H2330">
            <v>3300</v>
          </cell>
        </row>
        <row r="2331">
          <cell r="A2331">
            <v>3400003017</v>
          </cell>
          <cell r="B2331">
            <v>6901</v>
          </cell>
          <cell r="C2331">
            <v>61102</v>
          </cell>
          <cell r="D2331">
            <v>0</v>
          </cell>
          <cell r="E2331" t="str">
            <v>ESD WORK TABLE</v>
          </cell>
          <cell r="F2331">
            <v>1</v>
          </cell>
          <cell r="G2331">
            <v>35007</v>
          </cell>
          <cell r="H2331">
            <v>22100</v>
          </cell>
        </row>
        <row r="2332">
          <cell r="A2332">
            <v>3400002938</v>
          </cell>
          <cell r="B2332">
            <v>6901</v>
          </cell>
          <cell r="C2332">
            <v>61104</v>
          </cell>
          <cell r="D2332">
            <v>0</v>
          </cell>
          <cell r="E2332" t="str">
            <v>REVOLVING CHAIR</v>
          </cell>
          <cell r="F2332">
            <v>1</v>
          </cell>
          <cell r="G2332">
            <v>35070</v>
          </cell>
          <cell r="H2332">
            <v>1700</v>
          </cell>
        </row>
        <row r="2333">
          <cell r="A2333">
            <v>3400002939</v>
          </cell>
          <cell r="B2333">
            <v>6901</v>
          </cell>
          <cell r="C2333">
            <v>61160</v>
          </cell>
          <cell r="D2333">
            <v>0</v>
          </cell>
          <cell r="E2333" t="str">
            <v>REVOLVING CHAIR</v>
          </cell>
          <cell r="F2333">
            <v>1</v>
          </cell>
          <cell r="G2333">
            <v>35070</v>
          </cell>
          <cell r="H2333">
            <v>1700</v>
          </cell>
        </row>
        <row r="2334">
          <cell r="A2334">
            <v>3400003041</v>
          </cell>
          <cell r="B2334">
            <v>6901</v>
          </cell>
          <cell r="C2334">
            <v>61104</v>
          </cell>
          <cell r="D2334">
            <v>0</v>
          </cell>
          <cell r="E2334" t="str">
            <v>NON-ESD WORK TABLE</v>
          </cell>
          <cell r="F2334">
            <v>1</v>
          </cell>
          <cell r="G2334">
            <v>35101</v>
          </cell>
          <cell r="H2334">
            <v>3900</v>
          </cell>
        </row>
        <row r="2335">
          <cell r="A2335">
            <v>3400004793</v>
          </cell>
          <cell r="B2335">
            <v>6901</v>
          </cell>
          <cell r="C2335">
            <v>61108</v>
          </cell>
          <cell r="D2335">
            <v>0</v>
          </cell>
          <cell r="E2335" t="str">
            <v>WOODEN PALLET</v>
          </cell>
          <cell r="F2335">
            <v>15</v>
          </cell>
          <cell r="G2335">
            <v>34978</v>
          </cell>
          <cell r="H2335">
            <v>13000</v>
          </cell>
        </row>
        <row r="2336">
          <cell r="A2336">
            <v>3400004794</v>
          </cell>
          <cell r="B2336">
            <v>6901</v>
          </cell>
          <cell r="C2336">
            <v>61108</v>
          </cell>
          <cell r="D2336">
            <v>0</v>
          </cell>
          <cell r="E2336" t="str">
            <v>WOODEN PALLET</v>
          </cell>
          <cell r="F2336">
            <v>25</v>
          </cell>
          <cell r="G2336">
            <v>34978</v>
          </cell>
          <cell r="H2336">
            <v>14400</v>
          </cell>
        </row>
        <row r="2337">
          <cell r="A2337">
            <v>3400003014</v>
          </cell>
          <cell r="B2337">
            <v>6901</v>
          </cell>
          <cell r="C2337">
            <v>61108</v>
          </cell>
          <cell r="D2337">
            <v>0</v>
          </cell>
          <cell r="E2337" t="str">
            <v>WODEN PALET</v>
          </cell>
          <cell r="F2337">
            <v>15</v>
          </cell>
          <cell r="G2337">
            <v>35009</v>
          </cell>
          <cell r="H2337">
            <v>8700</v>
          </cell>
        </row>
        <row r="2338">
          <cell r="A2338">
            <v>3400003016</v>
          </cell>
          <cell r="B2338">
            <v>6901</v>
          </cell>
          <cell r="C2338">
            <v>61108</v>
          </cell>
          <cell r="D2338">
            <v>0</v>
          </cell>
          <cell r="E2338" t="str">
            <v>PALETTE  FOR  EWSD</v>
          </cell>
          <cell r="F2338">
            <v>20</v>
          </cell>
          <cell r="G2338">
            <v>35009</v>
          </cell>
          <cell r="H2338">
            <v>11500</v>
          </cell>
        </row>
        <row r="2339">
          <cell r="A2339">
            <v>3400003300</v>
          </cell>
          <cell r="B2339">
            <v>6901</v>
          </cell>
          <cell r="C2339">
            <v>61101</v>
          </cell>
          <cell r="D2339">
            <v>0</v>
          </cell>
          <cell r="E2339" t="str">
            <v>WOODEN FIXTURES FOR LUG INSERTION</v>
          </cell>
          <cell r="F2339">
            <v>1</v>
          </cell>
          <cell r="G2339">
            <v>35102</v>
          </cell>
          <cell r="H2339">
            <v>600</v>
          </cell>
        </row>
        <row r="2340">
          <cell r="A2340">
            <v>3400003365</v>
          </cell>
          <cell r="B2340">
            <v>6901</v>
          </cell>
          <cell r="C2340">
            <v>61108</v>
          </cell>
          <cell r="D2340">
            <v>0</v>
          </cell>
          <cell r="E2340" t="str">
            <v>HANGING M.S.FRAME</v>
          </cell>
          <cell r="F2340">
            <v>2</v>
          </cell>
          <cell r="G2340">
            <v>35193</v>
          </cell>
          <cell r="H2340">
            <v>9500</v>
          </cell>
        </row>
        <row r="2341">
          <cell r="A2341">
            <v>3400002994</v>
          </cell>
          <cell r="B2341">
            <v>6901</v>
          </cell>
          <cell r="C2341">
            <v>61108</v>
          </cell>
          <cell r="D2341">
            <v>0</v>
          </cell>
          <cell r="E2341" t="str">
            <v>WOODEN PALLETS</v>
          </cell>
          <cell r="F2341">
            <v>30</v>
          </cell>
          <cell r="G2341">
            <v>34950</v>
          </cell>
          <cell r="H2341">
            <v>28800</v>
          </cell>
        </row>
        <row r="2342">
          <cell r="A2342">
            <v>3400002995</v>
          </cell>
          <cell r="B2342">
            <v>6901</v>
          </cell>
          <cell r="C2342">
            <v>61150</v>
          </cell>
          <cell r="D2342">
            <v>0</v>
          </cell>
          <cell r="E2342" t="str">
            <v>SLOTTED ANGLE FRAME DOOR</v>
          </cell>
          <cell r="F2342">
            <v>1</v>
          </cell>
          <cell r="G2342">
            <v>34950</v>
          </cell>
          <cell r="H2342">
            <v>900</v>
          </cell>
        </row>
        <row r="2343">
          <cell r="A2343">
            <v>3400003025</v>
          </cell>
          <cell r="B2343">
            <v>6901</v>
          </cell>
          <cell r="C2343">
            <v>61154</v>
          </cell>
          <cell r="D2343">
            <v>0</v>
          </cell>
          <cell r="E2343" t="str">
            <v>STEEL ALMIRAH</v>
          </cell>
          <cell r="F2343">
            <v>2</v>
          </cell>
          <cell r="G2343">
            <v>35011</v>
          </cell>
          <cell r="H2343">
            <v>8200</v>
          </cell>
        </row>
        <row r="2344">
          <cell r="A2344">
            <v>3400002933</v>
          </cell>
          <cell r="B2344">
            <v>6901</v>
          </cell>
          <cell r="C2344">
            <v>61115</v>
          </cell>
          <cell r="D2344">
            <v>0</v>
          </cell>
          <cell r="E2344" t="str">
            <v>ESD STOOLS</v>
          </cell>
          <cell r="F2344">
            <v>2</v>
          </cell>
          <cell r="G2344">
            <v>35073</v>
          </cell>
          <cell r="H2344">
            <v>2900</v>
          </cell>
        </row>
        <row r="2345">
          <cell r="A2345">
            <v>3400003296</v>
          </cell>
          <cell r="B2345">
            <v>6901</v>
          </cell>
          <cell r="C2345">
            <v>61108</v>
          </cell>
          <cell r="D2345">
            <v>0</v>
          </cell>
          <cell r="E2345" t="str">
            <v>WOODEN PALLET</v>
          </cell>
          <cell r="F2345">
            <v>25</v>
          </cell>
          <cell r="G2345">
            <v>35073</v>
          </cell>
          <cell r="H2345">
            <v>18800</v>
          </cell>
        </row>
        <row r="2346">
          <cell r="A2346">
            <v>3400003297</v>
          </cell>
          <cell r="B2346">
            <v>6901</v>
          </cell>
          <cell r="C2346">
            <v>61119</v>
          </cell>
          <cell r="D2346">
            <v>0</v>
          </cell>
          <cell r="E2346" t="str">
            <v>COMPUTER TABLE</v>
          </cell>
          <cell r="F2346">
            <v>1</v>
          </cell>
          <cell r="G2346">
            <v>35104</v>
          </cell>
          <cell r="H2346">
            <v>3200</v>
          </cell>
        </row>
        <row r="2347">
          <cell r="A2347">
            <v>3400003298</v>
          </cell>
          <cell r="B2347">
            <v>6901</v>
          </cell>
          <cell r="C2347">
            <v>61150</v>
          </cell>
          <cell r="D2347">
            <v>0</v>
          </cell>
          <cell r="E2347" t="str">
            <v>M.S. RACKS  1800HT/2650L/600D</v>
          </cell>
          <cell r="F2347">
            <v>8</v>
          </cell>
          <cell r="G2347">
            <v>35104</v>
          </cell>
          <cell r="H2347">
            <v>16800</v>
          </cell>
        </row>
        <row r="2348">
          <cell r="A2348">
            <v>3400003299</v>
          </cell>
          <cell r="B2348">
            <v>6901</v>
          </cell>
          <cell r="C2348">
            <v>61107</v>
          </cell>
          <cell r="D2348">
            <v>0</v>
          </cell>
          <cell r="E2348" t="str">
            <v>WOODEN CABINETS AND FIXTURES</v>
          </cell>
          <cell r="F2348">
            <v>23</v>
          </cell>
          <cell r="G2348">
            <v>35104</v>
          </cell>
          <cell r="H2348">
            <v>2700</v>
          </cell>
        </row>
        <row r="2349">
          <cell r="A2349">
            <v>3400003335</v>
          </cell>
          <cell r="B2349">
            <v>6901</v>
          </cell>
          <cell r="C2349">
            <v>61150</v>
          </cell>
          <cell r="D2349">
            <v>0</v>
          </cell>
          <cell r="E2349" t="str">
            <v>ESD CHAIR</v>
          </cell>
          <cell r="F2349">
            <v>3</v>
          </cell>
          <cell r="G2349">
            <v>35165</v>
          </cell>
          <cell r="H2349">
            <v>6700</v>
          </cell>
        </row>
        <row r="2350">
          <cell r="A2350">
            <v>3400003336</v>
          </cell>
          <cell r="B2350">
            <v>6901</v>
          </cell>
          <cell r="C2350">
            <v>61102</v>
          </cell>
          <cell r="D2350">
            <v>0</v>
          </cell>
          <cell r="E2350" t="str">
            <v>ESD CHAIR</v>
          </cell>
          <cell r="F2350">
            <v>1</v>
          </cell>
          <cell r="G2350">
            <v>35165</v>
          </cell>
          <cell r="H2350">
            <v>24800</v>
          </cell>
        </row>
        <row r="2351">
          <cell r="A2351">
            <v>3400003337</v>
          </cell>
          <cell r="B2351">
            <v>6901</v>
          </cell>
          <cell r="C2351">
            <v>61159</v>
          </cell>
          <cell r="D2351">
            <v>0</v>
          </cell>
          <cell r="E2351" t="str">
            <v>WOODEN TABLE FOR COMPUTERS</v>
          </cell>
          <cell r="F2351">
            <v>1</v>
          </cell>
          <cell r="G2351">
            <v>35227</v>
          </cell>
          <cell r="H2351">
            <v>2900</v>
          </cell>
        </row>
        <row r="2352">
          <cell r="A2352">
            <v>3400002937</v>
          </cell>
          <cell r="B2352">
            <v>6901</v>
          </cell>
          <cell r="C2352">
            <v>61107</v>
          </cell>
          <cell r="D2352">
            <v>0</v>
          </cell>
          <cell r="E2352" t="str">
            <v>NON ESD CHAIRS</v>
          </cell>
          <cell r="F2352">
            <v>7</v>
          </cell>
          <cell r="G2352">
            <v>35076</v>
          </cell>
          <cell r="H2352">
            <v>11200</v>
          </cell>
        </row>
        <row r="2353">
          <cell r="A2353">
            <v>3400003303</v>
          </cell>
          <cell r="B2353">
            <v>6901</v>
          </cell>
          <cell r="C2353">
            <v>61108</v>
          </cell>
          <cell r="D2353">
            <v>0</v>
          </cell>
          <cell r="E2353" t="str">
            <v>COMPUTER TABLE</v>
          </cell>
          <cell r="F2353">
            <v>1</v>
          </cell>
          <cell r="G2353">
            <v>35167</v>
          </cell>
          <cell r="H2353">
            <v>5000</v>
          </cell>
        </row>
        <row r="2354">
          <cell r="A2354">
            <v>3400004792</v>
          </cell>
          <cell r="B2354">
            <v>6901</v>
          </cell>
          <cell r="C2354">
            <v>61200</v>
          </cell>
          <cell r="D2354">
            <v>0</v>
          </cell>
          <cell r="E2354" t="str">
            <v>NOTICE BOARD</v>
          </cell>
          <cell r="F2354">
            <v>1</v>
          </cell>
          <cell r="G2354">
            <v>34984</v>
          </cell>
          <cell r="H2354">
            <v>3400</v>
          </cell>
        </row>
        <row r="2355">
          <cell r="A2355">
            <v>3400002947</v>
          </cell>
          <cell r="B2355">
            <v>6901</v>
          </cell>
          <cell r="C2355">
            <v>61161</v>
          </cell>
          <cell r="D2355">
            <v>0</v>
          </cell>
          <cell r="E2355" t="str">
            <v>COMPUTER CHAIR</v>
          </cell>
          <cell r="F2355">
            <v>2</v>
          </cell>
          <cell r="G2355">
            <v>34955</v>
          </cell>
          <cell r="H2355">
            <v>3300</v>
          </cell>
        </row>
        <row r="2356">
          <cell r="A2356">
            <v>3400002948</v>
          </cell>
          <cell r="B2356">
            <v>6901</v>
          </cell>
          <cell r="C2356">
            <v>61109</v>
          </cell>
          <cell r="D2356">
            <v>0</v>
          </cell>
          <cell r="E2356" t="str">
            <v>COMPUTER CHAIR</v>
          </cell>
          <cell r="F2356">
            <v>1</v>
          </cell>
          <cell r="G2356">
            <v>34955</v>
          </cell>
          <cell r="H2356">
            <v>3300</v>
          </cell>
        </row>
        <row r="2357">
          <cell r="A2357">
            <v>3400003024</v>
          </cell>
          <cell r="B2357">
            <v>6901</v>
          </cell>
          <cell r="C2357">
            <v>61108</v>
          </cell>
          <cell r="D2357">
            <v>0</v>
          </cell>
          <cell r="E2357" t="str">
            <v>WOODEN PLATFORM</v>
          </cell>
          <cell r="F2357">
            <v>3</v>
          </cell>
          <cell r="G2357">
            <v>35017</v>
          </cell>
          <cell r="H2357">
            <v>8300</v>
          </cell>
        </row>
        <row r="2358">
          <cell r="A2358">
            <v>3400003005</v>
          </cell>
          <cell r="B2358">
            <v>6901</v>
          </cell>
          <cell r="C2358">
            <v>61201</v>
          </cell>
          <cell r="D2358">
            <v>0</v>
          </cell>
          <cell r="E2358" t="str">
            <v>HOLDING CLAMP WITH BOLT</v>
          </cell>
          <cell r="F2358">
            <v>100</v>
          </cell>
          <cell r="G2358">
            <v>34957</v>
          </cell>
          <cell r="H2358">
            <v>3500</v>
          </cell>
        </row>
        <row r="2359">
          <cell r="A2359">
            <v>3400002961</v>
          </cell>
          <cell r="B2359">
            <v>6901</v>
          </cell>
          <cell r="C2359">
            <v>61107</v>
          </cell>
          <cell r="D2359">
            <v>0</v>
          </cell>
          <cell r="E2359" t="str">
            <v>ESD STEEL ALMIRAH</v>
          </cell>
          <cell r="F2359">
            <v>2</v>
          </cell>
          <cell r="G2359">
            <v>35019</v>
          </cell>
          <cell r="H2359">
            <v>7600</v>
          </cell>
        </row>
        <row r="2360">
          <cell r="A2360">
            <v>3400003193</v>
          </cell>
          <cell r="B2360">
            <v>6901</v>
          </cell>
          <cell r="C2360">
            <v>61162</v>
          </cell>
          <cell r="D2360">
            <v>0</v>
          </cell>
          <cell r="E2360" t="str">
            <v>BED SIDE TABLES</v>
          </cell>
          <cell r="F2360">
            <v>2</v>
          </cell>
          <cell r="G2360">
            <v>35020</v>
          </cell>
          <cell r="H2360">
            <v>7900</v>
          </cell>
        </row>
        <row r="2361">
          <cell r="A2361">
            <v>3400003358</v>
          </cell>
          <cell r="B2361">
            <v>6901</v>
          </cell>
          <cell r="C2361">
            <v>61107</v>
          </cell>
          <cell r="D2361">
            <v>0</v>
          </cell>
          <cell r="E2361" t="str">
            <v>BACK PANE TRAY &amp; COMPONENT STORAGE DRAWE</v>
          </cell>
          <cell r="F2361">
            <v>53</v>
          </cell>
          <cell r="G2361">
            <v>35235</v>
          </cell>
          <cell r="H2361">
            <v>40700</v>
          </cell>
        </row>
        <row r="2362">
          <cell r="A2362">
            <v>3400003364</v>
          </cell>
          <cell r="B2362">
            <v>6901</v>
          </cell>
          <cell r="C2362">
            <v>61116</v>
          </cell>
          <cell r="D2362">
            <v>0</v>
          </cell>
          <cell r="E2362" t="str">
            <v>COMPUTER TABLE</v>
          </cell>
          <cell r="F2362">
            <v>1</v>
          </cell>
          <cell r="G2362">
            <v>35265</v>
          </cell>
          <cell r="H2362">
            <v>3900</v>
          </cell>
        </row>
        <row r="2363">
          <cell r="A2363">
            <v>3400003042</v>
          </cell>
          <cell r="B2363">
            <v>6901</v>
          </cell>
          <cell r="C2363">
            <v>61102</v>
          </cell>
          <cell r="D2363">
            <v>0</v>
          </cell>
          <cell r="E2363" t="str">
            <v>PCB COLLECTION TABLE (ESD) FOR SMT LINE</v>
          </cell>
          <cell r="F2363">
            <v>1</v>
          </cell>
          <cell r="G2363">
            <v>35084</v>
          </cell>
          <cell r="H2363">
            <v>3600</v>
          </cell>
        </row>
        <row r="2364">
          <cell r="A2364">
            <v>3400002997</v>
          </cell>
          <cell r="B2364">
            <v>6901</v>
          </cell>
          <cell r="C2364">
            <v>61108</v>
          </cell>
          <cell r="D2364">
            <v>0</v>
          </cell>
          <cell r="E2364" t="str">
            <v>WOODEN PALLET</v>
          </cell>
          <cell r="F2364">
            <v>35</v>
          </cell>
          <cell r="G2364">
            <v>34963</v>
          </cell>
          <cell r="H2364">
            <v>20200</v>
          </cell>
        </row>
        <row r="2365">
          <cell r="A2365">
            <v>3400003349</v>
          </cell>
          <cell r="B2365">
            <v>6901</v>
          </cell>
          <cell r="C2365">
            <v>61102</v>
          </cell>
          <cell r="D2365">
            <v>0</v>
          </cell>
          <cell r="E2365" t="str">
            <v>WOODEN  RACK FOR STORAGE OF I.C.</v>
          </cell>
          <cell r="F2365">
            <v>1</v>
          </cell>
          <cell r="G2365">
            <v>35207</v>
          </cell>
          <cell r="H2365">
            <v>46200</v>
          </cell>
        </row>
        <row r="2366">
          <cell r="A2366">
            <v>3400002973</v>
          </cell>
          <cell r="B2366">
            <v>6901</v>
          </cell>
          <cell r="C2366">
            <v>61108</v>
          </cell>
          <cell r="D2366">
            <v>0</v>
          </cell>
          <cell r="E2366" t="str">
            <v>NON ESD WORK STATION CHAIR</v>
          </cell>
          <cell r="F2366">
            <v>4</v>
          </cell>
          <cell r="G2366">
            <v>35025</v>
          </cell>
          <cell r="H2366">
            <v>7300</v>
          </cell>
        </row>
        <row r="2367">
          <cell r="A2367">
            <v>3400003334</v>
          </cell>
          <cell r="B2367">
            <v>6901</v>
          </cell>
          <cell r="C2367">
            <v>61112</v>
          </cell>
          <cell r="D2367">
            <v>0</v>
          </cell>
          <cell r="E2367" t="str">
            <v>NON- ANTISTATIC SHELVES</v>
          </cell>
          <cell r="F2367">
            <v>1</v>
          </cell>
          <cell r="G2367">
            <v>35178</v>
          </cell>
          <cell r="H2367">
            <v>3100</v>
          </cell>
        </row>
        <row r="2368">
          <cell r="A2368">
            <v>3400003359</v>
          </cell>
          <cell r="B2368">
            <v>6901</v>
          </cell>
          <cell r="C2368">
            <v>61115</v>
          </cell>
          <cell r="D2368">
            <v>0</v>
          </cell>
          <cell r="E2368" t="str">
            <v>ESD STEP LADDER</v>
          </cell>
          <cell r="F2368">
            <v>1</v>
          </cell>
          <cell r="G2368">
            <v>35270</v>
          </cell>
          <cell r="H2368">
            <v>4400</v>
          </cell>
        </row>
        <row r="2369">
          <cell r="A2369">
            <v>3400003333</v>
          </cell>
          <cell r="B2369">
            <v>6901</v>
          </cell>
          <cell r="C2369">
            <v>61104</v>
          </cell>
          <cell r="D2369">
            <v>0</v>
          </cell>
          <cell r="E2369" t="str">
            <v>TECHNICIAN CHAIR</v>
          </cell>
          <cell r="F2369">
            <v>2</v>
          </cell>
          <cell r="G2369">
            <v>34053</v>
          </cell>
          <cell r="H2369">
            <v>2000</v>
          </cell>
        </row>
        <row r="2370">
          <cell r="A2370">
            <v>3400003348</v>
          </cell>
          <cell r="B2370">
            <v>6901</v>
          </cell>
          <cell r="C2370">
            <v>61102</v>
          </cell>
          <cell r="D2370">
            <v>0</v>
          </cell>
          <cell r="E2370" t="str">
            <v>PLYWOOD RACK FOR CAROUSEL PAN</v>
          </cell>
          <cell r="F2370">
            <v>1</v>
          </cell>
          <cell r="G2370">
            <v>35180</v>
          </cell>
          <cell r="H2370">
            <v>27400</v>
          </cell>
        </row>
        <row r="2371">
          <cell r="A2371">
            <v>3400002949</v>
          </cell>
          <cell r="B2371">
            <v>6901</v>
          </cell>
          <cell r="C2371">
            <v>61203</v>
          </cell>
          <cell r="D2371">
            <v>0</v>
          </cell>
          <cell r="E2371" t="str">
            <v>WOODEN CHAIR</v>
          </cell>
          <cell r="F2371">
            <v>8</v>
          </cell>
          <cell r="G2371">
            <v>34968</v>
          </cell>
          <cell r="H2371">
            <v>8900</v>
          </cell>
        </row>
        <row r="2372">
          <cell r="A2372">
            <v>3400003211</v>
          </cell>
          <cell r="B2372">
            <v>6901</v>
          </cell>
          <cell r="C2372">
            <v>61116</v>
          </cell>
          <cell r="D2372">
            <v>0</v>
          </cell>
          <cell r="E2372" t="str">
            <v>CLAMP FOR 7GHZ. TRANSMISSION RACK</v>
          </cell>
          <cell r="F2372">
            <v>1</v>
          </cell>
          <cell r="G2372">
            <v>35060</v>
          </cell>
          <cell r="H2372">
            <v>1400</v>
          </cell>
        </row>
        <row r="2373">
          <cell r="A2373">
            <v>3400002967</v>
          </cell>
          <cell r="B2373">
            <v>6901</v>
          </cell>
          <cell r="C2373">
            <v>61156</v>
          </cell>
          <cell r="D2373">
            <v>0</v>
          </cell>
          <cell r="E2373" t="str">
            <v>WOODEN FILE CABINET</v>
          </cell>
          <cell r="F2373">
            <v>2</v>
          </cell>
          <cell r="G2373">
            <v>34939</v>
          </cell>
          <cell r="H2373">
            <v>6700</v>
          </cell>
        </row>
        <row r="2374">
          <cell r="A2374">
            <v>3400003338</v>
          </cell>
          <cell r="B2374">
            <v>6901</v>
          </cell>
          <cell r="C2374">
            <v>61155</v>
          </cell>
          <cell r="D2374">
            <v>0</v>
          </cell>
          <cell r="E2374" t="str">
            <v>OFFICE TABLE</v>
          </cell>
          <cell r="F2374">
            <v>1</v>
          </cell>
          <cell r="G2374">
            <v>35215</v>
          </cell>
          <cell r="H2374">
            <v>5300</v>
          </cell>
        </row>
        <row r="2375">
          <cell r="A2375">
            <v>3400003035</v>
          </cell>
          <cell r="B2375">
            <v>6901</v>
          </cell>
          <cell r="C2375">
            <v>61108</v>
          </cell>
          <cell r="D2375">
            <v>0</v>
          </cell>
          <cell r="E2375" t="str">
            <v>WOODEN PALLET</v>
          </cell>
          <cell r="F2375">
            <v>25</v>
          </cell>
          <cell r="G2375">
            <v>35095</v>
          </cell>
          <cell r="H2375">
            <v>18800</v>
          </cell>
        </row>
        <row r="2376">
          <cell r="A2376">
            <v>3400002954</v>
          </cell>
          <cell r="B2376">
            <v>6901</v>
          </cell>
          <cell r="C2376">
            <v>61158</v>
          </cell>
          <cell r="D2376">
            <v>0</v>
          </cell>
          <cell r="E2376" t="str">
            <v>COMPUTER CHAIR</v>
          </cell>
          <cell r="F2376">
            <v>3</v>
          </cell>
          <cell r="G2376">
            <v>35003</v>
          </cell>
          <cell r="H2376">
            <v>5900</v>
          </cell>
        </row>
      </sheetData>
      <sheetData sheetId="3" refreshError="1"/>
      <sheetData sheetId="4" refreshError="1"/>
      <sheetData sheetId="5" refreshError="1"/>
      <sheetData sheetId="6" refreshError="1"/>
      <sheetData sheetId="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Input Net"/>
      <sheetName val="MODEL"/>
      <sheetName val="coa_ramco_168"/>
      <sheetName val="#REF"/>
      <sheetName val="VTP"/>
      <sheetName val="Dept-P&amp;L-Summary"/>
      <sheetName val="BS Schld"/>
      <sheetName val="Actual 2009-10"/>
      <sheetName val="Budget 2010-11"/>
      <sheetName val="Consolidated"/>
      <sheetName val="detail'02"/>
      <sheetName val="Input_Net"/>
      <sheetName val="BS_Schld"/>
      <sheetName val="Actual_2009-10"/>
      <sheetName val="Budget_2010-11"/>
      <sheetName val="Input_Net1"/>
      <sheetName val="BS_Schld1"/>
      <sheetName val="Actual_2009-101"/>
      <sheetName val="Budget_2010-111"/>
      <sheetName val="Factors"/>
      <sheetName val="MOHALI - I"/>
      <sheetName val="TOANSA"/>
      <sheetName val="MOHALI - II"/>
      <sheetName val="old_serial no."/>
      <sheetName val="tot_ass_9697"/>
      <sheetName val="Internet"/>
      <sheetName val="MAINT,QP,COMM"/>
      <sheetName val="SUPPORTING"/>
      <sheetName val="Sch4_14"/>
      <sheetName val="Sch1_3"/>
      <sheetName val="#REF!"/>
      <sheetName val="Staff Acco."/>
      <sheetName val="IO LIS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summarywith exindia comparison"/>
      <sheetName val="datalcmar"/>
      <sheetName val="ex-india"/>
      <sheetName val="summary"/>
      <sheetName val="ebtreco"/>
      <sheetName val="DATA_INR"/>
      <sheetName val="Corp_EBTytd"/>
      <sheetName val="Global ytd"/>
      <sheetName val="Corp_Salesytd"/>
      <sheetName val="interco"/>
      <sheetName val="Sheet1"/>
      <sheetName val="Backup of global consolidation "/>
      <sheetName val="#REF"/>
      <sheetName val="YTD"/>
      <sheetName val="summarywith_exindia_comparison"/>
      <sheetName val="Global_ytd"/>
      <sheetName val="Backup_of_global_consolidation_"/>
      <sheetName val="coa_ramco_168"/>
      <sheetName val="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
      <sheetName val="DFTZ-9808"/>
      <sheetName val="Cash"/>
      <sheetName val="Consolidated"/>
      <sheetName val="Lub-FullCompany"/>
      <sheetName val="Lub-Commercial"/>
      <sheetName val="Lub-Blending"/>
      <sheetName val="Variance"/>
      <sheetName val="SpecialFluids"/>
      <sheetName val="SPC_OC"/>
      <sheetName val="Sheet1"/>
      <sheetName val="VVVVVVVa"/>
    </sheetNames>
    <sheetDataSet>
      <sheetData sheetId="0" refreshError="1"/>
      <sheetData sheetId="1" refreshError="1"/>
      <sheetData sheetId="2" refreshError="1"/>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_SL-ACC CODE MATRIX"/>
      <sheetName val="GL-ACCOUNT CODE MAPPING"/>
      <sheetName val="coa_ramco_168"/>
      <sheetName val="RAMCO COA 8-FEB-2008"/>
      <sheetName val="Detail P&amp;L"/>
      <sheetName val="Assumption Sheet"/>
      <sheetName val="P&amp;LSum"/>
      <sheetName val="GL_SL-ACC_CODE_MATRIX"/>
      <sheetName val="GL-ACCOUNT_CODE_MAPPING"/>
      <sheetName val="RAMCO_COA_8-FEB-2008"/>
      <sheetName val="Detail_P&amp;L"/>
      <sheetName val="Assumption_Sheet"/>
    </sheetNames>
    <sheetDataSet>
      <sheetData sheetId="0"/>
      <sheetData sheetId="1"/>
      <sheetData sheetId="2" refreshError="1">
        <row r="2">
          <cell r="A2" t="str">
            <v>A101001</v>
          </cell>
          <cell r="B2" t="str">
            <v>Land- Free Hold</v>
          </cell>
          <cell r="C2" t="str">
            <v>ASSET</v>
          </cell>
          <cell r="D2" t="str">
            <v>BALANCE SHEET</v>
          </cell>
          <cell r="E2" t="str">
            <v>ASSET A/C</v>
          </cell>
          <cell r="F2">
            <v>0</v>
          </cell>
          <cell r="G2" t="str">
            <v>FIXED ASSETS</v>
          </cell>
          <cell r="H2" t="str">
            <v>GROSS BLOCK</v>
          </cell>
          <cell r="I2" t="str">
            <v>LAND</v>
          </cell>
        </row>
        <row r="3">
          <cell r="A3" t="str">
            <v>A101002</v>
          </cell>
          <cell r="B3" t="str">
            <v>Land -Lease Hold</v>
          </cell>
          <cell r="C3" t="str">
            <v>ASSET</v>
          </cell>
          <cell r="D3" t="str">
            <v>BALANCE SHEET</v>
          </cell>
          <cell r="E3" t="str">
            <v>ASSET A/C</v>
          </cell>
          <cell r="F3">
            <v>0</v>
          </cell>
          <cell r="G3" t="str">
            <v>FIXED ASSETS</v>
          </cell>
          <cell r="H3" t="str">
            <v>GROSS BLOCK</v>
          </cell>
          <cell r="I3" t="str">
            <v>LAND</v>
          </cell>
        </row>
        <row r="4">
          <cell r="A4" t="str">
            <v>A101101</v>
          </cell>
          <cell r="B4" t="str">
            <v>Buildings-Main</v>
          </cell>
          <cell r="C4" t="str">
            <v>ASSET</v>
          </cell>
          <cell r="D4" t="str">
            <v>BALANCE SHEET</v>
          </cell>
          <cell r="E4" t="str">
            <v>ASSET A/C</v>
          </cell>
          <cell r="F4">
            <v>0</v>
          </cell>
          <cell r="G4" t="str">
            <v>FIXED ASSETS</v>
          </cell>
          <cell r="H4" t="str">
            <v>GROSS BLOCK</v>
          </cell>
          <cell r="I4" t="str">
            <v>BUILDINGS</v>
          </cell>
        </row>
        <row r="5">
          <cell r="A5" t="str">
            <v>A101102</v>
          </cell>
          <cell r="B5" t="str">
            <v>Buildings-Office</v>
          </cell>
          <cell r="C5" t="str">
            <v>ASSET</v>
          </cell>
          <cell r="D5" t="str">
            <v>BALANCE SHEET</v>
          </cell>
          <cell r="E5" t="str">
            <v>ASSET A/C</v>
          </cell>
          <cell r="F5">
            <v>0</v>
          </cell>
          <cell r="G5" t="str">
            <v>FIXED ASSETS</v>
          </cell>
          <cell r="H5" t="str">
            <v>GROSS BLOCK</v>
          </cell>
          <cell r="I5" t="str">
            <v>BUILDINGS</v>
          </cell>
        </row>
        <row r="6">
          <cell r="A6" t="str">
            <v>A101103</v>
          </cell>
          <cell r="B6" t="str">
            <v>Buildings-Residential</v>
          </cell>
          <cell r="C6" t="str">
            <v>ASSET</v>
          </cell>
          <cell r="D6" t="str">
            <v>BALANCE SHEET</v>
          </cell>
          <cell r="E6" t="str">
            <v>ASSET A/C</v>
          </cell>
          <cell r="F6">
            <v>0</v>
          </cell>
          <cell r="G6" t="str">
            <v>FIXED ASSETS</v>
          </cell>
          <cell r="H6" t="str">
            <v>GROSS BLOCK</v>
          </cell>
          <cell r="I6" t="str">
            <v>BUILDINGS</v>
          </cell>
        </row>
        <row r="7">
          <cell r="A7" t="str">
            <v>A101104</v>
          </cell>
          <cell r="B7" t="str">
            <v>Buildings-Temporary</v>
          </cell>
          <cell r="C7" t="str">
            <v>ASSET</v>
          </cell>
          <cell r="D7" t="str">
            <v>BALANCE SHEET</v>
          </cell>
          <cell r="E7" t="str">
            <v>ASSET A/C</v>
          </cell>
          <cell r="F7">
            <v>0</v>
          </cell>
          <cell r="G7" t="str">
            <v>FIXED ASSETS</v>
          </cell>
          <cell r="H7" t="str">
            <v>GROSS BLOCK</v>
          </cell>
          <cell r="I7" t="str">
            <v>BUILDINGS</v>
          </cell>
        </row>
        <row r="8">
          <cell r="A8" t="str">
            <v>A101105</v>
          </cell>
          <cell r="B8" t="str">
            <v>Buildings-Roads</v>
          </cell>
          <cell r="C8" t="str">
            <v>ASSET</v>
          </cell>
          <cell r="D8" t="str">
            <v>BALANCE SHEET</v>
          </cell>
          <cell r="E8" t="str">
            <v>ASSET A/C</v>
          </cell>
          <cell r="F8">
            <v>0</v>
          </cell>
          <cell r="G8" t="str">
            <v>FIXED ASSETS</v>
          </cell>
          <cell r="H8" t="str">
            <v>GROSS BLOCK</v>
          </cell>
          <cell r="I8" t="str">
            <v>BUILDINGS</v>
          </cell>
        </row>
        <row r="9">
          <cell r="A9" t="str">
            <v>A101106</v>
          </cell>
          <cell r="B9" t="str">
            <v>Buildings-Tubewells</v>
          </cell>
          <cell r="C9" t="str">
            <v>ASSET</v>
          </cell>
          <cell r="D9" t="str">
            <v>BALANCE SHEET</v>
          </cell>
          <cell r="E9" t="str">
            <v>ASSET A/C</v>
          </cell>
          <cell r="F9">
            <v>0</v>
          </cell>
          <cell r="G9" t="str">
            <v>FIXED ASSETS</v>
          </cell>
          <cell r="H9" t="str">
            <v>GROSS BLOCK</v>
          </cell>
          <cell r="I9" t="str">
            <v>BUILDINGS</v>
          </cell>
        </row>
        <row r="10">
          <cell r="A10" t="str">
            <v>A101107</v>
          </cell>
          <cell r="B10" t="str">
            <v>BUILDINGS</v>
          </cell>
          <cell r="C10" t="str">
            <v>ASSET</v>
          </cell>
          <cell r="D10" t="str">
            <v>BALANCE SHEET</v>
          </cell>
          <cell r="E10">
            <v>0</v>
          </cell>
          <cell r="F10">
            <v>0</v>
          </cell>
          <cell r="G10" t="str">
            <v>FIXED ASSETS</v>
          </cell>
          <cell r="H10" t="str">
            <v>GROSS BLOCK</v>
          </cell>
          <cell r="I10" t="str">
            <v>BUILDINGS</v>
          </cell>
        </row>
        <row r="11">
          <cell r="A11" t="str">
            <v>A101201</v>
          </cell>
          <cell r="B11" t="str">
            <v>Plant &amp; Machinery- Other Plant &amp; Mach.</v>
          </cell>
          <cell r="C11" t="str">
            <v>ASSET</v>
          </cell>
          <cell r="D11" t="str">
            <v>BALANCE SHEET</v>
          </cell>
          <cell r="E11" t="str">
            <v>ASSET A/C</v>
          </cell>
          <cell r="F11">
            <v>0</v>
          </cell>
          <cell r="G11" t="str">
            <v>FIXED ASSETS</v>
          </cell>
          <cell r="H11" t="str">
            <v>GROSS BLOCK</v>
          </cell>
          <cell r="I11" t="str">
            <v>PLANT AND MACHINERY</v>
          </cell>
        </row>
        <row r="12">
          <cell r="A12" t="str">
            <v>A101202</v>
          </cell>
          <cell r="B12" t="str">
            <v>Plant &amp; Machinery- Generators</v>
          </cell>
          <cell r="C12" t="str">
            <v>ASSET</v>
          </cell>
          <cell r="D12" t="str">
            <v>BALANCE SHEET</v>
          </cell>
          <cell r="E12" t="str">
            <v>ASSET A/C</v>
          </cell>
          <cell r="F12">
            <v>0</v>
          </cell>
          <cell r="G12" t="str">
            <v>FIXED ASSETS</v>
          </cell>
          <cell r="H12" t="str">
            <v>GROSS BLOCK</v>
          </cell>
          <cell r="I12" t="str">
            <v>PLANT AND MACHINERY</v>
          </cell>
        </row>
        <row r="13">
          <cell r="A13" t="str">
            <v>A101203</v>
          </cell>
          <cell r="B13" t="str">
            <v>Plant &amp; Machinery- Cranes</v>
          </cell>
          <cell r="C13" t="str">
            <v>ASSET</v>
          </cell>
          <cell r="D13" t="str">
            <v>BALANCE SHEET</v>
          </cell>
          <cell r="E13" t="str">
            <v>ASSET A/C</v>
          </cell>
          <cell r="F13">
            <v>0</v>
          </cell>
          <cell r="G13" t="str">
            <v>FIXED ASSETS</v>
          </cell>
          <cell r="H13" t="str">
            <v>GROSS BLOCK</v>
          </cell>
          <cell r="I13" t="str">
            <v>PLANT AND MACHINERY</v>
          </cell>
        </row>
        <row r="14">
          <cell r="A14" t="str">
            <v>A101204</v>
          </cell>
          <cell r="B14" t="str">
            <v>Plant &amp; Machinery- Excavators</v>
          </cell>
          <cell r="C14" t="str">
            <v>ASSET</v>
          </cell>
          <cell r="D14" t="str">
            <v>BALANCE SHEET</v>
          </cell>
          <cell r="E14" t="str">
            <v>ASSET A/C</v>
          </cell>
          <cell r="F14">
            <v>0</v>
          </cell>
          <cell r="G14" t="str">
            <v>FIXED ASSETS</v>
          </cell>
          <cell r="H14" t="str">
            <v>GROSS BLOCK</v>
          </cell>
          <cell r="I14" t="str">
            <v>PLANT AND MACHINERY</v>
          </cell>
        </row>
        <row r="15">
          <cell r="A15" t="str">
            <v>A101205</v>
          </cell>
          <cell r="B15" t="str">
            <v>Plant &amp; Machinery- Batching Plant</v>
          </cell>
          <cell r="C15" t="str">
            <v>ASSET</v>
          </cell>
          <cell r="D15" t="str">
            <v>BALANCE SHEET</v>
          </cell>
          <cell r="E15" t="str">
            <v>ASSET A/C</v>
          </cell>
          <cell r="F15">
            <v>0</v>
          </cell>
          <cell r="G15" t="str">
            <v>FIXED ASSETS</v>
          </cell>
          <cell r="H15" t="str">
            <v>GROSS BLOCK</v>
          </cell>
          <cell r="I15" t="str">
            <v>PLANT AND MACHINERY</v>
          </cell>
        </row>
        <row r="16">
          <cell r="A16" t="str">
            <v>A101206</v>
          </cell>
          <cell r="B16" t="str">
            <v>Plant &amp; Machinery- Tippers &amp; Transit Mix</v>
          </cell>
          <cell r="C16" t="str">
            <v>ASSET</v>
          </cell>
          <cell r="D16" t="str">
            <v>BALANCE SHEET</v>
          </cell>
          <cell r="E16" t="str">
            <v>ASSET A/C</v>
          </cell>
          <cell r="F16">
            <v>0</v>
          </cell>
          <cell r="G16" t="str">
            <v>FIXED ASSETS</v>
          </cell>
          <cell r="H16" t="str">
            <v>GROSS BLOCK</v>
          </cell>
          <cell r="I16" t="str">
            <v>PLANT AND MACHINERY</v>
          </cell>
        </row>
        <row r="17">
          <cell r="A17" t="str">
            <v>A101207</v>
          </cell>
          <cell r="B17" t="str">
            <v>Plant &amp; Machinery- Tractors &amp; Trailors</v>
          </cell>
          <cell r="C17" t="str">
            <v>ASSET</v>
          </cell>
          <cell r="D17" t="str">
            <v>BALANCE SHEET</v>
          </cell>
          <cell r="E17" t="str">
            <v>ASSET A/C</v>
          </cell>
          <cell r="F17">
            <v>0</v>
          </cell>
          <cell r="G17" t="str">
            <v>FIXED ASSETS</v>
          </cell>
          <cell r="H17" t="str">
            <v>GROSS BLOCK</v>
          </cell>
          <cell r="I17" t="str">
            <v>PLANT AND MACHINERY</v>
          </cell>
        </row>
        <row r="18">
          <cell r="A18" t="str">
            <v>A101208</v>
          </cell>
          <cell r="B18" t="str">
            <v>Plant &amp; Machinery- Steel Shuttering</v>
          </cell>
          <cell r="C18" t="str">
            <v>ASSET</v>
          </cell>
          <cell r="D18" t="str">
            <v>BALANCE SHEET</v>
          </cell>
          <cell r="E18" t="str">
            <v>ASSET A/C</v>
          </cell>
          <cell r="F18">
            <v>0</v>
          </cell>
          <cell r="G18" t="str">
            <v>FIXED ASSETS</v>
          </cell>
          <cell r="H18" t="str">
            <v>GROSS BLOCK</v>
          </cell>
          <cell r="I18" t="str">
            <v>PLANT AND MACHINERY</v>
          </cell>
        </row>
        <row r="19">
          <cell r="A19" t="str">
            <v>A101209</v>
          </cell>
          <cell r="B19" t="str">
            <v>Plant &amp; Machinery- Other Const. Equipmnt</v>
          </cell>
          <cell r="C19" t="str">
            <v>ASSET</v>
          </cell>
          <cell r="D19" t="str">
            <v>BALANCE SHEET</v>
          </cell>
          <cell r="E19" t="str">
            <v>ASSET A/C</v>
          </cell>
          <cell r="F19">
            <v>0</v>
          </cell>
          <cell r="G19" t="str">
            <v>FIXED ASSETS</v>
          </cell>
          <cell r="H19" t="str">
            <v>GROSS BLOCK</v>
          </cell>
          <cell r="I19" t="str">
            <v>PLANT AND MACHINERY</v>
          </cell>
        </row>
        <row r="20">
          <cell r="A20" t="str">
            <v>A101210</v>
          </cell>
          <cell r="B20" t="str">
            <v>Plant &amp; Machinery- Wooden Shuttering</v>
          </cell>
          <cell r="C20" t="str">
            <v>ASSET</v>
          </cell>
          <cell r="D20" t="str">
            <v>BALANCE SHEET</v>
          </cell>
          <cell r="E20" t="str">
            <v>ASSET A/C</v>
          </cell>
          <cell r="F20">
            <v>0</v>
          </cell>
          <cell r="G20" t="str">
            <v>FIXED ASSETS</v>
          </cell>
          <cell r="H20" t="str">
            <v>GROSS BLOCK</v>
          </cell>
          <cell r="I20" t="str">
            <v>PLANT AND MACHINERY</v>
          </cell>
        </row>
        <row r="21">
          <cell r="A21" t="str">
            <v>A101211</v>
          </cell>
          <cell r="B21" t="str">
            <v>Plant &amp; Machinery- Tools &amp; Equipments</v>
          </cell>
          <cell r="C21" t="str">
            <v>ASSET</v>
          </cell>
          <cell r="D21" t="str">
            <v>BALANCE SHEET</v>
          </cell>
          <cell r="E21" t="str">
            <v>ASSET A/C</v>
          </cell>
          <cell r="F21">
            <v>0</v>
          </cell>
          <cell r="G21" t="str">
            <v>FIXED ASSETS</v>
          </cell>
          <cell r="H21" t="str">
            <v>GROSS BLOCK</v>
          </cell>
          <cell r="I21" t="str">
            <v>PLANT AND MACHINERY</v>
          </cell>
        </row>
        <row r="22">
          <cell r="A22" t="str">
            <v>A101212</v>
          </cell>
          <cell r="B22" t="str">
            <v>Plant &amp; Machinery</v>
          </cell>
          <cell r="C22" t="str">
            <v>ASSET</v>
          </cell>
          <cell r="D22" t="str">
            <v>BALANCE SHEET</v>
          </cell>
          <cell r="E22">
            <v>0</v>
          </cell>
          <cell r="F22">
            <v>0</v>
          </cell>
          <cell r="G22" t="str">
            <v>FIXED ASSETS</v>
          </cell>
          <cell r="H22" t="str">
            <v>GROSS BLOCK</v>
          </cell>
          <cell r="I22" t="str">
            <v>PLANT AND MACHINERY</v>
          </cell>
        </row>
        <row r="23">
          <cell r="A23" t="str">
            <v>A101213</v>
          </cell>
          <cell r="B23" t="str">
            <v>Concession Equipment</v>
          </cell>
          <cell r="C23" t="str">
            <v>ASSET</v>
          </cell>
          <cell r="D23" t="str">
            <v>BALANCE SHEET</v>
          </cell>
          <cell r="E23">
            <v>0</v>
          </cell>
          <cell r="F23">
            <v>0</v>
          </cell>
          <cell r="G23" t="str">
            <v>FIXED ASSETS</v>
          </cell>
          <cell r="H23" t="str">
            <v>GROSS BLOCK</v>
          </cell>
          <cell r="I23" t="str">
            <v>PLANT AND MACHINERY</v>
          </cell>
        </row>
        <row r="24">
          <cell r="A24" t="str">
            <v>A101214</v>
          </cell>
          <cell r="B24" t="str">
            <v>Projection System</v>
          </cell>
          <cell r="C24" t="str">
            <v>ASSET</v>
          </cell>
          <cell r="D24" t="str">
            <v>BALANCE SHEET</v>
          </cell>
          <cell r="E24">
            <v>0</v>
          </cell>
          <cell r="F24">
            <v>0</v>
          </cell>
          <cell r="G24" t="str">
            <v>FIXED ASSETS</v>
          </cell>
          <cell r="H24" t="str">
            <v>GROSS BLOCK</v>
          </cell>
          <cell r="I24" t="str">
            <v>PLANT AND MACHINERY</v>
          </cell>
        </row>
        <row r="25">
          <cell r="A25" t="str">
            <v>A101301</v>
          </cell>
          <cell r="B25" t="str">
            <v>Air Conditions</v>
          </cell>
          <cell r="C25" t="str">
            <v>ASSET</v>
          </cell>
          <cell r="D25" t="str">
            <v>BALANCE SHEET</v>
          </cell>
          <cell r="E25" t="str">
            <v>ASSET A/C</v>
          </cell>
          <cell r="F25">
            <v>0</v>
          </cell>
          <cell r="G25" t="str">
            <v>FIXED ASSETS</v>
          </cell>
          <cell r="H25" t="str">
            <v>GROSS BLOCK</v>
          </cell>
          <cell r="I25" t="str">
            <v>AIR CONDITIONS</v>
          </cell>
        </row>
        <row r="26">
          <cell r="A26" t="str">
            <v>A101401</v>
          </cell>
          <cell r="B26" t="str">
            <v>Office Equipments</v>
          </cell>
          <cell r="C26" t="str">
            <v>ASSET</v>
          </cell>
          <cell r="D26" t="str">
            <v>BALANCE SHEET</v>
          </cell>
          <cell r="E26" t="str">
            <v>ASSET A/C</v>
          </cell>
          <cell r="F26">
            <v>0</v>
          </cell>
          <cell r="G26" t="str">
            <v>FIXED ASSETS</v>
          </cell>
          <cell r="H26" t="str">
            <v>GROSS BLOCK</v>
          </cell>
          <cell r="I26" t="str">
            <v>OFFICE EQUIPMENTS</v>
          </cell>
        </row>
        <row r="27">
          <cell r="A27" t="str">
            <v>A101402</v>
          </cell>
          <cell r="B27" t="str">
            <v>TELEPHONE - MOBILES</v>
          </cell>
          <cell r="C27" t="str">
            <v>ASSET</v>
          </cell>
          <cell r="D27" t="str">
            <v>BALANCE SHEET</v>
          </cell>
          <cell r="E27">
            <v>0</v>
          </cell>
          <cell r="F27">
            <v>0</v>
          </cell>
          <cell r="G27" t="str">
            <v>FIXED ASSETS</v>
          </cell>
          <cell r="H27" t="str">
            <v>GROSS BLOCK</v>
          </cell>
          <cell r="I27" t="str">
            <v>OFFICE EQUIPMENTS</v>
          </cell>
        </row>
        <row r="28">
          <cell r="A28" t="str">
            <v>A101403</v>
          </cell>
          <cell r="B28" t="str">
            <v>OFFICE EQUIPMENTS</v>
          </cell>
          <cell r="C28" t="str">
            <v>ASSET</v>
          </cell>
          <cell r="D28" t="str">
            <v>BALANCE SHEET</v>
          </cell>
          <cell r="E28">
            <v>0</v>
          </cell>
          <cell r="F28">
            <v>0</v>
          </cell>
          <cell r="G28" t="str">
            <v>FIXED ASSETS</v>
          </cell>
          <cell r="H28" t="str">
            <v>GROSS BLOCK</v>
          </cell>
          <cell r="I28" t="str">
            <v>OFFICE EQUIPMENTS</v>
          </cell>
        </row>
        <row r="29">
          <cell r="A29" t="str">
            <v>A101501</v>
          </cell>
          <cell r="B29" t="str">
            <v>Computers and EDP Hardwares</v>
          </cell>
          <cell r="C29" t="str">
            <v>ASSET</v>
          </cell>
          <cell r="D29" t="str">
            <v>BALANCE SHEET</v>
          </cell>
          <cell r="E29" t="str">
            <v>ASSET A/C</v>
          </cell>
          <cell r="F29">
            <v>0</v>
          </cell>
          <cell r="G29" t="str">
            <v>FIXED ASSETS</v>
          </cell>
          <cell r="H29" t="str">
            <v>GROSS BLOCK</v>
          </cell>
          <cell r="I29" t="str">
            <v>COMPUTERS</v>
          </cell>
        </row>
        <row r="30">
          <cell r="A30" t="str">
            <v>A101502</v>
          </cell>
          <cell r="B30" t="str">
            <v>Networking and WAN Setup</v>
          </cell>
          <cell r="C30" t="str">
            <v>ASSET</v>
          </cell>
          <cell r="D30" t="str">
            <v>BALANCE SHEET</v>
          </cell>
          <cell r="E30" t="str">
            <v>ASSET A/C</v>
          </cell>
          <cell r="F30">
            <v>0</v>
          </cell>
          <cell r="G30" t="str">
            <v>FIXED ASSETS</v>
          </cell>
          <cell r="H30" t="str">
            <v>GROSS BLOCK</v>
          </cell>
          <cell r="I30" t="str">
            <v>COMPUTERS</v>
          </cell>
        </row>
        <row r="31">
          <cell r="A31" t="str">
            <v>A101503</v>
          </cell>
          <cell r="B31" t="str">
            <v>Software</v>
          </cell>
          <cell r="C31" t="str">
            <v>ASSET</v>
          </cell>
          <cell r="D31" t="str">
            <v>BALANCE SHEET</v>
          </cell>
          <cell r="E31" t="str">
            <v>ASSET A/C</v>
          </cell>
          <cell r="F31">
            <v>0</v>
          </cell>
          <cell r="G31" t="str">
            <v>FIXED ASSETS</v>
          </cell>
          <cell r="H31" t="str">
            <v>GROSS BLOCK</v>
          </cell>
          <cell r="I31" t="str">
            <v>COMPUTERS</v>
          </cell>
        </row>
        <row r="32">
          <cell r="A32" t="str">
            <v>A101504</v>
          </cell>
          <cell r="B32" t="str">
            <v>Computer &amp; EDP Hardware</v>
          </cell>
          <cell r="C32" t="str">
            <v>ASSET</v>
          </cell>
          <cell r="D32" t="str">
            <v>BALANCE SHEET</v>
          </cell>
          <cell r="E32">
            <v>0</v>
          </cell>
          <cell r="F32">
            <v>0</v>
          </cell>
          <cell r="G32" t="str">
            <v>FIXED ASSETS</v>
          </cell>
          <cell r="H32" t="str">
            <v>GROSS BLOCK</v>
          </cell>
          <cell r="I32" t="str">
            <v>COMPUTERS</v>
          </cell>
        </row>
        <row r="33">
          <cell r="A33" t="str">
            <v>A101505</v>
          </cell>
          <cell r="B33" t="str">
            <v>Printers</v>
          </cell>
          <cell r="C33" t="str">
            <v>ASSET</v>
          </cell>
          <cell r="D33" t="str">
            <v>BALANCE SHEET</v>
          </cell>
          <cell r="E33">
            <v>0</v>
          </cell>
          <cell r="F33">
            <v>0</v>
          </cell>
          <cell r="G33" t="str">
            <v>FIXED ASSETS</v>
          </cell>
          <cell r="H33" t="str">
            <v>GROSS BLOCK</v>
          </cell>
          <cell r="I33" t="str">
            <v>COMPUTERS</v>
          </cell>
        </row>
        <row r="34">
          <cell r="A34" t="str">
            <v>A101506</v>
          </cell>
          <cell r="B34" t="str">
            <v>SOFTWARE</v>
          </cell>
          <cell r="C34" t="str">
            <v>ASSET</v>
          </cell>
          <cell r="D34" t="str">
            <v>BALANCE SHEET</v>
          </cell>
          <cell r="E34">
            <v>0</v>
          </cell>
          <cell r="F34">
            <v>0</v>
          </cell>
          <cell r="G34" t="str">
            <v>FIXED ASSETS</v>
          </cell>
          <cell r="H34" t="str">
            <v>GROSS BLOCK</v>
          </cell>
          <cell r="I34" t="str">
            <v>COMPUTERS</v>
          </cell>
        </row>
        <row r="35">
          <cell r="A35" t="str">
            <v>A101601</v>
          </cell>
          <cell r="B35" t="str">
            <v>Furniture and Fixtures</v>
          </cell>
          <cell r="C35" t="str">
            <v>ASSET</v>
          </cell>
          <cell r="D35" t="str">
            <v>BALANCE SHEET</v>
          </cell>
          <cell r="E35" t="str">
            <v>ASSET A/C</v>
          </cell>
          <cell r="F35">
            <v>0</v>
          </cell>
          <cell r="G35" t="str">
            <v>FIXED ASSETS</v>
          </cell>
          <cell r="H35" t="str">
            <v>GROSS BLOCK</v>
          </cell>
          <cell r="I35" t="str">
            <v>FURNITURE AND FITTINGS</v>
          </cell>
        </row>
        <row r="36">
          <cell r="A36" t="str">
            <v>A101602</v>
          </cell>
          <cell r="B36" t="str">
            <v>FURNITURE AND FITTINGS</v>
          </cell>
          <cell r="C36" t="str">
            <v>ASSET</v>
          </cell>
          <cell r="D36" t="str">
            <v>BALANCE SHEET</v>
          </cell>
          <cell r="E36">
            <v>0</v>
          </cell>
          <cell r="F36">
            <v>0</v>
          </cell>
          <cell r="G36" t="str">
            <v>FIXED ASSETS</v>
          </cell>
          <cell r="H36" t="str">
            <v>GROSS BLOCK</v>
          </cell>
          <cell r="I36" t="str">
            <v>FURNITURE AND FITTINGS</v>
          </cell>
        </row>
        <row r="37">
          <cell r="A37" t="str">
            <v>A101701</v>
          </cell>
          <cell r="B37" t="str">
            <v>Vehicles- Car</v>
          </cell>
          <cell r="C37" t="str">
            <v>ASSET</v>
          </cell>
          <cell r="D37" t="str">
            <v>BALANCE SHEET</v>
          </cell>
          <cell r="E37" t="str">
            <v>ASSET A/C</v>
          </cell>
          <cell r="F37">
            <v>0</v>
          </cell>
          <cell r="G37" t="str">
            <v>FIXED ASSETS</v>
          </cell>
          <cell r="H37" t="str">
            <v>GROSS BLOCK</v>
          </cell>
          <cell r="I37" t="str">
            <v>VEHICLES</v>
          </cell>
        </row>
        <row r="38">
          <cell r="A38" t="str">
            <v>A101702</v>
          </cell>
          <cell r="B38" t="str">
            <v>Vehicles- Motor Cycles/ Scooters/ Mopeds</v>
          </cell>
          <cell r="C38" t="str">
            <v>ASSET</v>
          </cell>
          <cell r="D38" t="str">
            <v>BALANCE SHEET</v>
          </cell>
          <cell r="E38" t="str">
            <v>ASSET A/C</v>
          </cell>
          <cell r="F38">
            <v>0</v>
          </cell>
          <cell r="G38" t="str">
            <v>FIXED ASSETS</v>
          </cell>
          <cell r="H38" t="str">
            <v>GROSS BLOCK</v>
          </cell>
          <cell r="I38" t="str">
            <v>VEHICLES</v>
          </cell>
        </row>
        <row r="39">
          <cell r="A39" t="str">
            <v>A101703</v>
          </cell>
          <cell r="B39" t="str">
            <v>Vehicles- Cycles</v>
          </cell>
          <cell r="C39" t="str">
            <v>ASSET</v>
          </cell>
          <cell r="D39" t="str">
            <v>BALANCE SHEET</v>
          </cell>
          <cell r="E39" t="str">
            <v>ASSET A/C</v>
          </cell>
          <cell r="F39">
            <v>0</v>
          </cell>
          <cell r="G39" t="str">
            <v>FIXED ASSETS</v>
          </cell>
          <cell r="H39" t="str">
            <v>GROSS BLOCK</v>
          </cell>
          <cell r="I39" t="str">
            <v>VEHICLES</v>
          </cell>
        </row>
        <row r="40">
          <cell r="A40" t="str">
            <v>A101704</v>
          </cell>
          <cell r="B40" t="str">
            <v>Vehicles- Motor Buses/ Lorries</v>
          </cell>
          <cell r="C40" t="str">
            <v>ASSET</v>
          </cell>
          <cell r="D40" t="str">
            <v>BALANCE SHEET</v>
          </cell>
          <cell r="E40" t="str">
            <v>ASSET A/C</v>
          </cell>
          <cell r="F40">
            <v>0</v>
          </cell>
          <cell r="G40" t="str">
            <v>FIXED ASSETS</v>
          </cell>
          <cell r="H40" t="str">
            <v>GROSS BLOCK</v>
          </cell>
          <cell r="I40" t="str">
            <v>VEHICLES</v>
          </cell>
        </row>
        <row r="41">
          <cell r="A41" t="str">
            <v>A101705</v>
          </cell>
          <cell r="B41" t="str">
            <v>Vehicles-Others</v>
          </cell>
          <cell r="C41" t="str">
            <v>ASSET</v>
          </cell>
          <cell r="D41" t="str">
            <v>BALANCE SHEET</v>
          </cell>
          <cell r="E41" t="str">
            <v>ASSET A/C</v>
          </cell>
          <cell r="F41">
            <v>0</v>
          </cell>
          <cell r="G41" t="str">
            <v>FIXED ASSETS</v>
          </cell>
          <cell r="H41" t="str">
            <v>GROSS BLOCK</v>
          </cell>
          <cell r="I41" t="str">
            <v>VEHICLES</v>
          </cell>
        </row>
        <row r="42">
          <cell r="A42" t="str">
            <v>A101706</v>
          </cell>
          <cell r="B42" t="str">
            <v>VEHICLES</v>
          </cell>
          <cell r="C42" t="str">
            <v>ASSET</v>
          </cell>
          <cell r="D42" t="str">
            <v>BALANCE SHEET</v>
          </cell>
          <cell r="E42">
            <v>0</v>
          </cell>
          <cell r="F42">
            <v>0</v>
          </cell>
          <cell r="G42" t="str">
            <v>FIXED ASSETS</v>
          </cell>
          <cell r="H42" t="str">
            <v>GROSS BLOCK</v>
          </cell>
          <cell r="I42" t="str">
            <v>VEHICLES</v>
          </cell>
        </row>
        <row r="43">
          <cell r="A43" t="str">
            <v>A101707</v>
          </cell>
          <cell r="B43" t="str">
            <v>Vehicles-Motorcycle</v>
          </cell>
          <cell r="C43" t="str">
            <v>ASSET</v>
          </cell>
          <cell r="D43" t="str">
            <v>BALANCE SHEET</v>
          </cell>
          <cell r="E43">
            <v>0</v>
          </cell>
          <cell r="F43">
            <v>0</v>
          </cell>
          <cell r="G43" t="str">
            <v>FIXED ASSETS</v>
          </cell>
          <cell r="H43" t="str">
            <v>GROSS BLOCK</v>
          </cell>
          <cell r="I43" t="str">
            <v>VEHICLES</v>
          </cell>
        </row>
        <row r="44">
          <cell r="A44" t="str">
            <v>A101801</v>
          </cell>
          <cell r="B44" t="str">
            <v>Air Craft</v>
          </cell>
          <cell r="C44" t="str">
            <v>ASSET</v>
          </cell>
          <cell r="D44" t="str">
            <v>BALANCE SHEET</v>
          </cell>
          <cell r="E44" t="str">
            <v>ASSET A/C</v>
          </cell>
          <cell r="F44">
            <v>0</v>
          </cell>
          <cell r="G44" t="str">
            <v>FIXED ASSETS</v>
          </cell>
          <cell r="H44" t="str">
            <v>GROSS BLOCK</v>
          </cell>
          <cell r="I44" t="str">
            <v>AIR CRAFT</v>
          </cell>
        </row>
        <row r="45">
          <cell r="A45" t="str">
            <v>A102001</v>
          </cell>
          <cell r="B45" t="str">
            <v>Fixed Assets on Lease</v>
          </cell>
          <cell r="C45" t="str">
            <v>ASSET</v>
          </cell>
          <cell r="D45" t="str">
            <v>BALANCE SHEET</v>
          </cell>
          <cell r="E45" t="str">
            <v>ASSET A/C</v>
          </cell>
          <cell r="F45">
            <v>0</v>
          </cell>
          <cell r="G45" t="str">
            <v>FIXED ASSETS</v>
          </cell>
          <cell r="H45" t="str">
            <v>GROSS BLOCK</v>
          </cell>
          <cell r="I45" t="str">
            <v>FIXED ASSETS ON LEASE</v>
          </cell>
        </row>
        <row r="46">
          <cell r="A46" t="str">
            <v>A103001</v>
          </cell>
          <cell r="B46" t="str">
            <v>Sale Of Assets</v>
          </cell>
          <cell r="C46" t="str">
            <v>ASSET</v>
          </cell>
          <cell r="D46" t="str">
            <v>BALANCE SHEET</v>
          </cell>
          <cell r="E46" t="str">
            <v>ASSET A/C</v>
          </cell>
          <cell r="F46">
            <v>0</v>
          </cell>
          <cell r="G46" t="str">
            <v>FIXED ASSETS</v>
          </cell>
          <cell r="H46" t="str">
            <v>GROSS BLOCK</v>
          </cell>
          <cell r="I46" t="str">
            <v>SALE OF ASSETS</v>
          </cell>
        </row>
        <row r="47">
          <cell r="A47" t="str">
            <v>A103999</v>
          </cell>
          <cell r="B47" t="str">
            <v>Accumulated Depreciation</v>
          </cell>
          <cell r="C47" t="str">
            <v>ASSET</v>
          </cell>
          <cell r="D47" t="str">
            <v>BALANCE SHEET</v>
          </cell>
          <cell r="E47" t="str">
            <v>ASSET A/C</v>
          </cell>
          <cell r="F47">
            <v>0</v>
          </cell>
          <cell r="G47" t="str">
            <v>FIXED ASSETS</v>
          </cell>
          <cell r="H47" t="str">
            <v>GROSS BLOCK</v>
          </cell>
          <cell r="I47" t="str">
            <v>SALE OF ASSETS</v>
          </cell>
        </row>
        <row r="48">
          <cell r="A48" t="str">
            <v>A105001</v>
          </cell>
          <cell r="B48" t="str">
            <v>CWIP- Land</v>
          </cell>
          <cell r="C48" t="str">
            <v>ASSET</v>
          </cell>
          <cell r="D48" t="str">
            <v>BALANCE SHEET</v>
          </cell>
          <cell r="E48" t="str">
            <v>CAPITAL WIP A/C</v>
          </cell>
          <cell r="F48">
            <v>0</v>
          </cell>
          <cell r="G48" t="str">
            <v>FIXED ASSETS</v>
          </cell>
          <cell r="H48" t="str">
            <v>CAPITAL WORK IN PROGRESS</v>
          </cell>
          <cell r="I48" t="str">
            <v>CAPITAL WORK IN PROGRESS</v>
          </cell>
        </row>
        <row r="49">
          <cell r="A49" t="str">
            <v>A105002</v>
          </cell>
          <cell r="B49" t="str">
            <v>CWIP- Development Expenses</v>
          </cell>
          <cell r="C49" t="str">
            <v>ASSET</v>
          </cell>
          <cell r="D49" t="str">
            <v>BALANCE SHEET</v>
          </cell>
          <cell r="E49">
            <v>0</v>
          </cell>
          <cell r="F49">
            <v>0</v>
          </cell>
          <cell r="G49" t="str">
            <v>FIXED ASSETS</v>
          </cell>
          <cell r="H49" t="str">
            <v>CAPITAL WORK IN PROGRESS</v>
          </cell>
          <cell r="I49" t="str">
            <v>CAPITAL WORK IN PROGRESS</v>
          </cell>
        </row>
        <row r="50">
          <cell r="A50" t="str">
            <v>A105101</v>
          </cell>
          <cell r="B50" t="str">
            <v>CWIP- Buildings</v>
          </cell>
          <cell r="C50" t="str">
            <v>ASSET</v>
          </cell>
          <cell r="D50" t="str">
            <v>BALANCE SHEET</v>
          </cell>
          <cell r="E50" t="str">
            <v>CAPITAL WIP A/C</v>
          </cell>
          <cell r="F50">
            <v>0</v>
          </cell>
          <cell r="G50" t="str">
            <v>FIXED ASSETS</v>
          </cell>
          <cell r="H50" t="str">
            <v>CAPITAL WORK IN PROGRESS</v>
          </cell>
          <cell r="I50" t="str">
            <v>CAPITAL WORK IN PROGRESS</v>
          </cell>
        </row>
        <row r="51">
          <cell r="A51" t="str">
            <v>A105102</v>
          </cell>
          <cell r="B51" t="str">
            <v>CWIP- Electricals</v>
          </cell>
          <cell r="C51" t="str">
            <v>ASSET</v>
          </cell>
          <cell r="D51" t="str">
            <v>BALANCE SHEET</v>
          </cell>
          <cell r="E51" t="str">
            <v>CAPITAL WIP A/C</v>
          </cell>
          <cell r="F51">
            <v>0</v>
          </cell>
          <cell r="G51" t="str">
            <v>FIXED ASSETS</v>
          </cell>
          <cell r="H51" t="str">
            <v>CAPITAL WORK IN PROGRESS</v>
          </cell>
          <cell r="I51" t="str">
            <v>CAPITAL WORK IN PROGRESS</v>
          </cell>
        </row>
        <row r="52">
          <cell r="A52" t="str">
            <v>A105103</v>
          </cell>
          <cell r="B52" t="str">
            <v>CWIP - Civil &amp; Interior Works</v>
          </cell>
          <cell r="C52" t="str">
            <v>ASSET</v>
          </cell>
          <cell r="D52" t="str">
            <v>BALANCE SHEET</v>
          </cell>
          <cell r="E52">
            <v>0</v>
          </cell>
          <cell r="F52">
            <v>0</v>
          </cell>
          <cell r="G52" t="str">
            <v>FIXED ASSETS</v>
          </cell>
          <cell r="H52" t="str">
            <v>CAPITAL WORK IN PROGRESS</v>
          </cell>
          <cell r="I52" t="str">
            <v>CAPITAL WORK IN PROGRESS</v>
          </cell>
        </row>
        <row r="53">
          <cell r="A53" t="str">
            <v>A105104</v>
          </cell>
          <cell r="B53" t="str">
            <v>CWIP - Electrical Works</v>
          </cell>
          <cell r="C53" t="str">
            <v>ASSET</v>
          </cell>
          <cell r="D53" t="str">
            <v>BALANCE SHEET</v>
          </cell>
          <cell r="E53">
            <v>0</v>
          </cell>
          <cell r="F53">
            <v>0</v>
          </cell>
          <cell r="G53" t="str">
            <v>FIXED ASSETS</v>
          </cell>
          <cell r="H53" t="str">
            <v>CAPITAL WORK IN PROGRESS</v>
          </cell>
          <cell r="I53" t="str">
            <v>CAPITAL WORK IN PROGRESS</v>
          </cell>
        </row>
        <row r="54">
          <cell r="A54" t="str">
            <v>A105105</v>
          </cell>
          <cell r="B54" t="str">
            <v>CWIP - Fire Fighting Works</v>
          </cell>
          <cell r="C54" t="str">
            <v>ASSET</v>
          </cell>
          <cell r="D54" t="str">
            <v>BALANCE SHEET</v>
          </cell>
          <cell r="E54">
            <v>0</v>
          </cell>
          <cell r="F54">
            <v>0</v>
          </cell>
          <cell r="G54" t="str">
            <v>FIXED ASSETS</v>
          </cell>
          <cell r="H54" t="str">
            <v>CAPITAL WORK IN PROGRESS</v>
          </cell>
          <cell r="I54" t="str">
            <v>CAPITAL WORK IN PROGRESS</v>
          </cell>
        </row>
        <row r="55">
          <cell r="A55" t="str">
            <v>A105106</v>
          </cell>
          <cell r="B55" t="str">
            <v>CWIP - Distributed Music System Works</v>
          </cell>
          <cell r="C55" t="str">
            <v>ASSET</v>
          </cell>
          <cell r="D55" t="str">
            <v>BALANCE SHEET</v>
          </cell>
          <cell r="E55">
            <v>0</v>
          </cell>
          <cell r="F55">
            <v>0</v>
          </cell>
          <cell r="G55" t="str">
            <v>FIXED ASSETS</v>
          </cell>
          <cell r="H55" t="str">
            <v>CAPITAL WORK IN PROGRESS</v>
          </cell>
          <cell r="I55" t="str">
            <v>CAPITAL WORK IN PROGRESS</v>
          </cell>
        </row>
        <row r="56">
          <cell r="A56" t="str">
            <v>A105201</v>
          </cell>
          <cell r="B56" t="str">
            <v>CWIP- Plant &amp; Machinery</v>
          </cell>
          <cell r="C56" t="str">
            <v>ASSET</v>
          </cell>
          <cell r="D56" t="str">
            <v>BALANCE SHEET</v>
          </cell>
          <cell r="E56" t="str">
            <v>CAPITAL WIP A/C</v>
          </cell>
          <cell r="F56">
            <v>0</v>
          </cell>
          <cell r="G56" t="str">
            <v>FIXED ASSETS</v>
          </cell>
          <cell r="H56" t="str">
            <v>CAPITAL WORK IN PROGRESS</v>
          </cell>
          <cell r="I56" t="str">
            <v>CAPITAL WORK IN PROGRESS</v>
          </cell>
        </row>
        <row r="57">
          <cell r="A57" t="str">
            <v>A105202</v>
          </cell>
          <cell r="B57" t="str">
            <v>CWIP- DG Set</v>
          </cell>
          <cell r="C57" t="str">
            <v>ASSET</v>
          </cell>
          <cell r="D57" t="str">
            <v>BALANCE SHEET</v>
          </cell>
          <cell r="E57" t="str">
            <v>CAPITAL WIP A/C</v>
          </cell>
          <cell r="F57">
            <v>0</v>
          </cell>
          <cell r="G57" t="str">
            <v>FIXED ASSETS</v>
          </cell>
          <cell r="H57" t="str">
            <v>CAPITAL WORK IN PROGRESS</v>
          </cell>
          <cell r="I57" t="str">
            <v>CAPITAL WORK IN PROGRESS</v>
          </cell>
        </row>
        <row r="58">
          <cell r="A58" t="str">
            <v>A105301</v>
          </cell>
          <cell r="B58" t="str">
            <v>CWIP- AC</v>
          </cell>
          <cell r="C58" t="str">
            <v>ASSET</v>
          </cell>
          <cell r="D58" t="str">
            <v>BALANCE SHEET</v>
          </cell>
          <cell r="E58" t="str">
            <v>CAPITAL WIP A/C</v>
          </cell>
          <cell r="F58">
            <v>0</v>
          </cell>
          <cell r="G58" t="str">
            <v>FIXED ASSETS</v>
          </cell>
          <cell r="H58" t="str">
            <v>CAPITAL WORK IN PROGRESS</v>
          </cell>
          <cell r="I58" t="str">
            <v>CAPITAL WORK IN PROGRESS</v>
          </cell>
        </row>
        <row r="59">
          <cell r="A59" t="str">
            <v>A105401</v>
          </cell>
          <cell r="B59" t="str">
            <v>CWIP-Furniture &amp; Fittings</v>
          </cell>
          <cell r="C59" t="str">
            <v>ASSET</v>
          </cell>
          <cell r="D59" t="str">
            <v>BALANCE SHEET</v>
          </cell>
          <cell r="E59" t="str">
            <v>CAPITAL WIP A/C</v>
          </cell>
          <cell r="F59">
            <v>0</v>
          </cell>
          <cell r="G59" t="str">
            <v>FIXED ASSETS</v>
          </cell>
          <cell r="H59" t="str">
            <v>CAPITAL WORK IN PROGRESS</v>
          </cell>
          <cell r="I59" t="str">
            <v>CAPITAL WORK IN PROGRESS</v>
          </cell>
        </row>
        <row r="60">
          <cell r="A60" t="str">
            <v>A105501</v>
          </cell>
          <cell r="B60" t="str">
            <v>CWIP- Computers</v>
          </cell>
          <cell r="C60" t="str">
            <v>ASSET</v>
          </cell>
          <cell r="D60" t="str">
            <v>BALANCE SHEET</v>
          </cell>
          <cell r="E60" t="str">
            <v>CAPITAL WIP A/C</v>
          </cell>
          <cell r="F60">
            <v>0</v>
          </cell>
          <cell r="G60" t="str">
            <v>FIXED ASSETS</v>
          </cell>
          <cell r="H60" t="str">
            <v>CAPITAL WORK IN PROGRESS</v>
          </cell>
          <cell r="I60" t="str">
            <v>CAPITAL WORK IN PROGRESS</v>
          </cell>
        </row>
        <row r="61">
          <cell r="A61" t="str">
            <v>A105502</v>
          </cell>
          <cell r="B61" t="str">
            <v>CWIP- Networking/WAN Setup</v>
          </cell>
          <cell r="C61" t="str">
            <v>ASSET</v>
          </cell>
          <cell r="D61" t="str">
            <v>BALANCE SHEET</v>
          </cell>
          <cell r="E61" t="str">
            <v>CAPITAL WIP A/C</v>
          </cell>
          <cell r="F61">
            <v>0</v>
          </cell>
          <cell r="G61" t="str">
            <v>FIXED ASSETS</v>
          </cell>
          <cell r="H61" t="str">
            <v>CAPITAL WORK IN PROGRESS</v>
          </cell>
          <cell r="I61" t="str">
            <v>CAPITAL WORK IN PROGRESS</v>
          </cell>
        </row>
        <row r="62">
          <cell r="A62" t="str">
            <v>A105601</v>
          </cell>
          <cell r="B62" t="str">
            <v>CWIP- Other Items</v>
          </cell>
          <cell r="C62" t="str">
            <v>ASSET</v>
          </cell>
          <cell r="D62" t="str">
            <v>BALANCE SHEET</v>
          </cell>
          <cell r="E62" t="str">
            <v>CAPITAL WIP A/C</v>
          </cell>
          <cell r="F62">
            <v>0</v>
          </cell>
          <cell r="G62" t="str">
            <v>FIXED ASSETS</v>
          </cell>
          <cell r="H62" t="str">
            <v>CAPITAL WORK IN PROGRESS</v>
          </cell>
          <cell r="I62" t="str">
            <v>CAPITAL WORK IN PROGRESS</v>
          </cell>
        </row>
        <row r="63">
          <cell r="A63" t="str">
            <v>A105602</v>
          </cell>
          <cell r="B63" t="str">
            <v>CWIP- Others</v>
          </cell>
          <cell r="C63" t="str">
            <v>ASSET</v>
          </cell>
          <cell r="D63" t="str">
            <v>BALANCE SHEET</v>
          </cell>
          <cell r="E63">
            <v>0</v>
          </cell>
          <cell r="F63">
            <v>0</v>
          </cell>
          <cell r="G63" t="str">
            <v>FIXED ASSETS</v>
          </cell>
          <cell r="H63" t="str">
            <v>CAPITAL WORK IN PROGRESS</v>
          </cell>
          <cell r="I63" t="str">
            <v>CAPITAL WORK IN PROGRESS</v>
          </cell>
        </row>
        <row r="64">
          <cell r="A64" t="str">
            <v>A105701</v>
          </cell>
          <cell r="B64" t="str">
            <v>CWIP- General Admin. Expenses</v>
          </cell>
          <cell r="C64" t="str">
            <v>ASSET</v>
          </cell>
          <cell r="D64" t="str">
            <v>BALANCE SHEET</v>
          </cell>
          <cell r="E64">
            <v>0</v>
          </cell>
          <cell r="F64">
            <v>0</v>
          </cell>
          <cell r="G64" t="str">
            <v>FIXED ASSETS</v>
          </cell>
          <cell r="H64" t="str">
            <v>CAPITAL WORK IN PROGRESS</v>
          </cell>
          <cell r="I64" t="str">
            <v>CAPITAL WORK IN PROGRESS</v>
          </cell>
        </row>
        <row r="65">
          <cell r="A65" t="str">
            <v>A105702</v>
          </cell>
          <cell r="B65" t="str">
            <v>Expenses Allocable To Projects</v>
          </cell>
          <cell r="C65" t="str">
            <v>ASSET</v>
          </cell>
          <cell r="D65" t="str">
            <v>BALANCE SHEET</v>
          </cell>
          <cell r="E65">
            <v>0</v>
          </cell>
          <cell r="F65">
            <v>0</v>
          </cell>
          <cell r="G65" t="str">
            <v>FIXED ASSETS</v>
          </cell>
          <cell r="H65" t="str">
            <v>CAPITAL WORK IN PROGRESS</v>
          </cell>
          <cell r="I65" t="str">
            <v>CAPITAL WORK IN PROGRESS</v>
          </cell>
        </row>
        <row r="66">
          <cell r="A66" t="str">
            <v>A105703</v>
          </cell>
          <cell r="B66" t="str">
            <v>Incidental Exp. Pending Allocation</v>
          </cell>
          <cell r="C66" t="str">
            <v>ASSET</v>
          </cell>
          <cell r="D66" t="str">
            <v>BALANCE SHEET</v>
          </cell>
          <cell r="E66">
            <v>0</v>
          </cell>
          <cell r="F66">
            <v>0</v>
          </cell>
          <cell r="G66" t="str">
            <v>FIXED ASSETS</v>
          </cell>
          <cell r="H66" t="str">
            <v>CAPITAL WORK IN PROGRESS</v>
          </cell>
          <cell r="I66" t="str">
            <v>CAPITAL WORK IN PROGRESS</v>
          </cell>
        </row>
        <row r="67">
          <cell r="A67" t="str">
            <v>A105704</v>
          </cell>
          <cell r="B67" t="str">
            <v>Exps.-Proj. Under Commencement</v>
          </cell>
          <cell r="C67" t="str">
            <v>ASSET</v>
          </cell>
          <cell r="D67" t="str">
            <v>BALANCE SHEET</v>
          </cell>
          <cell r="E67">
            <v>0</v>
          </cell>
          <cell r="F67">
            <v>0</v>
          </cell>
          <cell r="G67" t="str">
            <v>FIXED ASSETS</v>
          </cell>
          <cell r="H67" t="str">
            <v>CAPITAL WORK IN PROGRESS</v>
          </cell>
          <cell r="I67" t="str">
            <v>CAPITAL WORK IN PROGRESS</v>
          </cell>
        </row>
        <row r="68">
          <cell r="A68" t="str">
            <v>A105705</v>
          </cell>
          <cell r="B68" t="str">
            <v>Pipe Line Expenses Capitalized</v>
          </cell>
          <cell r="C68" t="str">
            <v>ASSET</v>
          </cell>
          <cell r="D68" t="str">
            <v>BALANCE SHEET</v>
          </cell>
          <cell r="E68">
            <v>0</v>
          </cell>
          <cell r="F68">
            <v>0</v>
          </cell>
          <cell r="G68" t="str">
            <v>FIXED ASSETS</v>
          </cell>
          <cell r="H68" t="str">
            <v>CAPITAL WORK IN PROGRESS</v>
          </cell>
          <cell r="I68" t="str">
            <v>CAPITAL WORK IN PROGRESS</v>
          </cell>
        </row>
        <row r="69">
          <cell r="A69" t="str">
            <v>A105706</v>
          </cell>
          <cell r="B69" t="str">
            <v>Capital Exp.On Non-Owned Asset</v>
          </cell>
          <cell r="C69" t="str">
            <v>ASSET</v>
          </cell>
          <cell r="D69" t="str">
            <v>BALANCE SHEET</v>
          </cell>
          <cell r="E69">
            <v>0</v>
          </cell>
          <cell r="F69">
            <v>0</v>
          </cell>
          <cell r="G69" t="str">
            <v>FIXED ASSETS</v>
          </cell>
          <cell r="H69" t="str">
            <v>CAPITAL WORK IN PROGRESS</v>
          </cell>
          <cell r="I69" t="str">
            <v>CAPITAL WORK IN PROGRESS</v>
          </cell>
        </row>
        <row r="70">
          <cell r="A70" t="str">
            <v>A105999</v>
          </cell>
          <cell r="B70" t="str">
            <v>Fixed Asset Suspense Account</v>
          </cell>
          <cell r="C70" t="str">
            <v>ASSET</v>
          </cell>
          <cell r="D70" t="str">
            <v>BALANCE SHEET</v>
          </cell>
          <cell r="E70">
            <v>0</v>
          </cell>
          <cell r="F70" t="str">
            <v>FIXED ASSET SUSPENSE</v>
          </cell>
          <cell r="G70" t="str">
            <v>FIXED ASSETS</v>
          </cell>
          <cell r="H70" t="str">
            <v>CAPITAL WORK IN PROGRESS</v>
          </cell>
          <cell r="I70" t="str">
            <v>CAPITAL WORK IN PROGRESS</v>
          </cell>
        </row>
        <row r="71">
          <cell r="A71" t="str">
            <v>A201001-000</v>
          </cell>
          <cell r="B71" t="str">
            <v>Investments (Subsidiary Companies)</v>
          </cell>
          <cell r="C71" t="str">
            <v>ASSET</v>
          </cell>
          <cell r="D71" t="str">
            <v>BALANCE SHEET</v>
          </cell>
          <cell r="E71">
            <v>0</v>
          </cell>
          <cell r="F71">
            <v>0</v>
          </cell>
          <cell r="G71" t="str">
            <v>INVESTMENTS</v>
          </cell>
          <cell r="H71" t="str">
            <v>LONG TERM INVESTMENTS</v>
          </cell>
          <cell r="I71" t="str">
            <v>INVESTMENTS IN SHARES</v>
          </cell>
        </row>
        <row r="72">
          <cell r="A72" t="str">
            <v>A201001-538</v>
          </cell>
          <cell r="B72" t="str">
            <v>Investments (Subsidiary Companies)-DLF G</v>
          </cell>
          <cell r="C72" t="str">
            <v>ASSET</v>
          </cell>
          <cell r="D72" t="str">
            <v>BALANCE SHEET</v>
          </cell>
          <cell r="E72">
            <v>0</v>
          </cell>
          <cell r="F72">
            <v>0</v>
          </cell>
          <cell r="G72" t="str">
            <v>INVESTMENTS</v>
          </cell>
          <cell r="H72" t="str">
            <v>LONG TERM INVESTMENTS</v>
          </cell>
          <cell r="I72" t="str">
            <v>INVESTMENTS IN SHARES</v>
          </cell>
        </row>
        <row r="73">
          <cell r="A73" t="str">
            <v>A202001-000</v>
          </cell>
          <cell r="B73" t="str">
            <v>Investment(Oth Co)</v>
          </cell>
          <cell r="C73" t="str">
            <v>ASSET</v>
          </cell>
          <cell r="D73" t="str">
            <v>BALANCE SHEET</v>
          </cell>
          <cell r="E73">
            <v>0</v>
          </cell>
          <cell r="F73">
            <v>0</v>
          </cell>
          <cell r="G73" t="str">
            <v>INVESTMENTS</v>
          </cell>
          <cell r="H73" t="str">
            <v>LONG TERM INVESTMENTS</v>
          </cell>
          <cell r="I73" t="str">
            <v>INVESTMENTS IN SHARES</v>
          </cell>
        </row>
        <row r="74">
          <cell r="A74" t="str">
            <v>A202001-265</v>
          </cell>
          <cell r="B74" t="str">
            <v>Investment(Oth Co)-DLF Resi. Developers</v>
          </cell>
          <cell r="C74" t="str">
            <v>ASSET</v>
          </cell>
          <cell r="D74" t="str">
            <v>BALANCE SHEET</v>
          </cell>
          <cell r="E74">
            <v>0</v>
          </cell>
          <cell r="F74">
            <v>0</v>
          </cell>
          <cell r="G74" t="str">
            <v>INVESTMENTS</v>
          </cell>
          <cell r="H74" t="str">
            <v>LONG TERM INVESTMENTS</v>
          </cell>
          <cell r="I74" t="str">
            <v>INVESTMENTS IN SHARES</v>
          </cell>
        </row>
        <row r="75">
          <cell r="A75" t="str">
            <v>A202001-280</v>
          </cell>
          <cell r="B75" t="str">
            <v>Investment(Oth Co)-Cee Pee Maint Srv P L</v>
          </cell>
          <cell r="C75" t="str">
            <v>ASSET</v>
          </cell>
          <cell r="D75" t="str">
            <v>BALANCE SHEET</v>
          </cell>
          <cell r="E75">
            <v>0</v>
          </cell>
          <cell r="F75">
            <v>0</v>
          </cell>
          <cell r="G75" t="str">
            <v>INVESTMENTS</v>
          </cell>
          <cell r="H75" t="str">
            <v>LONG TERM INVESTMENTS</v>
          </cell>
          <cell r="I75" t="str">
            <v>INVESTMENTS IN SHARES</v>
          </cell>
        </row>
        <row r="76">
          <cell r="A76" t="str">
            <v>A202001-281</v>
          </cell>
          <cell r="B76" t="str">
            <v>Investment(Oth Co)-PEE TEE Prop Mgt Srv</v>
          </cell>
          <cell r="C76" t="str">
            <v>ASSET</v>
          </cell>
          <cell r="D76" t="str">
            <v>BALANCE SHEET</v>
          </cell>
          <cell r="E76">
            <v>0</v>
          </cell>
          <cell r="F76">
            <v>0</v>
          </cell>
          <cell r="G76" t="str">
            <v>INVESTMENTS</v>
          </cell>
          <cell r="H76" t="str">
            <v>LONG TERM INVESTMENTS</v>
          </cell>
          <cell r="I76" t="str">
            <v>INVESTMENTS IN SHARES</v>
          </cell>
        </row>
        <row r="77">
          <cell r="A77" t="str">
            <v>A202001-282</v>
          </cell>
          <cell r="B77" t="str">
            <v>Investment(Oth Co)-Silver Oaks Prop Mgt</v>
          </cell>
          <cell r="C77" t="str">
            <v>ASSET</v>
          </cell>
          <cell r="D77" t="str">
            <v>BALANCE SHEET</v>
          </cell>
          <cell r="E77">
            <v>0</v>
          </cell>
          <cell r="F77">
            <v>0</v>
          </cell>
          <cell r="G77" t="str">
            <v>INVESTMENTS</v>
          </cell>
          <cell r="H77" t="str">
            <v>LONG TERM INVESTMENTS</v>
          </cell>
          <cell r="I77" t="str">
            <v>INVESTMENTS IN SHARES</v>
          </cell>
        </row>
        <row r="78">
          <cell r="A78" t="str">
            <v>A202001-299</v>
          </cell>
          <cell r="B78" t="str">
            <v>Investment(Oth Co)-DLF CYBER CITY</v>
          </cell>
          <cell r="C78" t="str">
            <v>ASSET</v>
          </cell>
          <cell r="D78" t="str">
            <v>BALANCE SHEET</v>
          </cell>
          <cell r="E78">
            <v>0</v>
          </cell>
          <cell r="F78">
            <v>0</v>
          </cell>
          <cell r="G78" t="str">
            <v>INVESTMENTS</v>
          </cell>
          <cell r="H78" t="str">
            <v>LONG TERM INVESTMENTS</v>
          </cell>
          <cell r="I78" t="str">
            <v>INVESTMENTS IN SHARES</v>
          </cell>
        </row>
        <row r="79">
          <cell r="A79" t="str">
            <v>A202001-303</v>
          </cell>
          <cell r="B79" t="str">
            <v>Investment(Oth Co)-HighValue Builder P L</v>
          </cell>
          <cell r="C79" t="str">
            <v>ASSET</v>
          </cell>
          <cell r="D79" t="str">
            <v>BALANCE SHEET</v>
          </cell>
          <cell r="E79">
            <v>0</v>
          </cell>
          <cell r="F79">
            <v>0</v>
          </cell>
          <cell r="G79" t="str">
            <v>INVESTMENTS</v>
          </cell>
          <cell r="H79" t="str">
            <v>LONG TERM INVESTMENTS</v>
          </cell>
          <cell r="I79" t="str">
            <v>INVESTMENTS IN SHARES</v>
          </cell>
        </row>
        <row r="80">
          <cell r="A80" t="str">
            <v>A202001-304</v>
          </cell>
          <cell r="B80" t="str">
            <v>Investment(Oth Co)-Sunlight Promoters P</v>
          </cell>
          <cell r="C80" t="str">
            <v>ASSET</v>
          </cell>
          <cell r="D80" t="str">
            <v>BALANCE SHEET</v>
          </cell>
          <cell r="E80">
            <v>0</v>
          </cell>
          <cell r="F80">
            <v>0</v>
          </cell>
          <cell r="G80" t="str">
            <v>INVESTMENTS</v>
          </cell>
          <cell r="H80" t="str">
            <v>LONG TERM INVESTMENTS</v>
          </cell>
          <cell r="I80" t="str">
            <v>INVESTMENTS IN SHARES</v>
          </cell>
        </row>
        <row r="81">
          <cell r="A81" t="str">
            <v>A202001-305</v>
          </cell>
          <cell r="B81" t="str">
            <v>Investment(Oth Co)- Prompt Real Est P L</v>
          </cell>
          <cell r="C81" t="str">
            <v>ASSET</v>
          </cell>
          <cell r="D81" t="str">
            <v>BALANCE SHEET</v>
          </cell>
          <cell r="E81">
            <v>0</v>
          </cell>
          <cell r="F81">
            <v>0</v>
          </cell>
          <cell r="G81" t="str">
            <v>INVESTMENTS</v>
          </cell>
          <cell r="H81" t="str">
            <v>LONG TERM INVESTMENTS</v>
          </cell>
          <cell r="I81" t="str">
            <v>INVESTMENTS IN SHARES</v>
          </cell>
        </row>
        <row r="82">
          <cell r="A82" t="str">
            <v>A202001-306</v>
          </cell>
          <cell r="B82" t="str">
            <v>Investment(Oth Co)-Comfort Buildcon P L</v>
          </cell>
          <cell r="C82" t="str">
            <v>ASSET</v>
          </cell>
          <cell r="D82" t="str">
            <v>BALANCE SHEET</v>
          </cell>
          <cell r="E82">
            <v>0</v>
          </cell>
          <cell r="F82">
            <v>0</v>
          </cell>
          <cell r="G82" t="str">
            <v>INVESTMENTS</v>
          </cell>
          <cell r="H82" t="str">
            <v>LONG TERM INVESTMENTS</v>
          </cell>
          <cell r="I82" t="str">
            <v>INVESTMENTS IN SHARES</v>
          </cell>
        </row>
        <row r="83">
          <cell r="A83" t="str">
            <v>A202001-381</v>
          </cell>
          <cell r="B83" t="str">
            <v>Investment(Oth Co)-DLF Cyber City Dev L</v>
          </cell>
          <cell r="C83" t="str">
            <v>ASSET</v>
          </cell>
          <cell r="D83" t="str">
            <v>BALANCE SHEET</v>
          </cell>
          <cell r="E83">
            <v>0</v>
          </cell>
          <cell r="F83">
            <v>0</v>
          </cell>
          <cell r="G83" t="str">
            <v>INVESTMENTS</v>
          </cell>
          <cell r="H83" t="str">
            <v>LONG TERM INVESTMENTS</v>
          </cell>
          <cell r="I83" t="str">
            <v>INVESTMENTS IN SHARES</v>
          </cell>
        </row>
        <row r="84">
          <cell r="A84" t="str">
            <v>A202001-515</v>
          </cell>
          <cell r="B84" t="str">
            <v>Investment(Oth Co)-Nachiketa Real Estate</v>
          </cell>
          <cell r="C84" t="str">
            <v>ASSET</v>
          </cell>
          <cell r="D84" t="str">
            <v>BALANCE SHEET</v>
          </cell>
          <cell r="E84">
            <v>0</v>
          </cell>
          <cell r="F84">
            <v>0</v>
          </cell>
          <cell r="G84" t="str">
            <v>INVESTMENTS</v>
          </cell>
          <cell r="H84" t="str">
            <v>LONG TERM INVESTMENTS</v>
          </cell>
          <cell r="I84" t="str">
            <v>INVESTMENTS IN SHARES</v>
          </cell>
        </row>
        <row r="85">
          <cell r="A85" t="str">
            <v>A202001-516</v>
          </cell>
          <cell r="B85" t="str">
            <v>Investment(Oth Co)-Pee Tee Maint Srv</v>
          </cell>
          <cell r="C85" t="str">
            <v>ASSET</v>
          </cell>
          <cell r="D85" t="str">
            <v>BALANCE SHEET</v>
          </cell>
          <cell r="E85">
            <v>0</v>
          </cell>
          <cell r="F85">
            <v>0</v>
          </cell>
          <cell r="G85" t="str">
            <v>INVESTMENTS</v>
          </cell>
          <cell r="H85" t="str">
            <v>LONG TERM INVESTMENTS</v>
          </cell>
          <cell r="I85" t="str">
            <v>INVESTMENTS IN SHARES</v>
          </cell>
        </row>
        <row r="86">
          <cell r="A86" t="str">
            <v>A202001-538</v>
          </cell>
          <cell r="B86" t="str">
            <v>Investment(Oth Co)-DLF GK RESIDENCY</v>
          </cell>
          <cell r="C86" t="str">
            <v>ASSET</v>
          </cell>
          <cell r="D86" t="str">
            <v>BALANCE SHEET</v>
          </cell>
          <cell r="E86">
            <v>0</v>
          </cell>
          <cell r="F86">
            <v>0</v>
          </cell>
          <cell r="G86" t="str">
            <v>INVESTMENTS</v>
          </cell>
          <cell r="H86" t="str">
            <v>LONG TERM INVESTMENTS</v>
          </cell>
          <cell r="I86" t="str">
            <v>INVESTMENTS IN SHARES</v>
          </cell>
        </row>
        <row r="87">
          <cell r="A87" t="str">
            <v>A202002-001-265</v>
          </cell>
          <cell r="B87" t="str">
            <v>Inv in Sub Co(Eq)-DLF Resi. Developers</v>
          </cell>
          <cell r="C87" t="str">
            <v>ASSET</v>
          </cell>
          <cell r="D87" t="str">
            <v>BALANCE SHEET</v>
          </cell>
          <cell r="E87">
            <v>0</v>
          </cell>
          <cell r="F87">
            <v>0</v>
          </cell>
          <cell r="G87" t="str">
            <v>INVESTMENTS</v>
          </cell>
          <cell r="H87" t="str">
            <v>LONG TERM INVESTMENTS</v>
          </cell>
          <cell r="I87" t="str">
            <v>INVESTMENTS IN SHARES</v>
          </cell>
        </row>
        <row r="88">
          <cell r="A88" t="str">
            <v>A202002-001-280</v>
          </cell>
          <cell r="B88" t="str">
            <v>Inv in Sub Co(Eq)-Cee Pee Maint Srv P L</v>
          </cell>
          <cell r="C88" t="str">
            <v>ASSET</v>
          </cell>
          <cell r="D88" t="str">
            <v>BALANCE SHEET</v>
          </cell>
          <cell r="E88">
            <v>0</v>
          </cell>
          <cell r="F88">
            <v>0</v>
          </cell>
          <cell r="G88" t="str">
            <v>INVESTMENTS</v>
          </cell>
          <cell r="H88" t="str">
            <v>LONG TERM INVESTMENTS</v>
          </cell>
          <cell r="I88" t="str">
            <v>INVESTMENTS IN SHARES</v>
          </cell>
        </row>
        <row r="89">
          <cell r="A89" t="str">
            <v>A202002-001-281</v>
          </cell>
          <cell r="B89" t="str">
            <v>Inv in Sub Co(Eq)-PEE TEE Prop Mgt Srv</v>
          </cell>
          <cell r="C89" t="str">
            <v>ASSET</v>
          </cell>
          <cell r="D89" t="str">
            <v>BALANCE SHEET</v>
          </cell>
          <cell r="E89">
            <v>0</v>
          </cell>
          <cell r="F89">
            <v>0</v>
          </cell>
          <cell r="G89" t="str">
            <v>INVESTMENTS</v>
          </cell>
          <cell r="H89" t="str">
            <v>LONG TERM INVESTMENTS</v>
          </cell>
          <cell r="I89" t="str">
            <v>INVESTMENTS IN SHARES</v>
          </cell>
        </row>
        <row r="90">
          <cell r="A90" t="str">
            <v>A202002-001-282</v>
          </cell>
          <cell r="B90" t="str">
            <v>Inv in Sub Co(Eq)-Silver Oaks Prop Mgt</v>
          </cell>
          <cell r="C90" t="str">
            <v>ASSET</v>
          </cell>
          <cell r="D90" t="str">
            <v>BALANCE SHEET</v>
          </cell>
          <cell r="E90">
            <v>0</v>
          </cell>
          <cell r="F90">
            <v>0</v>
          </cell>
          <cell r="G90" t="str">
            <v>INVESTMENTS</v>
          </cell>
          <cell r="H90" t="str">
            <v>LONG TERM INVESTMENTS</v>
          </cell>
          <cell r="I90" t="str">
            <v>INVESTMENTS IN SHARES</v>
          </cell>
        </row>
        <row r="91">
          <cell r="A91" t="str">
            <v>A202002-001-299</v>
          </cell>
          <cell r="B91" t="str">
            <v>Inv in Sub Co(Eq)-DLF CYBER CITY</v>
          </cell>
          <cell r="C91" t="str">
            <v>ASSET</v>
          </cell>
          <cell r="D91" t="str">
            <v>BALANCE SHEET</v>
          </cell>
          <cell r="E91">
            <v>0</v>
          </cell>
          <cell r="F91">
            <v>0</v>
          </cell>
          <cell r="G91" t="str">
            <v>INVESTMENTS</v>
          </cell>
          <cell r="H91" t="str">
            <v>LONG TERM INVESTMENTS</v>
          </cell>
          <cell r="I91" t="str">
            <v>INVESTMENTS IN SHARES</v>
          </cell>
        </row>
        <row r="92">
          <cell r="A92" t="str">
            <v>A202002-001-303</v>
          </cell>
          <cell r="B92" t="str">
            <v>Inv in Sub Co(Eq)-HighValue Builder P L</v>
          </cell>
          <cell r="C92" t="str">
            <v>ASSET</v>
          </cell>
          <cell r="D92" t="str">
            <v>BALANCE SHEET</v>
          </cell>
          <cell r="E92">
            <v>0</v>
          </cell>
          <cell r="F92">
            <v>0</v>
          </cell>
          <cell r="G92" t="str">
            <v>INVESTMENTS</v>
          </cell>
          <cell r="H92" t="str">
            <v>LONG TERM INVESTMENTS</v>
          </cell>
          <cell r="I92" t="str">
            <v>INVESTMENTS IN SHARES</v>
          </cell>
        </row>
        <row r="93">
          <cell r="A93" t="str">
            <v>A202002-001-304</v>
          </cell>
          <cell r="B93" t="str">
            <v>Inv in Sub Co(Eq)-Sunlight Promoters P</v>
          </cell>
          <cell r="C93" t="str">
            <v>ASSET</v>
          </cell>
          <cell r="D93" t="str">
            <v>BALANCE SHEET</v>
          </cell>
          <cell r="E93">
            <v>0</v>
          </cell>
          <cell r="F93">
            <v>0</v>
          </cell>
          <cell r="G93" t="str">
            <v>INVESTMENTS</v>
          </cell>
          <cell r="H93" t="str">
            <v>LONG TERM INVESTMENTS</v>
          </cell>
          <cell r="I93" t="str">
            <v>INVESTMENTS IN SHARES</v>
          </cell>
        </row>
        <row r="94">
          <cell r="A94" t="str">
            <v>A202002-001-305</v>
          </cell>
          <cell r="B94" t="str">
            <v>Inv in Sub Co(Eq)-Prompt Real Est P L</v>
          </cell>
          <cell r="C94" t="str">
            <v>ASSET</v>
          </cell>
          <cell r="D94" t="str">
            <v>BALANCE SHEET</v>
          </cell>
          <cell r="E94">
            <v>0</v>
          </cell>
          <cell r="F94">
            <v>0</v>
          </cell>
          <cell r="G94" t="str">
            <v>INVESTMENTS</v>
          </cell>
          <cell r="H94" t="str">
            <v>LONG TERM INVESTMENTS</v>
          </cell>
          <cell r="I94" t="str">
            <v>INVESTMENTS IN SHARES</v>
          </cell>
        </row>
        <row r="95">
          <cell r="A95" t="str">
            <v>A202002-001-306</v>
          </cell>
          <cell r="B95" t="str">
            <v>Inv in Sub Co(Eq)-Comfort Buildcon P L</v>
          </cell>
          <cell r="C95" t="str">
            <v>ASSET</v>
          </cell>
          <cell r="D95" t="str">
            <v>BALANCE SHEET</v>
          </cell>
          <cell r="E95">
            <v>0</v>
          </cell>
          <cell r="F95">
            <v>0</v>
          </cell>
          <cell r="G95" t="str">
            <v>INVESTMENTS</v>
          </cell>
          <cell r="H95" t="str">
            <v>LONG TERM INVESTMENTS</v>
          </cell>
          <cell r="I95" t="str">
            <v>INVESTMENTS IN SHARES</v>
          </cell>
        </row>
        <row r="96">
          <cell r="A96" t="str">
            <v>A202002-001-381</v>
          </cell>
          <cell r="B96" t="str">
            <v>Inv in Sub Co(Eq)-DLF Cyber City Dev L</v>
          </cell>
          <cell r="C96" t="str">
            <v>ASSET</v>
          </cell>
          <cell r="D96" t="str">
            <v>BALANCE SHEET</v>
          </cell>
          <cell r="E96">
            <v>0</v>
          </cell>
          <cell r="F96">
            <v>0</v>
          </cell>
          <cell r="G96" t="str">
            <v>INVESTMENTS</v>
          </cell>
          <cell r="H96" t="str">
            <v>LONG TERM INVESTMENTS</v>
          </cell>
          <cell r="I96" t="str">
            <v>INVESTMENTS IN SHARES</v>
          </cell>
        </row>
        <row r="97">
          <cell r="A97" t="str">
            <v>A202002-001-515</v>
          </cell>
          <cell r="B97" t="str">
            <v>Inv in Sub Co(Eq)-Nachiketa Real Estate</v>
          </cell>
          <cell r="C97" t="str">
            <v>ASSET</v>
          </cell>
          <cell r="D97" t="str">
            <v>BALANCE SHEET</v>
          </cell>
          <cell r="E97">
            <v>0</v>
          </cell>
          <cell r="F97">
            <v>0</v>
          </cell>
          <cell r="G97" t="str">
            <v>INVESTMENTS</v>
          </cell>
          <cell r="H97" t="str">
            <v>LONG TERM INVESTMENTS</v>
          </cell>
          <cell r="I97" t="str">
            <v>INVESTMENTS IN SHARES</v>
          </cell>
        </row>
        <row r="98">
          <cell r="A98" t="str">
            <v>A202002-001-516</v>
          </cell>
          <cell r="B98" t="str">
            <v>Inv in Sub Co(Eq)-Pee Tee Maint Srv</v>
          </cell>
          <cell r="C98" t="str">
            <v>ASSET</v>
          </cell>
          <cell r="D98" t="str">
            <v>BALANCE SHEET</v>
          </cell>
          <cell r="E98">
            <v>0</v>
          </cell>
          <cell r="F98">
            <v>0</v>
          </cell>
          <cell r="G98" t="str">
            <v>INVESTMENTS</v>
          </cell>
          <cell r="H98" t="str">
            <v>LONG TERM INVESTMENTS</v>
          </cell>
          <cell r="I98" t="str">
            <v>INVESTMENTS IN SHARES</v>
          </cell>
        </row>
        <row r="99">
          <cell r="A99" t="str">
            <v>A202002-002-265</v>
          </cell>
          <cell r="B99" t="str">
            <v>Inv in Sub Co(Pref)-DLF Resi. Developers</v>
          </cell>
          <cell r="C99" t="str">
            <v>ASSET</v>
          </cell>
          <cell r="D99" t="str">
            <v>BALANCE SHEET</v>
          </cell>
          <cell r="E99">
            <v>0</v>
          </cell>
          <cell r="F99">
            <v>0</v>
          </cell>
          <cell r="G99" t="str">
            <v>INVESTMENTS</v>
          </cell>
          <cell r="H99" t="str">
            <v>LONG TERM INVESTMENTS</v>
          </cell>
          <cell r="I99" t="str">
            <v>INVESTMENTS IN SHARES</v>
          </cell>
        </row>
        <row r="100">
          <cell r="A100" t="str">
            <v>A202002-002-280</v>
          </cell>
          <cell r="B100" t="str">
            <v>Inv in Sub Co(Pref)-Cee Pee Maint Srv PL</v>
          </cell>
          <cell r="C100" t="str">
            <v>ASSET</v>
          </cell>
          <cell r="D100" t="str">
            <v>BALANCE SHEET</v>
          </cell>
          <cell r="E100">
            <v>0</v>
          </cell>
          <cell r="F100">
            <v>0</v>
          </cell>
          <cell r="G100" t="str">
            <v>INVESTMENTS</v>
          </cell>
          <cell r="H100" t="str">
            <v>LONG TERM INVESTMENTS</v>
          </cell>
          <cell r="I100" t="str">
            <v>INVESTMENTS IN SHARES</v>
          </cell>
        </row>
        <row r="101">
          <cell r="A101" t="str">
            <v>A202002-002-281</v>
          </cell>
          <cell r="B101" t="str">
            <v>Inv in Sub Co(Pref)-PEE TEE Prop Mgt Srv</v>
          </cell>
          <cell r="C101" t="str">
            <v>ASSET</v>
          </cell>
          <cell r="D101" t="str">
            <v>BALANCE SHEET</v>
          </cell>
          <cell r="E101">
            <v>0</v>
          </cell>
          <cell r="F101">
            <v>0</v>
          </cell>
          <cell r="G101" t="str">
            <v>INVESTMENTS</v>
          </cell>
          <cell r="H101" t="str">
            <v>LONG TERM INVESTMENTS</v>
          </cell>
          <cell r="I101" t="str">
            <v>INVESTMENTS IN SHARES</v>
          </cell>
        </row>
        <row r="102">
          <cell r="A102" t="str">
            <v>A202002-002-282</v>
          </cell>
          <cell r="B102" t="str">
            <v>Inv in Sub Co(Pref)-Silver Oaks Prop Mgt</v>
          </cell>
          <cell r="C102" t="str">
            <v>ASSET</v>
          </cell>
          <cell r="D102" t="str">
            <v>BALANCE SHEET</v>
          </cell>
          <cell r="E102">
            <v>0</v>
          </cell>
          <cell r="F102">
            <v>0</v>
          </cell>
          <cell r="G102" t="str">
            <v>INVESTMENTS</v>
          </cell>
          <cell r="H102" t="str">
            <v>LONG TERM INVESTMENTS</v>
          </cell>
          <cell r="I102" t="str">
            <v>INVESTMENTS IN SHARES</v>
          </cell>
        </row>
        <row r="103">
          <cell r="A103" t="str">
            <v>A202002-002-299</v>
          </cell>
          <cell r="B103" t="str">
            <v>Inv in Sub Co(Pref)-DLF CYBER CITY</v>
          </cell>
          <cell r="C103" t="str">
            <v>ASSET</v>
          </cell>
          <cell r="D103" t="str">
            <v>BALANCE SHEET</v>
          </cell>
          <cell r="E103">
            <v>0</v>
          </cell>
          <cell r="F103">
            <v>0</v>
          </cell>
          <cell r="G103" t="str">
            <v>INVESTMENTS</v>
          </cell>
          <cell r="H103" t="str">
            <v>LONG TERM INVESTMENTS</v>
          </cell>
          <cell r="I103" t="str">
            <v>INVESTMENTS IN SHARES</v>
          </cell>
        </row>
        <row r="104">
          <cell r="A104" t="str">
            <v>A202002-002-303</v>
          </cell>
          <cell r="B104" t="str">
            <v>Inv in Sub Co(Pref)-HighValue Builder PL</v>
          </cell>
          <cell r="C104" t="str">
            <v>ASSET</v>
          </cell>
          <cell r="D104" t="str">
            <v>BALANCE SHEET</v>
          </cell>
          <cell r="E104">
            <v>0</v>
          </cell>
          <cell r="F104">
            <v>0</v>
          </cell>
          <cell r="G104" t="str">
            <v>INVESTMENTS</v>
          </cell>
          <cell r="H104" t="str">
            <v>LONG TERM INVESTMENTS</v>
          </cell>
          <cell r="I104" t="str">
            <v>INVESTMENTS IN SHARES</v>
          </cell>
        </row>
        <row r="105">
          <cell r="A105" t="str">
            <v>A202002-002-304</v>
          </cell>
          <cell r="B105" t="str">
            <v>Inv in Sub Co(Pref)-Sunlight Promoters P</v>
          </cell>
          <cell r="C105" t="str">
            <v>ASSET</v>
          </cell>
          <cell r="D105" t="str">
            <v>BALANCE SHEET</v>
          </cell>
          <cell r="E105">
            <v>0</v>
          </cell>
          <cell r="F105">
            <v>0</v>
          </cell>
          <cell r="G105" t="str">
            <v>INVESTMENTS</v>
          </cell>
          <cell r="H105" t="str">
            <v>LONG TERM INVESTMENTS</v>
          </cell>
          <cell r="I105" t="str">
            <v>INVESTMENTS IN SHARES</v>
          </cell>
        </row>
        <row r="106">
          <cell r="A106" t="str">
            <v>A202002-002-305</v>
          </cell>
          <cell r="B106" t="str">
            <v>Inv in Sub Co(Pref)-Prompt Real Est P L</v>
          </cell>
          <cell r="C106" t="str">
            <v>ASSET</v>
          </cell>
          <cell r="D106" t="str">
            <v>BALANCE SHEET</v>
          </cell>
          <cell r="E106">
            <v>0</v>
          </cell>
          <cell r="F106">
            <v>0</v>
          </cell>
          <cell r="G106" t="str">
            <v>INVESTMENTS</v>
          </cell>
          <cell r="H106" t="str">
            <v>LONG TERM INVESTMENTS</v>
          </cell>
          <cell r="I106" t="str">
            <v>INVESTMENTS IN SHARES</v>
          </cell>
        </row>
        <row r="107">
          <cell r="A107" t="str">
            <v>A202002-002-306</v>
          </cell>
          <cell r="B107" t="str">
            <v>Inv in Sub Co(Pref)-Comfort Buildcon P L</v>
          </cell>
          <cell r="C107" t="str">
            <v>ASSET</v>
          </cell>
          <cell r="D107" t="str">
            <v>BALANCE SHEET</v>
          </cell>
          <cell r="E107">
            <v>0</v>
          </cell>
          <cell r="F107">
            <v>0</v>
          </cell>
          <cell r="G107" t="str">
            <v>INVESTMENTS</v>
          </cell>
          <cell r="H107" t="str">
            <v>LONG TERM INVESTMENTS</v>
          </cell>
          <cell r="I107" t="str">
            <v>INVESTMENTS IN SHARES</v>
          </cell>
        </row>
        <row r="108">
          <cell r="A108" t="str">
            <v>A202002-002-381</v>
          </cell>
          <cell r="B108" t="str">
            <v>Inv in Sub Co(Pref)-DLF Cyber City Dev L</v>
          </cell>
          <cell r="C108" t="str">
            <v>ASSET</v>
          </cell>
          <cell r="D108" t="str">
            <v>BALANCE SHEET</v>
          </cell>
          <cell r="E108">
            <v>0</v>
          </cell>
          <cell r="F108">
            <v>0</v>
          </cell>
          <cell r="G108" t="str">
            <v>INVESTMENTS</v>
          </cell>
          <cell r="H108" t="str">
            <v>LONG TERM INVESTMENTS</v>
          </cell>
          <cell r="I108" t="str">
            <v>INVESTMENTS IN SHARES</v>
          </cell>
        </row>
        <row r="109">
          <cell r="A109" t="str">
            <v>A202002-002-515</v>
          </cell>
          <cell r="B109" t="str">
            <v>Inv in Sub Co(Pref)-Nachiketa Real Est</v>
          </cell>
          <cell r="C109" t="str">
            <v>ASSET</v>
          </cell>
          <cell r="D109" t="str">
            <v>BALANCE SHEET</v>
          </cell>
          <cell r="E109">
            <v>0</v>
          </cell>
          <cell r="F109">
            <v>0</v>
          </cell>
          <cell r="G109" t="str">
            <v>INVESTMENTS</v>
          </cell>
          <cell r="H109" t="str">
            <v>LONG TERM INVESTMENTS</v>
          </cell>
          <cell r="I109" t="str">
            <v>INVESTMENTS IN SHARES</v>
          </cell>
        </row>
        <row r="110">
          <cell r="A110" t="str">
            <v>A202002-002-516</v>
          </cell>
          <cell r="B110" t="str">
            <v>Inv in Sub Co(Pref)-Pee Tee Maint Srv</v>
          </cell>
          <cell r="C110" t="str">
            <v>ASSET</v>
          </cell>
          <cell r="D110" t="str">
            <v>BALANCE SHEET</v>
          </cell>
          <cell r="E110">
            <v>0</v>
          </cell>
          <cell r="F110">
            <v>0</v>
          </cell>
          <cell r="G110" t="str">
            <v>INVESTMENTS</v>
          </cell>
          <cell r="H110" t="str">
            <v>LONG TERM INVESTMENTS</v>
          </cell>
          <cell r="I110" t="str">
            <v>INVESTMENTS IN SHARES</v>
          </cell>
        </row>
        <row r="111">
          <cell r="A111" t="str">
            <v>A203001-000</v>
          </cell>
          <cell r="B111" t="str">
            <v>Investments (Debentures)</v>
          </cell>
          <cell r="C111" t="str">
            <v>ASSET</v>
          </cell>
          <cell r="D111" t="str">
            <v>BALANCE SHEET</v>
          </cell>
          <cell r="E111">
            <v>0</v>
          </cell>
          <cell r="F111">
            <v>0</v>
          </cell>
          <cell r="G111" t="str">
            <v>INVESTMENTS</v>
          </cell>
          <cell r="H111" t="str">
            <v>LONG TERM INVESTMENTS</v>
          </cell>
          <cell r="I111" t="str">
            <v>INVESTMENT IN DEBENTURES OR BONDS</v>
          </cell>
        </row>
        <row r="112">
          <cell r="A112" t="str">
            <v>A204001-000</v>
          </cell>
          <cell r="B112" t="str">
            <v>Inv. (Partner. Firm)</v>
          </cell>
          <cell r="C112" t="str">
            <v>ASSET</v>
          </cell>
          <cell r="D112" t="str">
            <v>BALANCE SHEET</v>
          </cell>
          <cell r="E112">
            <v>0</v>
          </cell>
          <cell r="F112">
            <v>0</v>
          </cell>
          <cell r="G112" t="str">
            <v>INVESTMENTS</v>
          </cell>
          <cell r="H112" t="str">
            <v>LONG TERM INVESTMENTS</v>
          </cell>
          <cell r="I112" t="str">
            <v>INVESTMENT IN PARTNERSHIP FIRMS</v>
          </cell>
        </row>
        <row r="113">
          <cell r="A113" t="str">
            <v>A204001-037</v>
          </cell>
          <cell r="B113" t="str">
            <v>Inv. (Partner. Firm)- Dlf City Centr</v>
          </cell>
          <cell r="C113" t="str">
            <v>ASSET</v>
          </cell>
          <cell r="D113" t="str">
            <v>BALANCE SHEET</v>
          </cell>
          <cell r="E113">
            <v>0</v>
          </cell>
          <cell r="F113">
            <v>0</v>
          </cell>
          <cell r="G113" t="str">
            <v>INVESTMENTS</v>
          </cell>
          <cell r="H113" t="str">
            <v>LONG TERM INVESTMENTS</v>
          </cell>
          <cell r="I113" t="str">
            <v>INVESTMENT IN PARTNERSHIP FIRMS</v>
          </cell>
        </row>
        <row r="114">
          <cell r="A114" t="str">
            <v>A204001-245</v>
          </cell>
          <cell r="B114" t="str">
            <v>Inv. (Partner. Firm)-DLF CPC</v>
          </cell>
          <cell r="C114" t="str">
            <v>ASSET</v>
          </cell>
          <cell r="D114" t="str">
            <v>BALANCE SHEET</v>
          </cell>
          <cell r="E114">
            <v>0</v>
          </cell>
          <cell r="F114">
            <v>0</v>
          </cell>
          <cell r="G114" t="str">
            <v>INVESTMENTS</v>
          </cell>
          <cell r="H114" t="str">
            <v>LONG TERM INVESTMENTS</v>
          </cell>
          <cell r="I114" t="str">
            <v>INVESTMENT IN PARTNERSHIP FIRMS</v>
          </cell>
        </row>
        <row r="115">
          <cell r="A115" t="str">
            <v>A204001-261</v>
          </cell>
          <cell r="B115" t="str">
            <v>Inv. (Partner. Firm)- Real Est. Buil</v>
          </cell>
          <cell r="C115" t="str">
            <v>ASSET</v>
          </cell>
          <cell r="D115" t="str">
            <v>BALANCE SHEET</v>
          </cell>
          <cell r="E115">
            <v>0</v>
          </cell>
          <cell r="F115">
            <v>0</v>
          </cell>
          <cell r="G115" t="str">
            <v>INVESTMENTS</v>
          </cell>
          <cell r="H115" t="str">
            <v>LONG TERM INVESTMENTS</v>
          </cell>
          <cell r="I115" t="str">
            <v>INVESTMENT IN PARTNERSHIP FIRMS</v>
          </cell>
        </row>
        <row r="116">
          <cell r="A116" t="str">
            <v>A204001-263</v>
          </cell>
          <cell r="B116" t="str">
            <v>Inv. (Partner. Firm)- Dlf Prop. Deve</v>
          </cell>
          <cell r="C116" t="str">
            <v>ASSET</v>
          </cell>
          <cell r="D116" t="str">
            <v>BALANCE SHEET</v>
          </cell>
          <cell r="E116">
            <v>0</v>
          </cell>
          <cell r="F116">
            <v>0</v>
          </cell>
          <cell r="G116" t="str">
            <v>INVESTMENTS</v>
          </cell>
          <cell r="H116" t="str">
            <v>LONG TERM INVESTMENTS</v>
          </cell>
          <cell r="I116" t="str">
            <v>INVESTMENT IN PARTNERSHIP FIRMS</v>
          </cell>
        </row>
        <row r="117">
          <cell r="A117" t="str">
            <v>A204001-264</v>
          </cell>
          <cell r="B117" t="str">
            <v>Inv. (Partner. Firm)- Dlf Office Dev</v>
          </cell>
          <cell r="C117" t="str">
            <v>ASSET</v>
          </cell>
          <cell r="D117" t="str">
            <v>BALANCE SHEET</v>
          </cell>
          <cell r="E117">
            <v>0</v>
          </cell>
          <cell r="F117">
            <v>0</v>
          </cell>
          <cell r="G117" t="str">
            <v>INVESTMENTS</v>
          </cell>
          <cell r="H117" t="str">
            <v>LONG TERM INVESTMENTS</v>
          </cell>
          <cell r="I117" t="str">
            <v>INVESTMENT IN PARTNERSHIP FIRMS</v>
          </cell>
        </row>
        <row r="118">
          <cell r="A118" t="str">
            <v>A204001-265</v>
          </cell>
          <cell r="B118" t="str">
            <v>Inv. (Partner. Firm)- Dlf Resi. Dev</v>
          </cell>
          <cell r="C118" t="str">
            <v>ASSET</v>
          </cell>
          <cell r="D118" t="str">
            <v>BALANCE SHEET</v>
          </cell>
          <cell r="E118">
            <v>0</v>
          </cell>
          <cell r="F118">
            <v>0</v>
          </cell>
          <cell r="G118" t="str">
            <v>INVESTMENTS</v>
          </cell>
          <cell r="H118" t="str">
            <v>LONG TERM INVESTMENTS</v>
          </cell>
          <cell r="I118" t="str">
            <v>INVESTMENT IN PARTNERSHIP FIRMS</v>
          </cell>
        </row>
        <row r="119">
          <cell r="A119" t="str">
            <v>A204001-267</v>
          </cell>
          <cell r="B119" t="str">
            <v>Inv. (Partner. Firm)- Dlf Resi. Part</v>
          </cell>
          <cell r="C119" t="str">
            <v>ASSET</v>
          </cell>
          <cell r="D119" t="str">
            <v>BALANCE SHEET</v>
          </cell>
          <cell r="E119">
            <v>0</v>
          </cell>
          <cell r="F119">
            <v>0</v>
          </cell>
          <cell r="G119" t="str">
            <v>INVESTMENTS</v>
          </cell>
          <cell r="H119" t="str">
            <v>LONG TERM INVESTMENTS</v>
          </cell>
          <cell r="I119" t="str">
            <v>INVESTMENT IN PARTNERSHIP FIRMS</v>
          </cell>
        </row>
        <row r="120">
          <cell r="A120" t="str">
            <v>A204001-268</v>
          </cell>
          <cell r="B120" t="str">
            <v>Inv. (Partner. Firm)- Dlf Resi. Buil</v>
          </cell>
          <cell r="C120" t="str">
            <v>ASSET</v>
          </cell>
          <cell r="D120" t="str">
            <v>BALANCE SHEET</v>
          </cell>
          <cell r="E120">
            <v>0</v>
          </cell>
          <cell r="F120">
            <v>0</v>
          </cell>
          <cell r="G120" t="str">
            <v>INVESTMENTS</v>
          </cell>
          <cell r="H120" t="str">
            <v>LONG TERM INVESTMENTS</v>
          </cell>
          <cell r="I120" t="str">
            <v>INVESTMENT IN PARTNERSHIP FIRMS</v>
          </cell>
        </row>
        <row r="121">
          <cell r="A121" t="str">
            <v>A204001-272</v>
          </cell>
          <cell r="B121" t="str">
            <v>Inv. (Partner. Firm)- Rational Buil.</v>
          </cell>
          <cell r="C121" t="str">
            <v>ASSET</v>
          </cell>
          <cell r="D121" t="str">
            <v>BALANCE SHEET</v>
          </cell>
          <cell r="E121">
            <v>0</v>
          </cell>
          <cell r="F121">
            <v>0</v>
          </cell>
          <cell r="G121" t="str">
            <v>INVESTMENTS</v>
          </cell>
          <cell r="H121" t="str">
            <v>LONG TERM INVESTMENTS</v>
          </cell>
          <cell r="I121" t="str">
            <v>INVESTMENT IN PARTNERSHIP FIRMS</v>
          </cell>
        </row>
        <row r="122">
          <cell r="A122" t="str">
            <v>A204001-280</v>
          </cell>
          <cell r="B122" t="str">
            <v>Inv.(Partner. Firm)-CeePee Maint Srv PL</v>
          </cell>
          <cell r="C122" t="str">
            <v>ASSET</v>
          </cell>
          <cell r="D122" t="str">
            <v>BALANCE SHEET</v>
          </cell>
          <cell r="E122">
            <v>0</v>
          </cell>
          <cell r="F122">
            <v>0</v>
          </cell>
          <cell r="G122" t="str">
            <v>INVESTMENTS</v>
          </cell>
          <cell r="H122" t="str">
            <v>LONG TERM INVESTMENTS</v>
          </cell>
          <cell r="I122" t="str">
            <v>INVESTMENT IN PARTNERSHIP FIRMS</v>
          </cell>
        </row>
        <row r="123">
          <cell r="A123" t="str">
            <v>A204001-281</v>
          </cell>
          <cell r="B123" t="str">
            <v>Inv.(Partner. Firm)-Pee Tee Prop Mgt Srv</v>
          </cell>
          <cell r="C123" t="str">
            <v>ASSET</v>
          </cell>
          <cell r="D123" t="str">
            <v>BALANCE SHEET</v>
          </cell>
          <cell r="E123">
            <v>0</v>
          </cell>
          <cell r="F123">
            <v>0</v>
          </cell>
          <cell r="G123" t="str">
            <v>INVESTMENTS</v>
          </cell>
          <cell r="H123" t="str">
            <v>LONG TERM INVESTMENTS</v>
          </cell>
          <cell r="I123" t="str">
            <v>INVESTMENT IN PARTNERSHIP FIRMS</v>
          </cell>
        </row>
        <row r="124">
          <cell r="A124" t="str">
            <v>A204001-282</v>
          </cell>
          <cell r="B124" t="str">
            <v>Inv.(Partner. Firm)-Silver Oaks Prop Mgt</v>
          </cell>
          <cell r="C124" t="str">
            <v>ASSET</v>
          </cell>
          <cell r="D124" t="str">
            <v>BALANCE SHEET</v>
          </cell>
          <cell r="E124">
            <v>0</v>
          </cell>
          <cell r="F124">
            <v>0</v>
          </cell>
          <cell r="G124" t="str">
            <v>INVESTMENTS</v>
          </cell>
          <cell r="H124" t="str">
            <v>LONG TERM INVESTMENTS</v>
          </cell>
          <cell r="I124" t="str">
            <v>INVESTMENT IN PARTNERSHIP FIRMS</v>
          </cell>
        </row>
        <row r="125">
          <cell r="A125" t="str">
            <v>A204001-288</v>
          </cell>
          <cell r="B125" t="str">
            <v>Inv. (Partner. Firm)- Dlf Sth Pt</v>
          </cell>
          <cell r="C125" t="str">
            <v>ASSET</v>
          </cell>
          <cell r="D125" t="str">
            <v>BALANCE SHEET</v>
          </cell>
          <cell r="E125">
            <v>0</v>
          </cell>
          <cell r="F125">
            <v>0</v>
          </cell>
          <cell r="G125" t="str">
            <v>INVESTMENTS</v>
          </cell>
          <cell r="H125" t="str">
            <v>LONG TERM INVESTMENTS</v>
          </cell>
          <cell r="I125" t="str">
            <v>INVESTMENT IN PARTNERSHIP FIRMS</v>
          </cell>
        </row>
        <row r="126">
          <cell r="A126" t="str">
            <v>A204001-290</v>
          </cell>
          <cell r="B126" t="str">
            <v>Inv. (Partner. Firm)- Kavicon Partne</v>
          </cell>
          <cell r="C126" t="str">
            <v>ASSET</v>
          </cell>
          <cell r="D126" t="str">
            <v>BALANCE SHEET</v>
          </cell>
          <cell r="E126">
            <v>0</v>
          </cell>
          <cell r="F126">
            <v>0</v>
          </cell>
          <cell r="G126" t="str">
            <v>INVESTMENTS</v>
          </cell>
          <cell r="H126" t="str">
            <v>LONG TERM INVESTMENTS</v>
          </cell>
          <cell r="I126" t="str">
            <v>INVESTMENT IN PARTNERSHIP FIRMS</v>
          </cell>
        </row>
        <row r="127">
          <cell r="A127" t="str">
            <v>A204001-299</v>
          </cell>
          <cell r="B127" t="str">
            <v>Inv. (Partner. Firm)- DLF CYBER CITY</v>
          </cell>
          <cell r="C127" t="str">
            <v>ASSET</v>
          </cell>
          <cell r="D127" t="str">
            <v>BALANCE SHEET</v>
          </cell>
          <cell r="E127">
            <v>0</v>
          </cell>
          <cell r="F127">
            <v>0</v>
          </cell>
          <cell r="G127" t="str">
            <v>INVESTMENTS</v>
          </cell>
          <cell r="H127" t="str">
            <v>LONG TERM INVESTMENTS</v>
          </cell>
          <cell r="I127" t="str">
            <v>INVESTMENT IN PARTNERSHIP FIRMS</v>
          </cell>
        </row>
        <row r="128">
          <cell r="A128" t="str">
            <v>A204001-303</v>
          </cell>
          <cell r="B128" t="str">
            <v>Inv. (Partner. Firm)-Highvaluebuil</v>
          </cell>
          <cell r="C128" t="str">
            <v>ASSET</v>
          </cell>
          <cell r="D128" t="str">
            <v>BALANCE SHEET</v>
          </cell>
          <cell r="E128">
            <v>0</v>
          </cell>
          <cell r="F128">
            <v>0</v>
          </cell>
          <cell r="G128" t="str">
            <v>INVESTMENTS</v>
          </cell>
          <cell r="H128" t="str">
            <v>LONG TERM INVESTMENTS</v>
          </cell>
          <cell r="I128" t="str">
            <v>INVESTMENT IN PARTNERSHIP FIRMS</v>
          </cell>
        </row>
        <row r="129">
          <cell r="A129" t="str">
            <v>A204001-304</v>
          </cell>
          <cell r="B129" t="str">
            <v>Inv. (Partner. Firm)-Sunlight Promotors</v>
          </cell>
          <cell r="C129" t="str">
            <v>ASSET</v>
          </cell>
          <cell r="D129" t="str">
            <v>BALANCE SHEET</v>
          </cell>
          <cell r="E129">
            <v>0</v>
          </cell>
          <cell r="F129">
            <v>0</v>
          </cell>
          <cell r="G129" t="str">
            <v>INVESTMENTS</v>
          </cell>
          <cell r="H129" t="str">
            <v>LONG TERM INVESTMENTS</v>
          </cell>
          <cell r="I129" t="str">
            <v>INVESTMENT IN PARTNERSHIP FIRMS</v>
          </cell>
        </row>
        <row r="130">
          <cell r="A130" t="str">
            <v>A204001-305</v>
          </cell>
          <cell r="B130" t="str">
            <v>Inv. (Partner Firm)- Prompt Real Est</v>
          </cell>
          <cell r="C130" t="str">
            <v>ASSET</v>
          </cell>
          <cell r="D130" t="str">
            <v>BALANCE SHEET</v>
          </cell>
          <cell r="E130">
            <v>0</v>
          </cell>
          <cell r="F130">
            <v>0</v>
          </cell>
          <cell r="G130" t="str">
            <v>INVESTMENTS</v>
          </cell>
          <cell r="H130" t="str">
            <v>LONG TERM INVESTMENTS</v>
          </cell>
          <cell r="I130" t="str">
            <v>INVESTMENT IN PARTNERSHIP FIRMS</v>
          </cell>
        </row>
        <row r="131">
          <cell r="A131" t="str">
            <v>A204001-306</v>
          </cell>
          <cell r="B131" t="str">
            <v>Inv. (Partner. Firm)-Comfort Buildcon</v>
          </cell>
          <cell r="C131" t="str">
            <v>ASSET</v>
          </cell>
          <cell r="D131" t="str">
            <v>BALANCE SHEET</v>
          </cell>
          <cell r="E131">
            <v>0</v>
          </cell>
          <cell r="F131">
            <v>0</v>
          </cell>
          <cell r="G131" t="str">
            <v>INVESTMENTS</v>
          </cell>
          <cell r="H131" t="str">
            <v>LONG TERM INVESTMENTS</v>
          </cell>
          <cell r="I131" t="str">
            <v>INVESTMENT IN PARTNERSHIP FIRMS</v>
          </cell>
        </row>
        <row r="132">
          <cell r="A132" t="str">
            <v>A205001-000</v>
          </cell>
          <cell r="B132" t="str">
            <v>Investments (Trusts)</v>
          </cell>
          <cell r="C132" t="str">
            <v>ASSET</v>
          </cell>
          <cell r="D132" t="str">
            <v>BALANCE SHEET</v>
          </cell>
          <cell r="E132">
            <v>0</v>
          </cell>
          <cell r="F132">
            <v>0</v>
          </cell>
          <cell r="G132" t="str">
            <v>INVESTMENTS</v>
          </cell>
          <cell r="H132" t="str">
            <v>LONG TERM INVESTMENTS</v>
          </cell>
          <cell r="I132" t="str">
            <v>INVESTMENT IN TRUSTS</v>
          </cell>
        </row>
        <row r="133">
          <cell r="A133" t="str">
            <v>A206001-000</v>
          </cell>
          <cell r="B133" t="str">
            <v>Investments (Mutual Funds)</v>
          </cell>
          <cell r="C133" t="str">
            <v>ASSET</v>
          </cell>
          <cell r="D133" t="str">
            <v>BALANCE SHEET</v>
          </cell>
          <cell r="E133">
            <v>0</v>
          </cell>
          <cell r="F133">
            <v>0</v>
          </cell>
          <cell r="G133" t="str">
            <v>INVESTMENTS</v>
          </cell>
          <cell r="H133" t="str">
            <v>LONG TERM INVESTMENTS</v>
          </cell>
          <cell r="I133" t="str">
            <v>INVESTMENT IN MUTUAL FUNDS</v>
          </cell>
        </row>
        <row r="134">
          <cell r="A134" t="str">
            <v>A206001-001</v>
          </cell>
          <cell r="B134" t="str">
            <v>Investments (Mutual Funds)-ICICI</v>
          </cell>
          <cell r="C134" t="str">
            <v>ASSET</v>
          </cell>
          <cell r="D134" t="str">
            <v>BALANCE SHEET</v>
          </cell>
          <cell r="E134">
            <v>0</v>
          </cell>
          <cell r="F134">
            <v>0</v>
          </cell>
          <cell r="G134" t="str">
            <v>INVESTMENTS</v>
          </cell>
          <cell r="H134" t="str">
            <v>LONG TERM INVESTMENTS</v>
          </cell>
          <cell r="I134" t="str">
            <v>INVESTMENT IN MUTUAL FUNDS</v>
          </cell>
        </row>
        <row r="135">
          <cell r="A135" t="str">
            <v>A206001-002</v>
          </cell>
          <cell r="B135" t="str">
            <v>Investments (Mutual Fund)-Kotak Mahindra</v>
          </cell>
          <cell r="C135" t="str">
            <v>ASSET</v>
          </cell>
          <cell r="D135" t="str">
            <v>BALANCE SHEET</v>
          </cell>
          <cell r="E135">
            <v>0</v>
          </cell>
          <cell r="F135">
            <v>0</v>
          </cell>
          <cell r="G135" t="str">
            <v>INVESTMENTS</v>
          </cell>
          <cell r="H135" t="str">
            <v>LONG TERM INVESTMENTS</v>
          </cell>
          <cell r="I135" t="str">
            <v>INVESTMENT IN MUTUAL FUNDS</v>
          </cell>
        </row>
        <row r="136">
          <cell r="A136" t="str">
            <v>A207001-000</v>
          </cell>
          <cell r="B136" t="str">
            <v>Investments (Properties)</v>
          </cell>
          <cell r="C136" t="str">
            <v>ASSET</v>
          </cell>
          <cell r="D136" t="str">
            <v>BALANCE SHEET</v>
          </cell>
          <cell r="E136">
            <v>0</v>
          </cell>
          <cell r="F136">
            <v>0</v>
          </cell>
          <cell r="G136" t="str">
            <v>INVESTMENTS</v>
          </cell>
          <cell r="H136" t="str">
            <v>LONG TERM INVESTMENTS</v>
          </cell>
          <cell r="I136" t="str">
            <v>INVESTMENT IN PROPERTIES</v>
          </cell>
        </row>
        <row r="137">
          <cell r="A137" t="str">
            <v>A207001-001</v>
          </cell>
          <cell r="B137" t="str">
            <v>Investments (Prop)-Land (Golf Course)</v>
          </cell>
          <cell r="C137" t="str">
            <v>ASSET</v>
          </cell>
          <cell r="D137" t="str">
            <v>BALANCE SHEET</v>
          </cell>
          <cell r="E137">
            <v>0</v>
          </cell>
          <cell r="F137">
            <v>0</v>
          </cell>
          <cell r="G137" t="str">
            <v>INVESTMENTS</v>
          </cell>
          <cell r="H137" t="str">
            <v>LONG TERM INVESTMENTS</v>
          </cell>
          <cell r="I137" t="str">
            <v>INVESTMENT IN PROPERTIES</v>
          </cell>
        </row>
        <row r="138">
          <cell r="A138" t="str">
            <v>A208001</v>
          </cell>
          <cell r="B138" t="str">
            <v>Investment In Public Deposits</v>
          </cell>
          <cell r="C138" t="str">
            <v>ASSET</v>
          </cell>
          <cell r="D138" t="str">
            <v>BALANCE SHEET</v>
          </cell>
          <cell r="E138">
            <v>0</v>
          </cell>
          <cell r="F138">
            <v>0</v>
          </cell>
          <cell r="G138" t="str">
            <v>INVESTMENTS</v>
          </cell>
          <cell r="H138" t="str">
            <v>LONG TERM INVESTMENTS</v>
          </cell>
          <cell r="I138" t="str">
            <v>INVESTMENT IN PUBLIC DEPOSITS</v>
          </cell>
        </row>
        <row r="139">
          <cell r="A139" t="str">
            <v>A301001</v>
          </cell>
          <cell r="B139" t="str">
            <v>Stores &amp; Spares</v>
          </cell>
          <cell r="C139" t="str">
            <v>ASSET</v>
          </cell>
          <cell r="D139" t="str">
            <v>BALANCE SHEET</v>
          </cell>
          <cell r="E139">
            <v>0</v>
          </cell>
          <cell r="F139">
            <v>0</v>
          </cell>
          <cell r="G139" t="str">
            <v>CURRENT ASSETS, LOANS AND ADVANCES</v>
          </cell>
          <cell r="H139" t="str">
            <v>INVENTORIES</v>
          </cell>
          <cell r="I139" t="str">
            <v>STORES AND SPARES</v>
          </cell>
        </row>
        <row r="140">
          <cell r="A140" t="str">
            <v>A301002</v>
          </cell>
          <cell r="B140" t="str">
            <v>Packaging material</v>
          </cell>
          <cell r="C140" t="str">
            <v>ASSET</v>
          </cell>
          <cell r="D140" t="str">
            <v>BALANCE SHEET</v>
          </cell>
          <cell r="E140">
            <v>0</v>
          </cell>
          <cell r="F140">
            <v>0</v>
          </cell>
          <cell r="G140" t="str">
            <v>CURRENT ASSETS, LOANS AND ADVANCES</v>
          </cell>
          <cell r="H140" t="str">
            <v>INVENTORIES</v>
          </cell>
          <cell r="I140" t="str">
            <v>STORES AND SPARES</v>
          </cell>
        </row>
        <row r="141">
          <cell r="A141" t="str">
            <v>A301003</v>
          </cell>
          <cell r="B141" t="str">
            <v>Liquor/ Beverages/ Merchandise</v>
          </cell>
          <cell r="C141" t="str">
            <v>ASSET</v>
          </cell>
          <cell r="D141" t="str">
            <v>BALANCE SHEET</v>
          </cell>
          <cell r="E141">
            <v>0</v>
          </cell>
          <cell r="F141">
            <v>0</v>
          </cell>
          <cell r="G141" t="str">
            <v>CURRENT ASSETS, LOANS AND ADVANCES</v>
          </cell>
          <cell r="H141" t="str">
            <v>INVENTORIES</v>
          </cell>
          <cell r="I141" t="str">
            <v>STORES AND SPARES</v>
          </cell>
        </row>
        <row r="142">
          <cell r="A142" t="str">
            <v>A301004</v>
          </cell>
          <cell r="B142" t="str">
            <v>Consumable Stores</v>
          </cell>
          <cell r="C142" t="str">
            <v>ASSET</v>
          </cell>
          <cell r="D142" t="str">
            <v>BALANCE SHEET</v>
          </cell>
          <cell r="E142">
            <v>0</v>
          </cell>
          <cell r="F142">
            <v>0</v>
          </cell>
          <cell r="G142" t="str">
            <v>CURRENT ASSETS, LOANS AND ADVANCES</v>
          </cell>
          <cell r="H142" t="str">
            <v>INVENTORIES</v>
          </cell>
          <cell r="I142" t="str">
            <v>STORES AND SPARES</v>
          </cell>
        </row>
        <row r="143">
          <cell r="A143" t="str">
            <v>A301005</v>
          </cell>
          <cell r="B143" t="str">
            <v>Material and components</v>
          </cell>
          <cell r="C143" t="str">
            <v>ASSET</v>
          </cell>
          <cell r="D143" t="str">
            <v>BALANCE SHEET</v>
          </cell>
          <cell r="E143">
            <v>0</v>
          </cell>
          <cell r="F143">
            <v>0</v>
          </cell>
          <cell r="G143" t="str">
            <v>CURRENT ASSETS, LOANS AND ADVANCES</v>
          </cell>
          <cell r="H143" t="str">
            <v>INVENTORIES</v>
          </cell>
          <cell r="I143" t="str">
            <v>STORES AND SPARES</v>
          </cell>
        </row>
        <row r="144">
          <cell r="A144" t="str">
            <v>A301006</v>
          </cell>
          <cell r="B144" t="str">
            <v>Wooden Shuttering-Material</v>
          </cell>
          <cell r="C144" t="str">
            <v>ASSET</v>
          </cell>
          <cell r="D144" t="str">
            <v>BALANCE SHEET</v>
          </cell>
          <cell r="E144">
            <v>0</v>
          </cell>
          <cell r="F144">
            <v>0</v>
          </cell>
          <cell r="G144" t="str">
            <v>CURRENT ASSETS, LOANS AND ADVANCES</v>
          </cell>
          <cell r="H144" t="str">
            <v>INVENTORIES</v>
          </cell>
          <cell r="I144" t="str">
            <v>STORES AND SPARES</v>
          </cell>
        </row>
        <row r="145">
          <cell r="A145" t="str">
            <v>A301007</v>
          </cell>
          <cell r="B145" t="str">
            <v>Steel Shuttering-Material</v>
          </cell>
          <cell r="C145" t="str">
            <v>ASSET</v>
          </cell>
          <cell r="D145" t="str">
            <v>BALANCE SHEET</v>
          </cell>
          <cell r="E145">
            <v>0</v>
          </cell>
          <cell r="F145">
            <v>0</v>
          </cell>
          <cell r="G145" t="str">
            <v>CURRENT ASSETS, LOANS AND ADVANCES</v>
          </cell>
          <cell r="H145" t="str">
            <v>INVENTORIES</v>
          </cell>
          <cell r="I145" t="str">
            <v>STORES AND SPARES</v>
          </cell>
        </row>
        <row r="146">
          <cell r="A146" t="str">
            <v>A301008</v>
          </cell>
          <cell r="B146" t="str">
            <v>Scrap And Salvage</v>
          </cell>
          <cell r="C146" t="str">
            <v>ASSET</v>
          </cell>
          <cell r="D146" t="str">
            <v>BALANCE SHEET</v>
          </cell>
          <cell r="E146">
            <v>0</v>
          </cell>
          <cell r="F146">
            <v>0</v>
          </cell>
          <cell r="G146" t="str">
            <v>CURRENT ASSETS, LOANS AND ADVANCES</v>
          </cell>
          <cell r="H146" t="str">
            <v>INVENTORIES</v>
          </cell>
          <cell r="I146" t="str">
            <v>STORES AND SPARES</v>
          </cell>
        </row>
        <row r="147">
          <cell r="A147" t="str">
            <v>A301009</v>
          </cell>
          <cell r="B147" t="str">
            <v>Stores (Others)</v>
          </cell>
          <cell r="C147" t="str">
            <v>ASSET</v>
          </cell>
          <cell r="D147" t="str">
            <v>BALANCE SHEET</v>
          </cell>
          <cell r="E147">
            <v>0</v>
          </cell>
          <cell r="F147">
            <v>0</v>
          </cell>
          <cell r="G147" t="str">
            <v>CURRENT ASSETS, LOANS AND ADVANCES</v>
          </cell>
          <cell r="H147" t="str">
            <v>INVENTORIES</v>
          </cell>
          <cell r="I147" t="str">
            <v>STORES AND SPARES</v>
          </cell>
        </row>
        <row r="148">
          <cell r="A148" t="str">
            <v>A301101</v>
          </cell>
          <cell r="B148" t="str">
            <v>Loose Tools</v>
          </cell>
          <cell r="C148" t="str">
            <v>ASSET</v>
          </cell>
          <cell r="D148" t="str">
            <v>BALANCE SHEET</v>
          </cell>
          <cell r="E148">
            <v>0</v>
          </cell>
          <cell r="F148">
            <v>0</v>
          </cell>
          <cell r="G148" t="str">
            <v>CURRENT ASSETS, LOANS AND ADVANCES</v>
          </cell>
          <cell r="H148" t="str">
            <v>INVENTORIES</v>
          </cell>
          <cell r="I148" t="str">
            <v>LOOSE TOOLS</v>
          </cell>
        </row>
        <row r="149">
          <cell r="A149" t="str">
            <v>A301102</v>
          </cell>
          <cell r="B149" t="str">
            <v>Tools And Implements</v>
          </cell>
          <cell r="C149" t="str">
            <v>ASSET</v>
          </cell>
          <cell r="D149" t="str">
            <v>BALANCE SHEET</v>
          </cell>
          <cell r="E149">
            <v>0</v>
          </cell>
          <cell r="F149">
            <v>0</v>
          </cell>
          <cell r="G149" t="str">
            <v>CURRENT ASSETS, LOANS AND ADVANCES</v>
          </cell>
          <cell r="H149" t="str">
            <v>INVENTORIES</v>
          </cell>
          <cell r="I149" t="str">
            <v>LOOSE TOOLS</v>
          </cell>
        </row>
        <row r="150">
          <cell r="A150" t="str">
            <v>A302001</v>
          </cell>
          <cell r="B150" t="str">
            <v>Land - WIP</v>
          </cell>
          <cell r="C150" t="str">
            <v>ASSET</v>
          </cell>
          <cell r="D150" t="str">
            <v>BALANCE SHEET</v>
          </cell>
          <cell r="E150">
            <v>0</v>
          </cell>
          <cell r="F150">
            <v>0</v>
          </cell>
          <cell r="G150" t="str">
            <v>CURRENT ASSETS, LOANS AND ADVANCES</v>
          </cell>
          <cell r="H150" t="str">
            <v>INVENTORIES</v>
          </cell>
          <cell r="I150" t="str">
            <v>WORK IN PROGRESS</v>
          </cell>
        </row>
        <row r="151">
          <cell r="A151" t="str">
            <v>A302002</v>
          </cell>
          <cell r="B151" t="str">
            <v>Licence Fee Paid</v>
          </cell>
          <cell r="C151" t="str">
            <v>ASSET</v>
          </cell>
          <cell r="D151" t="str">
            <v>BALANCE SHEET</v>
          </cell>
          <cell r="E151">
            <v>0</v>
          </cell>
          <cell r="F151">
            <v>0</v>
          </cell>
          <cell r="G151" t="str">
            <v>CURRENT ASSETS, LOANS AND ADVANCES</v>
          </cell>
          <cell r="H151" t="str">
            <v>INVENTORIES</v>
          </cell>
          <cell r="I151" t="str">
            <v>WORK IN PROGRESS</v>
          </cell>
        </row>
        <row r="152">
          <cell r="A152" t="str">
            <v>A302003</v>
          </cell>
          <cell r="B152" t="str">
            <v>WIP( Project / Construction WIP)</v>
          </cell>
          <cell r="C152" t="str">
            <v>ASSET</v>
          </cell>
          <cell r="D152" t="str">
            <v>BALANCE SHEET</v>
          </cell>
          <cell r="E152">
            <v>0</v>
          </cell>
          <cell r="F152">
            <v>0</v>
          </cell>
          <cell r="G152" t="str">
            <v>CURRENT ASSETS, LOANS AND ADVANCES</v>
          </cell>
          <cell r="H152" t="str">
            <v>INVENTORIES</v>
          </cell>
          <cell r="I152" t="str">
            <v>WORK IN PROGRESS</v>
          </cell>
        </row>
        <row r="153">
          <cell r="A153" t="str">
            <v>A302004</v>
          </cell>
          <cell r="B153" t="str">
            <v>Construction Wip - Certified</v>
          </cell>
          <cell r="C153" t="str">
            <v>ASSET</v>
          </cell>
          <cell r="D153" t="str">
            <v>BALANCE SHEET</v>
          </cell>
          <cell r="E153">
            <v>0</v>
          </cell>
          <cell r="F153">
            <v>0</v>
          </cell>
          <cell r="G153" t="str">
            <v>CURRENT ASSETS, LOANS AND ADVANCES</v>
          </cell>
          <cell r="H153" t="str">
            <v>INVENTORIES</v>
          </cell>
          <cell r="I153" t="str">
            <v>WORK IN PROGRESS</v>
          </cell>
        </row>
        <row r="154">
          <cell r="A154" t="str">
            <v>A302101-000-000</v>
          </cell>
          <cell r="B154" t="str">
            <v>Prov. For Const</v>
          </cell>
          <cell r="C154" t="str">
            <v>ASSET</v>
          </cell>
          <cell r="D154" t="str">
            <v>BALANCE SHEET</v>
          </cell>
          <cell r="E154">
            <v>0</v>
          </cell>
          <cell r="F154">
            <v>0</v>
          </cell>
          <cell r="G154" t="str">
            <v>CURRENT ASSETS, LOANS AND ADVANCES</v>
          </cell>
          <cell r="H154" t="str">
            <v>INVENTORIES</v>
          </cell>
          <cell r="I154" t="str">
            <v>WORK IN PROGRESS</v>
          </cell>
        </row>
        <row r="155">
          <cell r="A155" t="str">
            <v>A302101-000-001</v>
          </cell>
          <cell r="B155" t="str">
            <v>Prov. For Const- Ankur Vihar Devpt</v>
          </cell>
          <cell r="C155" t="str">
            <v>ASSET</v>
          </cell>
          <cell r="D155" t="str">
            <v>BALANCE SHEET</v>
          </cell>
          <cell r="E155">
            <v>0</v>
          </cell>
          <cell r="F155">
            <v>0</v>
          </cell>
          <cell r="G155" t="str">
            <v>CURRENT ASSETS, LOANS AND ADVANCES</v>
          </cell>
          <cell r="H155" t="str">
            <v>INVENTORIES</v>
          </cell>
          <cell r="I155" t="str">
            <v>WORK IN PROGRESS</v>
          </cell>
        </row>
        <row r="156">
          <cell r="A156" t="str">
            <v>A302101-000-004</v>
          </cell>
          <cell r="B156" t="str">
            <v>Prov. For Const- Beverly Park 1</v>
          </cell>
          <cell r="C156" t="str">
            <v>ASSET</v>
          </cell>
          <cell r="D156" t="str">
            <v>BALANCE SHEET</v>
          </cell>
          <cell r="E156">
            <v>0</v>
          </cell>
          <cell r="F156">
            <v>0</v>
          </cell>
          <cell r="G156" t="str">
            <v>CURRENT ASSETS, LOANS AND ADVANCES</v>
          </cell>
          <cell r="H156" t="str">
            <v>INVENTORIES</v>
          </cell>
          <cell r="I156" t="str">
            <v>WORK IN PROGRESS</v>
          </cell>
        </row>
        <row r="157">
          <cell r="A157" t="str">
            <v>A302101-000-005</v>
          </cell>
          <cell r="B157" t="str">
            <v>Prov. For Const- Beverly Park 2</v>
          </cell>
          <cell r="C157" t="str">
            <v>ASSET</v>
          </cell>
          <cell r="D157" t="str">
            <v>BALANCE SHEET</v>
          </cell>
          <cell r="E157">
            <v>0</v>
          </cell>
          <cell r="F157">
            <v>0</v>
          </cell>
          <cell r="G157" t="str">
            <v>CURRENT ASSETS, LOANS AND ADVANCES</v>
          </cell>
          <cell r="H157" t="str">
            <v>INVENTORIES</v>
          </cell>
          <cell r="I157" t="str">
            <v>WORK IN PROGRESS</v>
          </cell>
        </row>
        <row r="158">
          <cell r="A158" t="str">
            <v>A302101-000-008</v>
          </cell>
          <cell r="B158" t="str">
            <v>Prov. For Const- Corporate Park</v>
          </cell>
          <cell r="C158" t="str">
            <v>ASSET</v>
          </cell>
          <cell r="D158" t="str">
            <v>BALANCE SHEET</v>
          </cell>
          <cell r="E158">
            <v>0</v>
          </cell>
          <cell r="F158">
            <v>0</v>
          </cell>
          <cell r="G158" t="str">
            <v>CURRENT ASSETS, LOANS AND ADVANCES</v>
          </cell>
          <cell r="H158" t="str">
            <v>INVENTORIES</v>
          </cell>
          <cell r="I158" t="str">
            <v>WORK IN PROGRESS</v>
          </cell>
        </row>
        <row r="159">
          <cell r="A159" t="str">
            <v>A302101-000-011</v>
          </cell>
          <cell r="B159" t="str">
            <v>Prov. For Const- Executive Homes</v>
          </cell>
          <cell r="C159" t="str">
            <v>ASSET</v>
          </cell>
          <cell r="D159" t="str">
            <v>BALANCE SHEET</v>
          </cell>
          <cell r="E159">
            <v>0</v>
          </cell>
          <cell r="F159">
            <v>0</v>
          </cell>
          <cell r="G159" t="str">
            <v>CURRENT ASSETS, LOANS AND ADVANCES</v>
          </cell>
          <cell r="H159" t="str">
            <v>INVENTORIES</v>
          </cell>
          <cell r="I159" t="str">
            <v>WORK IN PROGRESS</v>
          </cell>
        </row>
        <row r="160">
          <cell r="A160" t="str">
            <v>A302101-000-013</v>
          </cell>
          <cell r="B160" t="str">
            <v>Prov. For Const- Hamilton Court</v>
          </cell>
          <cell r="C160" t="str">
            <v>ASSET</v>
          </cell>
          <cell r="D160" t="str">
            <v>BALANCE SHEET</v>
          </cell>
          <cell r="E160">
            <v>0</v>
          </cell>
          <cell r="F160">
            <v>0</v>
          </cell>
          <cell r="G160" t="str">
            <v>CURRENT ASSETS, LOANS AND ADVANCES</v>
          </cell>
          <cell r="H160" t="str">
            <v>INVENTORIES</v>
          </cell>
          <cell r="I160" t="str">
            <v>WORK IN PROGRESS</v>
          </cell>
        </row>
        <row r="161">
          <cell r="A161" t="str">
            <v>A302101-000-016</v>
          </cell>
          <cell r="B161" t="str">
            <v>Prov. For Const- Park N Shop</v>
          </cell>
          <cell r="C161" t="str">
            <v>ASSET</v>
          </cell>
          <cell r="D161" t="str">
            <v>BALANCE SHEET</v>
          </cell>
          <cell r="E161">
            <v>0</v>
          </cell>
          <cell r="F161">
            <v>0</v>
          </cell>
          <cell r="G161" t="str">
            <v>CURRENT ASSETS, LOANS AND ADVANCES</v>
          </cell>
          <cell r="H161" t="str">
            <v>INVENTORIES</v>
          </cell>
          <cell r="I161" t="str">
            <v>WORK IN PROGRESS</v>
          </cell>
        </row>
        <row r="162">
          <cell r="A162" t="str">
            <v>A302101-000-017</v>
          </cell>
          <cell r="B162" t="str">
            <v>Prov. For Const- Qutab Enclave IV</v>
          </cell>
          <cell r="C162" t="str">
            <v>ASSET</v>
          </cell>
          <cell r="D162" t="str">
            <v>BALANCE SHEET</v>
          </cell>
          <cell r="E162">
            <v>0</v>
          </cell>
          <cell r="F162">
            <v>0</v>
          </cell>
          <cell r="G162" t="str">
            <v>CURRENT ASSETS, LOANS AND ADVANCES</v>
          </cell>
          <cell r="H162" t="str">
            <v>INVENTORIES</v>
          </cell>
          <cell r="I162" t="str">
            <v>WORK IN PROGRESS</v>
          </cell>
        </row>
        <row r="163">
          <cell r="A163" t="str">
            <v>A302101-000-018</v>
          </cell>
          <cell r="B163" t="str">
            <v>Prov. For Const- Qutab Enclave V</v>
          </cell>
          <cell r="C163" t="str">
            <v>ASSET</v>
          </cell>
          <cell r="D163" t="str">
            <v>BALANCE SHEET</v>
          </cell>
          <cell r="E163">
            <v>0</v>
          </cell>
          <cell r="F163">
            <v>0</v>
          </cell>
          <cell r="G163" t="str">
            <v>CURRENT ASSETS, LOANS AND ADVANCES</v>
          </cell>
          <cell r="H163" t="str">
            <v>INVENTORIES</v>
          </cell>
          <cell r="I163" t="str">
            <v>WORK IN PROGRESS</v>
          </cell>
        </row>
        <row r="164">
          <cell r="A164" t="str">
            <v>A302101-000-022</v>
          </cell>
          <cell r="B164" t="str">
            <v>Prov. For Const- Richmond Park</v>
          </cell>
          <cell r="C164" t="str">
            <v>ASSET</v>
          </cell>
          <cell r="D164" t="str">
            <v>BALANCE SHEET</v>
          </cell>
          <cell r="E164">
            <v>0</v>
          </cell>
          <cell r="F164">
            <v>0</v>
          </cell>
          <cell r="G164" t="str">
            <v>CURRENT ASSETS, LOANS AND ADVANCES</v>
          </cell>
          <cell r="H164" t="str">
            <v>INVENTORIES</v>
          </cell>
          <cell r="I164" t="str">
            <v>WORK IN PROGRESS</v>
          </cell>
        </row>
        <row r="165">
          <cell r="A165" t="str">
            <v>A302101-000-023</v>
          </cell>
          <cell r="B165" t="str">
            <v>Prov. For Const- Super Mart II</v>
          </cell>
          <cell r="C165" t="str">
            <v>ASSET</v>
          </cell>
          <cell r="D165" t="str">
            <v>BALANCE SHEET</v>
          </cell>
          <cell r="E165">
            <v>0</v>
          </cell>
          <cell r="F165">
            <v>0</v>
          </cell>
          <cell r="G165" t="str">
            <v>CURRENT ASSETS, LOANS AND ADVANCES</v>
          </cell>
          <cell r="H165" t="str">
            <v>INVENTORIES</v>
          </cell>
          <cell r="I165" t="str">
            <v>WORK IN PROGRESS</v>
          </cell>
        </row>
        <row r="166">
          <cell r="A166" t="str">
            <v>A302101-000-027</v>
          </cell>
          <cell r="B166" t="str">
            <v>Prov. For Const- Stop N Shop</v>
          </cell>
          <cell r="C166" t="str">
            <v>ASSET</v>
          </cell>
          <cell r="D166" t="str">
            <v>BALANCE SHEET</v>
          </cell>
          <cell r="E166">
            <v>0</v>
          </cell>
          <cell r="F166">
            <v>0</v>
          </cell>
          <cell r="G166" t="str">
            <v>CURRENT ASSETS, LOANS AND ADVANCES</v>
          </cell>
          <cell r="H166" t="str">
            <v>INVENTORIES</v>
          </cell>
          <cell r="I166" t="str">
            <v>WORK IN PROGRESS</v>
          </cell>
        </row>
        <row r="167">
          <cell r="A167" t="str">
            <v>A302101-000-028</v>
          </cell>
          <cell r="B167" t="str">
            <v>Prov. For Const- Silver Oaks</v>
          </cell>
          <cell r="C167" t="str">
            <v>ASSET</v>
          </cell>
          <cell r="D167" t="str">
            <v>BALANCE SHEET</v>
          </cell>
          <cell r="E167">
            <v>0</v>
          </cell>
          <cell r="F167">
            <v>0</v>
          </cell>
          <cell r="G167" t="str">
            <v>CURRENT ASSETS, LOANS AND ADVANCES</v>
          </cell>
          <cell r="H167" t="str">
            <v>INVENTORIES</v>
          </cell>
          <cell r="I167" t="str">
            <v>WORK IN PROGRESS</v>
          </cell>
        </row>
        <row r="168">
          <cell r="A168" t="str">
            <v>A302101-000-034</v>
          </cell>
          <cell r="B168" t="str">
            <v>Prov. For Const- Windsor Court</v>
          </cell>
          <cell r="C168" t="str">
            <v>ASSET</v>
          </cell>
          <cell r="D168" t="str">
            <v>BALANCE SHEET</v>
          </cell>
          <cell r="E168">
            <v>0</v>
          </cell>
          <cell r="F168">
            <v>0</v>
          </cell>
          <cell r="G168" t="str">
            <v>CURRENT ASSETS, LOANS AND ADVANCES</v>
          </cell>
          <cell r="H168" t="str">
            <v>INVENTORIES</v>
          </cell>
          <cell r="I168" t="str">
            <v>WORK IN PROGRESS</v>
          </cell>
        </row>
        <row r="169">
          <cell r="A169" t="str">
            <v>A302101-000-037</v>
          </cell>
          <cell r="B169" t="str">
            <v>Prov. For Const- FMT/C. Point</v>
          </cell>
          <cell r="C169" t="str">
            <v>ASSET</v>
          </cell>
          <cell r="D169" t="str">
            <v>BALANCE SHEET</v>
          </cell>
          <cell r="E169">
            <v>0</v>
          </cell>
          <cell r="F169">
            <v>0</v>
          </cell>
          <cell r="G169" t="str">
            <v>CURRENT ASSETS, LOANS AND ADVANCES</v>
          </cell>
          <cell r="H169" t="str">
            <v>INVENTORIES</v>
          </cell>
          <cell r="I169" t="str">
            <v>WORK IN PROGRESS</v>
          </cell>
        </row>
        <row r="170">
          <cell r="A170" t="str">
            <v>A302101-000-039</v>
          </cell>
          <cell r="B170" t="str">
            <v>Prov. For Const- Ridgewood</v>
          </cell>
          <cell r="C170" t="str">
            <v>ASSET</v>
          </cell>
          <cell r="D170" t="str">
            <v>BALANCE SHEET</v>
          </cell>
          <cell r="E170">
            <v>0</v>
          </cell>
          <cell r="F170">
            <v>0</v>
          </cell>
          <cell r="G170" t="str">
            <v>CURRENT ASSETS, LOANS AND ADVANCES</v>
          </cell>
          <cell r="H170" t="str">
            <v>INVENTORIES</v>
          </cell>
          <cell r="I170" t="str">
            <v>WORK IN PROGRESS</v>
          </cell>
        </row>
        <row r="171">
          <cell r="A171" t="str">
            <v>A302101-000-040</v>
          </cell>
          <cell r="B171" t="str">
            <v>Prov. For Const- OAKWOOD</v>
          </cell>
          <cell r="C171" t="str">
            <v>ASSET</v>
          </cell>
          <cell r="D171" t="str">
            <v>BALANCE SHEET</v>
          </cell>
          <cell r="E171">
            <v>0</v>
          </cell>
          <cell r="F171">
            <v>0</v>
          </cell>
          <cell r="G171" t="str">
            <v>CURRENT ASSETS, LOANS AND ADVANCES</v>
          </cell>
          <cell r="H171" t="str">
            <v>INVENTORIES</v>
          </cell>
          <cell r="I171" t="str">
            <v>WORK IN PROGRESS</v>
          </cell>
        </row>
        <row r="172">
          <cell r="A172" t="str">
            <v>A302101-000-041</v>
          </cell>
          <cell r="B172" t="str">
            <v>Prov. For Const- Wellington</v>
          </cell>
          <cell r="C172" t="str">
            <v>ASSET</v>
          </cell>
          <cell r="D172" t="str">
            <v>BALANCE SHEET</v>
          </cell>
          <cell r="E172">
            <v>0</v>
          </cell>
          <cell r="F172">
            <v>0</v>
          </cell>
          <cell r="G172" t="str">
            <v>CURRENT ASSETS, LOANS AND ADVANCES</v>
          </cell>
          <cell r="H172" t="str">
            <v>INVENTORIES</v>
          </cell>
          <cell r="I172" t="str">
            <v>WORK IN PROGRESS</v>
          </cell>
        </row>
        <row r="173">
          <cell r="A173" t="str">
            <v>A302101-000-046</v>
          </cell>
          <cell r="B173" t="str">
            <v>Prov. For Const- Princeton</v>
          </cell>
          <cell r="C173" t="str">
            <v>ASSET</v>
          </cell>
          <cell r="D173" t="str">
            <v>BALANCE SHEET</v>
          </cell>
          <cell r="E173">
            <v>0</v>
          </cell>
          <cell r="F173">
            <v>0</v>
          </cell>
          <cell r="G173" t="str">
            <v>CURRENT ASSETS, LOANS AND ADVANCES</v>
          </cell>
          <cell r="H173" t="str">
            <v>INVENTORIES</v>
          </cell>
          <cell r="I173" t="str">
            <v>WORK IN PROGRESS</v>
          </cell>
        </row>
        <row r="174">
          <cell r="A174" t="str">
            <v>A302101-000-049</v>
          </cell>
          <cell r="B174" t="str">
            <v>Prov. For Const- Regent House</v>
          </cell>
          <cell r="C174" t="str">
            <v>ASSET</v>
          </cell>
          <cell r="D174" t="str">
            <v>BALANCE SHEET</v>
          </cell>
          <cell r="E174">
            <v>0</v>
          </cell>
          <cell r="F174">
            <v>0</v>
          </cell>
          <cell r="G174" t="str">
            <v>CURRENT ASSETS, LOANS AND ADVANCES</v>
          </cell>
          <cell r="H174" t="str">
            <v>INVENTORIES</v>
          </cell>
          <cell r="I174" t="str">
            <v>WORK IN PROGRESS</v>
          </cell>
        </row>
        <row r="175">
          <cell r="A175" t="str">
            <v>A302101-000-050</v>
          </cell>
          <cell r="B175" t="str">
            <v>Prov. For Const- Carlton</v>
          </cell>
          <cell r="C175" t="str">
            <v>ASSET</v>
          </cell>
          <cell r="D175" t="str">
            <v>BALANCE SHEET</v>
          </cell>
          <cell r="E175">
            <v>0</v>
          </cell>
          <cell r="F175">
            <v>0</v>
          </cell>
          <cell r="G175" t="str">
            <v>CURRENT ASSETS, LOANS AND ADVANCES</v>
          </cell>
          <cell r="H175" t="str">
            <v>INVENTORIES</v>
          </cell>
          <cell r="I175" t="str">
            <v>WORK IN PROGRESS</v>
          </cell>
        </row>
        <row r="176">
          <cell r="A176" t="str">
            <v>A302101-000-054</v>
          </cell>
          <cell r="B176" t="str">
            <v>Prov. For Const- Belv. Park</v>
          </cell>
          <cell r="C176" t="str">
            <v>ASSET</v>
          </cell>
          <cell r="D176" t="str">
            <v>BALANCE SHEET</v>
          </cell>
          <cell r="E176">
            <v>0</v>
          </cell>
          <cell r="F176">
            <v>0</v>
          </cell>
          <cell r="G176" t="str">
            <v>CURRENT ASSETS, LOANS AND ADVANCES</v>
          </cell>
          <cell r="H176" t="str">
            <v>INVENTORIES</v>
          </cell>
          <cell r="I176" t="str">
            <v>WORK IN PROGRESS</v>
          </cell>
        </row>
        <row r="177">
          <cell r="A177" t="str">
            <v>A302101-000-055</v>
          </cell>
          <cell r="B177" t="str">
            <v>Prov. For Const- Belv. Tower</v>
          </cell>
          <cell r="C177" t="str">
            <v>ASSET</v>
          </cell>
          <cell r="D177" t="str">
            <v>BALANCE SHEET</v>
          </cell>
          <cell r="E177">
            <v>0</v>
          </cell>
          <cell r="F177">
            <v>0</v>
          </cell>
          <cell r="G177" t="str">
            <v>CURRENT ASSETS, LOANS AND ADVANCES</v>
          </cell>
          <cell r="H177" t="str">
            <v>INVENTORIES</v>
          </cell>
          <cell r="I177" t="str">
            <v>WORK IN PROGRESS</v>
          </cell>
        </row>
        <row r="178">
          <cell r="A178" t="str">
            <v>A302101-000-056</v>
          </cell>
          <cell r="B178" t="str">
            <v>Prov. For Const- City Centre</v>
          </cell>
          <cell r="C178" t="str">
            <v>ASSET</v>
          </cell>
          <cell r="D178" t="str">
            <v>BALANCE SHEET</v>
          </cell>
          <cell r="E178">
            <v>0</v>
          </cell>
          <cell r="F178">
            <v>0</v>
          </cell>
          <cell r="G178" t="str">
            <v>CURRENT ASSETS, LOANS AND ADVANCES</v>
          </cell>
          <cell r="H178" t="str">
            <v>INVENTORIES</v>
          </cell>
          <cell r="I178" t="str">
            <v>WORK IN PROGRESS</v>
          </cell>
        </row>
        <row r="179">
          <cell r="A179" t="str">
            <v>A302101-000-058</v>
          </cell>
          <cell r="B179" t="str">
            <v>Prov. For Const- Exclusive Floor</v>
          </cell>
          <cell r="C179" t="str">
            <v>ASSET</v>
          </cell>
          <cell r="D179" t="str">
            <v>BALANCE SHEET</v>
          </cell>
          <cell r="E179">
            <v>0</v>
          </cell>
          <cell r="F179">
            <v>0</v>
          </cell>
          <cell r="G179" t="str">
            <v>CURRENT ASSETS, LOANS AND ADVANCES</v>
          </cell>
          <cell r="H179" t="str">
            <v>INVENTORIES</v>
          </cell>
          <cell r="I179" t="str">
            <v>WORK IN PROGRESS</v>
          </cell>
        </row>
        <row r="180">
          <cell r="A180" t="str">
            <v>A302101-000-059</v>
          </cell>
          <cell r="B180" t="str">
            <v>Prov. For Const- Moulsari Arcade</v>
          </cell>
          <cell r="C180" t="str">
            <v>ASSET</v>
          </cell>
          <cell r="D180" t="str">
            <v>BALANCE SHEET</v>
          </cell>
          <cell r="E180">
            <v>0</v>
          </cell>
          <cell r="F180">
            <v>0</v>
          </cell>
          <cell r="G180" t="str">
            <v>CURRENT ASSETS, LOANS AND ADVANCES</v>
          </cell>
          <cell r="H180" t="str">
            <v>INVENTORIES</v>
          </cell>
          <cell r="I180" t="str">
            <v>WORK IN PROGRESS</v>
          </cell>
        </row>
        <row r="181">
          <cell r="A181" t="str">
            <v>A302101-000-060</v>
          </cell>
          <cell r="B181" t="str">
            <v>Prov. For Const- Trinity Towers</v>
          </cell>
          <cell r="C181" t="str">
            <v>ASSET</v>
          </cell>
          <cell r="D181" t="str">
            <v>BALANCE SHEET</v>
          </cell>
          <cell r="E181">
            <v>0</v>
          </cell>
          <cell r="F181">
            <v>0</v>
          </cell>
          <cell r="G181" t="str">
            <v>CURRENT ASSETS, LOANS AND ADVANCES</v>
          </cell>
          <cell r="H181" t="str">
            <v>INVENTORIES</v>
          </cell>
          <cell r="I181" t="str">
            <v>WORK IN PROGRESS</v>
          </cell>
        </row>
        <row r="182">
          <cell r="A182" t="str">
            <v>A302101-000-061</v>
          </cell>
          <cell r="B182" t="str">
            <v>Prov. For Const- Grand Mall</v>
          </cell>
          <cell r="C182" t="str">
            <v>ASSET</v>
          </cell>
          <cell r="D182" t="str">
            <v>BALANCE SHEET</v>
          </cell>
          <cell r="E182">
            <v>0</v>
          </cell>
          <cell r="F182">
            <v>0</v>
          </cell>
          <cell r="G182" t="str">
            <v>CURRENT ASSETS, LOANS AND ADVANCES</v>
          </cell>
          <cell r="H182" t="str">
            <v>INVENTORIES</v>
          </cell>
          <cell r="I182" t="str">
            <v>WORK IN PROGRESS</v>
          </cell>
        </row>
        <row r="183">
          <cell r="A183" t="str">
            <v>A302101-000-062</v>
          </cell>
          <cell r="B183" t="str">
            <v>Prov. For Const- Aralia</v>
          </cell>
          <cell r="C183" t="str">
            <v>ASSET</v>
          </cell>
          <cell r="D183" t="str">
            <v>BALANCE SHEET</v>
          </cell>
          <cell r="E183">
            <v>0</v>
          </cell>
          <cell r="F183">
            <v>0</v>
          </cell>
          <cell r="G183" t="str">
            <v>CURRENT ASSETS, LOANS AND ADVANCES</v>
          </cell>
          <cell r="H183" t="str">
            <v>INVENTORIES</v>
          </cell>
          <cell r="I183" t="str">
            <v>WORK IN PROGRESS</v>
          </cell>
        </row>
        <row r="184">
          <cell r="A184" t="str">
            <v>A302101-000-064</v>
          </cell>
          <cell r="B184" t="str">
            <v>Prov. For Const- Westend Heights</v>
          </cell>
          <cell r="C184" t="str">
            <v>ASSET</v>
          </cell>
          <cell r="D184" t="str">
            <v>BALANCE SHEET</v>
          </cell>
          <cell r="E184">
            <v>0</v>
          </cell>
          <cell r="F184">
            <v>0</v>
          </cell>
          <cell r="G184" t="str">
            <v>CURRENT ASSETS, LOANS AND ADVANCES</v>
          </cell>
          <cell r="H184" t="str">
            <v>INVENTORIES</v>
          </cell>
          <cell r="I184" t="str">
            <v>WORK IN PROGRESS</v>
          </cell>
        </row>
        <row r="185">
          <cell r="A185" t="str">
            <v>A302101-000-066</v>
          </cell>
          <cell r="B185" t="str">
            <v>Prov. For Const- Green Valley</v>
          </cell>
          <cell r="C185" t="str">
            <v>ASSET</v>
          </cell>
          <cell r="D185" t="str">
            <v>BALANCE SHEET</v>
          </cell>
          <cell r="E185">
            <v>0</v>
          </cell>
          <cell r="F185">
            <v>0</v>
          </cell>
          <cell r="G185" t="str">
            <v>CURRENT ASSETS, LOANS AND ADVANCES</v>
          </cell>
          <cell r="H185" t="str">
            <v>INVENTORIES</v>
          </cell>
          <cell r="I185" t="str">
            <v>WORK IN PROGRESS</v>
          </cell>
        </row>
        <row r="186">
          <cell r="A186" t="str">
            <v>A302101-000-069</v>
          </cell>
          <cell r="B186" t="str">
            <v>Prov. For Const- The Pinacle</v>
          </cell>
          <cell r="C186" t="str">
            <v>ASSET</v>
          </cell>
          <cell r="D186" t="str">
            <v>BALANCE SHEET</v>
          </cell>
          <cell r="E186">
            <v>0</v>
          </cell>
          <cell r="F186">
            <v>0</v>
          </cell>
          <cell r="G186" t="str">
            <v>CURRENT ASSETS, LOANS AND ADVANCES</v>
          </cell>
          <cell r="H186" t="str">
            <v>INVENTORIES</v>
          </cell>
          <cell r="I186" t="str">
            <v>WORK IN PROGRESS</v>
          </cell>
        </row>
        <row r="187">
          <cell r="A187" t="str">
            <v>A302101-000-070</v>
          </cell>
          <cell r="B187" t="str">
            <v>Prov. For Const- Royalton</v>
          </cell>
          <cell r="C187" t="str">
            <v>ASSET</v>
          </cell>
          <cell r="D187" t="str">
            <v>BALANCE SHEET</v>
          </cell>
          <cell r="E187">
            <v>0</v>
          </cell>
          <cell r="F187">
            <v>0</v>
          </cell>
          <cell r="G187" t="str">
            <v>CURRENT ASSETS, LOANS AND ADVANCES</v>
          </cell>
          <cell r="H187" t="str">
            <v>INVENTORIES</v>
          </cell>
          <cell r="I187" t="str">
            <v>WORK IN PROGRESS</v>
          </cell>
        </row>
        <row r="188">
          <cell r="A188" t="str">
            <v>A302101-000-071</v>
          </cell>
          <cell r="B188" t="str">
            <v>Prov. For Const- The Icon</v>
          </cell>
          <cell r="C188" t="str">
            <v>ASSET</v>
          </cell>
          <cell r="D188" t="str">
            <v>BALANCE SHEET</v>
          </cell>
          <cell r="E188">
            <v>0</v>
          </cell>
          <cell r="F188">
            <v>0</v>
          </cell>
          <cell r="G188" t="str">
            <v>CURRENT ASSETS, LOANS AND ADVANCES</v>
          </cell>
          <cell r="H188" t="str">
            <v>INVENTORIES</v>
          </cell>
          <cell r="I188" t="str">
            <v>WORK IN PROGRESS</v>
          </cell>
        </row>
        <row r="189">
          <cell r="A189" t="str">
            <v>A302101-000-075</v>
          </cell>
          <cell r="B189" t="str">
            <v>Prov. For Const- The Summit</v>
          </cell>
          <cell r="C189" t="str">
            <v>ASSET</v>
          </cell>
          <cell r="D189" t="str">
            <v>BALANCE SHEET</v>
          </cell>
          <cell r="E189">
            <v>0</v>
          </cell>
          <cell r="F189">
            <v>0</v>
          </cell>
          <cell r="G189" t="str">
            <v>CURRENT ASSETS, LOANS AND ADVANCES</v>
          </cell>
          <cell r="H189" t="str">
            <v>INVENTORIES</v>
          </cell>
          <cell r="I189" t="str">
            <v>WORK IN PROGRESS</v>
          </cell>
        </row>
        <row r="190">
          <cell r="A190" t="str">
            <v>A302101-000-080</v>
          </cell>
          <cell r="B190" t="str">
            <v>Prov. For Const- Magnolias</v>
          </cell>
          <cell r="C190" t="str">
            <v>ASSET</v>
          </cell>
          <cell r="D190" t="str">
            <v>BALANCE SHEET</v>
          </cell>
          <cell r="E190">
            <v>0</v>
          </cell>
          <cell r="F190">
            <v>0</v>
          </cell>
          <cell r="G190" t="str">
            <v>CURRENT ASSETS, LOANS AND ADVANCES</v>
          </cell>
          <cell r="H190" t="str">
            <v>INVENTORIES</v>
          </cell>
          <cell r="I190" t="str">
            <v>WORK IN PROGRESS</v>
          </cell>
        </row>
        <row r="191">
          <cell r="A191" t="str">
            <v>A302101-000-088</v>
          </cell>
          <cell r="B191" t="str">
            <v>Prov. For Const- The Belaire</v>
          </cell>
          <cell r="C191" t="str">
            <v>ASSET</v>
          </cell>
          <cell r="D191" t="str">
            <v>BALANCE SHEET</v>
          </cell>
          <cell r="E191">
            <v>0</v>
          </cell>
          <cell r="F191">
            <v>0</v>
          </cell>
          <cell r="G191" t="str">
            <v>CURRENT ASSETS, LOANS AND ADVANCES</v>
          </cell>
          <cell r="H191" t="str">
            <v>INVENTORIES</v>
          </cell>
          <cell r="I191" t="str">
            <v>WORK IN PROGRESS</v>
          </cell>
        </row>
        <row r="192">
          <cell r="A192" t="str">
            <v>A302101-000-107</v>
          </cell>
          <cell r="B192" t="str">
            <v>Prov. For Const- Regency Park 1</v>
          </cell>
          <cell r="C192" t="str">
            <v>ASSET</v>
          </cell>
          <cell r="D192" t="str">
            <v>BALANCE SHEET</v>
          </cell>
          <cell r="E192">
            <v>0</v>
          </cell>
          <cell r="F192">
            <v>0</v>
          </cell>
          <cell r="G192" t="str">
            <v>CURRENT ASSETS, LOANS AND ADVANCES</v>
          </cell>
          <cell r="H192" t="str">
            <v>INVENTORIES</v>
          </cell>
          <cell r="I192" t="str">
            <v>WORK IN PROGRESS</v>
          </cell>
        </row>
        <row r="193">
          <cell r="A193" t="str">
            <v>A302101-000-108</v>
          </cell>
          <cell r="B193" t="str">
            <v>Prov. For Const- Regency Park 2</v>
          </cell>
          <cell r="C193" t="str">
            <v>ASSET</v>
          </cell>
          <cell r="D193" t="str">
            <v>BALANCE SHEET</v>
          </cell>
          <cell r="E193">
            <v>0</v>
          </cell>
          <cell r="F193">
            <v>0</v>
          </cell>
          <cell r="G193" t="str">
            <v>CURRENT ASSETS, LOANS AND ADVANCES</v>
          </cell>
          <cell r="H193" t="str">
            <v>INVENTORIES</v>
          </cell>
          <cell r="I193" t="str">
            <v>WORK IN PROGRESS</v>
          </cell>
        </row>
        <row r="194">
          <cell r="A194" t="str">
            <v>A302101-000-109</v>
          </cell>
          <cell r="B194" t="str">
            <v>Prov. For Const- Qutab Enclave</v>
          </cell>
          <cell r="C194" t="str">
            <v>ASSET</v>
          </cell>
          <cell r="D194" t="str">
            <v>BALANCE SHEET</v>
          </cell>
          <cell r="E194">
            <v>0</v>
          </cell>
          <cell r="F194">
            <v>0</v>
          </cell>
          <cell r="G194" t="str">
            <v>CURRENT ASSETS, LOANS AND ADVANCES</v>
          </cell>
          <cell r="H194" t="str">
            <v>INVENTORIES</v>
          </cell>
          <cell r="I194" t="str">
            <v>WORK IN PROGRESS</v>
          </cell>
        </row>
        <row r="195">
          <cell r="A195" t="str">
            <v>A302101-000-110</v>
          </cell>
          <cell r="B195" t="str">
            <v>Prov. For Const- GHS IV</v>
          </cell>
          <cell r="C195" t="str">
            <v>ASSET</v>
          </cell>
          <cell r="D195" t="str">
            <v>BALANCE SHEET</v>
          </cell>
          <cell r="E195">
            <v>0</v>
          </cell>
          <cell r="F195">
            <v>0</v>
          </cell>
          <cell r="G195" t="str">
            <v>CURRENT ASSETS, LOANS AND ADVANCES</v>
          </cell>
          <cell r="H195" t="str">
            <v>INVENTORIES</v>
          </cell>
          <cell r="I195" t="str">
            <v>WORK IN PROGRESS</v>
          </cell>
        </row>
        <row r="196">
          <cell r="A196" t="str">
            <v>A302101-000-111</v>
          </cell>
          <cell r="B196" t="str">
            <v>Prov. For Const- Cyber City - I</v>
          </cell>
          <cell r="C196" t="str">
            <v>ASSET</v>
          </cell>
          <cell r="D196" t="str">
            <v>BALANCE SHEET</v>
          </cell>
          <cell r="E196">
            <v>0</v>
          </cell>
          <cell r="F196">
            <v>0</v>
          </cell>
          <cell r="G196" t="str">
            <v>CURRENT ASSETS, LOANS AND ADVANCES</v>
          </cell>
          <cell r="H196" t="str">
            <v>INVENTORIES</v>
          </cell>
          <cell r="I196" t="str">
            <v>WORK IN PROGRESS</v>
          </cell>
        </row>
        <row r="197">
          <cell r="A197" t="str">
            <v>A302101-000-112</v>
          </cell>
          <cell r="B197" t="str">
            <v>Prov. For Const- SILOKHRA 2.756 ACRE COM</v>
          </cell>
          <cell r="C197" t="str">
            <v>ASSET</v>
          </cell>
          <cell r="D197" t="str">
            <v>BALANCE SHEET</v>
          </cell>
          <cell r="E197">
            <v>0</v>
          </cell>
          <cell r="F197">
            <v>0</v>
          </cell>
          <cell r="G197" t="str">
            <v>CURRENT ASSETS, LOANS AND ADVANCES</v>
          </cell>
          <cell r="H197" t="str">
            <v>INVENTORIES</v>
          </cell>
          <cell r="I197" t="str">
            <v>WORK IN PROGRESS</v>
          </cell>
        </row>
        <row r="198">
          <cell r="A198" t="str">
            <v>A302101-000-113</v>
          </cell>
          <cell r="B198" t="str">
            <v>Prov. For Const- OBEROI LAND 29.80ACRE</v>
          </cell>
          <cell r="C198" t="str">
            <v>ASSET</v>
          </cell>
          <cell r="D198" t="str">
            <v>BALANCE SHEET</v>
          </cell>
          <cell r="E198">
            <v>0</v>
          </cell>
          <cell r="F198">
            <v>0</v>
          </cell>
          <cell r="G198" t="str">
            <v>CURRENT ASSETS, LOANS AND ADVANCES</v>
          </cell>
          <cell r="H198" t="str">
            <v>INVENTORIES</v>
          </cell>
          <cell r="I198" t="str">
            <v>WORK IN PROGRESS</v>
          </cell>
        </row>
        <row r="199">
          <cell r="A199" t="str">
            <v>A302101-000-114</v>
          </cell>
          <cell r="B199" t="str">
            <v>Prov. For Const- Jalandhar</v>
          </cell>
          <cell r="C199" t="str">
            <v>ASSET</v>
          </cell>
          <cell r="D199" t="str">
            <v>BALANCE SHEET</v>
          </cell>
          <cell r="E199">
            <v>0</v>
          </cell>
          <cell r="F199">
            <v>0</v>
          </cell>
          <cell r="G199" t="str">
            <v>CURRENT ASSETS, LOANS AND ADVANCES</v>
          </cell>
          <cell r="H199" t="str">
            <v>INVENTORIES</v>
          </cell>
          <cell r="I199" t="str">
            <v>WORK IN PROGRESS</v>
          </cell>
        </row>
        <row r="200">
          <cell r="A200" t="str">
            <v>A302101-000-115</v>
          </cell>
          <cell r="B200" t="str">
            <v>Prov. For Const- Ludhiana</v>
          </cell>
          <cell r="C200" t="str">
            <v>ASSET</v>
          </cell>
          <cell r="D200" t="str">
            <v>BALANCE SHEET</v>
          </cell>
          <cell r="E200">
            <v>0</v>
          </cell>
          <cell r="F200">
            <v>0</v>
          </cell>
          <cell r="G200" t="str">
            <v>CURRENT ASSETS, LOANS AND ADVANCES</v>
          </cell>
          <cell r="H200" t="str">
            <v>INVENTORIES</v>
          </cell>
          <cell r="I200" t="str">
            <v>WORK IN PROGRESS</v>
          </cell>
        </row>
        <row r="201">
          <cell r="A201" t="str">
            <v>A302201</v>
          </cell>
          <cell r="B201" t="str">
            <v>Work In Progress - Infra.</v>
          </cell>
          <cell r="C201" t="str">
            <v>ASSET</v>
          </cell>
          <cell r="D201" t="str">
            <v>BALANCE SHEET</v>
          </cell>
          <cell r="E201">
            <v>0</v>
          </cell>
          <cell r="F201">
            <v>0</v>
          </cell>
          <cell r="G201" t="str">
            <v>CURRENT ASSETS, LOANS AND ADVANCES</v>
          </cell>
          <cell r="H201" t="str">
            <v>INVENTORIES</v>
          </cell>
          <cell r="I201" t="str">
            <v>WORK IN PROGRESS</v>
          </cell>
        </row>
        <row r="202">
          <cell r="A202" t="str">
            <v>A302202</v>
          </cell>
          <cell r="B202" t="str">
            <v>Infrastructure-Cost</v>
          </cell>
          <cell r="C202" t="str">
            <v>ASSET</v>
          </cell>
          <cell r="D202" t="str">
            <v>BALANCE SHEET</v>
          </cell>
          <cell r="E202">
            <v>0</v>
          </cell>
          <cell r="F202">
            <v>0</v>
          </cell>
          <cell r="G202" t="str">
            <v>CURRENT ASSETS, LOANS AND ADVANCES</v>
          </cell>
          <cell r="H202" t="str">
            <v>INVENTORIES</v>
          </cell>
          <cell r="I202" t="str">
            <v>WORK IN PROGRESS</v>
          </cell>
        </row>
        <row r="203">
          <cell r="A203" t="str">
            <v>A302203</v>
          </cell>
          <cell r="B203" t="str">
            <v>SECURED ADVANCES</v>
          </cell>
          <cell r="C203" t="str">
            <v>ASSET</v>
          </cell>
          <cell r="D203" t="str">
            <v>BALANCE SHEET</v>
          </cell>
          <cell r="E203" t="str">
            <v>SUPPLIER PREPAYMENT A/C</v>
          </cell>
          <cell r="G203" t="str">
            <v>CURRENT ASSETS, LOANS AND ADVANCES</v>
          </cell>
          <cell r="H203" t="str">
            <v>INVENTORIES</v>
          </cell>
          <cell r="I203" t="str">
            <v>WORK IN PROGRESS</v>
          </cell>
        </row>
        <row r="204">
          <cell r="A204" t="str">
            <v>A302301</v>
          </cell>
          <cell r="B204" t="str">
            <v>Development expenses (IDC)</v>
          </cell>
          <cell r="C204" t="str">
            <v>ASSET</v>
          </cell>
          <cell r="D204" t="str">
            <v>BALANCE SHEET</v>
          </cell>
          <cell r="E204">
            <v>0</v>
          </cell>
          <cell r="F204">
            <v>0</v>
          </cell>
          <cell r="G204" t="str">
            <v>CURRENT ASSETS, LOANS AND ADVANCES</v>
          </cell>
          <cell r="H204" t="str">
            <v>INVENTORIES</v>
          </cell>
          <cell r="I204" t="str">
            <v>WORK IN PROGRESS</v>
          </cell>
        </row>
        <row r="205">
          <cell r="A205" t="str">
            <v>A302302</v>
          </cell>
          <cell r="B205" t="str">
            <v>Edc Paid - Phase V</v>
          </cell>
          <cell r="C205" t="str">
            <v>ASSET</v>
          </cell>
          <cell r="D205" t="str">
            <v>BALANCE SHEET</v>
          </cell>
          <cell r="E205">
            <v>0</v>
          </cell>
          <cell r="F205">
            <v>0</v>
          </cell>
          <cell r="G205" t="str">
            <v>CURRENT ASSETS, LOANS AND ADVANCES</v>
          </cell>
          <cell r="H205" t="str">
            <v>INVENTORIES</v>
          </cell>
          <cell r="I205" t="str">
            <v>WORK IN PROGRESS</v>
          </cell>
        </row>
        <row r="206">
          <cell r="A206" t="str">
            <v>A302303</v>
          </cell>
          <cell r="B206" t="str">
            <v>Edc Paid</v>
          </cell>
          <cell r="C206" t="str">
            <v>ASSET</v>
          </cell>
          <cell r="D206" t="str">
            <v>BALANCE SHEET</v>
          </cell>
          <cell r="E206">
            <v>0</v>
          </cell>
          <cell r="F206">
            <v>0</v>
          </cell>
          <cell r="G206" t="str">
            <v>CURRENT ASSETS, LOANS AND ADVANCES</v>
          </cell>
          <cell r="H206" t="str">
            <v>INVENTORIES</v>
          </cell>
          <cell r="I206" t="str">
            <v>WORK IN PROGRESS</v>
          </cell>
        </row>
        <row r="207">
          <cell r="A207" t="str">
            <v>A302401-000-001</v>
          </cell>
          <cell r="B207" t="str">
            <v>Prov. For Dev.(Oth)- Bangalor</v>
          </cell>
          <cell r="C207" t="str">
            <v>ASSET</v>
          </cell>
          <cell r="D207" t="str">
            <v>BALANCE SHEET</v>
          </cell>
          <cell r="E207">
            <v>0</v>
          </cell>
          <cell r="F207">
            <v>0</v>
          </cell>
          <cell r="G207" t="str">
            <v>CURRENT ASSETS, LOANS AND ADVANCES</v>
          </cell>
          <cell r="H207" t="str">
            <v>INVENTORIES</v>
          </cell>
          <cell r="I207" t="str">
            <v>WORK IN PROGRESS</v>
          </cell>
        </row>
        <row r="208">
          <cell r="A208" t="str">
            <v>A302401-000-002</v>
          </cell>
          <cell r="B208" t="str">
            <v>Prov. For Dev.(Oth)- GK 1 &amp; 2</v>
          </cell>
          <cell r="C208" t="str">
            <v>ASSET</v>
          </cell>
          <cell r="D208" t="str">
            <v>BALANCE SHEET</v>
          </cell>
          <cell r="E208">
            <v>0</v>
          </cell>
          <cell r="F208">
            <v>0</v>
          </cell>
          <cell r="G208" t="str">
            <v>CURRENT ASSETS, LOANS AND ADVANCES</v>
          </cell>
          <cell r="H208" t="str">
            <v>INVENTORIES</v>
          </cell>
          <cell r="I208" t="str">
            <v>WORK IN PROGRESS</v>
          </cell>
        </row>
        <row r="209">
          <cell r="A209" t="str">
            <v>A302401-000-003</v>
          </cell>
          <cell r="B209" t="str">
            <v>Prov. For Dev.(Oth)- Model Town</v>
          </cell>
          <cell r="C209" t="str">
            <v>ASSET</v>
          </cell>
          <cell r="D209" t="str">
            <v>BALANCE SHEET</v>
          </cell>
          <cell r="E209">
            <v>0</v>
          </cell>
          <cell r="F209">
            <v>0</v>
          </cell>
          <cell r="G209" t="str">
            <v>CURRENT ASSETS, LOANS AND ADVANCES</v>
          </cell>
          <cell r="H209" t="str">
            <v>INVENTORIES</v>
          </cell>
          <cell r="I209" t="str">
            <v>WORK IN PROGRESS</v>
          </cell>
        </row>
        <row r="210">
          <cell r="A210" t="str">
            <v>A302401-000-004</v>
          </cell>
          <cell r="B210" t="str">
            <v>Prov. For Dev.(Oth)- Temp. HUTMRNT Bnglr</v>
          </cell>
          <cell r="C210" t="str">
            <v>ASSET</v>
          </cell>
          <cell r="D210" t="str">
            <v>BALANCE SHEET</v>
          </cell>
          <cell r="E210">
            <v>0</v>
          </cell>
          <cell r="F210">
            <v>0</v>
          </cell>
          <cell r="G210" t="str">
            <v>CURRENT ASSETS, LOANS AND ADVANCES</v>
          </cell>
          <cell r="H210" t="str">
            <v>INVENTORIES</v>
          </cell>
          <cell r="I210" t="str">
            <v>WORK IN PROGRESS</v>
          </cell>
        </row>
        <row r="211">
          <cell r="A211" t="str">
            <v>A302401-000-005</v>
          </cell>
          <cell r="B211" t="str">
            <v>Prov. For Dev.(Oth)- ORCHARD TREE Plntn</v>
          </cell>
          <cell r="C211" t="str">
            <v>ASSET</v>
          </cell>
          <cell r="D211" t="str">
            <v>BALANCE SHEET</v>
          </cell>
          <cell r="E211">
            <v>0</v>
          </cell>
          <cell r="F211">
            <v>0</v>
          </cell>
          <cell r="G211" t="str">
            <v>CURRENT ASSETS, LOANS AND ADVANCES</v>
          </cell>
          <cell r="H211" t="str">
            <v>INVENTORIES</v>
          </cell>
          <cell r="I211" t="str">
            <v>WORK IN PROGRESS</v>
          </cell>
        </row>
        <row r="212">
          <cell r="A212" t="str">
            <v>A302401-000-006</v>
          </cell>
          <cell r="B212" t="str">
            <v>Prov. For Dev.(Oth)- Ankur Vihar</v>
          </cell>
          <cell r="C212" t="str">
            <v>ASSET</v>
          </cell>
          <cell r="D212" t="str">
            <v>BALANCE SHEET</v>
          </cell>
          <cell r="E212">
            <v>0</v>
          </cell>
          <cell r="F212">
            <v>0</v>
          </cell>
          <cell r="G212" t="str">
            <v>CURRENT ASSETS, LOANS AND ADVANCES</v>
          </cell>
          <cell r="H212" t="str">
            <v>INVENTORIES</v>
          </cell>
          <cell r="I212" t="str">
            <v>WORK IN PROGRESS</v>
          </cell>
        </row>
        <row r="213">
          <cell r="A213" t="str">
            <v>A302401-000-007</v>
          </cell>
          <cell r="B213" t="str">
            <v>Prov. For Dev.(Oth)- DG II</v>
          </cell>
          <cell r="C213" t="str">
            <v>ASSET</v>
          </cell>
          <cell r="D213" t="str">
            <v>BALANCE SHEET</v>
          </cell>
          <cell r="E213">
            <v>0</v>
          </cell>
          <cell r="F213">
            <v>0</v>
          </cell>
          <cell r="G213" t="str">
            <v>CURRENT ASSETS, LOANS AND ADVANCES</v>
          </cell>
          <cell r="H213" t="str">
            <v>INVENTORIES</v>
          </cell>
          <cell r="I213" t="str">
            <v>WORK IN PROGRESS</v>
          </cell>
        </row>
        <row r="214">
          <cell r="A214" t="str">
            <v>A302401-000-008</v>
          </cell>
          <cell r="B214" t="str">
            <v>Prov. For Dev.(Oth)- Faridabad Model Twn</v>
          </cell>
          <cell r="C214" t="str">
            <v>ASSET</v>
          </cell>
          <cell r="D214" t="str">
            <v>BALANCE SHEET</v>
          </cell>
          <cell r="E214">
            <v>0</v>
          </cell>
          <cell r="F214">
            <v>0</v>
          </cell>
          <cell r="G214" t="str">
            <v>CURRENT ASSETS, LOANS AND ADVANCES</v>
          </cell>
          <cell r="H214" t="str">
            <v>INVENTORIES</v>
          </cell>
          <cell r="I214" t="str">
            <v>WORK IN PROGRESS</v>
          </cell>
        </row>
        <row r="215">
          <cell r="A215" t="str">
            <v>A302402-000-000</v>
          </cell>
          <cell r="B215" t="str">
            <v>Prov. For Dev.(Qe)</v>
          </cell>
          <cell r="C215" t="str">
            <v>ASSET</v>
          </cell>
          <cell r="D215" t="str">
            <v>BALANCE SHEET</v>
          </cell>
          <cell r="E215">
            <v>0</v>
          </cell>
          <cell r="F215">
            <v>0</v>
          </cell>
          <cell r="G215" t="str">
            <v>CURRENT ASSETS, LOANS AND ADVANCES</v>
          </cell>
          <cell r="H215" t="str">
            <v>INVENTORIES</v>
          </cell>
          <cell r="I215" t="str">
            <v>WORK IN PROGRESS</v>
          </cell>
        </row>
        <row r="216">
          <cell r="A216" t="str">
            <v>A302402-000-017</v>
          </cell>
          <cell r="B216" t="str">
            <v>Prov. For Dev.(Qe)- Qutab Enclave 4</v>
          </cell>
          <cell r="C216" t="str">
            <v>ASSET</v>
          </cell>
          <cell r="D216" t="str">
            <v>BALANCE SHEET</v>
          </cell>
          <cell r="E216">
            <v>0</v>
          </cell>
          <cell r="F216">
            <v>0</v>
          </cell>
          <cell r="G216" t="str">
            <v>CURRENT ASSETS, LOANS AND ADVANCES</v>
          </cell>
          <cell r="H216" t="str">
            <v>INVENTORIES</v>
          </cell>
          <cell r="I216" t="str">
            <v>WORK IN PROGRESS</v>
          </cell>
        </row>
        <row r="217">
          <cell r="A217" t="str">
            <v>A302402-000-018</v>
          </cell>
          <cell r="B217" t="str">
            <v>Prov. For Dev.(Qe)- Qutab Enclave 5</v>
          </cell>
          <cell r="C217" t="str">
            <v>ASSET</v>
          </cell>
          <cell r="D217" t="str">
            <v>BALANCE SHEET</v>
          </cell>
          <cell r="E217">
            <v>0</v>
          </cell>
          <cell r="F217">
            <v>0</v>
          </cell>
          <cell r="G217" t="str">
            <v>CURRENT ASSETS, LOANS AND ADVANCES</v>
          </cell>
          <cell r="H217" t="str">
            <v>INVENTORIES</v>
          </cell>
          <cell r="I217" t="str">
            <v>WORK IN PROGRESS</v>
          </cell>
        </row>
        <row r="218">
          <cell r="A218" t="str">
            <v>A302402-000-066</v>
          </cell>
          <cell r="B218" t="str">
            <v>Prov. For Dev.(Qe)- Green Valley (Const)</v>
          </cell>
          <cell r="C218" t="str">
            <v>ASSET</v>
          </cell>
          <cell r="D218" t="str">
            <v>BALANCE SHEET</v>
          </cell>
          <cell r="E218">
            <v>0</v>
          </cell>
          <cell r="F218">
            <v>0</v>
          </cell>
          <cell r="G218" t="str">
            <v>CURRENT ASSETS, LOANS AND ADVANCES</v>
          </cell>
          <cell r="H218" t="str">
            <v>INVENTORIES</v>
          </cell>
          <cell r="I218" t="str">
            <v>WORK IN PROGRESS</v>
          </cell>
        </row>
        <row r="219">
          <cell r="A219" t="str">
            <v>A302402-000-109</v>
          </cell>
          <cell r="B219" t="str">
            <v>Prov. For Dev.(Qe)- Qutab Enclave</v>
          </cell>
          <cell r="C219" t="str">
            <v>ASSET</v>
          </cell>
          <cell r="D219" t="str">
            <v>BALANCE SHEET</v>
          </cell>
          <cell r="E219">
            <v>0</v>
          </cell>
          <cell r="F219">
            <v>0</v>
          </cell>
          <cell r="G219" t="str">
            <v>CURRENT ASSETS, LOANS AND ADVANCES</v>
          </cell>
          <cell r="H219" t="str">
            <v>INVENTORIES</v>
          </cell>
          <cell r="I219" t="str">
            <v>WORK IN PROGRESS</v>
          </cell>
        </row>
        <row r="220">
          <cell r="A220" t="str">
            <v>A302402-000-111</v>
          </cell>
          <cell r="B220" t="str">
            <v>Prov. For Dev.(Qe)- Cyber City I</v>
          </cell>
          <cell r="C220" t="str">
            <v>ASSET</v>
          </cell>
          <cell r="D220" t="str">
            <v>BALANCE SHEET</v>
          </cell>
          <cell r="E220">
            <v>0</v>
          </cell>
          <cell r="F220">
            <v>0</v>
          </cell>
          <cell r="G220" t="str">
            <v>CURRENT ASSETS, LOANS AND ADVANCES</v>
          </cell>
          <cell r="H220" t="str">
            <v>INVENTORIES</v>
          </cell>
          <cell r="I220" t="str">
            <v>WORK IN PROGRESS</v>
          </cell>
        </row>
        <row r="221">
          <cell r="A221" t="str">
            <v>A302403</v>
          </cell>
          <cell r="B221" t="str">
            <v>Development / Construction material</v>
          </cell>
          <cell r="C221" t="str">
            <v>ASSET</v>
          </cell>
          <cell r="D221" t="str">
            <v>BALANCE SHEET</v>
          </cell>
          <cell r="E221">
            <v>0</v>
          </cell>
          <cell r="F221">
            <v>0</v>
          </cell>
          <cell r="G221" t="str">
            <v>CURRENT ASSETS, LOANS AND ADVANCES</v>
          </cell>
          <cell r="H221" t="str">
            <v>INVENTORIES</v>
          </cell>
          <cell r="I221" t="str">
            <v>WORK IN PROGRESS</v>
          </cell>
        </row>
        <row r="222">
          <cell r="A222" t="str">
            <v>A302501</v>
          </cell>
          <cell r="B222" t="str">
            <v>Work In Progress- Plant &amp; Machinery</v>
          </cell>
          <cell r="C222" t="str">
            <v>ASSET</v>
          </cell>
          <cell r="D222" t="str">
            <v>BALANCE SHEET</v>
          </cell>
          <cell r="E222">
            <v>0</v>
          </cell>
          <cell r="F222">
            <v>0</v>
          </cell>
          <cell r="G222" t="str">
            <v>CURRENT ASSETS, LOANS AND ADVANCES</v>
          </cell>
          <cell r="H222" t="str">
            <v>INVENTORIES</v>
          </cell>
          <cell r="I222" t="str">
            <v>WORK IN PROGRESS</v>
          </cell>
        </row>
        <row r="223">
          <cell r="A223" t="str">
            <v>A302601</v>
          </cell>
          <cell r="B223" t="str">
            <v>Secured advances for  construction</v>
          </cell>
          <cell r="C223" t="str">
            <v>ASSET</v>
          </cell>
          <cell r="D223" t="str">
            <v>BALANCE SHEET</v>
          </cell>
          <cell r="E223">
            <v>0</v>
          </cell>
          <cell r="F223">
            <v>0</v>
          </cell>
          <cell r="G223" t="str">
            <v>CURRENT ASSETS, LOANS AND ADVANCES</v>
          </cell>
          <cell r="H223" t="str">
            <v>INVENTORIES</v>
          </cell>
          <cell r="I223" t="str">
            <v>WORK IN PROGRESS</v>
          </cell>
        </row>
        <row r="224">
          <cell r="A224" t="str">
            <v>A302701</v>
          </cell>
          <cell r="B224" t="str">
            <v>Scrutiny Fees</v>
          </cell>
          <cell r="C224" t="str">
            <v>ASSET</v>
          </cell>
          <cell r="D224" t="str">
            <v>BALANCE SHEET</v>
          </cell>
          <cell r="E224">
            <v>0</v>
          </cell>
          <cell r="F224">
            <v>0</v>
          </cell>
          <cell r="G224" t="str">
            <v>CURRENT ASSETS, LOANS AND ADVANCES</v>
          </cell>
          <cell r="H224" t="str">
            <v>INVENTORIES</v>
          </cell>
          <cell r="I224" t="str">
            <v>WORK IN PROGRESS</v>
          </cell>
        </row>
        <row r="225">
          <cell r="A225" t="str">
            <v>A303001</v>
          </cell>
          <cell r="B225" t="str">
            <v>Material -Imported</v>
          </cell>
          <cell r="C225" t="str">
            <v>ASSET</v>
          </cell>
          <cell r="D225" t="str">
            <v>BALANCE SHEET</v>
          </cell>
          <cell r="E225">
            <v>0</v>
          </cell>
          <cell r="F225">
            <v>0</v>
          </cell>
          <cell r="G225" t="str">
            <v>CURRENT ASSETS, LOANS AND ADVANCES</v>
          </cell>
          <cell r="H225" t="str">
            <v>INVENTORIES</v>
          </cell>
          <cell r="I225" t="str">
            <v>RAW MATERIALS</v>
          </cell>
        </row>
        <row r="226">
          <cell r="A226" t="str">
            <v>A303002</v>
          </cell>
          <cell r="B226" t="str">
            <v>Material At Site</v>
          </cell>
          <cell r="C226" t="str">
            <v>ASSET</v>
          </cell>
          <cell r="D226" t="str">
            <v>BALANCE SHEET</v>
          </cell>
          <cell r="E226">
            <v>0</v>
          </cell>
          <cell r="F226">
            <v>0</v>
          </cell>
          <cell r="G226" t="str">
            <v>CURRENT ASSETS, LOANS AND ADVANCES</v>
          </cell>
          <cell r="H226" t="str">
            <v>INVENTORIES</v>
          </cell>
          <cell r="I226" t="str">
            <v>RAW MATERIALS</v>
          </cell>
        </row>
        <row r="227">
          <cell r="A227" t="str">
            <v>A303003</v>
          </cell>
          <cell r="B227" t="str">
            <v>Material With Processors</v>
          </cell>
          <cell r="C227" t="str">
            <v>ASSET</v>
          </cell>
          <cell r="D227" t="str">
            <v>BALANCE SHEET</v>
          </cell>
          <cell r="E227">
            <v>0</v>
          </cell>
          <cell r="F227">
            <v>0</v>
          </cell>
          <cell r="G227" t="str">
            <v>CURRENT ASSETS, LOANS AND ADVANCES</v>
          </cell>
          <cell r="H227" t="str">
            <v>INVENTORIES</v>
          </cell>
          <cell r="I227" t="str">
            <v>RAW MATERIALS</v>
          </cell>
        </row>
        <row r="228">
          <cell r="A228" t="str">
            <v>A303004</v>
          </cell>
          <cell r="B228" t="str">
            <v>Material In Transit</v>
          </cell>
          <cell r="C228" t="str">
            <v>ASSET</v>
          </cell>
          <cell r="D228" t="str">
            <v>BALANCE SHEET</v>
          </cell>
          <cell r="E228">
            <v>0</v>
          </cell>
          <cell r="F228">
            <v>0</v>
          </cell>
          <cell r="G228" t="str">
            <v>CURRENT ASSETS, LOANS AND ADVANCES</v>
          </cell>
          <cell r="H228" t="str">
            <v>INVENTORIES</v>
          </cell>
          <cell r="I228" t="str">
            <v>STOCK IN TRANSIT</v>
          </cell>
        </row>
        <row r="229">
          <cell r="A229" t="str">
            <v>A303005</v>
          </cell>
          <cell r="B229" t="str">
            <v>Material At Close</v>
          </cell>
          <cell r="C229" t="str">
            <v>ASSET</v>
          </cell>
          <cell r="D229" t="str">
            <v>BALANCE SHEET</v>
          </cell>
          <cell r="E229">
            <v>0</v>
          </cell>
          <cell r="F229">
            <v>0</v>
          </cell>
          <cell r="G229" t="str">
            <v>CURRENT ASSETS, LOANS AND ADVANCES</v>
          </cell>
          <cell r="H229" t="str">
            <v>INVENTORIES</v>
          </cell>
          <cell r="I229" t="str">
            <v>FINISHED GOODS</v>
          </cell>
        </row>
        <row r="230">
          <cell r="A230" t="str">
            <v>A303999</v>
          </cell>
          <cell r="B230" t="str">
            <v>Stock Suspense</v>
          </cell>
          <cell r="C230" t="str">
            <v>ASSET</v>
          </cell>
          <cell r="D230" t="str">
            <v>BALANCE SHEET</v>
          </cell>
          <cell r="E230">
            <v>0</v>
          </cell>
          <cell r="F230" t="str">
            <v>STOCK SUSPENSE</v>
          </cell>
          <cell r="G230" t="str">
            <v>CURRENT ASSETS, LOANS AND ADVANCES</v>
          </cell>
          <cell r="H230" t="str">
            <v>INVENTORIES</v>
          </cell>
          <cell r="I230" t="str">
            <v>STOCK IN TRANSIT</v>
          </cell>
        </row>
        <row r="231">
          <cell r="A231" t="str">
            <v>A304001</v>
          </cell>
          <cell r="B231" t="str">
            <v>Land- Stock</v>
          </cell>
          <cell r="C231" t="str">
            <v>ASSET</v>
          </cell>
          <cell r="D231" t="str">
            <v>BALANCE SHEET</v>
          </cell>
          <cell r="E231">
            <v>0</v>
          </cell>
          <cell r="F231">
            <v>0</v>
          </cell>
          <cell r="G231" t="str">
            <v>CURRENT ASSETS, LOANS AND ADVANCES</v>
          </cell>
          <cell r="H231" t="str">
            <v>INVENTORIES</v>
          </cell>
          <cell r="I231" t="str">
            <v>FINISHED GOODS</v>
          </cell>
        </row>
        <row r="232">
          <cell r="A232" t="str">
            <v>A304002</v>
          </cell>
          <cell r="B232" t="str">
            <v>Devleloped Plots</v>
          </cell>
          <cell r="C232" t="str">
            <v>ASSET</v>
          </cell>
          <cell r="D232" t="str">
            <v>BALANCE SHEET</v>
          </cell>
          <cell r="E232">
            <v>0</v>
          </cell>
          <cell r="F232">
            <v>0</v>
          </cell>
          <cell r="G232" t="str">
            <v>CURRENT ASSETS, LOANS AND ADVANCES</v>
          </cell>
          <cell r="H232" t="str">
            <v>INVENTORIES</v>
          </cell>
          <cell r="I232" t="str">
            <v>FINISHED GOODS</v>
          </cell>
        </row>
        <row r="233">
          <cell r="A233" t="str">
            <v>A304003</v>
          </cell>
          <cell r="B233" t="str">
            <v>Constructed Properties</v>
          </cell>
          <cell r="C233" t="str">
            <v>ASSET</v>
          </cell>
          <cell r="D233" t="str">
            <v>BALANCE SHEET</v>
          </cell>
          <cell r="E233">
            <v>0</v>
          </cell>
          <cell r="F233">
            <v>0</v>
          </cell>
          <cell r="G233" t="str">
            <v>CURRENT ASSETS, LOANS AND ADVANCES</v>
          </cell>
          <cell r="H233" t="str">
            <v>INVENTORIES</v>
          </cell>
          <cell r="I233" t="str">
            <v>FINISHED GOODS</v>
          </cell>
        </row>
        <row r="234">
          <cell r="A234" t="str">
            <v>A304004</v>
          </cell>
          <cell r="B234" t="str">
            <v>Rented Buildings (Leasehold)</v>
          </cell>
          <cell r="C234" t="str">
            <v>ASSET</v>
          </cell>
          <cell r="D234" t="str">
            <v>BALANCE SHEET</v>
          </cell>
          <cell r="E234">
            <v>0</v>
          </cell>
          <cell r="F234">
            <v>0</v>
          </cell>
          <cell r="G234" t="str">
            <v>CURRENT ASSETS, LOANS AND ADVANCES</v>
          </cell>
          <cell r="H234" t="str">
            <v>INVENTORIES</v>
          </cell>
          <cell r="I234" t="str">
            <v>FINISHED GOODS</v>
          </cell>
        </row>
        <row r="235">
          <cell r="A235" t="str">
            <v>A304005</v>
          </cell>
          <cell r="B235" t="str">
            <v>Rented Buildings (Free Hold)</v>
          </cell>
          <cell r="C235" t="str">
            <v>ASSET</v>
          </cell>
          <cell r="D235" t="str">
            <v>BALANCE SHEET</v>
          </cell>
          <cell r="E235">
            <v>0</v>
          </cell>
          <cell r="F235">
            <v>0</v>
          </cell>
          <cell r="G235" t="str">
            <v>CURRENT ASSETS, LOANS AND ADVANCES</v>
          </cell>
          <cell r="H235" t="str">
            <v>INVENTORIES</v>
          </cell>
          <cell r="I235" t="str">
            <v>FINISHED GOODS</v>
          </cell>
        </row>
        <row r="236">
          <cell r="A236" t="str">
            <v>A304006</v>
          </cell>
          <cell r="B236" t="str">
            <v>Finished Goods (Others)</v>
          </cell>
          <cell r="C236" t="str">
            <v>ASSET</v>
          </cell>
          <cell r="D236" t="str">
            <v>BALANCE SHEET</v>
          </cell>
          <cell r="E236">
            <v>0</v>
          </cell>
          <cell r="F236">
            <v>0</v>
          </cell>
          <cell r="G236" t="str">
            <v>CURRENT ASSETS, LOANS AND ADVANCES</v>
          </cell>
          <cell r="H236" t="str">
            <v>INVENTORIES</v>
          </cell>
          <cell r="I236" t="str">
            <v>FINISHED GOODS</v>
          </cell>
        </row>
        <row r="237">
          <cell r="A237" t="str">
            <v>A304007</v>
          </cell>
          <cell r="B237" t="str">
            <v>Stock of Shares &amp; Debentures</v>
          </cell>
          <cell r="C237" t="str">
            <v>ASSET</v>
          </cell>
          <cell r="D237" t="str">
            <v>BALANCE SHEET</v>
          </cell>
          <cell r="E237">
            <v>0</v>
          </cell>
          <cell r="F237">
            <v>0</v>
          </cell>
          <cell r="G237" t="str">
            <v>CURRENT ASSETS, LOANS AND ADVANCES</v>
          </cell>
          <cell r="H237" t="str">
            <v>INVENTORIES</v>
          </cell>
          <cell r="I237" t="str">
            <v>FINISHED GOODS</v>
          </cell>
        </row>
        <row r="238">
          <cell r="A238" t="str">
            <v>A304008</v>
          </cell>
          <cell r="B238" t="str">
            <v>Stock A/c</v>
          </cell>
          <cell r="C238" t="str">
            <v>ASSET</v>
          </cell>
          <cell r="D238" t="str">
            <v>BALANCE SHEET</v>
          </cell>
          <cell r="E238">
            <v>0</v>
          </cell>
          <cell r="F238">
            <v>0</v>
          </cell>
          <cell r="G238" t="str">
            <v>CURRENT ASSETS, LOANS AND ADVANCES</v>
          </cell>
          <cell r="H238" t="str">
            <v>INVENTORIES</v>
          </cell>
          <cell r="I238" t="str">
            <v>FINISHED GOODS</v>
          </cell>
        </row>
        <row r="239">
          <cell r="A239" t="str">
            <v>A305001</v>
          </cell>
          <cell r="B239" t="str">
            <v>Ernst mny/part pymt to pur land/cons pro</v>
          </cell>
          <cell r="C239" t="str">
            <v>ASSET</v>
          </cell>
          <cell r="D239" t="str">
            <v>BALANCE SHEET</v>
          </cell>
          <cell r="E239">
            <v>0</v>
          </cell>
          <cell r="F239">
            <v>0</v>
          </cell>
          <cell r="G239" t="str">
            <v>CURRENT ASSETS, LOANS AND ADVANCES</v>
          </cell>
          <cell r="H239" t="str">
            <v>INVENTORIES</v>
          </cell>
          <cell r="I239" t="str">
            <v>EARNEST MONEY PAID</v>
          </cell>
        </row>
        <row r="240">
          <cell r="A240" t="str">
            <v>A305002</v>
          </cell>
          <cell r="B240" t="str">
            <v>Earnst Mny paid undr agrmnt for dev rght</v>
          </cell>
          <cell r="C240" t="str">
            <v>ASSET</v>
          </cell>
          <cell r="D240" t="str">
            <v>BALANCE SHEET</v>
          </cell>
          <cell r="E240">
            <v>0</v>
          </cell>
          <cell r="F240">
            <v>0</v>
          </cell>
          <cell r="G240" t="str">
            <v>CURRENT ASSETS, LOANS AND ADVANCES</v>
          </cell>
          <cell r="H240" t="str">
            <v>INVENTORIES</v>
          </cell>
          <cell r="I240" t="str">
            <v>EARNEST MONEY PAID</v>
          </cell>
        </row>
        <row r="241">
          <cell r="A241" t="str">
            <v>A306001</v>
          </cell>
          <cell r="B241" t="str">
            <v>Land Purchase- Pending Adjustme</v>
          </cell>
          <cell r="C241" t="str">
            <v>ASSET</v>
          </cell>
          <cell r="D241" t="str">
            <v>BALANCE SHEET</v>
          </cell>
          <cell r="E241">
            <v>0</v>
          </cell>
          <cell r="F241">
            <v>0</v>
          </cell>
          <cell r="G241" t="str">
            <v>CURRENT ASSETS, LOANS AND ADVANCES</v>
          </cell>
          <cell r="H241" t="str">
            <v>INVENTORIES</v>
          </cell>
          <cell r="I241" t="str">
            <v>EARNEST MONEY PAID</v>
          </cell>
        </row>
        <row r="242">
          <cell r="A242" t="str">
            <v>A306002</v>
          </cell>
          <cell r="B242" t="str">
            <v>Land Purchase</v>
          </cell>
          <cell r="C242" t="str">
            <v>ASSET</v>
          </cell>
          <cell r="D242" t="str">
            <v>BALANCE SHEET</v>
          </cell>
          <cell r="E242">
            <v>0</v>
          </cell>
          <cell r="F242">
            <v>0</v>
          </cell>
          <cell r="G242" t="str">
            <v>CURRENT ASSETS, LOANS AND ADVANCES</v>
          </cell>
          <cell r="H242" t="str">
            <v>INVENTORIES</v>
          </cell>
          <cell r="I242" t="str">
            <v>EARNEST MONEY PAID</v>
          </cell>
        </row>
        <row r="243">
          <cell r="A243" t="str">
            <v>A307001</v>
          </cell>
          <cell r="B243" t="str">
            <v>Amount Pyble-Rented Prop Land</v>
          </cell>
          <cell r="C243" t="str">
            <v>ASSET</v>
          </cell>
          <cell r="D243" t="str">
            <v>BALANCE SHEET</v>
          </cell>
          <cell r="E243">
            <v>0</v>
          </cell>
          <cell r="F243">
            <v>0</v>
          </cell>
          <cell r="G243" t="str">
            <v>CURRENT ASSETS, LOANS AND ADVANCES</v>
          </cell>
          <cell r="H243" t="str">
            <v>INVENTORIES</v>
          </cell>
          <cell r="I243" t="str">
            <v>EARNEST MONEY PAID</v>
          </cell>
        </row>
        <row r="244">
          <cell r="A244" t="str">
            <v>A401001</v>
          </cell>
          <cell r="B244" t="str">
            <v>Sundry Debtors Secured</v>
          </cell>
          <cell r="C244" t="str">
            <v>ASSET</v>
          </cell>
          <cell r="D244" t="str">
            <v>BALANCE SHEET</v>
          </cell>
          <cell r="E244">
            <v>0</v>
          </cell>
          <cell r="F244">
            <v>0</v>
          </cell>
          <cell r="G244" t="str">
            <v>CURRENT ASSETS, LOANS AND ADVANCES</v>
          </cell>
          <cell r="H244" t="str">
            <v>SUNDRY DEBTORS</v>
          </cell>
          <cell r="I244" t="str">
            <v>SUNDRY DEBTORS</v>
          </cell>
        </row>
        <row r="245">
          <cell r="A245" t="str">
            <v>A401002</v>
          </cell>
          <cell r="B245" t="str">
            <v>Sundry Debtors (Group Companies)</v>
          </cell>
          <cell r="C245" t="str">
            <v>ASSET</v>
          </cell>
          <cell r="D245" t="str">
            <v>BALANCE SHEET</v>
          </cell>
          <cell r="E245">
            <v>0</v>
          </cell>
          <cell r="F245">
            <v>0</v>
          </cell>
          <cell r="G245" t="str">
            <v>CURRENT ASSETS, LOANS AND ADVANCES</v>
          </cell>
          <cell r="H245" t="str">
            <v>SUNDRY DEBTORS</v>
          </cell>
          <cell r="I245" t="str">
            <v>SUNDRY DEBTORS</v>
          </cell>
        </row>
        <row r="246">
          <cell r="A246" t="str">
            <v>A401003</v>
          </cell>
          <cell r="B246" t="str">
            <v>Sundry Debtors (Third Parties)</v>
          </cell>
          <cell r="C246" t="str">
            <v>ASSET</v>
          </cell>
          <cell r="D246" t="str">
            <v>BALANCE SHEET</v>
          </cell>
          <cell r="E246" t="str">
            <v>CUSTOMER RECEIVABLE A/C</v>
          </cell>
          <cell r="F246">
            <v>0</v>
          </cell>
          <cell r="G246" t="str">
            <v>CURRENT ASSETS, LOANS AND ADVANCES</v>
          </cell>
          <cell r="H246" t="str">
            <v>SUNDRY DEBTORS</v>
          </cell>
          <cell r="I246" t="str">
            <v>SUNDRY DEBTORS</v>
          </cell>
        </row>
        <row r="247">
          <cell r="A247" t="str">
            <v>A401101</v>
          </cell>
          <cell r="B247" t="str">
            <v>Other Debtors</v>
          </cell>
          <cell r="C247" t="str">
            <v>ASSET</v>
          </cell>
          <cell r="D247" t="str">
            <v>BALANCE SHEET</v>
          </cell>
          <cell r="E247">
            <v>0</v>
          </cell>
          <cell r="F247">
            <v>0</v>
          </cell>
          <cell r="G247" t="str">
            <v>CURRENT ASSETS, LOANS AND ADVANCES</v>
          </cell>
          <cell r="H247" t="str">
            <v>SUNDRY DEBTORS</v>
          </cell>
          <cell r="I247" t="str">
            <v>SUNDRY DEBTORS</v>
          </cell>
        </row>
        <row r="248">
          <cell r="A248" t="str">
            <v>A401201</v>
          </cell>
          <cell r="B248" t="str">
            <v>Debtors For Scrap</v>
          </cell>
          <cell r="C248" t="str">
            <v>ASSET</v>
          </cell>
          <cell r="D248" t="str">
            <v>BALANCE SHEET</v>
          </cell>
          <cell r="E248">
            <v>0</v>
          </cell>
          <cell r="F248">
            <v>0</v>
          </cell>
          <cell r="G248" t="str">
            <v>CURRENT ASSETS, LOANS AND ADVANCES</v>
          </cell>
          <cell r="H248" t="str">
            <v>SUNDRY DEBTORS</v>
          </cell>
          <cell r="I248" t="str">
            <v>SUNDRY DEBTORS</v>
          </cell>
        </row>
        <row r="249">
          <cell r="A249" t="str">
            <v>A401301</v>
          </cell>
          <cell r="B249" t="str">
            <v>Sundry Debtors - Electricity</v>
          </cell>
          <cell r="C249" t="str">
            <v>ASSET</v>
          </cell>
          <cell r="D249" t="str">
            <v>BALANCE SHEET</v>
          </cell>
          <cell r="E249">
            <v>0</v>
          </cell>
          <cell r="F249">
            <v>0</v>
          </cell>
          <cell r="G249" t="str">
            <v>CURRENT ASSETS, LOANS AND ADVANCES</v>
          </cell>
          <cell r="H249" t="str">
            <v>SUNDRY DEBTORS</v>
          </cell>
          <cell r="I249" t="str">
            <v>SUNDRY DEBTORS</v>
          </cell>
        </row>
        <row r="250">
          <cell r="A250" t="str">
            <v>A401302</v>
          </cell>
          <cell r="B250" t="str">
            <v>Sun. Debtors-Add Maint.</v>
          </cell>
          <cell r="C250" t="str">
            <v>ASSET</v>
          </cell>
          <cell r="D250" t="str">
            <v>BALANCE SHEET</v>
          </cell>
          <cell r="E250">
            <v>0</v>
          </cell>
          <cell r="F250">
            <v>0</v>
          </cell>
          <cell r="G250" t="str">
            <v>CURRENT ASSETS, LOANS AND ADVANCES</v>
          </cell>
          <cell r="H250" t="str">
            <v>SUNDRY DEBTORS</v>
          </cell>
          <cell r="I250" t="str">
            <v>SUNDRY DEBTORS</v>
          </cell>
        </row>
        <row r="251">
          <cell r="A251" t="str">
            <v>A401303</v>
          </cell>
          <cell r="B251" t="str">
            <v>Sundry Debtors-Promotions</v>
          </cell>
          <cell r="C251" t="str">
            <v>ASSET</v>
          </cell>
          <cell r="D251" t="str">
            <v>BALANCE SHEET</v>
          </cell>
          <cell r="E251">
            <v>0</v>
          </cell>
          <cell r="F251">
            <v>0</v>
          </cell>
          <cell r="G251" t="str">
            <v>CURRENT ASSETS, LOANS AND ADVANCES</v>
          </cell>
          <cell r="H251" t="str">
            <v>SUNDRY DEBTORS</v>
          </cell>
          <cell r="I251" t="str">
            <v>SUNDRY DEBTORS</v>
          </cell>
        </row>
        <row r="252">
          <cell r="A252" t="str">
            <v>A401304</v>
          </cell>
          <cell r="B252" t="str">
            <v>Sundry Debtors-Circulation</v>
          </cell>
          <cell r="C252" t="str">
            <v>ASSET</v>
          </cell>
          <cell r="D252" t="str">
            <v>BALANCE SHEET</v>
          </cell>
          <cell r="E252">
            <v>0</v>
          </cell>
          <cell r="F252">
            <v>0</v>
          </cell>
          <cell r="G252" t="str">
            <v>CURRENT ASSETS, LOANS AND ADVANCES</v>
          </cell>
          <cell r="H252" t="str">
            <v>SUNDRY DEBTORS</v>
          </cell>
          <cell r="I252" t="str">
            <v>SUNDRY DEBTORS</v>
          </cell>
        </row>
        <row r="253">
          <cell r="A253" t="str">
            <v>A401305</v>
          </cell>
          <cell r="B253" t="str">
            <v>Subscription Receivable</v>
          </cell>
          <cell r="C253" t="str">
            <v>ASSET</v>
          </cell>
          <cell r="D253" t="str">
            <v>BALANCE SHEET</v>
          </cell>
          <cell r="E253">
            <v>0</v>
          </cell>
          <cell r="F253">
            <v>0</v>
          </cell>
          <cell r="G253" t="str">
            <v>CURRENT ASSETS, LOANS AND ADVANCES</v>
          </cell>
          <cell r="H253" t="str">
            <v>SUNDRY DEBTORS</v>
          </cell>
          <cell r="I253" t="str">
            <v>SUNDRY DEBTORS</v>
          </cell>
        </row>
        <row r="254">
          <cell r="A254" t="str">
            <v>A401401</v>
          </cell>
          <cell r="B254" t="str">
            <v>Service Tax Receivable - Customers</v>
          </cell>
          <cell r="C254" t="str">
            <v>ASSET</v>
          </cell>
          <cell r="D254" t="str">
            <v>BALANCE SHEET</v>
          </cell>
          <cell r="E254">
            <v>0</v>
          </cell>
          <cell r="F254">
            <v>0</v>
          </cell>
          <cell r="G254" t="str">
            <v>CURRENT ASSETS, LOANS AND ADVANCES</v>
          </cell>
          <cell r="H254" t="str">
            <v>SUNDRY DEBTORS</v>
          </cell>
          <cell r="I254" t="str">
            <v>SUNDRY DEBTORS</v>
          </cell>
        </row>
        <row r="255">
          <cell r="A255" t="str">
            <v>A401402</v>
          </cell>
          <cell r="B255" t="str">
            <v>SERVICE TAX SUPPLIERS (PROV. PAYABLE)</v>
          </cell>
          <cell r="C255" t="str">
            <v>ASSET</v>
          </cell>
          <cell r="D255" t="str">
            <v>BALANCE SHEET</v>
          </cell>
          <cell r="E255" t="str">
            <v>INPUTTAX</v>
          </cell>
          <cell r="F255">
            <v>0</v>
          </cell>
          <cell r="G255" t="str">
            <v>CURRENT ASSETS, LOANS AND ADVANCES</v>
          </cell>
          <cell r="H255" t="str">
            <v>SUNDRY DEBTORS</v>
          </cell>
          <cell r="I255" t="str">
            <v>SUNDRY DEBTORS</v>
          </cell>
        </row>
        <row r="256">
          <cell r="A256" t="str">
            <v>A401403</v>
          </cell>
          <cell r="B256" t="str">
            <v>SERVICE TAX SUPPLIERS (ACTU. PAYABLE)</v>
          </cell>
          <cell r="C256" t="str">
            <v>ASSET</v>
          </cell>
          <cell r="D256" t="str">
            <v>BALANCE SHEET</v>
          </cell>
          <cell r="E256" t="str">
            <v>INPUTTAX</v>
          </cell>
          <cell r="F256">
            <v>0</v>
          </cell>
          <cell r="G256" t="str">
            <v>CURRENT ASSETS, LOANS AND ADVANCES</v>
          </cell>
          <cell r="H256" t="str">
            <v>SUNDRY DEBTORS</v>
          </cell>
          <cell r="I256" t="str">
            <v>SUNDRY DEBTORS</v>
          </cell>
        </row>
        <row r="257">
          <cell r="A257" t="str">
            <v>A401404</v>
          </cell>
          <cell r="B257" t="str">
            <v>Cenvat Receivable on Service Tax</v>
          </cell>
          <cell r="C257" t="str">
            <v>ASSET</v>
          </cell>
          <cell r="D257" t="str">
            <v>BALANCE SHEET</v>
          </cell>
          <cell r="E257">
            <v>0</v>
          </cell>
          <cell r="F257">
            <v>0</v>
          </cell>
          <cell r="G257" t="str">
            <v>CURRENT ASSETS, LOANS AND ADVANCES</v>
          </cell>
          <cell r="H257" t="str">
            <v>SUNDRY DEBTORS</v>
          </cell>
          <cell r="I257" t="str">
            <v>SUNDRY DEBTORS</v>
          </cell>
        </row>
        <row r="258">
          <cell r="A258" t="str">
            <v>A401405</v>
          </cell>
          <cell r="B258" t="str">
            <v>Cenvat Receivable on Edu. Cess</v>
          </cell>
          <cell r="C258" t="str">
            <v>ASSET</v>
          </cell>
          <cell r="D258" t="str">
            <v>BALANCE SHEET</v>
          </cell>
          <cell r="E258">
            <v>0</v>
          </cell>
          <cell r="F258">
            <v>0</v>
          </cell>
          <cell r="G258" t="str">
            <v>CURRENT ASSETS, LOANS AND ADVANCES</v>
          </cell>
          <cell r="H258" t="str">
            <v>SUNDRY DEBTORS</v>
          </cell>
          <cell r="I258" t="str">
            <v>SUNDRY DEBTORS</v>
          </cell>
        </row>
        <row r="259">
          <cell r="A259" t="str">
            <v>A401406</v>
          </cell>
          <cell r="B259" t="str">
            <v>Cenvat Receivable on S &amp; HE Cess</v>
          </cell>
          <cell r="C259" t="str">
            <v>ASSET</v>
          </cell>
          <cell r="D259" t="str">
            <v>BALANCE SHEET</v>
          </cell>
          <cell r="E259">
            <v>0</v>
          </cell>
          <cell r="F259">
            <v>0</v>
          </cell>
          <cell r="G259" t="str">
            <v>CURRENT ASSETS, LOANS AND ADVANCES</v>
          </cell>
          <cell r="H259" t="str">
            <v>SUNDRY DEBTORS</v>
          </cell>
          <cell r="I259" t="str">
            <v>SUNDRY DEBTORS</v>
          </cell>
        </row>
        <row r="260">
          <cell r="A260" t="str">
            <v>A401407</v>
          </cell>
          <cell r="B260" t="str">
            <v>Consolidated Input Tax (Service Tax)</v>
          </cell>
          <cell r="C260" t="str">
            <v>ASSET</v>
          </cell>
          <cell r="D260" t="str">
            <v>BALANCE SHEET</v>
          </cell>
          <cell r="E260">
            <v>0</v>
          </cell>
          <cell r="F260">
            <v>0</v>
          </cell>
          <cell r="G260" t="str">
            <v>CURRENT ASSETS, LOANS AND ADVANCES</v>
          </cell>
          <cell r="H260" t="str">
            <v>SUNDRY DEBTORS</v>
          </cell>
          <cell r="I260" t="str">
            <v>SUNDRY DEBTORS</v>
          </cell>
        </row>
        <row r="261">
          <cell r="A261" t="str">
            <v>A401408</v>
          </cell>
          <cell r="B261" t="str">
            <v>Education Cess - Rentals</v>
          </cell>
          <cell r="C261" t="str">
            <v>ASSET</v>
          </cell>
          <cell r="D261" t="str">
            <v>BALANCE SHEET</v>
          </cell>
          <cell r="E261">
            <v>0</v>
          </cell>
          <cell r="F261">
            <v>0</v>
          </cell>
          <cell r="G261" t="str">
            <v>CURRENT ASSETS, LOANS AND ADVANCES</v>
          </cell>
          <cell r="H261" t="str">
            <v>SUNDRY DEBTORS</v>
          </cell>
          <cell r="I261" t="str">
            <v>SUNDRY DEBTORS</v>
          </cell>
        </row>
        <row r="262">
          <cell r="A262" t="str">
            <v>A401409</v>
          </cell>
          <cell r="B262" t="str">
            <v>Input Credit-Capital Goods</v>
          </cell>
          <cell r="C262" t="str">
            <v>ASSET</v>
          </cell>
          <cell r="D262" t="str">
            <v>BALANCE SHEET</v>
          </cell>
          <cell r="E262">
            <v>0</v>
          </cell>
          <cell r="F262">
            <v>0</v>
          </cell>
          <cell r="G262" t="str">
            <v>CURRENT ASSETS, LOANS AND ADVANCES</v>
          </cell>
          <cell r="H262" t="str">
            <v>SUNDRY DEBTORS</v>
          </cell>
          <cell r="I262" t="str">
            <v>SUNDRY DEBTORS</v>
          </cell>
        </row>
        <row r="263">
          <cell r="A263" t="str">
            <v>A401410</v>
          </cell>
          <cell r="B263" t="str">
            <v>Input Service Tax - Rentals</v>
          </cell>
          <cell r="C263" t="str">
            <v>ASSET</v>
          </cell>
          <cell r="D263" t="str">
            <v>BALANCE SHEET</v>
          </cell>
          <cell r="E263">
            <v>0</v>
          </cell>
          <cell r="F263">
            <v>0</v>
          </cell>
          <cell r="G263" t="str">
            <v>CURRENT ASSETS, LOANS AND ADVANCES</v>
          </cell>
          <cell r="H263" t="str">
            <v>SUNDRY DEBTORS</v>
          </cell>
          <cell r="I263" t="str">
            <v>SUNDRY DEBTORS</v>
          </cell>
        </row>
        <row r="264">
          <cell r="A264" t="str">
            <v>A401411</v>
          </cell>
          <cell r="B264" t="str">
            <v>Secondary &amp; Higher Educatin Cess-Rentals</v>
          </cell>
          <cell r="C264" t="str">
            <v>ASSET</v>
          </cell>
          <cell r="D264" t="str">
            <v>BALANCE SHEET</v>
          </cell>
          <cell r="E264">
            <v>0</v>
          </cell>
          <cell r="F264">
            <v>0</v>
          </cell>
          <cell r="G264" t="str">
            <v>CURRENT ASSETS, LOANS AND ADVANCES</v>
          </cell>
          <cell r="H264" t="str">
            <v>SUNDRY DEBTORS</v>
          </cell>
          <cell r="I264" t="str">
            <v>SUNDRY DEBTORS</v>
          </cell>
        </row>
        <row r="265">
          <cell r="A265" t="str">
            <v>A401501</v>
          </cell>
          <cell r="B265" t="str">
            <v>Retention Money With Customer</v>
          </cell>
          <cell r="C265" t="str">
            <v>ASSET</v>
          </cell>
          <cell r="D265" t="str">
            <v>BALANCE SHEET</v>
          </cell>
          <cell r="E265">
            <v>0</v>
          </cell>
          <cell r="F265">
            <v>0</v>
          </cell>
          <cell r="G265" t="str">
            <v>CURRENT ASSETS, LOANS AND ADVANCES</v>
          </cell>
          <cell r="H265" t="str">
            <v>SUNDRY DEBTORS</v>
          </cell>
          <cell r="I265" t="str">
            <v>SUNDRY DEBTORS</v>
          </cell>
        </row>
        <row r="266">
          <cell r="A266" t="str">
            <v>A467823</v>
          </cell>
          <cell r="B266" t="str">
            <v>stock sit</v>
          </cell>
          <cell r="C266" t="str">
            <v>ASSET</v>
          </cell>
          <cell r="D266" t="str">
            <v>BALANCE SHEET</v>
          </cell>
          <cell r="E266">
            <v>0</v>
          </cell>
          <cell r="F266" t="str">
            <v>STOCK TRANSFER SIT</v>
          </cell>
          <cell r="G266" t="str">
            <v>CURRENT ASSETS, LOANS AND ADVANCES</v>
          </cell>
          <cell r="H266" t="str">
            <v>OTHER CURRENT ASSETS</v>
          </cell>
          <cell r="I266" t="str">
            <v>OTHER CURRENT ASSETS</v>
          </cell>
        </row>
        <row r="267">
          <cell r="A267" t="str">
            <v>A501001-000</v>
          </cell>
          <cell r="B267" t="str">
            <v>Loans (Gr Co)</v>
          </cell>
          <cell r="C267" t="str">
            <v>ASSET</v>
          </cell>
          <cell r="D267" t="str">
            <v>BALANCE SHEET</v>
          </cell>
          <cell r="E267">
            <v>0</v>
          </cell>
          <cell r="F267">
            <v>0</v>
          </cell>
          <cell r="G267" t="str">
            <v>CURRENT ASSETS, LOANS AND ADVANCES</v>
          </cell>
          <cell r="H267" t="str">
            <v>LOANS AND ADVANCES</v>
          </cell>
          <cell r="I267" t="str">
            <v>LOANS</v>
          </cell>
        </row>
        <row r="268">
          <cell r="A268" t="str">
            <v>A501001-010</v>
          </cell>
          <cell r="B268" t="str">
            <v>Loans (Gr Co)-DLF Ltd Cnstr</v>
          </cell>
          <cell r="C268" t="str">
            <v>ASSET</v>
          </cell>
          <cell r="D268" t="str">
            <v>BALANCE SHEET</v>
          </cell>
          <cell r="E268">
            <v>0</v>
          </cell>
          <cell r="F268">
            <v>0</v>
          </cell>
          <cell r="G268" t="str">
            <v>CURRENT ASSETS, LOANS AND ADVANCES</v>
          </cell>
          <cell r="H268" t="str">
            <v>LOANS AND ADVANCES</v>
          </cell>
          <cell r="I268" t="str">
            <v>LOANS</v>
          </cell>
        </row>
        <row r="269">
          <cell r="A269" t="str">
            <v>A501001-020</v>
          </cell>
          <cell r="B269" t="str">
            <v>Loans (Gr Co)- DEDL</v>
          </cell>
          <cell r="C269" t="str">
            <v>ASSET</v>
          </cell>
          <cell r="D269" t="str">
            <v>BALANCE SHEET</v>
          </cell>
          <cell r="E269">
            <v>0</v>
          </cell>
          <cell r="F269">
            <v>0</v>
          </cell>
          <cell r="G269" t="str">
            <v>CURRENT ASSETS, LOANS AND ADVANCES</v>
          </cell>
          <cell r="H269" t="str">
            <v>LOANS AND ADVANCES</v>
          </cell>
          <cell r="I269" t="str">
            <v>LOANS</v>
          </cell>
        </row>
        <row r="270">
          <cell r="A270" t="str">
            <v>A501001-076</v>
          </cell>
          <cell r="B270" t="str">
            <v>Loans (Gr Co)- Dlf Info City(Kolkata)</v>
          </cell>
          <cell r="C270" t="str">
            <v>ASSET</v>
          </cell>
          <cell r="D270" t="str">
            <v>BALANCE SHEET</v>
          </cell>
          <cell r="E270">
            <v>0</v>
          </cell>
          <cell r="F270">
            <v>0</v>
          </cell>
          <cell r="G270" t="str">
            <v>CURRENT ASSETS, LOANS AND ADVANCES</v>
          </cell>
          <cell r="H270" t="str">
            <v>LOANS AND ADVANCES</v>
          </cell>
          <cell r="I270" t="str">
            <v>LOANS</v>
          </cell>
        </row>
        <row r="271">
          <cell r="A271" t="str">
            <v>A501001-101</v>
          </cell>
          <cell r="B271" t="str">
            <v>Loans (Gr Co)-DLF Ltd</v>
          </cell>
          <cell r="C271" t="str">
            <v>ASSET</v>
          </cell>
          <cell r="D271" t="str">
            <v>BALANCE SHEET</v>
          </cell>
          <cell r="E271">
            <v>0</v>
          </cell>
          <cell r="F271">
            <v>0</v>
          </cell>
          <cell r="G271" t="str">
            <v>CURRENT ASSETS, LOANS AND ADVANCES</v>
          </cell>
          <cell r="H271" t="str">
            <v>LOANS AND ADVANCES</v>
          </cell>
          <cell r="I271" t="str">
            <v>LOANS</v>
          </cell>
        </row>
        <row r="272">
          <cell r="A272" t="str">
            <v>A501001-274</v>
          </cell>
          <cell r="B272" t="str">
            <v>Loans (Gr Co)-DRDL</v>
          </cell>
          <cell r="C272" t="str">
            <v>ASSET</v>
          </cell>
          <cell r="D272" t="str">
            <v>BALANCE SHEET</v>
          </cell>
          <cell r="E272">
            <v>0</v>
          </cell>
          <cell r="F272">
            <v>0</v>
          </cell>
          <cell r="G272" t="str">
            <v>CURRENT ASSETS, LOANS AND ADVANCES</v>
          </cell>
          <cell r="H272" t="str">
            <v>LOANS AND ADVANCES</v>
          </cell>
          <cell r="I272" t="str">
            <v>LOANS</v>
          </cell>
        </row>
        <row r="273">
          <cell r="A273" t="str">
            <v>A501001-278</v>
          </cell>
          <cell r="B273" t="str">
            <v>Loans (Gr Co)-DHDL</v>
          </cell>
          <cell r="C273" t="str">
            <v>ASSET</v>
          </cell>
          <cell r="D273" t="str">
            <v>BALANCE SHEET</v>
          </cell>
          <cell r="E273">
            <v>0</v>
          </cell>
          <cell r="F273">
            <v>0</v>
          </cell>
          <cell r="G273" t="str">
            <v>CURRENT ASSETS, LOANS AND ADVANCES</v>
          </cell>
          <cell r="H273" t="str">
            <v>LOANS AND ADVANCES</v>
          </cell>
          <cell r="I273" t="str">
            <v>LOANS</v>
          </cell>
        </row>
        <row r="274">
          <cell r="A274" t="str">
            <v>A501001-279</v>
          </cell>
          <cell r="B274" t="str">
            <v>Loans (Gr Co)-DCDL</v>
          </cell>
          <cell r="C274" t="str">
            <v>ASSET</v>
          </cell>
          <cell r="D274" t="str">
            <v>BALANCE SHEET</v>
          </cell>
          <cell r="E274">
            <v>0</v>
          </cell>
          <cell r="F274">
            <v>0</v>
          </cell>
          <cell r="G274" t="str">
            <v>CURRENT ASSETS, LOANS AND ADVANCES</v>
          </cell>
          <cell r="H274" t="str">
            <v>LOANS AND ADVANCES</v>
          </cell>
          <cell r="I274" t="str">
            <v>LOANS</v>
          </cell>
        </row>
        <row r="275">
          <cell r="A275" t="str">
            <v>A501001-280</v>
          </cell>
          <cell r="B275" t="str">
            <v>Loans (Gr Co)-Cee Pee Maint Srv L</v>
          </cell>
          <cell r="C275" t="str">
            <v>ASSET</v>
          </cell>
          <cell r="D275" t="str">
            <v>BALANCE SHEET</v>
          </cell>
          <cell r="E275">
            <v>0</v>
          </cell>
          <cell r="F275">
            <v>0</v>
          </cell>
          <cell r="G275" t="str">
            <v>CURRENT ASSETS, LOANS AND ADVANCES</v>
          </cell>
          <cell r="H275" t="str">
            <v>LOANS AND ADVANCES</v>
          </cell>
          <cell r="I275" t="str">
            <v>LOANS</v>
          </cell>
        </row>
        <row r="276">
          <cell r="A276" t="str">
            <v>A501001-282</v>
          </cell>
          <cell r="B276" t="str">
            <v>Loans (Gr Co)-Silver Oaks Prop Mgt Srv P</v>
          </cell>
          <cell r="C276" t="str">
            <v>ASSET</v>
          </cell>
          <cell r="D276" t="str">
            <v>BALANCE SHEET</v>
          </cell>
          <cell r="E276">
            <v>0</v>
          </cell>
          <cell r="F276">
            <v>0</v>
          </cell>
          <cell r="G276" t="str">
            <v>CURRENT ASSETS, LOANS AND ADVANCES</v>
          </cell>
          <cell r="H276" t="str">
            <v>LOANS AND ADVANCES</v>
          </cell>
          <cell r="I276" t="str">
            <v>LOANS</v>
          </cell>
        </row>
        <row r="277">
          <cell r="A277" t="str">
            <v>A501001-289</v>
          </cell>
          <cell r="B277" t="str">
            <v>Loans (Gr Co)-Atria Partners</v>
          </cell>
          <cell r="C277" t="str">
            <v>ASSET</v>
          </cell>
          <cell r="D277" t="str">
            <v>BALANCE SHEET</v>
          </cell>
          <cell r="E277">
            <v>0</v>
          </cell>
          <cell r="F277">
            <v>0</v>
          </cell>
          <cell r="G277" t="str">
            <v>CURRENT ASSETS, LOANS AND ADVANCES</v>
          </cell>
          <cell r="H277" t="str">
            <v>LOANS AND ADVANCES</v>
          </cell>
          <cell r="I277" t="str">
            <v>LOANS</v>
          </cell>
        </row>
        <row r="278">
          <cell r="A278" t="str">
            <v>A501001-291</v>
          </cell>
          <cell r="B278" t="str">
            <v>Loans (Gr Co)-Renkon Partners</v>
          </cell>
          <cell r="C278" t="str">
            <v>ASSET</v>
          </cell>
          <cell r="D278" t="str">
            <v>BALANCE SHEET</v>
          </cell>
          <cell r="E278">
            <v>0</v>
          </cell>
          <cell r="F278">
            <v>0</v>
          </cell>
          <cell r="G278" t="str">
            <v>CURRENT ASSETS, LOANS AND ADVANCES</v>
          </cell>
          <cell r="H278" t="str">
            <v>LOANS AND ADVANCES</v>
          </cell>
          <cell r="I278" t="str">
            <v>LOANS</v>
          </cell>
        </row>
        <row r="279">
          <cell r="A279" t="str">
            <v>A501001-292</v>
          </cell>
          <cell r="B279" t="str">
            <v>Loans (Gr Co)-Plaza Partners</v>
          </cell>
          <cell r="C279" t="str">
            <v>ASSET</v>
          </cell>
          <cell r="D279" t="str">
            <v>BALANCE SHEET</v>
          </cell>
          <cell r="E279">
            <v>0</v>
          </cell>
          <cell r="F279">
            <v>0</v>
          </cell>
          <cell r="G279" t="str">
            <v>CURRENT ASSETS, LOANS AND ADVANCES</v>
          </cell>
          <cell r="H279" t="str">
            <v>LOANS AND ADVANCES</v>
          </cell>
          <cell r="I279" t="str">
            <v>LOANS</v>
          </cell>
        </row>
        <row r="280">
          <cell r="A280" t="str">
            <v>A501001-299</v>
          </cell>
          <cell r="B280" t="str">
            <v>Loans (Gr Co)- DLF Cyber City Dev L</v>
          </cell>
          <cell r="C280" t="str">
            <v>ASSET</v>
          </cell>
          <cell r="D280" t="str">
            <v>BALANCE SHEET</v>
          </cell>
          <cell r="E280">
            <v>0</v>
          </cell>
          <cell r="F280">
            <v>0</v>
          </cell>
          <cell r="G280" t="str">
            <v>CURRENT ASSETS, LOANS AND ADVANCES</v>
          </cell>
          <cell r="H280" t="str">
            <v>LOANS AND ADVANCES</v>
          </cell>
          <cell r="I280" t="str">
            <v>LOANS</v>
          </cell>
        </row>
        <row r="281">
          <cell r="A281" t="str">
            <v>A501001-305</v>
          </cell>
          <cell r="B281" t="str">
            <v>Loans (Gr Co)-Prompt Real Estate P L</v>
          </cell>
          <cell r="C281" t="str">
            <v>ASSET</v>
          </cell>
          <cell r="D281" t="str">
            <v>BALANCE SHEET</v>
          </cell>
          <cell r="E281">
            <v>0</v>
          </cell>
          <cell r="F281">
            <v>0</v>
          </cell>
          <cell r="G281" t="str">
            <v>CURRENT ASSETS, LOANS AND ADVANCES</v>
          </cell>
          <cell r="H281" t="str">
            <v>LOANS AND ADVANCES</v>
          </cell>
          <cell r="I281" t="str">
            <v>LOANS</v>
          </cell>
        </row>
        <row r="282">
          <cell r="A282" t="str">
            <v>A501001-321</v>
          </cell>
          <cell r="B282" t="str">
            <v>Loans (Gr Co)- Passion Buil &amp; Dev P Ltd</v>
          </cell>
          <cell r="C282" t="str">
            <v>ASSET</v>
          </cell>
          <cell r="D282" t="str">
            <v>BALANCE SHEET</v>
          </cell>
          <cell r="E282">
            <v>0</v>
          </cell>
          <cell r="F282">
            <v>0</v>
          </cell>
          <cell r="G282" t="str">
            <v>CURRENT ASSETS, LOANS AND ADVANCES</v>
          </cell>
          <cell r="H282" t="str">
            <v>LOANS AND ADVANCES</v>
          </cell>
          <cell r="I282" t="str">
            <v>LOANS</v>
          </cell>
        </row>
        <row r="283">
          <cell r="A283" t="str">
            <v>A501001-325</v>
          </cell>
          <cell r="B283" t="str">
            <v>Loans (Gr Co)-Edward Keventer</v>
          </cell>
          <cell r="C283" t="str">
            <v>ASSET</v>
          </cell>
          <cell r="D283" t="str">
            <v>BALANCE SHEET</v>
          </cell>
          <cell r="E283">
            <v>0</v>
          </cell>
          <cell r="F283">
            <v>0</v>
          </cell>
          <cell r="G283" t="str">
            <v>CURRENT ASSETS, LOANS AND ADVANCES</v>
          </cell>
          <cell r="H283" t="str">
            <v>LOANS AND ADVANCES</v>
          </cell>
          <cell r="I283" t="str">
            <v>LOANS</v>
          </cell>
        </row>
        <row r="284">
          <cell r="A284" t="str">
            <v>A501001-419</v>
          </cell>
          <cell r="B284" t="str">
            <v>Loans (Gr Co)-Kenneth Buil &amp; Dev</v>
          </cell>
          <cell r="C284" t="str">
            <v>ASSET</v>
          </cell>
          <cell r="D284" t="str">
            <v>BALANCE SHEET</v>
          </cell>
          <cell r="E284">
            <v>0</v>
          </cell>
          <cell r="F284">
            <v>0</v>
          </cell>
          <cell r="G284" t="str">
            <v>CURRENT ASSETS, LOANS AND ADVANCES</v>
          </cell>
          <cell r="H284" t="str">
            <v>LOANS AND ADVANCES</v>
          </cell>
          <cell r="I284" t="str">
            <v>LOANS</v>
          </cell>
        </row>
        <row r="285">
          <cell r="A285" t="str">
            <v>A501001-428</v>
          </cell>
          <cell r="B285" t="str">
            <v>Loans (Gr Co)- DLF Assets Pvt L</v>
          </cell>
          <cell r="C285" t="str">
            <v>ASSET</v>
          </cell>
          <cell r="D285" t="str">
            <v>BALANCE SHEET</v>
          </cell>
          <cell r="E285">
            <v>0</v>
          </cell>
          <cell r="F285">
            <v>0</v>
          </cell>
          <cell r="G285" t="str">
            <v>CURRENT ASSETS, LOANS AND ADVANCES</v>
          </cell>
          <cell r="H285" t="str">
            <v>LOANS AND ADVANCES</v>
          </cell>
          <cell r="I285" t="str">
            <v>LOANS</v>
          </cell>
        </row>
        <row r="286">
          <cell r="A286" t="str">
            <v>A501001-516</v>
          </cell>
          <cell r="B286" t="str">
            <v>Loans (Gr Co)-Pee Tee Maint Srv L</v>
          </cell>
          <cell r="C286" t="str">
            <v>ASSET</v>
          </cell>
          <cell r="D286" t="str">
            <v>BALANCE SHEET</v>
          </cell>
          <cell r="E286">
            <v>0</v>
          </cell>
          <cell r="F286">
            <v>0</v>
          </cell>
          <cell r="G286" t="str">
            <v>CURRENT ASSETS, LOANS AND ADVANCES</v>
          </cell>
          <cell r="H286" t="str">
            <v>LOANS AND ADVANCES</v>
          </cell>
          <cell r="I286" t="str">
            <v>LOANS</v>
          </cell>
        </row>
        <row r="287">
          <cell r="A287" t="str">
            <v>A501001-525</v>
          </cell>
          <cell r="B287" t="str">
            <v>Loans (Gr Co)-Digital Talkies Pvt L</v>
          </cell>
          <cell r="C287" t="str">
            <v>ASSET</v>
          </cell>
          <cell r="D287" t="str">
            <v>BALANCE SHEET</v>
          </cell>
          <cell r="E287">
            <v>0</v>
          </cell>
          <cell r="F287">
            <v>0</v>
          </cell>
          <cell r="G287" t="str">
            <v>CURRENT ASSETS, LOANS AND ADVANCES</v>
          </cell>
          <cell r="H287" t="str">
            <v>LOANS AND ADVANCES</v>
          </cell>
          <cell r="I287" t="str">
            <v>LOANS</v>
          </cell>
        </row>
        <row r="288">
          <cell r="A288" t="str">
            <v>A501001-526</v>
          </cell>
          <cell r="B288" t="str">
            <v>Loans (Gr Co)-DT Cinemas Pvt L</v>
          </cell>
          <cell r="C288" t="str">
            <v>ASSET</v>
          </cell>
          <cell r="D288" t="str">
            <v>BALANCE SHEET</v>
          </cell>
          <cell r="E288">
            <v>0</v>
          </cell>
          <cell r="F288">
            <v>0</v>
          </cell>
          <cell r="G288" t="str">
            <v>CURRENT ASSETS, LOANS AND ADVANCES</v>
          </cell>
          <cell r="H288" t="str">
            <v>LOANS AND ADVANCES</v>
          </cell>
          <cell r="I288" t="str">
            <v>LOANS</v>
          </cell>
        </row>
        <row r="289">
          <cell r="A289" t="str">
            <v>A501001-532</v>
          </cell>
          <cell r="B289" t="str">
            <v>Loans (Gr Co)-Kenneth B&amp;D Cnstr Div</v>
          </cell>
          <cell r="C289" t="str">
            <v>ASSET</v>
          </cell>
          <cell r="D289" t="str">
            <v>BALANCE SHEET</v>
          </cell>
          <cell r="E289">
            <v>0</v>
          </cell>
          <cell r="F289">
            <v>0</v>
          </cell>
          <cell r="G289" t="str">
            <v>CURRENT ASSETS, LOANS AND ADVANCES</v>
          </cell>
          <cell r="H289" t="str">
            <v>LOANS AND ADVANCES</v>
          </cell>
          <cell r="I289" t="str">
            <v>LOANS</v>
          </cell>
        </row>
        <row r="290">
          <cell r="A290" t="str">
            <v>A501001-533</v>
          </cell>
          <cell r="B290" t="str">
            <v>Loans (Gr Co)-Nilgiri Power Div</v>
          </cell>
          <cell r="C290" t="str">
            <v>ASSET</v>
          </cell>
          <cell r="D290" t="str">
            <v>BALANCE SHEET</v>
          </cell>
          <cell r="E290">
            <v>0</v>
          </cell>
          <cell r="F290">
            <v>0</v>
          </cell>
          <cell r="G290" t="str">
            <v>CURRENT ASSETS, LOANS AND ADVANCES</v>
          </cell>
          <cell r="H290" t="str">
            <v>LOANS AND ADVANCES</v>
          </cell>
          <cell r="I290" t="str">
            <v>LOANS</v>
          </cell>
        </row>
        <row r="291">
          <cell r="A291" t="str">
            <v>A501001-543</v>
          </cell>
          <cell r="B291" t="str">
            <v>Loans (Gr Co)-Turan Infratech Pvt Ltd</v>
          </cell>
          <cell r="C291" t="str">
            <v>ASSET</v>
          </cell>
          <cell r="D291" t="str">
            <v>BALANCE SHEET</v>
          </cell>
          <cell r="E291">
            <v>0</v>
          </cell>
          <cell r="F291">
            <v>0</v>
          </cell>
          <cell r="G291" t="str">
            <v>CURRENT ASSETS, LOANS AND ADVANCES</v>
          </cell>
          <cell r="H291" t="str">
            <v>LOANS AND ADVANCES</v>
          </cell>
          <cell r="I291" t="str">
            <v>LOANS</v>
          </cell>
        </row>
        <row r="292">
          <cell r="A292" t="str">
            <v>A501001-544</v>
          </cell>
          <cell r="B292" t="str">
            <v>Loans (Gr Co)-Thalia Infratech Pvt Ltd</v>
          </cell>
          <cell r="C292" t="str">
            <v>ASSET</v>
          </cell>
          <cell r="D292" t="str">
            <v>BALANCE SHEET</v>
          </cell>
          <cell r="E292">
            <v>0</v>
          </cell>
          <cell r="F292">
            <v>0</v>
          </cell>
          <cell r="G292" t="str">
            <v>CURRENT ASSETS, LOANS AND ADVANCES</v>
          </cell>
          <cell r="H292" t="str">
            <v>LOANS AND ADVANCES</v>
          </cell>
          <cell r="I292" t="str">
            <v>LOANS</v>
          </cell>
        </row>
        <row r="293">
          <cell r="A293" t="str">
            <v>A501001-707</v>
          </cell>
          <cell r="B293" t="str">
            <v>Loans - DHRL</v>
          </cell>
          <cell r="C293" t="str">
            <v>ASSET</v>
          </cell>
          <cell r="D293" t="str">
            <v>BALANCE SHEET</v>
          </cell>
          <cell r="E293">
            <v>0</v>
          </cell>
          <cell r="F293">
            <v>0</v>
          </cell>
          <cell r="G293" t="str">
            <v>CURRENT ASSETS, LOANS AND ADVANCES</v>
          </cell>
          <cell r="H293" t="str">
            <v>LOANS AND ADVANCES</v>
          </cell>
          <cell r="I293" t="str">
            <v>LOANS</v>
          </cell>
        </row>
        <row r="294">
          <cell r="A294" t="str">
            <v>A501101-001</v>
          </cell>
          <cell r="B294" t="str">
            <v>Adv Agst Jv Agreement- Mangal Shrusti</v>
          </cell>
          <cell r="C294" t="str">
            <v>ASSET</v>
          </cell>
          <cell r="D294" t="str">
            <v>BALANCE SHEET</v>
          </cell>
          <cell r="E294">
            <v>0</v>
          </cell>
          <cell r="F294">
            <v>0</v>
          </cell>
          <cell r="G294" t="str">
            <v>CURRENT ASSETS, LOANS AND ADVANCES</v>
          </cell>
          <cell r="H294" t="str">
            <v>LOANS AND ADVANCES</v>
          </cell>
          <cell r="I294" t="str">
            <v>OTHER LOANS</v>
          </cell>
        </row>
        <row r="295">
          <cell r="A295" t="str">
            <v>A501101-002</v>
          </cell>
          <cell r="B295" t="str">
            <v>Adv Agst Jv Agreement- Aakruti</v>
          </cell>
          <cell r="C295" t="str">
            <v>ASSET</v>
          </cell>
          <cell r="D295" t="str">
            <v>BALANCE SHEET</v>
          </cell>
          <cell r="E295">
            <v>0</v>
          </cell>
          <cell r="F295">
            <v>0</v>
          </cell>
          <cell r="G295" t="str">
            <v>CURRENT ASSETS, LOANS AND ADVANCES</v>
          </cell>
          <cell r="H295" t="str">
            <v>LOANS AND ADVANCES</v>
          </cell>
          <cell r="I295" t="str">
            <v>OTHER LOANS</v>
          </cell>
        </row>
        <row r="296">
          <cell r="A296" t="str">
            <v>A501101-003</v>
          </cell>
          <cell r="B296" t="str">
            <v>Adv Agst Jv Agreement- Hilton Hotel</v>
          </cell>
          <cell r="C296" t="str">
            <v>ASSET</v>
          </cell>
          <cell r="D296" t="str">
            <v>BALANCE SHEET</v>
          </cell>
          <cell r="E296">
            <v>0</v>
          </cell>
          <cell r="F296">
            <v>0</v>
          </cell>
          <cell r="G296" t="str">
            <v>CURRENT ASSETS, LOANS AND ADVANCES</v>
          </cell>
          <cell r="H296" t="str">
            <v>LOANS AND ADVANCES</v>
          </cell>
          <cell r="I296" t="str">
            <v>OTHER LOANS</v>
          </cell>
        </row>
        <row r="297">
          <cell r="A297" t="str">
            <v>A501201</v>
          </cell>
          <cell r="B297" t="str">
            <v>Staff Loan- Short term Loan</v>
          </cell>
          <cell r="C297" t="str">
            <v>ASSET</v>
          </cell>
          <cell r="D297" t="str">
            <v>BALANCE SHEET</v>
          </cell>
          <cell r="E297" t="str">
            <v>SUPPLIER PREPAYMENT A/C</v>
          </cell>
          <cell r="F297">
            <v>0</v>
          </cell>
          <cell r="G297" t="str">
            <v>CURRENT ASSETS, LOANS AND ADVANCES</v>
          </cell>
          <cell r="H297" t="str">
            <v>LOANS AND ADVANCES</v>
          </cell>
          <cell r="I297" t="str">
            <v>STAFF LOAN</v>
          </cell>
        </row>
        <row r="298">
          <cell r="A298" t="str">
            <v>A501202</v>
          </cell>
          <cell r="B298" t="str">
            <v>Staff Loan- Vehicle Loan</v>
          </cell>
          <cell r="C298" t="str">
            <v>ASSET</v>
          </cell>
          <cell r="D298" t="str">
            <v>BALANCE SHEET</v>
          </cell>
          <cell r="E298" t="str">
            <v>SUPPLIER PREPAYMENT A/C</v>
          </cell>
          <cell r="F298">
            <v>0</v>
          </cell>
          <cell r="G298" t="str">
            <v>CURRENT ASSETS, LOANS AND ADVANCES</v>
          </cell>
          <cell r="H298" t="str">
            <v>LOANS AND ADVANCES</v>
          </cell>
          <cell r="I298" t="str">
            <v>STAFF LOAN</v>
          </cell>
        </row>
        <row r="299">
          <cell r="A299" t="str">
            <v>A501203</v>
          </cell>
          <cell r="B299" t="str">
            <v>Staff Loan- PF Loan Account</v>
          </cell>
          <cell r="C299" t="str">
            <v>ASSET</v>
          </cell>
          <cell r="D299" t="str">
            <v>BALANCE SHEET</v>
          </cell>
          <cell r="E299" t="str">
            <v>SUPPLIER PREPAYMENT A/C</v>
          </cell>
          <cell r="F299">
            <v>0</v>
          </cell>
          <cell r="G299" t="str">
            <v>CURRENT ASSETS, LOANS AND ADVANCES</v>
          </cell>
          <cell r="H299" t="str">
            <v>LOANS AND ADVANCES</v>
          </cell>
          <cell r="I299" t="str">
            <v>STAFF LOAN</v>
          </cell>
        </row>
        <row r="300">
          <cell r="A300" t="str">
            <v>A501204</v>
          </cell>
          <cell r="B300" t="str">
            <v>Staff Loan- House</v>
          </cell>
          <cell r="C300" t="str">
            <v>ASSET</v>
          </cell>
          <cell r="D300" t="str">
            <v>BALANCE SHEET</v>
          </cell>
          <cell r="E300">
            <v>0</v>
          </cell>
          <cell r="F300">
            <v>0</v>
          </cell>
          <cell r="G300" t="str">
            <v>CURRENT ASSETS, LOANS AND ADVANCES</v>
          </cell>
          <cell r="H300" t="str">
            <v>LOANS AND ADVANCES</v>
          </cell>
          <cell r="I300" t="str">
            <v>STAFF LOAN</v>
          </cell>
        </row>
        <row r="301">
          <cell r="A301" t="str">
            <v>A501205</v>
          </cell>
          <cell r="B301" t="str">
            <v>Staff Loan- Mobile Phone</v>
          </cell>
          <cell r="C301" t="str">
            <v>ASSET</v>
          </cell>
          <cell r="D301" t="str">
            <v>BALANCE SHEET</v>
          </cell>
          <cell r="E301">
            <v>0</v>
          </cell>
          <cell r="F301">
            <v>0</v>
          </cell>
          <cell r="G301" t="str">
            <v>CURRENT ASSETS, LOANS AND ADVANCES</v>
          </cell>
          <cell r="H301" t="str">
            <v>LOANS AND ADVANCES</v>
          </cell>
          <cell r="I301" t="str">
            <v>STAFF LOAN</v>
          </cell>
        </row>
        <row r="302">
          <cell r="A302" t="str">
            <v>A501206</v>
          </cell>
          <cell r="B302" t="str">
            <v>Staff Loan- PF Loan Account</v>
          </cell>
          <cell r="C302" t="str">
            <v>ASSET</v>
          </cell>
          <cell r="D302" t="str">
            <v>BALANCE SHEET</v>
          </cell>
          <cell r="E302">
            <v>0</v>
          </cell>
          <cell r="F302">
            <v>0</v>
          </cell>
          <cell r="G302" t="str">
            <v>CURRENT ASSETS, LOANS AND ADVANCES</v>
          </cell>
          <cell r="H302" t="str">
            <v>LOANS AND ADVANCES</v>
          </cell>
          <cell r="I302" t="str">
            <v>STAFF LOAN</v>
          </cell>
        </row>
        <row r="303">
          <cell r="A303" t="str">
            <v>A501301</v>
          </cell>
          <cell r="B303" t="str">
            <v>Loan (Others)</v>
          </cell>
          <cell r="C303" t="str">
            <v>ASSET</v>
          </cell>
          <cell r="D303" t="str">
            <v>BALANCE SHEET</v>
          </cell>
          <cell r="E303">
            <v>0</v>
          </cell>
          <cell r="F303">
            <v>0</v>
          </cell>
          <cell r="G303" t="str">
            <v>CURRENT ASSETS, LOANS AND ADVANCES</v>
          </cell>
          <cell r="H303" t="str">
            <v>LOANS AND ADVANCES</v>
          </cell>
          <cell r="I303" t="str">
            <v>LOANS</v>
          </cell>
        </row>
        <row r="304">
          <cell r="A304" t="str">
            <v>A501401-000</v>
          </cell>
          <cell r="B304" t="str">
            <v>Loan To Condm.</v>
          </cell>
          <cell r="C304" t="str">
            <v>ASSET</v>
          </cell>
          <cell r="D304" t="str">
            <v>BALANCE SHEET</v>
          </cell>
          <cell r="E304">
            <v>0</v>
          </cell>
          <cell r="F304">
            <v>0</v>
          </cell>
          <cell r="G304" t="str">
            <v>CURRENT ASSETS, LOANS AND ADVANCES</v>
          </cell>
          <cell r="H304" t="str">
            <v>LOANS AND ADVANCES</v>
          </cell>
          <cell r="I304" t="str">
            <v>LOANS</v>
          </cell>
        </row>
        <row r="305">
          <cell r="A305" t="str">
            <v>A501401-001</v>
          </cell>
          <cell r="B305" t="str">
            <v>Loan To Condm.- Ridgewood Estate Cond.</v>
          </cell>
          <cell r="C305" t="str">
            <v>ASSET</v>
          </cell>
          <cell r="D305" t="str">
            <v>BALANCE SHEET</v>
          </cell>
          <cell r="E305">
            <v>0</v>
          </cell>
          <cell r="F305">
            <v>0</v>
          </cell>
          <cell r="G305" t="str">
            <v>CURRENT ASSETS, LOANS AND ADVANCES</v>
          </cell>
          <cell r="H305" t="str">
            <v>LOANS AND ADVANCES</v>
          </cell>
          <cell r="I305" t="str">
            <v>LOANS</v>
          </cell>
        </row>
        <row r="306">
          <cell r="A306" t="str">
            <v>A501401-002</v>
          </cell>
          <cell r="B306" t="str">
            <v>Loan To Condm.- Oakwood Estate Cond.</v>
          </cell>
          <cell r="C306" t="str">
            <v>ASSET</v>
          </cell>
          <cell r="D306" t="str">
            <v>BALANCE SHEET</v>
          </cell>
          <cell r="E306">
            <v>0</v>
          </cell>
          <cell r="F306">
            <v>0</v>
          </cell>
          <cell r="G306" t="str">
            <v>CURRENT ASSETS, LOANS AND ADVANCES</v>
          </cell>
          <cell r="H306" t="str">
            <v>LOANS AND ADVANCES</v>
          </cell>
          <cell r="I306" t="str">
            <v>LOANS</v>
          </cell>
        </row>
        <row r="307">
          <cell r="A307" t="str">
            <v>A501401-003</v>
          </cell>
          <cell r="B307" t="str">
            <v>Loan To Condm.- Silver Oaks Cond.</v>
          </cell>
          <cell r="C307" t="str">
            <v>ASSET</v>
          </cell>
          <cell r="D307" t="str">
            <v>BALANCE SHEET</v>
          </cell>
          <cell r="E307">
            <v>0</v>
          </cell>
          <cell r="F307">
            <v>0</v>
          </cell>
          <cell r="G307" t="str">
            <v>CURRENT ASSETS, LOANS AND ADVANCES</v>
          </cell>
          <cell r="H307" t="str">
            <v>LOANS AND ADVANCES</v>
          </cell>
          <cell r="I307" t="str">
            <v>LOANS</v>
          </cell>
        </row>
        <row r="308">
          <cell r="A308" t="str">
            <v>A501401-004</v>
          </cell>
          <cell r="B308" t="str">
            <v>Loan To Condm.- Wellington Estate Cond.</v>
          </cell>
          <cell r="C308" t="str">
            <v>ASSET</v>
          </cell>
          <cell r="D308" t="str">
            <v>BALANCE SHEET</v>
          </cell>
          <cell r="E308">
            <v>0</v>
          </cell>
          <cell r="F308">
            <v>0</v>
          </cell>
          <cell r="G308" t="str">
            <v>CURRENT ASSETS, LOANS AND ADVANCES</v>
          </cell>
          <cell r="H308" t="str">
            <v>LOANS AND ADVANCES</v>
          </cell>
          <cell r="I308" t="str">
            <v>LOANS</v>
          </cell>
        </row>
        <row r="309">
          <cell r="A309" t="str">
            <v>A501401-005</v>
          </cell>
          <cell r="B309" t="str">
            <v>Loan To Condm.- Princeton Estate Cond.</v>
          </cell>
          <cell r="C309" t="str">
            <v>ASSET</v>
          </cell>
          <cell r="D309" t="str">
            <v>BALANCE SHEET</v>
          </cell>
          <cell r="E309">
            <v>0</v>
          </cell>
          <cell r="F309">
            <v>0</v>
          </cell>
          <cell r="G309" t="str">
            <v>CURRENT ASSETS, LOANS AND ADVANCES</v>
          </cell>
          <cell r="H309" t="str">
            <v>LOANS AND ADVANCES</v>
          </cell>
          <cell r="I309" t="str">
            <v>LOANS</v>
          </cell>
        </row>
        <row r="310">
          <cell r="A310" t="str">
            <v>A501401-006</v>
          </cell>
          <cell r="B310" t="str">
            <v>Loan To Condm.- Carlton Estate Cond.</v>
          </cell>
          <cell r="C310" t="str">
            <v>ASSET</v>
          </cell>
          <cell r="D310" t="str">
            <v>BALANCE SHEET</v>
          </cell>
          <cell r="E310">
            <v>0</v>
          </cell>
          <cell r="F310">
            <v>0</v>
          </cell>
          <cell r="G310" t="str">
            <v>CURRENT ASSETS, LOANS AND ADVANCES</v>
          </cell>
          <cell r="H310" t="str">
            <v>LOANS AND ADVANCES</v>
          </cell>
          <cell r="I310" t="str">
            <v>LOANS</v>
          </cell>
        </row>
        <row r="311">
          <cell r="A311" t="str">
            <v>A501401-007</v>
          </cell>
          <cell r="B311" t="str">
            <v>Loan To Condm.- Belvedere Park Cond</v>
          </cell>
          <cell r="C311" t="str">
            <v>ASSET</v>
          </cell>
          <cell r="D311" t="str">
            <v>BALANCE SHEET</v>
          </cell>
          <cell r="E311">
            <v>0</v>
          </cell>
          <cell r="F311">
            <v>0</v>
          </cell>
          <cell r="G311" t="str">
            <v>CURRENT ASSETS, LOANS AND ADVANCES</v>
          </cell>
          <cell r="H311" t="str">
            <v>LOANS AND ADVANCES</v>
          </cell>
          <cell r="I311" t="str">
            <v>LOANS</v>
          </cell>
        </row>
        <row r="312">
          <cell r="A312" t="str">
            <v>A501401-008</v>
          </cell>
          <cell r="B312" t="str">
            <v>Loan To Condm.- HTON,WNDSR,RPII COND ASS</v>
          </cell>
          <cell r="C312" t="str">
            <v>ASSET</v>
          </cell>
          <cell r="D312" t="str">
            <v>BALANCE SHEET</v>
          </cell>
          <cell r="E312">
            <v>0</v>
          </cell>
          <cell r="F312">
            <v>0</v>
          </cell>
          <cell r="G312" t="str">
            <v>CURRENT ASSETS, LOANS AND ADVANCES</v>
          </cell>
          <cell r="H312" t="str">
            <v>LOANS AND ADVANCES</v>
          </cell>
          <cell r="I312" t="str">
            <v>LOANS</v>
          </cell>
        </row>
        <row r="313">
          <cell r="A313" t="str">
            <v>A501401-009</v>
          </cell>
          <cell r="B313" t="str">
            <v>Loan To Condm.- RICH.REG.COND. ASS</v>
          </cell>
          <cell r="C313" t="str">
            <v>ASSET</v>
          </cell>
          <cell r="D313" t="str">
            <v>BALANCE SHEET</v>
          </cell>
          <cell r="E313">
            <v>0</v>
          </cell>
          <cell r="F313">
            <v>0</v>
          </cell>
          <cell r="G313" t="str">
            <v>CURRENT ASSETS, LOANS AND ADVANCES</v>
          </cell>
          <cell r="H313" t="str">
            <v>LOANS AND ADVANCES</v>
          </cell>
          <cell r="I313" t="str">
            <v>LOANS</v>
          </cell>
        </row>
        <row r="314">
          <cell r="A314" t="str">
            <v>A501401-010</v>
          </cell>
          <cell r="B314" t="str">
            <v>Loan To Condm.- RICHMOND.REG.COND. ASS</v>
          </cell>
          <cell r="C314" t="str">
            <v>ASSET</v>
          </cell>
          <cell r="D314" t="str">
            <v>BALANCE SHEET</v>
          </cell>
          <cell r="E314">
            <v>0</v>
          </cell>
          <cell r="F314">
            <v>0</v>
          </cell>
          <cell r="G314" t="str">
            <v>CURRENT ASSETS, LOANS AND ADVANCES</v>
          </cell>
          <cell r="H314" t="str">
            <v>LOANS AND ADVANCES</v>
          </cell>
          <cell r="I314" t="str">
            <v>LOANS</v>
          </cell>
        </row>
        <row r="315">
          <cell r="A315" t="str">
            <v>A501401-011</v>
          </cell>
          <cell r="B315" t="str">
            <v>Loan To Condm.- Exclusive Floor</v>
          </cell>
          <cell r="C315" t="str">
            <v>ASSET</v>
          </cell>
          <cell r="D315" t="str">
            <v>BALANCE SHEET</v>
          </cell>
          <cell r="E315">
            <v>0</v>
          </cell>
          <cell r="F315">
            <v>0</v>
          </cell>
          <cell r="G315" t="str">
            <v>CURRENT ASSETS, LOANS AND ADVANCES</v>
          </cell>
          <cell r="H315" t="str">
            <v>LOANS AND ADVANCES</v>
          </cell>
          <cell r="I315" t="str">
            <v>LOANS</v>
          </cell>
        </row>
        <row r="316">
          <cell r="A316" t="str">
            <v>A501401-012</v>
          </cell>
          <cell r="B316" t="str">
            <v>Loan To Condm.- Qutab Plaza</v>
          </cell>
          <cell r="C316" t="str">
            <v>ASSET</v>
          </cell>
          <cell r="D316" t="str">
            <v>BALANCE SHEET</v>
          </cell>
          <cell r="E316">
            <v>0</v>
          </cell>
          <cell r="F316">
            <v>0</v>
          </cell>
          <cell r="G316" t="str">
            <v>CURRENT ASSETS, LOANS AND ADVANCES</v>
          </cell>
          <cell r="H316" t="str">
            <v>LOANS AND ADVANCES</v>
          </cell>
          <cell r="I316" t="str">
            <v>LOANS</v>
          </cell>
        </row>
        <row r="317">
          <cell r="A317" t="str">
            <v>A501401-013</v>
          </cell>
          <cell r="B317" t="str">
            <v>Loan To Condm.- Super Mart I &amp; II</v>
          </cell>
          <cell r="C317" t="str">
            <v>ASSET</v>
          </cell>
          <cell r="D317" t="str">
            <v>BALANCE SHEET</v>
          </cell>
          <cell r="E317">
            <v>0</v>
          </cell>
          <cell r="F317">
            <v>0</v>
          </cell>
          <cell r="G317" t="str">
            <v>CURRENT ASSETS, LOANS AND ADVANCES</v>
          </cell>
          <cell r="H317" t="str">
            <v>LOANS AND ADVANCES</v>
          </cell>
          <cell r="I317" t="str">
            <v>LOANS</v>
          </cell>
        </row>
        <row r="318">
          <cell r="A318" t="str">
            <v>A501401-014</v>
          </cell>
          <cell r="B318" t="str">
            <v>Loan To Condm.- Central Arcade Cond.</v>
          </cell>
          <cell r="C318" t="str">
            <v>ASSET</v>
          </cell>
          <cell r="D318" t="str">
            <v>BALANCE SHEET</v>
          </cell>
          <cell r="E318">
            <v>0</v>
          </cell>
          <cell r="F318">
            <v>0</v>
          </cell>
          <cell r="G318" t="str">
            <v>CURRENT ASSETS, LOANS AND ADVANCES</v>
          </cell>
          <cell r="H318" t="str">
            <v>LOANS AND ADVANCES</v>
          </cell>
          <cell r="I318" t="str">
            <v>LOANS</v>
          </cell>
        </row>
        <row r="319">
          <cell r="A319" t="str">
            <v>A501401-015</v>
          </cell>
          <cell r="B319" t="str">
            <v>Loan To Condm.-Trinity Tower Cond Ass</v>
          </cell>
          <cell r="C319" t="str">
            <v>ASSET</v>
          </cell>
          <cell r="D319" t="str">
            <v>BALANCE SHEET</v>
          </cell>
          <cell r="E319">
            <v>0</v>
          </cell>
          <cell r="F319">
            <v>0</v>
          </cell>
          <cell r="G319" t="str">
            <v>CURRENT ASSETS, LOANS AND ADVANCES</v>
          </cell>
          <cell r="H319" t="str">
            <v>LOANS AND ADVANCES</v>
          </cell>
          <cell r="I319" t="str">
            <v>LOANS</v>
          </cell>
        </row>
        <row r="320">
          <cell r="A320" t="str">
            <v>A501401-016</v>
          </cell>
          <cell r="B320" t="str">
            <v>Loan To Condm.-Westend Heights Cond Ass</v>
          </cell>
          <cell r="C320" t="str">
            <v>ASSET</v>
          </cell>
          <cell r="D320" t="str">
            <v>BALANCE SHEET</v>
          </cell>
          <cell r="E320">
            <v>0</v>
          </cell>
          <cell r="F320">
            <v>0</v>
          </cell>
          <cell r="G320" t="str">
            <v>CURRENT ASSETS, LOANS AND ADVANCES</v>
          </cell>
          <cell r="H320" t="str">
            <v>LOANS AND ADVANCES</v>
          </cell>
          <cell r="I320" t="str">
            <v>LOANS</v>
          </cell>
        </row>
        <row r="321">
          <cell r="A321" t="str">
            <v>A501501</v>
          </cell>
          <cell r="B321" t="str">
            <v>Loan To Trusts</v>
          </cell>
          <cell r="C321" t="str">
            <v>ASSET</v>
          </cell>
          <cell r="D321" t="str">
            <v>BALANCE SHEET</v>
          </cell>
          <cell r="E321">
            <v>0</v>
          </cell>
          <cell r="F321">
            <v>0</v>
          </cell>
          <cell r="G321" t="str">
            <v>CURRENT ASSETS, LOANS AND ADVANCES</v>
          </cell>
          <cell r="H321" t="str">
            <v>LOANS AND ADVANCES</v>
          </cell>
          <cell r="I321" t="str">
            <v>LOANS</v>
          </cell>
        </row>
        <row r="322">
          <cell r="A322" t="str">
            <v>A501502</v>
          </cell>
          <cell r="B322" t="str">
            <v>Loan Lodhi Property Company Ltd</v>
          </cell>
          <cell r="C322" t="str">
            <v>ASSET</v>
          </cell>
          <cell r="D322" t="str">
            <v>BALANCE SHEET</v>
          </cell>
          <cell r="E322">
            <v>0</v>
          </cell>
          <cell r="F322">
            <v>0</v>
          </cell>
          <cell r="G322" t="str">
            <v>CURRENT ASSETS, LOANS AND ADVANCES</v>
          </cell>
          <cell r="H322" t="str">
            <v>LOANS AND ADVANCES</v>
          </cell>
          <cell r="I322" t="str">
            <v>LOANS</v>
          </cell>
        </row>
        <row r="323">
          <cell r="A323" t="str">
            <v>A501601-001</v>
          </cell>
          <cell r="B323" t="str">
            <v>Adv-Ainstey Buil And Cnstr</v>
          </cell>
          <cell r="C323" t="str">
            <v>ASSET</v>
          </cell>
          <cell r="D323" t="str">
            <v>BALANCE SHEET</v>
          </cell>
          <cell r="E323">
            <v>0</v>
          </cell>
          <cell r="F323">
            <v>0</v>
          </cell>
          <cell r="G323" t="str">
            <v>CURRENT ASSETS, LOANS AND ADVANCES</v>
          </cell>
          <cell r="H323" t="str">
            <v>LOANS AND ADVANCES</v>
          </cell>
          <cell r="I323" t="str">
            <v>ADVANCES</v>
          </cell>
        </row>
        <row r="324">
          <cell r="A324" t="str">
            <v>A501601-002</v>
          </cell>
          <cell r="B324" t="str">
            <v>Adv-Adeline Buil And Dev</v>
          </cell>
          <cell r="C324" t="str">
            <v>ASSET</v>
          </cell>
          <cell r="D324" t="str">
            <v>BALANCE SHEET</v>
          </cell>
          <cell r="E324">
            <v>0</v>
          </cell>
          <cell r="F324">
            <v>0</v>
          </cell>
          <cell r="G324" t="str">
            <v>CURRENT ASSETS, LOANS AND ADVANCES</v>
          </cell>
          <cell r="H324" t="str">
            <v>LOANS AND ADVANCES</v>
          </cell>
          <cell r="I324" t="str">
            <v>ADVANCES</v>
          </cell>
        </row>
        <row r="325">
          <cell r="A325" t="str">
            <v>A501601-003</v>
          </cell>
          <cell r="B325" t="str">
            <v>Adv-Armand Buil &amp; Cnstr P L</v>
          </cell>
          <cell r="C325" t="str">
            <v>ASSET</v>
          </cell>
          <cell r="D325" t="str">
            <v>BALANCE SHEET</v>
          </cell>
          <cell r="E325">
            <v>0</v>
          </cell>
          <cell r="F325">
            <v>0</v>
          </cell>
          <cell r="G325" t="str">
            <v>CURRENT ASSETS, LOANS AND ADVANCES</v>
          </cell>
          <cell r="H325" t="str">
            <v>LOANS AND ADVANCES</v>
          </cell>
          <cell r="I325" t="str">
            <v>ADVANCES</v>
          </cell>
        </row>
        <row r="326">
          <cell r="A326" t="str">
            <v>A501601-004</v>
          </cell>
          <cell r="B326" t="str">
            <v>Adv-Babette Real Estate Pvt Ltd</v>
          </cell>
          <cell r="C326" t="str">
            <v>ASSET</v>
          </cell>
          <cell r="D326" t="str">
            <v>BALANCE SHEET</v>
          </cell>
          <cell r="E326">
            <v>0</v>
          </cell>
          <cell r="F326">
            <v>0</v>
          </cell>
          <cell r="G326" t="str">
            <v>CURRENT ASSETS, LOANS AND ADVANCES</v>
          </cell>
          <cell r="H326" t="str">
            <v>LOANS AND ADVANCES</v>
          </cell>
          <cell r="I326" t="str">
            <v>ADVANCES</v>
          </cell>
        </row>
        <row r="327">
          <cell r="A327" t="str">
            <v>A501601-005</v>
          </cell>
          <cell r="B327" t="str">
            <v>Adv-Balint Real Estates P Ltd</v>
          </cell>
          <cell r="C327" t="str">
            <v>ASSET</v>
          </cell>
          <cell r="D327" t="str">
            <v>BALANCE SHEET</v>
          </cell>
          <cell r="E327">
            <v>0</v>
          </cell>
          <cell r="F327">
            <v>0</v>
          </cell>
          <cell r="G327" t="str">
            <v>CURRENT ASSETS, LOANS AND ADVANCES</v>
          </cell>
          <cell r="H327" t="str">
            <v>LOANS AND ADVANCES</v>
          </cell>
          <cell r="I327" t="str">
            <v>ADVANCES</v>
          </cell>
        </row>
        <row r="328">
          <cell r="A328" t="str">
            <v>A501601-006</v>
          </cell>
          <cell r="B328" t="str">
            <v>Adv-Cameo Builders &amp; Constructions P L</v>
          </cell>
          <cell r="C328" t="str">
            <v>ASSET</v>
          </cell>
          <cell r="D328" t="str">
            <v>BALANCE SHEET</v>
          </cell>
          <cell r="E328">
            <v>0</v>
          </cell>
          <cell r="F328">
            <v>0</v>
          </cell>
          <cell r="G328" t="str">
            <v>CURRENT ASSETS, LOANS AND ADVANCES</v>
          </cell>
          <cell r="H328" t="str">
            <v>LOANS AND ADVANCES</v>
          </cell>
          <cell r="I328" t="str">
            <v>ADVANCES</v>
          </cell>
        </row>
        <row r="329">
          <cell r="A329" t="str">
            <v>A501601-007</v>
          </cell>
          <cell r="B329" t="str">
            <v>Adv-Cachet Real Estates P Ltd</v>
          </cell>
          <cell r="C329" t="str">
            <v>ASSET</v>
          </cell>
          <cell r="D329" t="str">
            <v>BALANCE SHEET</v>
          </cell>
          <cell r="E329">
            <v>0</v>
          </cell>
          <cell r="F329">
            <v>0</v>
          </cell>
          <cell r="G329" t="str">
            <v>CURRENT ASSETS, LOANS AND ADVANCES</v>
          </cell>
          <cell r="H329" t="str">
            <v>LOANS AND ADVANCES</v>
          </cell>
          <cell r="I329" t="str">
            <v>ADVANCES</v>
          </cell>
        </row>
        <row r="330">
          <cell r="A330" t="str">
            <v>A501601-008</v>
          </cell>
          <cell r="B330" t="str">
            <v>Adv-Calvine Builders And Const P Ltd</v>
          </cell>
          <cell r="C330" t="str">
            <v>ASSET</v>
          </cell>
          <cell r="D330" t="str">
            <v>BALANCE SHEET</v>
          </cell>
          <cell r="E330">
            <v>0</v>
          </cell>
          <cell r="F330">
            <v>0</v>
          </cell>
          <cell r="G330" t="str">
            <v>CURRENT ASSETS, LOANS AND ADVANCES</v>
          </cell>
          <cell r="H330" t="str">
            <v>LOANS AND ADVANCES</v>
          </cell>
          <cell r="I330" t="str">
            <v>ADVANCES</v>
          </cell>
        </row>
        <row r="331">
          <cell r="A331" t="str">
            <v>A501601-009</v>
          </cell>
          <cell r="B331" t="str">
            <v>Adv-Calista Real Esates P Ltd</v>
          </cell>
          <cell r="C331" t="str">
            <v>ASSET</v>
          </cell>
          <cell r="D331" t="str">
            <v>BALANCE SHEET</v>
          </cell>
          <cell r="E331">
            <v>0</v>
          </cell>
          <cell r="F331">
            <v>0</v>
          </cell>
          <cell r="G331" t="str">
            <v>CURRENT ASSETS, LOANS AND ADVANCES</v>
          </cell>
          <cell r="H331" t="str">
            <v>LOANS AND ADVANCES</v>
          </cell>
          <cell r="I331" t="str">
            <v>ADVANCES</v>
          </cell>
        </row>
        <row r="332">
          <cell r="A332" t="str">
            <v>A501601-010</v>
          </cell>
          <cell r="B332" t="str">
            <v>Adv-Cayenne Builders And Const P Ltd</v>
          </cell>
          <cell r="C332" t="str">
            <v>ASSET</v>
          </cell>
          <cell r="D332" t="str">
            <v>BALANCE SHEET</v>
          </cell>
          <cell r="E332">
            <v>0</v>
          </cell>
          <cell r="F332">
            <v>0</v>
          </cell>
          <cell r="G332" t="str">
            <v>CURRENT ASSETS, LOANS AND ADVANCES</v>
          </cell>
          <cell r="H332" t="str">
            <v>LOANS AND ADVANCES</v>
          </cell>
          <cell r="I332" t="str">
            <v>ADVANCES</v>
          </cell>
        </row>
        <row r="333">
          <cell r="A333" t="str">
            <v>A501601-011</v>
          </cell>
          <cell r="B333" t="str">
            <v>Adv-Candace Builders And Const P Ltd</v>
          </cell>
          <cell r="C333" t="str">
            <v>ASSET</v>
          </cell>
          <cell r="D333" t="str">
            <v>BALANCE SHEET</v>
          </cell>
          <cell r="E333">
            <v>0</v>
          </cell>
          <cell r="F333">
            <v>0</v>
          </cell>
          <cell r="G333" t="str">
            <v>CURRENT ASSETS, LOANS AND ADVANCES</v>
          </cell>
          <cell r="H333" t="str">
            <v>LOANS AND ADVANCES</v>
          </cell>
          <cell r="I333" t="str">
            <v>ADVANCES</v>
          </cell>
        </row>
        <row r="334">
          <cell r="A334" t="str">
            <v>A501601-012</v>
          </cell>
          <cell r="B334" t="str">
            <v>Adv-Chevalier Buil &amp; Cnstr Pvt Ltd</v>
          </cell>
          <cell r="C334" t="str">
            <v>ASSET</v>
          </cell>
          <cell r="D334" t="str">
            <v>BALANCE SHEET</v>
          </cell>
          <cell r="E334">
            <v>0</v>
          </cell>
          <cell r="F334">
            <v>0</v>
          </cell>
          <cell r="G334" t="str">
            <v>CURRENT ASSETS, LOANS AND ADVANCES</v>
          </cell>
          <cell r="H334" t="str">
            <v>LOANS AND ADVANCES</v>
          </cell>
          <cell r="I334" t="str">
            <v>ADVANCES</v>
          </cell>
        </row>
        <row r="335">
          <cell r="A335" t="str">
            <v>A501601-013</v>
          </cell>
          <cell r="B335" t="str">
            <v>Adv-Cubby Builders &amp; Developers Pvt Ltd</v>
          </cell>
          <cell r="C335" t="str">
            <v>ASSET</v>
          </cell>
          <cell r="D335" t="str">
            <v>BALANCE SHEET</v>
          </cell>
          <cell r="E335">
            <v>0</v>
          </cell>
          <cell r="F335">
            <v>0</v>
          </cell>
          <cell r="G335" t="str">
            <v>CURRENT ASSETS, LOANS AND ADVANCES</v>
          </cell>
          <cell r="H335" t="str">
            <v>LOANS AND ADVANCES</v>
          </cell>
          <cell r="I335" t="str">
            <v>ADVANCES</v>
          </cell>
        </row>
        <row r="336">
          <cell r="A336" t="str">
            <v>A501601-014</v>
          </cell>
          <cell r="B336" t="str">
            <v>Adv-Delta Land Real Estates P Ltd</v>
          </cell>
          <cell r="C336" t="str">
            <v>ASSET</v>
          </cell>
          <cell r="D336" t="str">
            <v>BALANCE SHEET</v>
          </cell>
          <cell r="E336">
            <v>0</v>
          </cell>
          <cell r="F336">
            <v>0</v>
          </cell>
          <cell r="G336" t="str">
            <v>CURRENT ASSETS, LOANS AND ADVANCES</v>
          </cell>
          <cell r="H336" t="str">
            <v>LOANS AND ADVANCES</v>
          </cell>
          <cell r="I336" t="str">
            <v>ADVANCES</v>
          </cell>
        </row>
        <row r="337">
          <cell r="A337" t="str">
            <v>A501601-015</v>
          </cell>
          <cell r="B337" t="str">
            <v>Adv-Dabria Real Estates P Ltd</v>
          </cell>
          <cell r="C337" t="str">
            <v>ASSET</v>
          </cell>
          <cell r="D337" t="str">
            <v>BALANCE SHEET</v>
          </cell>
          <cell r="E337">
            <v>0</v>
          </cell>
          <cell r="F337">
            <v>0</v>
          </cell>
          <cell r="G337" t="str">
            <v>CURRENT ASSETS, LOANS AND ADVANCES</v>
          </cell>
          <cell r="H337" t="str">
            <v>LOANS AND ADVANCES</v>
          </cell>
          <cell r="I337" t="str">
            <v>ADVANCES</v>
          </cell>
        </row>
        <row r="338">
          <cell r="A338" t="str">
            <v>A501601-016</v>
          </cell>
          <cell r="B338" t="str">
            <v>Adv-Despine Builders And Dev P Ltd</v>
          </cell>
          <cell r="C338" t="str">
            <v>ASSET</v>
          </cell>
          <cell r="D338" t="str">
            <v>BALANCE SHEET</v>
          </cell>
          <cell r="E338">
            <v>0</v>
          </cell>
          <cell r="F338">
            <v>0</v>
          </cell>
          <cell r="G338" t="str">
            <v>CURRENT ASSETS, LOANS AND ADVANCES</v>
          </cell>
          <cell r="H338" t="str">
            <v>LOANS AND ADVANCES</v>
          </cell>
          <cell r="I338" t="str">
            <v>ADVANCES</v>
          </cell>
        </row>
        <row r="339">
          <cell r="A339" t="str">
            <v>A501601-017</v>
          </cell>
          <cell r="B339" t="str">
            <v>Adv-Domus Real Estates Pvt Ltd</v>
          </cell>
          <cell r="C339" t="str">
            <v>ASSET</v>
          </cell>
          <cell r="D339" t="str">
            <v>BALANCE SHEET</v>
          </cell>
          <cell r="E339">
            <v>0</v>
          </cell>
          <cell r="F339">
            <v>0</v>
          </cell>
          <cell r="G339" t="str">
            <v>CURRENT ASSETS, LOANS AND ADVANCES</v>
          </cell>
          <cell r="H339" t="str">
            <v>LOANS AND ADVANCES</v>
          </cell>
          <cell r="I339" t="str">
            <v>ADVANCES</v>
          </cell>
        </row>
        <row r="340">
          <cell r="A340" t="str">
            <v>A501601-018</v>
          </cell>
          <cell r="B340" t="str">
            <v>Adv-Dylan Builders &amp; Developers Pvt Ltd.</v>
          </cell>
          <cell r="C340" t="str">
            <v>ASSET</v>
          </cell>
          <cell r="D340" t="str">
            <v>BALANCE SHEET</v>
          </cell>
          <cell r="E340">
            <v>0</v>
          </cell>
          <cell r="F340">
            <v>0</v>
          </cell>
          <cell r="G340" t="str">
            <v>CURRENT ASSETS, LOANS AND ADVANCES</v>
          </cell>
          <cell r="H340" t="str">
            <v>LOANS AND ADVANCES</v>
          </cell>
          <cell r="I340" t="str">
            <v>ADVANCES</v>
          </cell>
        </row>
        <row r="341">
          <cell r="A341" t="str">
            <v>A501601-019</v>
          </cell>
          <cell r="B341" t="str">
            <v>Adv-Ernesta Real Estate Pvt Ltd</v>
          </cell>
          <cell r="C341" t="str">
            <v>ASSET</v>
          </cell>
          <cell r="D341" t="str">
            <v>BALANCE SHEET</v>
          </cell>
          <cell r="E341">
            <v>0</v>
          </cell>
          <cell r="F341">
            <v>0</v>
          </cell>
          <cell r="G341" t="str">
            <v>CURRENT ASSETS, LOANS AND ADVANCES</v>
          </cell>
          <cell r="H341" t="str">
            <v>LOANS AND ADVANCES</v>
          </cell>
          <cell r="I341" t="str">
            <v>ADVANCES</v>
          </cell>
        </row>
        <row r="342">
          <cell r="A342" t="str">
            <v>A501601-020</v>
          </cell>
          <cell r="B342" t="str">
            <v>Adv-Elaine Builders &amp; Developers Pvt Ltd</v>
          </cell>
          <cell r="C342" t="str">
            <v>ASSET</v>
          </cell>
          <cell r="D342" t="str">
            <v>BALANCE SHEET</v>
          </cell>
          <cell r="E342">
            <v>0</v>
          </cell>
          <cell r="F342">
            <v>0</v>
          </cell>
          <cell r="G342" t="str">
            <v>CURRENT ASSETS, LOANS AND ADVANCES</v>
          </cell>
          <cell r="H342" t="str">
            <v>LOANS AND ADVANCES</v>
          </cell>
          <cell r="I342" t="str">
            <v>ADVANCES</v>
          </cell>
        </row>
        <row r="343">
          <cell r="A343" t="str">
            <v>A501601-021</v>
          </cell>
          <cell r="B343" t="str">
            <v>Adv-Eloise Builders &amp; Constructions P L</v>
          </cell>
          <cell r="C343" t="str">
            <v>ASSET</v>
          </cell>
          <cell r="D343" t="str">
            <v>BALANCE SHEET</v>
          </cell>
          <cell r="E343">
            <v>0</v>
          </cell>
          <cell r="F343">
            <v>0</v>
          </cell>
          <cell r="G343" t="str">
            <v>CURRENT ASSETS, LOANS AND ADVANCES</v>
          </cell>
          <cell r="H343" t="str">
            <v>LOANS AND ADVANCES</v>
          </cell>
          <cell r="I343" t="str">
            <v>ADVANCES</v>
          </cell>
        </row>
        <row r="344">
          <cell r="A344" t="str">
            <v>A501601-022</v>
          </cell>
          <cell r="B344" t="str">
            <v>Adv-Elaine Builders &amp; Constructions P L</v>
          </cell>
          <cell r="C344" t="str">
            <v>ASSET</v>
          </cell>
          <cell r="D344" t="str">
            <v>BALANCE SHEET</v>
          </cell>
          <cell r="E344">
            <v>0</v>
          </cell>
          <cell r="F344">
            <v>0</v>
          </cell>
          <cell r="G344" t="str">
            <v>CURRENT ASSETS, LOANS AND ADVANCES</v>
          </cell>
          <cell r="H344" t="str">
            <v>LOANS AND ADVANCES</v>
          </cell>
          <cell r="I344" t="str">
            <v>ADVANCES</v>
          </cell>
        </row>
        <row r="345">
          <cell r="A345" t="str">
            <v>A501601-023</v>
          </cell>
          <cell r="B345" t="str">
            <v>Adv-Estio Builders &amp; Developers Pvt Ltd</v>
          </cell>
          <cell r="C345" t="str">
            <v>ASSET</v>
          </cell>
          <cell r="D345" t="str">
            <v>BALANCE SHEET</v>
          </cell>
          <cell r="E345">
            <v>0</v>
          </cell>
          <cell r="F345">
            <v>0</v>
          </cell>
          <cell r="G345" t="str">
            <v>CURRENT ASSETS, LOANS AND ADVANCES</v>
          </cell>
          <cell r="H345" t="str">
            <v>LOANS AND ADVANCES</v>
          </cell>
          <cell r="I345" t="str">
            <v>ADVANCES</v>
          </cell>
        </row>
        <row r="346">
          <cell r="A346" t="str">
            <v>A501601-024</v>
          </cell>
          <cell r="B346" t="str">
            <v>Adv-First City Real Estate P Ltd</v>
          </cell>
          <cell r="C346" t="str">
            <v>ASSET</v>
          </cell>
          <cell r="D346" t="str">
            <v>BALANCE SHEET</v>
          </cell>
          <cell r="E346">
            <v>0</v>
          </cell>
          <cell r="F346">
            <v>0</v>
          </cell>
          <cell r="G346" t="str">
            <v>CURRENT ASSETS, LOANS AND ADVANCES</v>
          </cell>
          <cell r="H346" t="str">
            <v>LOANS AND ADVANCES</v>
          </cell>
          <cell r="I346" t="str">
            <v>ADVANCES</v>
          </cell>
        </row>
        <row r="347">
          <cell r="A347" t="str">
            <v>A501601-025</v>
          </cell>
          <cell r="B347" t="str">
            <v>Adv-Galvin Builders And Dev P Ltd</v>
          </cell>
          <cell r="C347" t="str">
            <v>ASSET</v>
          </cell>
          <cell r="D347" t="str">
            <v>BALANCE SHEET</v>
          </cell>
          <cell r="E347">
            <v>0</v>
          </cell>
          <cell r="F347">
            <v>0</v>
          </cell>
          <cell r="G347" t="str">
            <v>CURRENT ASSETS, LOANS AND ADVANCES</v>
          </cell>
          <cell r="H347" t="str">
            <v>LOANS AND ADVANCES</v>
          </cell>
          <cell r="I347" t="str">
            <v>ADVANCES</v>
          </cell>
        </row>
        <row r="348">
          <cell r="A348" t="str">
            <v>A501601-026</v>
          </cell>
          <cell r="B348" t="str">
            <v>Adv-Gorochana Estates Dev Pvt Ltd</v>
          </cell>
          <cell r="C348" t="str">
            <v>ASSET</v>
          </cell>
          <cell r="D348" t="str">
            <v>BALANCE SHEET</v>
          </cell>
          <cell r="E348">
            <v>0</v>
          </cell>
          <cell r="F348">
            <v>0</v>
          </cell>
          <cell r="G348" t="str">
            <v>CURRENT ASSETS, LOANS AND ADVANCES</v>
          </cell>
          <cell r="H348" t="str">
            <v>LOANS AND ADVANCES</v>
          </cell>
          <cell r="I348" t="str">
            <v>ADVANCES</v>
          </cell>
        </row>
        <row r="349">
          <cell r="A349" t="str">
            <v>A501601-027</v>
          </cell>
          <cell r="B349" t="str">
            <v>Adv-Gareth Builders And Const P Ltd</v>
          </cell>
          <cell r="C349" t="str">
            <v>ASSET</v>
          </cell>
          <cell r="D349" t="str">
            <v>BALANCE SHEET</v>
          </cell>
          <cell r="E349">
            <v>0</v>
          </cell>
          <cell r="F349">
            <v>0</v>
          </cell>
          <cell r="G349" t="str">
            <v>CURRENT ASSETS, LOANS AND ADVANCES</v>
          </cell>
          <cell r="H349" t="str">
            <v>LOANS AND ADVANCES</v>
          </cell>
          <cell r="I349" t="str">
            <v>ADVANCES</v>
          </cell>
        </row>
        <row r="350">
          <cell r="A350" t="str">
            <v>A501601-028</v>
          </cell>
          <cell r="B350" t="str">
            <v>Adv-Gavel Build &amp; Cnstr Pvt Ltd</v>
          </cell>
          <cell r="C350" t="str">
            <v>ASSET</v>
          </cell>
          <cell r="D350" t="str">
            <v>BALANCE SHEET</v>
          </cell>
          <cell r="E350">
            <v>0</v>
          </cell>
          <cell r="F350">
            <v>0</v>
          </cell>
          <cell r="G350" t="str">
            <v>CURRENT ASSETS, LOANS AND ADVANCES</v>
          </cell>
          <cell r="H350" t="str">
            <v>LOANS AND ADVANCES</v>
          </cell>
          <cell r="I350" t="str">
            <v>ADVANCES</v>
          </cell>
        </row>
        <row r="351">
          <cell r="A351" t="str">
            <v>A501601-029</v>
          </cell>
          <cell r="B351" t="str">
            <v>Adv-Hansel Builder  And Dev P Ltd</v>
          </cell>
          <cell r="C351" t="str">
            <v>ASSET</v>
          </cell>
          <cell r="D351" t="str">
            <v>BALANCE SHEET</v>
          </cell>
          <cell r="E351">
            <v>0</v>
          </cell>
          <cell r="F351">
            <v>0</v>
          </cell>
          <cell r="G351" t="str">
            <v>CURRENT ASSETS, LOANS AND ADVANCES</v>
          </cell>
          <cell r="H351" t="str">
            <v>LOANS AND ADVANCES</v>
          </cell>
          <cell r="I351" t="str">
            <v>ADVANCES</v>
          </cell>
        </row>
        <row r="352">
          <cell r="A352" t="str">
            <v>A501601-030</v>
          </cell>
          <cell r="B352" t="str">
            <v>Adv-Hurley Builders &amp; Developers Pvt Ltd</v>
          </cell>
          <cell r="C352" t="str">
            <v>ASSET</v>
          </cell>
          <cell r="D352" t="str">
            <v>BALANCE SHEET</v>
          </cell>
          <cell r="E352">
            <v>0</v>
          </cell>
          <cell r="F352">
            <v>0</v>
          </cell>
          <cell r="G352" t="str">
            <v>CURRENT ASSETS, LOANS AND ADVANCES</v>
          </cell>
          <cell r="H352" t="str">
            <v>LOANS AND ADVANCES</v>
          </cell>
          <cell r="I352" t="str">
            <v>ADVANCES</v>
          </cell>
        </row>
        <row r="353">
          <cell r="A353" t="str">
            <v>A501601-031</v>
          </cell>
          <cell r="B353" t="str">
            <v>Adv-Hoshi Builders &amp; Developers Pvt Ltd</v>
          </cell>
          <cell r="C353" t="str">
            <v>ASSET</v>
          </cell>
          <cell r="D353" t="str">
            <v>BALANCE SHEET</v>
          </cell>
          <cell r="E353">
            <v>0</v>
          </cell>
          <cell r="F353">
            <v>0</v>
          </cell>
          <cell r="G353" t="str">
            <v>CURRENT ASSETS, LOANS AND ADVANCES</v>
          </cell>
          <cell r="H353" t="str">
            <v>LOANS AND ADVANCES</v>
          </cell>
          <cell r="I353" t="str">
            <v>ADVANCES</v>
          </cell>
        </row>
        <row r="354">
          <cell r="A354" t="str">
            <v>A501601-032</v>
          </cell>
          <cell r="B354" t="str">
            <v>Adv-Isidro Builders Pvt Ltd</v>
          </cell>
          <cell r="C354" t="str">
            <v>ASSET</v>
          </cell>
          <cell r="D354" t="str">
            <v>BALANCE SHEET</v>
          </cell>
          <cell r="E354">
            <v>0</v>
          </cell>
          <cell r="F354">
            <v>0</v>
          </cell>
          <cell r="G354" t="str">
            <v>CURRENT ASSETS, LOANS AND ADVANCES</v>
          </cell>
          <cell r="H354" t="str">
            <v>LOANS AND ADVANCES</v>
          </cell>
          <cell r="I354" t="str">
            <v>ADVANCES</v>
          </cell>
        </row>
        <row r="355">
          <cell r="A355" t="str">
            <v>A501601-033</v>
          </cell>
          <cell r="B355" t="str">
            <v>Adv-Jesen Builders &amp; Developers Pvt Ltd</v>
          </cell>
          <cell r="C355" t="str">
            <v>ASSET</v>
          </cell>
          <cell r="D355" t="str">
            <v>BALANCE SHEET</v>
          </cell>
          <cell r="E355">
            <v>0</v>
          </cell>
          <cell r="F355">
            <v>0</v>
          </cell>
          <cell r="G355" t="str">
            <v>CURRENT ASSETS, LOANS AND ADVANCES</v>
          </cell>
          <cell r="H355" t="str">
            <v>LOANS AND ADVANCES</v>
          </cell>
          <cell r="I355" t="str">
            <v>ADVANCES</v>
          </cell>
        </row>
        <row r="356">
          <cell r="A356" t="str">
            <v>A501601-034</v>
          </cell>
          <cell r="B356" t="str">
            <v>Adv-Jingle Builders &amp; Developers P L</v>
          </cell>
          <cell r="C356" t="str">
            <v>ASSET</v>
          </cell>
          <cell r="D356" t="str">
            <v>BALANCE SHEET</v>
          </cell>
          <cell r="E356">
            <v>0</v>
          </cell>
          <cell r="F356">
            <v>0</v>
          </cell>
          <cell r="G356" t="str">
            <v>CURRENT ASSETS, LOANS AND ADVANCES</v>
          </cell>
          <cell r="H356" t="str">
            <v>LOANS AND ADVANCES</v>
          </cell>
          <cell r="I356" t="str">
            <v>ADVANCES</v>
          </cell>
        </row>
        <row r="357">
          <cell r="A357" t="str">
            <v>A501601-035</v>
          </cell>
          <cell r="B357" t="str">
            <v>Adv-Kolya Builders &amp; Developers Pvt Ltd</v>
          </cell>
          <cell r="C357" t="str">
            <v>ASSET</v>
          </cell>
          <cell r="D357" t="str">
            <v>BALANCE SHEET</v>
          </cell>
          <cell r="E357">
            <v>0</v>
          </cell>
          <cell r="F357">
            <v>0</v>
          </cell>
          <cell r="G357" t="str">
            <v>CURRENT ASSETS, LOANS AND ADVANCES</v>
          </cell>
          <cell r="H357" t="str">
            <v>LOANS AND ADVANCES</v>
          </cell>
          <cell r="I357" t="str">
            <v>ADVANCES</v>
          </cell>
        </row>
        <row r="358">
          <cell r="A358" t="str">
            <v>A501601-036</v>
          </cell>
          <cell r="B358" t="str">
            <v>Adv-Kirtimaan Builders Ltd.</v>
          </cell>
          <cell r="C358" t="str">
            <v>ASSET</v>
          </cell>
          <cell r="D358" t="str">
            <v>BALANCE SHEET</v>
          </cell>
          <cell r="E358">
            <v>0</v>
          </cell>
          <cell r="F358">
            <v>0</v>
          </cell>
          <cell r="G358" t="str">
            <v>CURRENT ASSETS, LOANS AND ADVANCES</v>
          </cell>
          <cell r="H358" t="str">
            <v>LOANS AND ADVANCES</v>
          </cell>
          <cell r="I358" t="str">
            <v>ADVANCES</v>
          </cell>
        </row>
        <row r="359">
          <cell r="A359" t="str">
            <v>A501601-037</v>
          </cell>
          <cell r="B359" t="str">
            <v>Adv-Keyna Build &amp; Cnstr Pvt Ltd</v>
          </cell>
          <cell r="C359" t="str">
            <v>ASSET</v>
          </cell>
          <cell r="D359" t="str">
            <v>BALANCE SHEET</v>
          </cell>
          <cell r="E359">
            <v>0</v>
          </cell>
          <cell r="F359">
            <v>0</v>
          </cell>
          <cell r="G359" t="str">
            <v>CURRENT ASSETS, LOANS AND ADVANCES</v>
          </cell>
          <cell r="H359" t="str">
            <v>LOANS AND ADVANCES</v>
          </cell>
          <cell r="I359" t="str">
            <v>ADVANCES</v>
          </cell>
        </row>
        <row r="360">
          <cell r="A360" t="str">
            <v>A501601-038</v>
          </cell>
          <cell r="B360" t="str">
            <v>Adv-Laverne Builders And Developers P L</v>
          </cell>
          <cell r="C360" t="str">
            <v>ASSET</v>
          </cell>
          <cell r="D360" t="str">
            <v>BALANCE SHEET</v>
          </cell>
          <cell r="E360">
            <v>0</v>
          </cell>
          <cell r="F360">
            <v>0</v>
          </cell>
          <cell r="G360" t="str">
            <v>CURRENT ASSETS, LOANS AND ADVANCES</v>
          </cell>
          <cell r="H360" t="str">
            <v>LOANS AND ADVANCES</v>
          </cell>
          <cell r="I360" t="str">
            <v>ADVANCES</v>
          </cell>
        </row>
        <row r="361">
          <cell r="A361" t="str">
            <v>A501601-039</v>
          </cell>
          <cell r="B361" t="str">
            <v>Adv-Lenore Real Estates P Ltd</v>
          </cell>
          <cell r="C361" t="str">
            <v>ASSET</v>
          </cell>
          <cell r="D361" t="str">
            <v>BALANCE SHEET</v>
          </cell>
          <cell r="E361">
            <v>0</v>
          </cell>
          <cell r="F361">
            <v>0</v>
          </cell>
          <cell r="G361" t="str">
            <v>CURRENT ASSETS, LOANS AND ADVANCES</v>
          </cell>
          <cell r="H361" t="str">
            <v>LOANS AND ADVANCES</v>
          </cell>
          <cell r="I361" t="str">
            <v>ADVANCES</v>
          </cell>
        </row>
        <row r="362">
          <cell r="A362" t="str">
            <v>A501601-040</v>
          </cell>
          <cell r="B362" t="str">
            <v>Adv-Lainey Builders And Const P Ltd</v>
          </cell>
          <cell r="C362" t="str">
            <v>ASSET</v>
          </cell>
          <cell r="D362" t="str">
            <v>BALANCE SHEET</v>
          </cell>
          <cell r="E362">
            <v>0</v>
          </cell>
          <cell r="F362">
            <v>0</v>
          </cell>
          <cell r="G362" t="str">
            <v>CURRENT ASSETS, LOANS AND ADVANCES</v>
          </cell>
          <cell r="H362" t="str">
            <v>LOANS AND ADVANCES</v>
          </cell>
          <cell r="I362" t="str">
            <v>ADVANCES</v>
          </cell>
        </row>
        <row r="363">
          <cell r="A363" t="str">
            <v>A501601-041</v>
          </cell>
          <cell r="B363" t="str">
            <v>Adv-Lanza Builders And Const P Ltd</v>
          </cell>
          <cell r="C363" t="str">
            <v>ASSET</v>
          </cell>
          <cell r="D363" t="str">
            <v>BALANCE SHEET</v>
          </cell>
          <cell r="E363">
            <v>0</v>
          </cell>
          <cell r="F363">
            <v>0</v>
          </cell>
          <cell r="G363" t="str">
            <v>CURRENT ASSETS, LOANS AND ADVANCES</v>
          </cell>
          <cell r="H363" t="str">
            <v>LOANS AND ADVANCES</v>
          </cell>
          <cell r="I363" t="str">
            <v>ADVANCES</v>
          </cell>
        </row>
        <row r="364">
          <cell r="A364" t="str">
            <v>A501601-042</v>
          </cell>
          <cell r="B364" t="str">
            <v>Adv-Lavinita Builders &amp; Developers P L</v>
          </cell>
          <cell r="C364" t="str">
            <v>ASSET</v>
          </cell>
          <cell r="D364" t="str">
            <v>BALANCE SHEET</v>
          </cell>
          <cell r="E364">
            <v>0</v>
          </cell>
          <cell r="F364">
            <v>0</v>
          </cell>
          <cell r="G364" t="str">
            <v>CURRENT ASSETS, LOANS AND ADVANCES</v>
          </cell>
          <cell r="H364" t="str">
            <v>LOANS AND ADVANCES</v>
          </cell>
          <cell r="I364" t="str">
            <v>ADVANCES</v>
          </cell>
        </row>
        <row r="365">
          <cell r="A365" t="str">
            <v>A501601-043</v>
          </cell>
          <cell r="B365" t="str">
            <v>Adv-Livana Builders &amp; Developers Pvt Ltd</v>
          </cell>
          <cell r="C365" t="str">
            <v>ASSET</v>
          </cell>
          <cell r="D365" t="str">
            <v>BALANCE SHEET</v>
          </cell>
          <cell r="E365">
            <v>0</v>
          </cell>
          <cell r="F365">
            <v>0</v>
          </cell>
          <cell r="G365" t="str">
            <v>CURRENT ASSETS, LOANS AND ADVANCES</v>
          </cell>
          <cell r="H365" t="str">
            <v>LOANS AND ADVANCES</v>
          </cell>
          <cell r="I365" t="str">
            <v>ADVANCES</v>
          </cell>
        </row>
        <row r="366">
          <cell r="A366" t="str">
            <v>A501601-044</v>
          </cell>
          <cell r="B366" t="str">
            <v>Adv-Latona Builders &amp; Constructions P L</v>
          </cell>
          <cell r="C366" t="str">
            <v>ASSET</v>
          </cell>
          <cell r="D366" t="str">
            <v>BALANCE SHEET</v>
          </cell>
          <cell r="E366">
            <v>0</v>
          </cell>
          <cell r="F366">
            <v>0</v>
          </cell>
          <cell r="G366" t="str">
            <v>CURRENT ASSETS, LOANS AND ADVANCES</v>
          </cell>
          <cell r="H366" t="str">
            <v>LOANS AND ADVANCES</v>
          </cell>
          <cell r="I366" t="str">
            <v>ADVANCES</v>
          </cell>
        </row>
        <row r="367">
          <cell r="A367" t="str">
            <v>A501601-045</v>
          </cell>
          <cell r="B367" t="str">
            <v>Adv-Mufallah Builders And Dev P Ltd</v>
          </cell>
          <cell r="C367" t="str">
            <v>ASSET</v>
          </cell>
          <cell r="D367" t="str">
            <v>BALANCE SHEET</v>
          </cell>
          <cell r="E367">
            <v>0</v>
          </cell>
          <cell r="F367">
            <v>0</v>
          </cell>
          <cell r="G367" t="str">
            <v>CURRENT ASSETS, LOANS AND ADVANCES</v>
          </cell>
          <cell r="H367" t="str">
            <v>LOANS AND ADVANCES</v>
          </cell>
          <cell r="I367" t="str">
            <v>ADVANCES</v>
          </cell>
        </row>
        <row r="368">
          <cell r="A368" t="str">
            <v>A501601-046</v>
          </cell>
          <cell r="B368" t="str">
            <v>Adv-Melosa Builders And Dev Pvt Ltd</v>
          </cell>
          <cell r="C368" t="str">
            <v>ASSET</v>
          </cell>
          <cell r="D368" t="str">
            <v>BALANCE SHEET</v>
          </cell>
          <cell r="E368">
            <v>0</v>
          </cell>
          <cell r="F368">
            <v>0</v>
          </cell>
          <cell r="G368" t="str">
            <v>CURRENT ASSETS, LOANS AND ADVANCES</v>
          </cell>
          <cell r="H368" t="str">
            <v>LOANS AND ADVANCES</v>
          </cell>
          <cell r="I368" t="str">
            <v>ADVANCES</v>
          </cell>
        </row>
        <row r="369">
          <cell r="A369" t="str">
            <v>A501601-047</v>
          </cell>
          <cell r="B369" t="str">
            <v>Adv-Mariposa Builders And Dev Pvt Ltd</v>
          </cell>
          <cell r="C369" t="str">
            <v>ASSET</v>
          </cell>
          <cell r="D369" t="str">
            <v>BALANCE SHEET</v>
          </cell>
          <cell r="E369">
            <v>0</v>
          </cell>
          <cell r="F369">
            <v>0</v>
          </cell>
          <cell r="G369" t="str">
            <v>CURRENT ASSETS, LOANS AND ADVANCES</v>
          </cell>
          <cell r="H369" t="str">
            <v>LOANS AND ADVANCES</v>
          </cell>
          <cell r="I369" t="str">
            <v>ADVANCES</v>
          </cell>
        </row>
        <row r="370">
          <cell r="A370" t="str">
            <v>A501601-048</v>
          </cell>
          <cell r="B370" t="str">
            <v>Adv-Melisenda Builders And Dev P  Ltd</v>
          </cell>
          <cell r="C370" t="str">
            <v>ASSET</v>
          </cell>
          <cell r="D370" t="str">
            <v>BALANCE SHEET</v>
          </cell>
          <cell r="E370">
            <v>0</v>
          </cell>
          <cell r="F370">
            <v>0</v>
          </cell>
          <cell r="G370" t="str">
            <v>CURRENT ASSETS, LOANS AND ADVANCES</v>
          </cell>
          <cell r="H370" t="str">
            <v>LOANS AND ADVANCES</v>
          </cell>
          <cell r="I370" t="str">
            <v>ADVANCES</v>
          </cell>
        </row>
        <row r="371">
          <cell r="A371" t="str">
            <v>A501601-049</v>
          </cell>
          <cell r="B371" t="str">
            <v>Adv-Malcolm Builders And Dev P Ltd</v>
          </cell>
          <cell r="C371" t="str">
            <v>ASSET</v>
          </cell>
          <cell r="D371" t="str">
            <v>BALANCE SHEET</v>
          </cell>
          <cell r="E371">
            <v>0</v>
          </cell>
          <cell r="F371">
            <v>0</v>
          </cell>
          <cell r="G371" t="str">
            <v>CURRENT ASSETS, LOANS AND ADVANCES</v>
          </cell>
          <cell r="H371" t="str">
            <v>LOANS AND ADVANCES</v>
          </cell>
          <cell r="I371" t="str">
            <v>ADVANCES</v>
          </cell>
        </row>
        <row r="372">
          <cell r="A372" t="str">
            <v>A501601-050</v>
          </cell>
          <cell r="B372" t="str">
            <v>Adv-Morina Builders &amp; Developers P L</v>
          </cell>
          <cell r="C372" t="str">
            <v>ASSET</v>
          </cell>
          <cell r="D372" t="str">
            <v>BALANCE SHEET</v>
          </cell>
          <cell r="E372">
            <v>0</v>
          </cell>
          <cell r="F372">
            <v>0</v>
          </cell>
          <cell r="G372" t="str">
            <v>CURRENT ASSETS, LOANS AND ADVANCES</v>
          </cell>
          <cell r="H372" t="str">
            <v>LOANS AND ADVANCES</v>
          </cell>
          <cell r="I372" t="str">
            <v>ADVANCES</v>
          </cell>
        </row>
        <row r="373">
          <cell r="A373" t="str">
            <v>A501601-051</v>
          </cell>
          <cell r="B373" t="str">
            <v>Adv-Morgan Builders &amp; Developers P L</v>
          </cell>
          <cell r="C373" t="str">
            <v>ASSET</v>
          </cell>
          <cell r="D373" t="str">
            <v>BALANCE SHEET</v>
          </cell>
          <cell r="E373">
            <v>0</v>
          </cell>
          <cell r="F373">
            <v>0</v>
          </cell>
          <cell r="G373" t="str">
            <v>CURRENT ASSETS, LOANS AND ADVANCES</v>
          </cell>
          <cell r="H373" t="str">
            <v>LOANS AND ADVANCES</v>
          </cell>
          <cell r="I373" t="str">
            <v>ADVANCES</v>
          </cell>
        </row>
        <row r="374">
          <cell r="A374" t="str">
            <v>A501601-052</v>
          </cell>
          <cell r="B374" t="str">
            <v>Adv-Morven Builders &amp; Developers P L</v>
          </cell>
          <cell r="C374" t="str">
            <v>ASSET</v>
          </cell>
          <cell r="D374" t="str">
            <v>BALANCE SHEET</v>
          </cell>
          <cell r="E374">
            <v>0</v>
          </cell>
          <cell r="F374">
            <v>0</v>
          </cell>
          <cell r="G374" t="str">
            <v>CURRENT ASSETS, LOANS AND ADVANCES</v>
          </cell>
          <cell r="H374" t="str">
            <v>LOANS AND ADVANCES</v>
          </cell>
          <cell r="I374" t="str">
            <v>ADVANCES</v>
          </cell>
        </row>
        <row r="375">
          <cell r="A375" t="str">
            <v>A501601-053</v>
          </cell>
          <cell r="B375" t="str">
            <v>Adv-Muriel Builders &amp; Developers Pvt</v>
          </cell>
          <cell r="C375" t="str">
            <v>ASSET</v>
          </cell>
          <cell r="D375" t="str">
            <v>BALANCE SHEET</v>
          </cell>
          <cell r="E375">
            <v>0</v>
          </cell>
          <cell r="F375">
            <v>0</v>
          </cell>
          <cell r="G375" t="str">
            <v>CURRENT ASSETS, LOANS AND ADVANCES</v>
          </cell>
          <cell r="H375" t="str">
            <v>LOANS AND ADVANCES</v>
          </cell>
          <cell r="I375" t="str">
            <v>ADVANCES</v>
          </cell>
        </row>
        <row r="376">
          <cell r="A376" t="str">
            <v>A501601-054</v>
          </cell>
          <cell r="B376" t="str">
            <v>Adv-Molan Builders &amp; Constructions P L</v>
          </cell>
          <cell r="C376" t="str">
            <v>ASSET</v>
          </cell>
          <cell r="D376" t="str">
            <v>BALANCE SHEET</v>
          </cell>
          <cell r="E376">
            <v>0</v>
          </cell>
          <cell r="F376">
            <v>0</v>
          </cell>
          <cell r="G376" t="str">
            <v>CURRENT ASSETS, LOANS AND ADVANCES</v>
          </cell>
          <cell r="H376" t="str">
            <v>LOANS AND ADVANCES</v>
          </cell>
          <cell r="I376" t="str">
            <v>ADVANCES</v>
          </cell>
        </row>
        <row r="377">
          <cell r="A377" t="str">
            <v>A501601-055</v>
          </cell>
          <cell r="B377" t="str">
            <v>Adv-Madge Builders &amp; Constructions P L</v>
          </cell>
          <cell r="C377" t="str">
            <v>ASSET</v>
          </cell>
          <cell r="D377" t="str">
            <v>BALANCE SHEET</v>
          </cell>
          <cell r="E377">
            <v>0</v>
          </cell>
          <cell r="F377">
            <v>0</v>
          </cell>
          <cell r="G377" t="str">
            <v>CURRENT ASSETS, LOANS AND ADVANCES</v>
          </cell>
          <cell r="H377" t="str">
            <v>LOANS AND ADVANCES</v>
          </cell>
          <cell r="I377" t="str">
            <v>ADVANCES</v>
          </cell>
        </row>
        <row r="378">
          <cell r="A378" t="str">
            <v>A501601-056</v>
          </cell>
          <cell r="B378" t="str">
            <v>Adv-Nerina Builders And Dev Pvt Ltd</v>
          </cell>
          <cell r="C378" t="str">
            <v>ASSET</v>
          </cell>
          <cell r="D378" t="str">
            <v>BALANCE SHEET</v>
          </cell>
          <cell r="E378">
            <v>0</v>
          </cell>
          <cell r="F378">
            <v>0</v>
          </cell>
          <cell r="G378" t="str">
            <v>CURRENT ASSETS, LOANS AND ADVANCES</v>
          </cell>
          <cell r="H378" t="str">
            <v>LOANS AND ADVANCES</v>
          </cell>
          <cell r="I378" t="str">
            <v>ADVANCES</v>
          </cell>
        </row>
        <row r="379">
          <cell r="A379" t="str">
            <v>A501601-057</v>
          </cell>
          <cell r="B379" t="str">
            <v>Adv-Naja Estate Dev P Ltd</v>
          </cell>
          <cell r="C379" t="str">
            <v>ASSET</v>
          </cell>
          <cell r="D379" t="str">
            <v>BALANCE SHEET</v>
          </cell>
          <cell r="E379">
            <v>0</v>
          </cell>
          <cell r="F379">
            <v>0</v>
          </cell>
          <cell r="G379" t="str">
            <v>CURRENT ASSETS, LOANS AND ADVANCES</v>
          </cell>
          <cell r="H379" t="str">
            <v>LOANS AND ADVANCES</v>
          </cell>
          <cell r="I379" t="str">
            <v>ADVANCES</v>
          </cell>
        </row>
        <row r="380">
          <cell r="A380" t="str">
            <v>A501601-058</v>
          </cell>
          <cell r="B380" t="str">
            <v>Adv-Nasturtium Builders &amp; Dev Pvt Ltd</v>
          </cell>
          <cell r="C380" t="str">
            <v>ASSET</v>
          </cell>
          <cell r="D380" t="str">
            <v>BALANCE SHEET</v>
          </cell>
          <cell r="E380">
            <v>0</v>
          </cell>
          <cell r="F380">
            <v>0</v>
          </cell>
          <cell r="G380" t="str">
            <v>CURRENT ASSETS, LOANS AND ADVANCES</v>
          </cell>
          <cell r="H380" t="str">
            <v>LOANS AND ADVANCES</v>
          </cell>
          <cell r="I380" t="str">
            <v>ADVANCES</v>
          </cell>
        </row>
        <row r="381">
          <cell r="A381" t="str">
            <v>A501601-059</v>
          </cell>
          <cell r="B381" t="str">
            <v>Adv-Padmavasa Buil And Dev Pvt Ltd</v>
          </cell>
          <cell r="C381" t="str">
            <v>ASSET</v>
          </cell>
          <cell r="D381" t="str">
            <v>BALANCE SHEET</v>
          </cell>
          <cell r="E381">
            <v>0</v>
          </cell>
          <cell r="F381">
            <v>0</v>
          </cell>
          <cell r="G381" t="str">
            <v>CURRENT ASSETS, LOANS AND ADVANCES</v>
          </cell>
          <cell r="H381" t="str">
            <v>LOANS AND ADVANCES</v>
          </cell>
          <cell r="I381" t="str">
            <v>ADVANCES</v>
          </cell>
        </row>
        <row r="382">
          <cell r="A382" t="str">
            <v>A501601-060</v>
          </cell>
          <cell r="B382" t="str">
            <v>Adv-Paean Estates Estates Dev P Ltd</v>
          </cell>
          <cell r="C382" t="str">
            <v>ASSET</v>
          </cell>
          <cell r="D382" t="str">
            <v>BALANCE SHEET</v>
          </cell>
          <cell r="E382">
            <v>0</v>
          </cell>
          <cell r="F382">
            <v>0</v>
          </cell>
          <cell r="G382" t="str">
            <v>CURRENT ASSETS, LOANS AND ADVANCES</v>
          </cell>
          <cell r="H382" t="str">
            <v>LOANS AND ADVANCES</v>
          </cell>
          <cell r="I382" t="str">
            <v>ADVANCES</v>
          </cell>
        </row>
        <row r="383">
          <cell r="A383" t="str">
            <v>A501601-061</v>
          </cell>
          <cell r="B383" t="str">
            <v>Adv-Prasheetha Estate Dev P Ltd</v>
          </cell>
          <cell r="C383" t="str">
            <v>ASSET</v>
          </cell>
          <cell r="D383" t="str">
            <v>BALANCE SHEET</v>
          </cell>
          <cell r="E383">
            <v>0</v>
          </cell>
          <cell r="F383">
            <v>0</v>
          </cell>
          <cell r="G383" t="str">
            <v>CURRENT ASSETS, LOANS AND ADVANCES</v>
          </cell>
          <cell r="H383" t="str">
            <v>LOANS AND ADVANCES</v>
          </cell>
          <cell r="I383" t="str">
            <v>ADVANCES</v>
          </cell>
        </row>
        <row r="384">
          <cell r="A384" t="str">
            <v>A501601-062</v>
          </cell>
          <cell r="B384" t="str">
            <v>Adv-Peridot Estates Developers Pvt Ltd</v>
          </cell>
          <cell r="C384" t="str">
            <v>ASSET</v>
          </cell>
          <cell r="D384" t="str">
            <v>BALANCE SHEET</v>
          </cell>
          <cell r="E384">
            <v>0</v>
          </cell>
          <cell r="F384">
            <v>0</v>
          </cell>
          <cell r="G384" t="str">
            <v>CURRENT ASSETS, LOANS AND ADVANCES</v>
          </cell>
          <cell r="H384" t="str">
            <v>LOANS AND ADVANCES</v>
          </cell>
          <cell r="I384" t="str">
            <v>ADVANCES</v>
          </cell>
        </row>
        <row r="385">
          <cell r="A385" t="str">
            <v>A501601-063</v>
          </cell>
          <cell r="B385" t="str">
            <v>Adv-Pyrite Build &amp; Cnstr Pvt Ltd</v>
          </cell>
          <cell r="C385" t="str">
            <v>ASSET</v>
          </cell>
          <cell r="D385" t="str">
            <v>BALANCE SHEET</v>
          </cell>
          <cell r="E385">
            <v>0</v>
          </cell>
          <cell r="F385">
            <v>0</v>
          </cell>
          <cell r="G385" t="str">
            <v>CURRENT ASSETS, LOANS AND ADVANCES</v>
          </cell>
          <cell r="H385" t="str">
            <v>LOANS AND ADVANCES</v>
          </cell>
          <cell r="I385" t="str">
            <v>ADVANCES</v>
          </cell>
        </row>
        <row r="386">
          <cell r="A386" t="str">
            <v>A501601-064</v>
          </cell>
          <cell r="B386" t="str">
            <v>Adv-Qabil Builders &amp; Constructions P L</v>
          </cell>
          <cell r="C386" t="str">
            <v>ASSET</v>
          </cell>
          <cell r="D386" t="str">
            <v>BALANCE SHEET</v>
          </cell>
          <cell r="E386">
            <v>0</v>
          </cell>
          <cell r="F386">
            <v>0</v>
          </cell>
          <cell r="G386" t="str">
            <v>CURRENT ASSETS, LOANS AND ADVANCES</v>
          </cell>
          <cell r="H386" t="str">
            <v>LOANS AND ADVANCES</v>
          </cell>
          <cell r="I386" t="str">
            <v>ADVANCES</v>
          </cell>
        </row>
        <row r="387">
          <cell r="A387" t="str">
            <v>A501601-065</v>
          </cell>
          <cell r="B387" t="str">
            <v>Adv-Royalton Builders And  Dev Pvt Ltd</v>
          </cell>
          <cell r="C387" t="str">
            <v>ASSET</v>
          </cell>
          <cell r="D387" t="str">
            <v>BALANCE SHEET</v>
          </cell>
          <cell r="E387">
            <v>0</v>
          </cell>
          <cell r="F387">
            <v>0</v>
          </cell>
          <cell r="G387" t="str">
            <v>CURRENT ASSETS, LOANS AND ADVANCES</v>
          </cell>
          <cell r="H387" t="str">
            <v>LOANS AND ADVANCES</v>
          </cell>
          <cell r="I387" t="str">
            <v>ADVANCES</v>
          </cell>
        </row>
        <row r="388">
          <cell r="A388" t="str">
            <v>A501601-066</v>
          </cell>
          <cell r="B388" t="str">
            <v>Adv-Rochelle  Builders And  Const P Ltd</v>
          </cell>
          <cell r="C388" t="str">
            <v>ASSET</v>
          </cell>
          <cell r="D388" t="str">
            <v>BALANCE SHEET</v>
          </cell>
          <cell r="E388">
            <v>0</v>
          </cell>
          <cell r="F388">
            <v>0</v>
          </cell>
          <cell r="G388" t="str">
            <v>CURRENT ASSETS, LOANS AND ADVANCES</v>
          </cell>
          <cell r="H388" t="str">
            <v>LOANS AND ADVANCES</v>
          </cell>
          <cell r="I388" t="str">
            <v>ADVANCES</v>
          </cell>
        </row>
        <row r="389">
          <cell r="A389" t="str">
            <v>A501601-067</v>
          </cell>
          <cell r="B389" t="str">
            <v>Adv-Rosalind Builders And Cosnt P Ltd</v>
          </cell>
          <cell r="C389" t="str">
            <v>ASSET</v>
          </cell>
          <cell r="D389" t="str">
            <v>BALANCE SHEET</v>
          </cell>
          <cell r="E389">
            <v>0</v>
          </cell>
          <cell r="F389">
            <v>0</v>
          </cell>
          <cell r="G389" t="str">
            <v>CURRENT ASSETS, LOANS AND ADVANCES</v>
          </cell>
          <cell r="H389" t="str">
            <v>LOANS AND ADVANCES</v>
          </cell>
          <cell r="I389" t="str">
            <v>ADVANCES</v>
          </cell>
        </row>
        <row r="390">
          <cell r="A390" t="str">
            <v>A501601-068</v>
          </cell>
          <cell r="B390" t="str">
            <v>Adv-Rachelle Buil &amp; Cnstr Pvt Ltd</v>
          </cell>
          <cell r="C390" t="str">
            <v>ASSET</v>
          </cell>
          <cell r="D390" t="str">
            <v>BALANCE SHEET</v>
          </cell>
          <cell r="E390">
            <v>0</v>
          </cell>
          <cell r="F390">
            <v>0</v>
          </cell>
          <cell r="G390" t="str">
            <v>CURRENT ASSETS, LOANS AND ADVANCES</v>
          </cell>
          <cell r="H390" t="str">
            <v>LOANS AND ADVANCES</v>
          </cell>
          <cell r="I390" t="str">
            <v>ADVANCES</v>
          </cell>
        </row>
        <row r="391">
          <cell r="A391" t="str">
            <v>A501601-069</v>
          </cell>
          <cell r="B391" t="str">
            <v>Adv-Sommer Builders &amp; Developers Pvt Ltd</v>
          </cell>
          <cell r="C391" t="str">
            <v>ASSET</v>
          </cell>
          <cell r="D391" t="str">
            <v>BALANCE SHEET</v>
          </cell>
          <cell r="E391">
            <v>0</v>
          </cell>
          <cell r="F391">
            <v>0</v>
          </cell>
          <cell r="G391" t="str">
            <v>CURRENT ASSETS, LOANS AND ADVANCES</v>
          </cell>
          <cell r="H391" t="str">
            <v>LOANS AND ADVANCES</v>
          </cell>
          <cell r="I391" t="str">
            <v>ADVANCES</v>
          </cell>
        </row>
        <row r="392">
          <cell r="A392" t="str">
            <v>A501601-070</v>
          </cell>
          <cell r="B392" t="str">
            <v>Adv-Sorley Builders &amp; Developers Pvt Ltd</v>
          </cell>
          <cell r="C392" t="str">
            <v>ASSET</v>
          </cell>
          <cell r="D392" t="str">
            <v>BALANCE SHEET</v>
          </cell>
          <cell r="E392">
            <v>0</v>
          </cell>
          <cell r="F392">
            <v>0</v>
          </cell>
          <cell r="G392" t="str">
            <v>CURRENT ASSETS, LOANS AND ADVANCES</v>
          </cell>
          <cell r="H392" t="str">
            <v>LOANS AND ADVANCES</v>
          </cell>
          <cell r="I392" t="str">
            <v>ADVANCES</v>
          </cell>
        </row>
        <row r="393">
          <cell r="A393" t="str">
            <v>A501601-071</v>
          </cell>
          <cell r="B393" t="str">
            <v>Adv-Soraya Builders &amp; Constructions P L</v>
          </cell>
          <cell r="C393" t="str">
            <v>ASSET</v>
          </cell>
          <cell r="D393" t="str">
            <v>BALANCE SHEET</v>
          </cell>
          <cell r="E393">
            <v>0</v>
          </cell>
          <cell r="F393">
            <v>0</v>
          </cell>
          <cell r="G393" t="str">
            <v>CURRENT ASSETS, LOANS AND ADVANCES</v>
          </cell>
          <cell r="H393" t="str">
            <v>LOANS AND ADVANCES</v>
          </cell>
          <cell r="I393" t="str">
            <v>ADVANCES</v>
          </cell>
        </row>
        <row r="394">
          <cell r="A394" t="str">
            <v>A501601-072</v>
          </cell>
          <cell r="B394" t="str">
            <v>Adv-Shinanee Builders And Dev Ltd</v>
          </cell>
          <cell r="C394" t="str">
            <v>ASSET</v>
          </cell>
          <cell r="D394" t="str">
            <v>BALANCE SHEET</v>
          </cell>
          <cell r="E394">
            <v>0</v>
          </cell>
          <cell r="F394">
            <v>0</v>
          </cell>
          <cell r="G394" t="str">
            <v>CURRENT ASSETS, LOANS AND ADVANCES</v>
          </cell>
          <cell r="H394" t="str">
            <v>LOANS AND ADVANCES</v>
          </cell>
          <cell r="I394" t="str">
            <v>ADVANCES</v>
          </cell>
        </row>
        <row r="395">
          <cell r="A395" t="str">
            <v>A501601-073</v>
          </cell>
          <cell r="B395" t="str">
            <v>Adv-Saravati Builders And Const P Ltd</v>
          </cell>
          <cell r="C395" t="str">
            <v>ASSET</v>
          </cell>
          <cell r="D395" t="str">
            <v>BALANCE SHEET</v>
          </cell>
          <cell r="E395">
            <v>0</v>
          </cell>
          <cell r="F395">
            <v>0</v>
          </cell>
          <cell r="G395" t="str">
            <v>CURRENT ASSETS, LOANS AND ADVANCES</v>
          </cell>
          <cell r="H395" t="str">
            <v>LOANS AND ADVANCES</v>
          </cell>
          <cell r="I395" t="str">
            <v>ADVANCES</v>
          </cell>
        </row>
        <row r="396">
          <cell r="A396" t="str">
            <v>A501601-074</v>
          </cell>
          <cell r="B396" t="str">
            <v>Adv-Shamira Real Estate Developers P L</v>
          </cell>
          <cell r="C396" t="str">
            <v>ASSET</v>
          </cell>
          <cell r="D396" t="str">
            <v>BALANCE SHEET</v>
          </cell>
          <cell r="E396">
            <v>0</v>
          </cell>
          <cell r="F396">
            <v>0</v>
          </cell>
          <cell r="G396" t="str">
            <v>CURRENT ASSETS, LOANS AND ADVANCES</v>
          </cell>
          <cell r="H396" t="str">
            <v>LOANS AND ADVANCES</v>
          </cell>
          <cell r="I396" t="str">
            <v>ADVANCES</v>
          </cell>
        </row>
        <row r="397">
          <cell r="A397" t="str">
            <v>A501601-075</v>
          </cell>
          <cell r="B397" t="str">
            <v>Adv-Tusti Builders And Dev Pvt Ltd</v>
          </cell>
          <cell r="C397" t="str">
            <v>ASSET</v>
          </cell>
          <cell r="D397" t="str">
            <v>BALANCE SHEET</v>
          </cell>
          <cell r="E397">
            <v>0</v>
          </cell>
          <cell r="F397">
            <v>0</v>
          </cell>
          <cell r="G397" t="str">
            <v>CURRENT ASSETS, LOANS AND ADVANCES</v>
          </cell>
          <cell r="H397" t="str">
            <v>LOANS AND ADVANCES</v>
          </cell>
          <cell r="I397" t="str">
            <v>ADVANCES</v>
          </cell>
        </row>
        <row r="398">
          <cell r="A398" t="str">
            <v>A501601-076</v>
          </cell>
          <cell r="B398" t="str">
            <v>Adv-Talvi Builders &amp; Developers Pvt Ltd</v>
          </cell>
          <cell r="C398" t="str">
            <v>ASSET</v>
          </cell>
          <cell r="D398" t="str">
            <v>BALANCE SHEET</v>
          </cell>
          <cell r="E398">
            <v>0</v>
          </cell>
          <cell r="F398">
            <v>0</v>
          </cell>
          <cell r="G398" t="str">
            <v>CURRENT ASSETS, LOANS AND ADVANCES</v>
          </cell>
          <cell r="H398" t="str">
            <v>LOANS AND ADVANCES</v>
          </cell>
          <cell r="I398" t="str">
            <v>ADVANCES</v>
          </cell>
        </row>
        <row r="399">
          <cell r="A399" t="str">
            <v>A501601-077</v>
          </cell>
          <cell r="B399" t="str">
            <v>Adv-Uncial Builders &amp; Constructions P L</v>
          </cell>
          <cell r="C399" t="str">
            <v>ASSET</v>
          </cell>
          <cell r="D399" t="str">
            <v>BALANCE SHEET</v>
          </cell>
          <cell r="E399">
            <v>0</v>
          </cell>
          <cell r="F399">
            <v>0</v>
          </cell>
          <cell r="G399" t="str">
            <v>CURRENT ASSETS, LOANS AND ADVANCES</v>
          </cell>
          <cell r="H399" t="str">
            <v>LOANS AND ADVANCES</v>
          </cell>
          <cell r="I399" t="str">
            <v>ADVANCES</v>
          </cell>
        </row>
        <row r="400">
          <cell r="A400" t="str">
            <v>A501601-078</v>
          </cell>
          <cell r="B400" t="str">
            <v>Adv-Vinanti Builders And Dev P Ltd</v>
          </cell>
          <cell r="C400" t="str">
            <v>ASSET</v>
          </cell>
          <cell r="D400" t="str">
            <v>BALANCE SHEET</v>
          </cell>
          <cell r="E400">
            <v>0</v>
          </cell>
          <cell r="F400">
            <v>0</v>
          </cell>
          <cell r="G400" t="str">
            <v>CURRENT ASSETS, LOANS AND ADVANCES</v>
          </cell>
          <cell r="H400" t="str">
            <v>LOANS AND ADVANCES</v>
          </cell>
          <cell r="I400" t="str">
            <v>ADVANCES</v>
          </cell>
        </row>
        <row r="401">
          <cell r="A401" t="str">
            <v>A501601-079</v>
          </cell>
          <cell r="B401" t="str">
            <v>Adv-Vilina Estate Developers Pvt.Ltd.</v>
          </cell>
          <cell r="C401" t="str">
            <v>ASSET</v>
          </cell>
          <cell r="D401" t="str">
            <v>BALANCE SHEET</v>
          </cell>
          <cell r="E401">
            <v>0</v>
          </cell>
          <cell r="F401">
            <v>0</v>
          </cell>
          <cell r="G401" t="str">
            <v>CURRENT ASSETS, LOANS AND ADVANCES</v>
          </cell>
          <cell r="H401" t="str">
            <v>LOANS AND ADVANCES</v>
          </cell>
          <cell r="I401" t="str">
            <v>ADVANCES</v>
          </cell>
        </row>
        <row r="402">
          <cell r="A402" t="str">
            <v>A501601-080</v>
          </cell>
          <cell r="B402" t="str">
            <v>Adv-Yule Builders &amp; Developers Pvt Ltd</v>
          </cell>
          <cell r="C402" t="str">
            <v>ASSET</v>
          </cell>
          <cell r="D402" t="str">
            <v>BALANCE SHEET</v>
          </cell>
          <cell r="E402">
            <v>0</v>
          </cell>
          <cell r="F402">
            <v>0</v>
          </cell>
          <cell r="G402" t="str">
            <v>CURRENT ASSETS, LOANS AND ADVANCES</v>
          </cell>
          <cell r="H402" t="str">
            <v>LOANS AND ADVANCES</v>
          </cell>
          <cell r="I402" t="str">
            <v>ADVANCES</v>
          </cell>
        </row>
        <row r="403">
          <cell r="A403" t="str">
            <v>A501601-081</v>
          </cell>
          <cell r="B403" t="str">
            <v>Adv-Zima Builders &amp; Developers Pvt Ltd</v>
          </cell>
          <cell r="C403" t="str">
            <v>ASSET</v>
          </cell>
          <cell r="D403" t="str">
            <v>BALANCE SHEET</v>
          </cell>
          <cell r="E403">
            <v>0</v>
          </cell>
          <cell r="F403">
            <v>0</v>
          </cell>
          <cell r="G403" t="str">
            <v>CURRENT ASSETS, LOANS AND ADVANCES</v>
          </cell>
          <cell r="H403" t="str">
            <v>LOANS AND ADVANCES</v>
          </cell>
          <cell r="I403" t="str">
            <v>ADVANCES</v>
          </cell>
        </row>
        <row r="404">
          <cell r="A404" t="str">
            <v>A501601-082</v>
          </cell>
          <cell r="B404" t="str">
            <v>Adv-Irving Buil &amp; Dev Pvt Ltd</v>
          </cell>
          <cell r="C404" t="str">
            <v>ASSET</v>
          </cell>
          <cell r="D404" t="str">
            <v>BALANCE SHEET</v>
          </cell>
          <cell r="E404">
            <v>0</v>
          </cell>
          <cell r="F404">
            <v>0</v>
          </cell>
          <cell r="G404" t="str">
            <v>CURRENT ASSETS, LOANS AND ADVANCES</v>
          </cell>
          <cell r="H404" t="str">
            <v>LOANS AND ADVANCES</v>
          </cell>
          <cell r="I404" t="str">
            <v>ADVANCES</v>
          </cell>
        </row>
        <row r="405">
          <cell r="A405" t="str">
            <v>A501601-083</v>
          </cell>
          <cell r="B405" t="str">
            <v>Adv-Aeval Estates Pvt Ltd</v>
          </cell>
          <cell r="C405" t="str">
            <v>ASSET</v>
          </cell>
          <cell r="D405" t="str">
            <v>BALANCE SHEET</v>
          </cell>
          <cell r="E405">
            <v>0</v>
          </cell>
          <cell r="F405">
            <v>0</v>
          </cell>
          <cell r="G405" t="str">
            <v>CURRENT ASSETS, LOANS AND ADVANCES</v>
          </cell>
          <cell r="H405" t="str">
            <v>LOANS AND ADVANCES</v>
          </cell>
          <cell r="I405" t="str">
            <v>ADVANCES</v>
          </cell>
        </row>
        <row r="406">
          <cell r="A406" t="str">
            <v>A501601-084</v>
          </cell>
          <cell r="B406" t="str">
            <v>Adv-Lear Buil &amp; Dev Pvt Ltd</v>
          </cell>
          <cell r="C406" t="str">
            <v>ASSET</v>
          </cell>
          <cell r="D406" t="str">
            <v>BALANCE SHEET</v>
          </cell>
          <cell r="E406">
            <v>0</v>
          </cell>
          <cell r="F406">
            <v>0</v>
          </cell>
          <cell r="G406" t="str">
            <v>CURRENT ASSETS, LOANS AND ADVANCES</v>
          </cell>
          <cell r="H406" t="str">
            <v>LOANS AND ADVANCES</v>
          </cell>
          <cell r="I406" t="str">
            <v>ADVANCES</v>
          </cell>
        </row>
        <row r="407">
          <cell r="A407" t="str">
            <v>A501601-085</v>
          </cell>
          <cell r="B407" t="str">
            <v>Adv-Belden Homes Pvt Ltd</v>
          </cell>
          <cell r="C407" t="str">
            <v>ASSET</v>
          </cell>
          <cell r="D407" t="str">
            <v>BALANCE SHEET</v>
          </cell>
          <cell r="E407">
            <v>0</v>
          </cell>
          <cell r="F407">
            <v>0</v>
          </cell>
          <cell r="G407" t="str">
            <v>CURRENT ASSETS, LOANS AND ADVANCES</v>
          </cell>
          <cell r="H407" t="str">
            <v>LOANS AND ADVANCES</v>
          </cell>
          <cell r="I407" t="str">
            <v>ADVANCES</v>
          </cell>
        </row>
        <row r="408">
          <cell r="A408" t="str">
            <v>A501601-086</v>
          </cell>
          <cell r="B408" t="str">
            <v>Adv-Verano Buil &amp; Dev Pvt Ltd</v>
          </cell>
          <cell r="C408" t="str">
            <v>ASSET</v>
          </cell>
          <cell r="D408" t="str">
            <v>BALANCE SHEET</v>
          </cell>
          <cell r="E408">
            <v>0</v>
          </cell>
          <cell r="F408">
            <v>0</v>
          </cell>
          <cell r="G408" t="str">
            <v>CURRENT ASSETS, LOANS AND ADVANCES</v>
          </cell>
          <cell r="H408" t="str">
            <v>LOANS AND ADVANCES</v>
          </cell>
          <cell r="I408" t="str">
            <v>ADVANCES</v>
          </cell>
        </row>
        <row r="409">
          <cell r="A409" t="str">
            <v>A501601-087</v>
          </cell>
          <cell r="B409" t="str">
            <v>Adv-Nellis Buil &amp; Dev Pvt Ltd</v>
          </cell>
          <cell r="C409" t="str">
            <v>ASSET</v>
          </cell>
          <cell r="D409" t="str">
            <v>BALANCE SHEET</v>
          </cell>
          <cell r="E409">
            <v>0</v>
          </cell>
          <cell r="F409">
            <v>0</v>
          </cell>
          <cell r="G409" t="str">
            <v>CURRENT ASSETS, LOANS AND ADVANCES</v>
          </cell>
          <cell r="H409" t="str">
            <v>LOANS AND ADVANCES</v>
          </cell>
          <cell r="I409" t="str">
            <v>ADVANCES</v>
          </cell>
        </row>
        <row r="410">
          <cell r="A410" t="str">
            <v>A501601-088</v>
          </cell>
          <cell r="B410" t="str">
            <v>Adv-Larissa Build &amp; Dev Pvt Ltd</v>
          </cell>
          <cell r="C410" t="str">
            <v>ASSET</v>
          </cell>
          <cell r="D410" t="str">
            <v>BALANCE SHEET</v>
          </cell>
          <cell r="E410">
            <v>0</v>
          </cell>
          <cell r="F410">
            <v>0</v>
          </cell>
          <cell r="G410" t="str">
            <v>CURRENT ASSETS, LOANS AND ADVANCES</v>
          </cell>
          <cell r="H410" t="str">
            <v>LOANS AND ADVANCES</v>
          </cell>
          <cell r="I410" t="str">
            <v>ADVANCES</v>
          </cell>
        </row>
        <row r="411">
          <cell r="A411" t="str">
            <v>A501601-089</v>
          </cell>
          <cell r="B411" t="str">
            <v>Adv-Amon Estates Pvt Ltd</v>
          </cell>
          <cell r="C411" t="str">
            <v>ASSET</v>
          </cell>
          <cell r="D411" t="str">
            <v>BALANCE SHEET</v>
          </cell>
          <cell r="E411">
            <v>0</v>
          </cell>
          <cell r="F411">
            <v>0</v>
          </cell>
          <cell r="G411" t="str">
            <v>CURRENT ASSETS, LOANS AND ADVANCES</v>
          </cell>
          <cell r="H411" t="str">
            <v>LOANS AND ADVANCES</v>
          </cell>
          <cell r="I411" t="str">
            <v>ADVANCES</v>
          </cell>
        </row>
        <row r="412">
          <cell r="A412" t="str">
            <v>A501601-090</v>
          </cell>
          <cell r="B412" t="str">
            <v>Adv-Amor Estates Pvt Ltd</v>
          </cell>
          <cell r="C412" t="str">
            <v>ASSET</v>
          </cell>
          <cell r="D412" t="str">
            <v>BALANCE SHEET</v>
          </cell>
          <cell r="E412">
            <v>0</v>
          </cell>
          <cell r="F412">
            <v>0</v>
          </cell>
          <cell r="G412" t="str">
            <v>CURRENT ASSETS, LOANS AND ADVANCES</v>
          </cell>
          <cell r="H412" t="str">
            <v>LOANS AND ADVANCES</v>
          </cell>
          <cell r="I412" t="str">
            <v>ADVANCES</v>
          </cell>
        </row>
        <row r="413">
          <cell r="A413" t="str">
            <v>A501601-091</v>
          </cell>
          <cell r="B413" t="str">
            <v>Adv-Rujula Build &amp; Dev Pvt Ltd</v>
          </cell>
          <cell r="C413" t="str">
            <v>ASSET</v>
          </cell>
          <cell r="D413" t="str">
            <v>BALANCE SHEET</v>
          </cell>
          <cell r="E413">
            <v>0</v>
          </cell>
          <cell r="F413">
            <v>0</v>
          </cell>
          <cell r="G413" t="str">
            <v>CURRENT ASSETS, LOANS AND ADVANCES</v>
          </cell>
          <cell r="H413" t="str">
            <v>LOANS AND ADVANCES</v>
          </cell>
          <cell r="I413" t="str">
            <v>ADVANCES</v>
          </cell>
        </row>
        <row r="414">
          <cell r="A414" t="str">
            <v>A501601-092</v>
          </cell>
          <cell r="B414" t="str">
            <v>Adv-Senymour Build &amp; Dev Pvt Ltd</v>
          </cell>
          <cell r="C414" t="str">
            <v>ASSET</v>
          </cell>
          <cell r="D414" t="str">
            <v>BALANCE SHEET</v>
          </cell>
          <cell r="E414">
            <v>0</v>
          </cell>
          <cell r="F414">
            <v>0</v>
          </cell>
          <cell r="G414" t="str">
            <v>CURRENT ASSETS, LOANS AND ADVANCES</v>
          </cell>
          <cell r="H414" t="str">
            <v>LOANS AND ADVANCES</v>
          </cell>
          <cell r="I414" t="str">
            <v>ADVANCES</v>
          </cell>
        </row>
        <row r="415">
          <cell r="A415" t="str">
            <v>A501601-093</v>
          </cell>
          <cell r="B415" t="str">
            <v>Adv-Pan Infratech Pvt Ltd</v>
          </cell>
          <cell r="C415" t="str">
            <v>ASSET</v>
          </cell>
          <cell r="D415" t="str">
            <v>BALANCE SHEET</v>
          </cell>
          <cell r="E415">
            <v>0</v>
          </cell>
          <cell r="F415">
            <v>0</v>
          </cell>
          <cell r="G415" t="str">
            <v>CURRENT ASSETS, LOANS AND ADVANCES</v>
          </cell>
          <cell r="H415" t="str">
            <v>LOANS AND ADVANCES</v>
          </cell>
          <cell r="I415" t="str">
            <v>ADVANCES</v>
          </cell>
        </row>
        <row r="416">
          <cell r="A416" t="str">
            <v>A501601-094</v>
          </cell>
          <cell r="B416" t="str">
            <v>Adv-Erasma Builders &amp; Developers Pvt Ltd</v>
          </cell>
          <cell r="C416" t="str">
            <v>ASSET</v>
          </cell>
          <cell r="D416" t="str">
            <v>BALANCE SHEET</v>
          </cell>
          <cell r="E416">
            <v>0</v>
          </cell>
          <cell r="F416">
            <v>0</v>
          </cell>
          <cell r="G416" t="str">
            <v>CURRENT ASSETS, LOANS AND ADVANCES</v>
          </cell>
          <cell r="H416" t="str">
            <v>LOANS AND ADVANCES</v>
          </cell>
          <cell r="I416" t="str">
            <v>ADVANCES</v>
          </cell>
        </row>
        <row r="417">
          <cell r="A417" t="str">
            <v>A501601-095</v>
          </cell>
          <cell r="B417" t="str">
            <v>Adv-Apis Realtors Pvt Ltd</v>
          </cell>
          <cell r="C417" t="str">
            <v>ASSET</v>
          </cell>
          <cell r="D417" t="str">
            <v>BALANCE SHEET</v>
          </cell>
          <cell r="E417">
            <v>0</v>
          </cell>
          <cell r="F417">
            <v>0</v>
          </cell>
          <cell r="G417" t="str">
            <v>CURRENT ASSETS, LOANS AND ADVANCES</v>
          </cell>
          <cell r="H417" t="str">
            <v>LOANS AND ADVANCES</v>
          </cell>
          <cell r="I417" t="str">
            <v>ADVANCES</v>
          </cell>
        </row>
        <row r="418">
          <cell r="A418" t="str">
            <v>A501601-096</v>
          </cell>
          <cell r="B418" t="str">
            <v>Adv-DHCL Premium Mall Div</v>
          </cell>
          <cell r="C418" t="str">
            <v>ASSET</v>
          </cell>
          <cell r="D418" t="str">
            <v>BALANCE SHEET</v>
          </cell>
          <cell r="E418">
            <v>0</v>
          </cell>
          <cell r="F418">
            <v>0</v>
          </cell>
          <cell r="G418" t="str">
            <v>CURRENT ASSETS, LOANS AND ADVANCES</v>
          </cell>
          <cell r="H418" t="str">
            <v>LOANS AND ADVANCES</v>
          </cell>
          <cell r="I418" t="str">
            <v>ADVANCES</v>
          </cell>
        </row>
        <row r="419">
          <cell r="A419" t="str">
            <v>A501601-097</v>
          </cell>
          <cell r="B419" t="str">
            <v>Adv-Tane Estates Pvt Ltd</v>
          </cell>
          <cell r="C419" t="str">
            <v>ASSET</v>
          </cell>
          <cell r="D419" t="str">
            <v>BALANCE SHEET</v>
          </cell>
          <cell r="E419">
            <v>0</v>
          </cell>
          <cell r="F419">
            <v>0</v>
          </cell>
          <cell r="G419" t="str">
            <v>CURRENT ASSETS, LOANS AND ADVANCES</v>
          </cell>
          <cell r="H419" t="str">
            <v>LOANS AND ADVANCES</v>
          </cell>
          <cell r="I419" t="str">
            <v>ADVANCES</v>
          </cell>
        </row>
        <row r="420">
          <cell r="A420" t="str">
            <v>A501601-098</v>
          </cell>
          <cell r="B420" t="str">
            <v>Adv-Querida Buil &amp; Dev Pvt Ltd</v>
          </cell>
          <cell r="C420" t="str">
            <v>ASSET</v>
          </cell>
          <cell r="D420" t="str">
            <v>BALANCE SHEET</v>
          </cell>
          <cell r="E420">
            <v>0</v>
          </cell>
          <cell r="F420">
            <v>0</v>
          </cell>
          <cell r="G420" t="str">
            <v>CURRENT ASSETS, LOANS AND ADVANCES</v>
          </cell>
          <cell r="H420" t="str">
            <v>LOANS AND ADVANCES</v>
          </cell>
          <cell r="I420" t="str">
            <v>ADVANCES</v>
          </cell>
        </row>
        <row r="421">
          <cell r="A421" t="str">
            <v>A501601-099</v>
          </cell>
          <cell r="B421" t="str">
            <v>Adv-Peninab Buil &amp; Cnstr Pvt Ltd</v>
          </cell>
          <cell r="C421" t="str">
            <v>ASSET</v>
          </cell>
          <cell r="D421" t="str">
            <v>BALANCE SHEET</v>
          </cell>
          <cell r="E421">
            <v>0</v>
          </cell>
          <cell r="F421">
            <v>0</v>
          </cell>
          <cell r="G421" t="str">
            <v>CURRENT ASSETS, LOANS AND ADVANCES</v>
          </cell>
          <cell r="H421" t="str">
            <v>LOANS AND ADVANCES</v>
          </cell>
          <cell r="I421" t="str">
            <v>ADVANCES</v>
          </cell>
        </row>
        <row r="422">
          <cell r="A422" t="str">
            <v>A501601-100</v>
          </cell>
          <cell r="B422" t="str">
            <v>Adv-BAAL REALTORS PVT LTD</v>
          </cell>
          <cell r="C422" t="str">
            <v>ASSET</v>
          </cell>
          <cell r="D422" t="str">
            <v>BALANCE SHEET</v>
          </cell>
          <cell r="E422">
            <v>0</v>
          </cell>
          <cell r="F422">
            <v>0</v>
          </cell>
          <cell r="G422" t="str">
            <v>CURRENT ASSETS, LOANS AND ADVANCES</v>
          </cell>
          <cell r="H422" t="str">
            <v>LOANS AND ADVANCES</v>
          </cell>
          <cell r="I422" t="str">
            <v>ADVANCES</v>
          </cell>
        </row>
        <row r="423">
          <cell r="A423" t="str">
            <v>A501601-101</v>
          </cell>
          <cell r="B423" t="str">
            <v>Adv-Domus Realtors Pvt Ltd</v>
          </cell>
          <cell r="C423" t="str">
            <v>ASSET</v>
          </cell>
          <cell r="D423" t="str">
            <v>BALANCE SHEET</v>
          </cell>
          <cell r="E423">
            <v>0</v>
          </cell>
          <cell r="F423">
            <v>0</v>
          </cell>
          <cell r="G423" t="str">
            <v>CURRENT ASSETS, LOANS AND ADVANCES</v>
          </cell>
          <cell r="H423" t="str">
            <v>LOANS AND ADVANCES</v>
          </cell>
          <cell r="I423" t="str">
            <v>ADVANCES</v>
          </cell>
        </row>
        <row r="424">
          <cell r="A424" t="str">
            <v>A501601-102</v>
          </cell>
          <cell r="B424" t="str">
            <v>Adv-Liber Buildwell Pvt Ltd</v>
          </cell>
          <cell r="C424" t="str">
            <v>ASSET</v>
          </cell>
          <cell r="D424" t="str">
            <v>BALANCE SHEET</v>
          </cell>
          <cell r="E424">
            <v>0</v>
          </cell>
          <cell r="F424">
            <v>0</v>
          </cell>
          <cell r="G424" t="str">
            <v>CURRENT ASSETS, LOANS AND ADVANCES</v>
          </cell>
          <cell r="H424" t="str">
            <v>LOANS AND ADVANCES</v>
          </cell>
          <cell r="I424" t="str">
            <v>ADVANCES</v>
          </cell>
        </row>
        <row r="425">
          <cell r="A425" t="str">
            <v>A501601-103</v>
          </cell>
          <cell r="B425" t="str">
            <v>Adv-Fyme Buil &amp; Cnstr Pvt Ltd</v>
          </cell>
          <cell r="C425" t="str">
            <v>ASSET</v>
          </cell>
          <cell r="D425" t="str">
            <v>BALANCE SHEET</v>
          </cell>
          <cell r="E425">
            <v>0</v>
          </cell>
          <cell r="F425">
            <v>0</v>
          </cell>
          <cell r="G425" t="str">
            <v>CURRENT ASSETS, LOANS AND ADVANCES</v>
          </cell>
          <cell r="H425" t="str">
            <v>LOANS AND ADVANCES</v>
          </cell>
          <cell r="I425" t="str">
            <v>ADVANCES</v>
          </cell>
        </row>
        <row r="426">
          <cell r="A426" t="str">
            <v>A501601-104</v>
          </cell>
          <cell r="B426" t="str">
            <v>Adv-Laureny Buil &amp; Cnstr Pvt Ltd</v>
          </cell>
          <cell r="C426" t="str">
            <v>ASSET</v>
          </cell>
          <cell r="D426" t="str">
            <v>BALANCE SHEET</v>
          </cell>
          <cell r="E426">
            <v>0</v>
          </cell>
          <cell r="F426">
            <v>0</v>
          </cell>
          <cell r="G426" t="str">
            <v>CURRENT ASSETS, LOANS AND ADVANCES</v>
          </cell>
          <cell r="H426" t="str">
            <v>LOANS AND ADVANCES</v>
          </cell>
          <cell r="I426" t="str">
            <v>ADVANCES</v>
          </cell>
        </row>
        <row r="427">
          <cell r="A427" t="str">
            <v>A501601-105</v>
          </cell>
          <cell r="B427" t="str">
            <v>Adv-Alethia Buil &amp; Dev Pvt Ltd</v>
          </cell>
          <cell r="C427" t="str">
            <v>ASSET</v>
          </cell>
          <cell r="D427" t="str">
            <v>BALANCE SHEET</v>
          </cell>
          <cell r="E427">
            <v>0</v>
          </cell>
          <cell r="F427">
            <v>0</v>
          </cell>
          <cell r="G427" t="str">
            <v>CURRENT ASSETS, LOANS AND ADVANCES</v>
          </cell>
          <cell r="H427" t="str">
            <v>LOANS AND ADVANCES</v>
          </cell>
          <cell r="I427" t="str">
            <v>ADVANCES</v>
          </cell>
        </row>
        <row r="428">
          <cell r="A428" t="str">
            <v>A501601-106</v>
          </cell>
          <cell r="B428" t="str">
            <v>Adv-Nedra Buil &amp; Dev Pvt Ltd</v>
          </cell>
          <cell r="C428" t="str">
            <v>ASSET</v>
          </cell>
          <cell r="D428" t="str">
            <v>BALANCE SHEET</v>
          </cell>
          <cell r="E428">
            <v>0</v>
          </cell>
          <cell r="F428">
            <v>0</v>
          </cell>
          <cell r="G428" t="str">
            <v>CURRENT ASSETS, LOANS AND ADVANCES</v>
          </cell>
          <cell r="H428" t="str">
            <v>LOANS AND ADVANCES</v>
          </cell>
          <cell r="I428" t="str">
            <v>ADVANCES</v>
          </cell>
        </row>
        <row r="429">
          <cell r="A429" t="str">
            <v>A501601-107</v>
          </cell>
          <cell r="B429" t="str">
            <v>Adv-Elvira Build &amp; Cnstr Pvt Ltd</v>
          </cell>
          <cell r="C429" t="str">
            <v>ASSET</v>
          </cell>
          <cell r="D429" t="str">
            <v>BALANCE SHEET</v>
          </cell>
          <cell r="E429">
            <v>0</v>
          </cell>
          <cell r="F429">
            <v>0</v>
          </cell>
          <cell r="G429" t="str">
            <v>CURRENT ASSETS, LOANS AND ADVANCES</v>
          </cell>
          <cell r="H429" t="str">
            <v>LOANS AND ADVANCES</v>
          </cell>
          <cell r="I429" t="str">
            <v>ADVANCES</v>
          </cell>
        </row>
        <row r="430">
          <cell r="A430" t="str">
            <v>A601001</v>
          </cell>
          <cell r="B430" t="str">
            <v>Advances to Suppliers of goods /services</v>
          </cell>
          <cell r="C430" t="str">
            <v>ASSET</v>
          </cell>
          <cell r="D430" t="str">
            <v>BALANCE SHEET</v>
          </cell>
          <cell r="E430" t="str">
            <v>SUPPLIER PREPAYMENT A/C</v>
          </cell>
          <cell r="F430">
            <v>0</v>
          </cell>
          <cell r="G430" t="str">
            <v>CURRENT ASSETS, LOANS AND ADVANCES</v>
          </cell>
          <cell r="H430" t="str">
            <v>LOANS AND ADVANCES</v>
          </cell>
          <cell r="I430" t="str">
            <v>ADVANCES</v>
          </cell>
        </row>
        <row r="431">
          <cell r="A431" t="str">
            <v>A601002</v>
          </cell>
          <cell r="B431" t="str">
            <v>Advance Against Capital Goods</v>
          </cell>
          <cell r="C431" t="str">
            <v>ASSET</v>
          </cell>
          <cell r="D431" t="str">
            <v>BALANCE SHEET</v>
          </cell>
          <cell r="E431" t="str">
            <v>SUPPLIER PREPAYMENT A/C</v>
          </cell>
          <cell r="F431">
            <v>0</v>
          </cell>
          <cell r="G431" t="str">
            <v>CURRENT ASSETS, LOANS AND ADVANCES</v>
          </cell>
          <cell r="H431" t="str">
            <v>LOANS AND ADVANCES</v>
          </cell>
          <cell r="I431" t="str">
            <v>ADVANCES</v>
          </cell>
        </row>
        <row r="432">
          <cell r="A432" t="str">
            <v>A601003</v>
          </cell>
          <cell r="B432" t="str">
            <v>Works contract/Contractor Adv(Secured)</v>
          </cell>
          <cell r="C432" t="str">
            <v>ASSET</v>
          </cell>
          <cell r="D432" t="str">
            <v>BALANCE SHEET</v>
          </cell>
          <cell r="E432" t="str">
            <v>SUPPLIER PREPAYMENT A/C</v>
          </cell>
          <cell r="F432">
            <v>0</v>
          </cell>
          <cell r="G432" t="str">
            <v>CURRENT ASSETS, LOANS AND ADVANCES</v>
          </cell>
          <cell r="H432" t="str">
            <v>LOANS AND ADVANCES</v>
          </cell>
          <cell r="I432" t="str">
            <v>ADVANCES</v>
          </cell>
        </row>
        <row r="433">
          <cell r="A433" t="str">
            <v>A601004</v>
          </cell>
          <cell r="B433" t="str">
            <v>Works contract/Contractor Adv(Unsecured)</v>
          </cell>
          <cell r="C433" t="str">
            <v>ASSET</v>
          </cell>
          <cell r="D433" t="str">
            <v>BALANCE SHEET</v>
          </cell>
          <cell r="E433" t="str">
            <v>SUPPLIER PREPAYMENT A/C</v>
          </cell>
          <cell r="F433">
            <v>0</v>
          </cell>
          <cell r="G433" t="str">
            <v>CURRENT ASSETS, LOANS AND ADVANCES</v>
          </cell>
          <cell r="H433" t="str">
            <v>LOANS AND ADVANCES</v>
          </cell>
          <cell r="I433" t="str">
            <v>ADVANCES</v>
          </cell>
        </row>
        <row r="434">
          <cell r="A434" t="str">
            <v>A601005</v>
          </cell>
          <cell r="B434" t="str">
            <v>Advance to Retainers</v>
          </cell>
          <cell r="C434" t="str">
            <v>ASSET</v>
          </cell>
          <cell r="D434" t="str">
            <v>BALANCE SHEET</v>
          </cell>
          <cell r="E434" t="str">
            <v>SUPPLIER PREPAYMENT A/C</v>
          </cell>
          <cell r="F434">
            <v>0</v>
          </cell>
          <cell r="G434" t="str">
            <v>CURRENT ASSETS, LOANS AND ADVANCES</v>
          </cell>
          <cell r="H434" t="str">
            <v>LOANS AND ADVANCES</v>
          </cell>
          <cell r="I434" t="str">
            <v>ADVANCES</v>
          </cell>
        </row>
        <row r="435">
          <cell r="A435" t="str">
            <v>A601006</v>
          </cell>
          <cell r="B435" t="str">
            <v>Broker Advance</v>
          </cell>
          <cell r="C435" t="str">
            <v>ASSET</v>
          </cell>
          <cell r="D435" t="str">
            <v>BALANCE SHEET</v>
          </cell>
          <cell r="E435" t="str">
            <v>SUPPLIER PREPAYMENT A/C</v>
          </cell>
          <cell r="F435">
            <v>0</v>
          </cell>
          <cell r="G435" t="str">
            <v>CURRENT ASSETS, LOANS AND ADVANCES</v>
          </cell>
          <cell r="H435" t="str">
            <v>LOANS AND ADVANCES</v>
          </cell>
          <cell r="I435" t="str">
            <v>ADVANCES</v>
          </cell>
        </row>
        <row r="436">
          <cell r="A436" t="str">
            <v>A601101</v>
          </cell>
          <cell r="B436" t="str">
            <v>Advance Advertisement</v>
          </cell>
          <cell r="C436" t="str">
            <v>ASSET</v>
          </cell>
          <cell r="D436" t="str">
            <v>BALANCE SHEET</v>
          </cell>
          <cell r="E436">
            <v>0</v>
          </cell>
          <cell r="F436">
            <v>0</v>
          </cell>
          <cell r="G436" t="str">
            <v>CURRENT ASSETS, LOANS AND ADVANCES</v>
          </cell>
          <cell r="H436" t="str">
            <v>LOANS AND ADVANCES</v>
          </cell>
          <cell r="I436" t="str">
            <v>ADVANCES</v>
          </cell>
        </row>
        <row r="437">
          <cell r="A437" t="str">
            <v>A601102</v>
          </cell>
          <cell r="B437" t="str">
            <v>Advance Subscription</v>
          </cell>
          <cell r="C437" t="str">
            <v>ASSET</v>
          </cell>
          <cell r="D437" t="str">
            <v>BALANCE SHEET</v>
          </cell>
          <cell r="E437">
            <v>0</v>
          </cell>
          <cell r="F437">
            <v>0</v>
          </cell>
          <cell r="G437" t="str">
            <v>CURRENT ASSETS, LOANS AND ADVANCES</v>
          </cell>
          <cell r="H437" t="str">
            <v>LOANS AND ADVANCES</v>
          </cell>
          <cell r="I437" t="str">
            <v>ADVANCES</v>
          </cell>
        </row>
        <row r="438">
          <cell r="A438" t="str">
            <v>A601103</v>
          </cell>
          <cell r="B438" t="str">
            <v>Advance For Land Purchase</v>
          </cell>
          <cell r="C438" t="str">
            <v>ASSET</v>
          </cell>
          <cell r="D438" t="str">
            <v>BALANCE SHEET</v>
          </cell>
          <cell r="E438" t="str">
            <v>SUPPLIER PREPAYMENT A/C</v>
          </cell>
          <cell r="F438">
            <v>0</v>
          </cell>
          <cell r="G438" t="str">
            <v>CURRENT ASSETS, LOANS AND ADVANCES</v>
          </cell>
          <cell r="H438" t="str">
            <v>LOANS AND ADVANCES</v>
          </cell>
          <cell r="I438" t="str">
            <v>ADVANCES</v>
          </cell>
        </row>
        <row r="439">
          <cell r="A439" t="str">
            <v>A601104</v>
          </cell>
          <cell r="B439" t="str">
            <v>Other Business Advance</v>
          </cell>
          <cell r="C439" t="str">
            <v>ASSET</v>
          </cell>
          <cell r="D439" t="str">
            <v>BALANCE SHEET</v>
          </cell>
          <cell r="E439">
            <v>0</v>
          </cell>
          <cell r="F439">
            <v>0</v>
          </cell>
          <cell r="G439" t="str">
            <v>CURRENT ASSETS, LOANS AND ADVANCES</v>
          </cell>
          <cell r="H439" t="str">
            <v>LOANS AND ADVANCES</v>
          </cell>
          <cell r="I439" t="str">
            <v>ADVANCES</v>
          </cell>
        </row>
        <row r="440">
          <cell r="A440" t="str">
            <v>A601105-015</v>
          </cell>
          <cell r="B440" t="str">
            <v>Pmt agt collaboration-Matadin</v>
          </cell>
          <cell r="C440" t="str">
            <v>ASSET</v>
          </cell>
          <cell r="D440" t="str">
            <v>BALANCE SHEET</v>
          </cell>
          <cell r="E440">
            <v>0</v>
          </cell>
          <cell r="F440">
            <v>0</v>
          </cell>
          <cell r="G440" t="str">
            <v>CURRENT ASSETS, LOANS AND ADVANCES</v>
          </cell>
          <cell r="H440" t="str">
            <v>LOANS AND ADVANCES</v>
          </cell>
          <cell r="I440" t="str">
            <v>ADVANCES</v>
          </cell>
        </row>
        <row r="441">
          <cell r="A441" t="str">
            <v>A601105-016</v>
          </cell>
          <cell r="B441" t="str">
            <v>Pmt agt collaboration-Chatterpal</v>
          </cell>
          <cell r="C441" t="str">
            <v>ASSET</v>
          </cell>
          <cell r="D441" t="str">
            <v>BALANCE SHEET</v>
          </cell>
          <cell r="E441">
            <v>0</v>
          </cell>
          <cell r="F441">
            <v>0</v>
          </cell>
          <cell r="G441" t="str">
            <v>CURRENT ASSETS, LOANS AND ADVANCES</v>
          </cell>
          <cell r="H441" t="str">
            <v>LOANS AND ADVANCES</v>
          </cell>
          <cell r="I441" t="str">
            <v>ADVANCES</v>
          </cell>
        </row>
        <row r="442">
          <cell r="A442" t="str">
            <v>A601105-017</v>
          </cell>
          <cell r="B442" t="str">
            <v>Pmt agt collaboration-Satpal</v>
          </cell>
          <cell r="C442" t="str">
            <v>ASSET</v>
          </cell>
          <cell r="D442" t="str">
            <v>BALANCE SHEET</v>
          </cell>
          <cell r="E442">
            <v>0</v>
          </cell>
          <cell r="F442">
            <v>0</v>
          </cell>
          <cell r="G442" t="str">
            <v>CURRENT ASSETS, LOANS AND ADVANCES</v>
          </cell>
          <cell r="H442" t="str">
            <v>LOANS AND ADVANCES</v>
          </cell>
          <cell r="I442" t="str">
            <v>ADVANCES</v>
          </cell>
        </row>
        <row r="443">
          <cell r="A443" t="str">
            <v>A601106</v>
          </cell>
          <cell r="B443" t="str">
            <v>wrongly created</v>
          </cell>
          <cell r="C443" t="str">
            <v>ASSET</v>
          </cell>
          <cell r="D443" t="str">
            <v>BALANCE SHEET</v>
          </cell>
          <cell r="E443" t="str">
            <v>SUPPLIER PREPAYMENT A/C</v>
          </cell>
          <cell r="F443">
            <v>0</v>
          </cell>
          <cell r="G443" t="str">
            <v>CURRENT ASSETS, LOANS AND ADVANCES</v>
          </cell>
          <cell r="H443" t="str">
            <v>LOANS AND ADVANCES</v>
          </cell>
          <cell r="I443" t="str">
            <v>ADVANCES</v>
          </cell>
        </row>
        <row r="444">
          <cell r="A444" t="str">
            <v>A601107</v>
          </cell>
          <cell r="B444" t="str">
            <v>ADVANCE FOR LAND</v>
          </cell>
          <cell r="C444" t="str">
            <v>ASSET</v>
          </cell>
          <cell r="D444" t="str">
            <v>BALANCE SHEET</v>
          </cell>
          <cell r="G444" t="str">
            <v>CURRENT ASSETS, LOANS AND ADVANCES</v>
          </cell>
          <cell r="H444" t="str">
            <v>LOANS AND ADVANCES</v>
          </cell>
          <cell r="I444" t="str">
            <v>ADVANCES</v>
          </cell>
        </row>
        <row r="445">
          <cell r="A445" t="str">
            <v>A601108</v>
          </cell>
          <cell r="B445" t="str">
            <v>UNSECURED LOANS</v>
          </cell>
          <cell r="C445" t="str">
            <v>ASSET</v>
          </cell>
          <cell r="D445" t="str">
            <v>BALANCE SHEET</v>
          </cell>
          <cell r="E445" t="str">
            <v>SUPPLIER PREPAYMENT A/C</v>
          </cell>
          <cell r="G445" t="str">
            <v>CURRENT ASSETS, LOANS AND ADVANCES</v>
          </cell>
          <cell r="H445" t="str">
            <v>LOANS AND ADVANCES</v>
          </cell>
          <cell r="I445" t="str">
            <v>ADVANCES</v>
          </cell>
        </row>
        <row r="446">
          <cell r="A446" t="str">
            <v>A601109</v>
          </cell>
          <cell r="B446" t="str">
            <v>RENT IN ADVANCE</v>
          </cell>
          <cell r="C446" t="str">
            <v>ASSET</v>
          </cell>
          <cell r="D446" t="str">
            <v>BALANCE SHEET</v>
          </cell>
          <cell r="E446" t="str">
            <v>SUPPLIER PREPAYMENT A/C</v>
          </cell>
          <cell r="G446" t="str">
            <v>CURRENT ASSETS, LOANS AND ADVANCES</v>
          </cell>
          <cell r="H446" t="str">
            <v>LOANS AND ADVANCES</v>
          </cell>
          <cell r="I446" t="str">
            <v>ADVANCES</v>
          </cell>
        </row>
        <row r="447">
          <cell r="A447" t="str">
            <v>A601201</v>
          </cell>
          <cell r="B447" t="str">
            <v>Salary - Advance</v>
          </cell>
          <cell r="C447" t="str">
            <v>ASSET</v>
          </cell>
          <cell r="D447" t="str">
            <v>BALANCE SHEET</v>
          </cell>
          <cell r="E447" t="str">
            <v>SUPPLIER PREPAYMENT A/C</v>
          </cell>
          <cell r="F447">
            <v>0</v>
          </cell>
          <cell r="G447" t="str">
            <v>CURRENT ASSETS, LOANS AND ADVANCES</v>
          </cell>
          <cell r="H447" t="str">
            <v>LOANS AND ADVANCES</v>
          </cell>
          <cell r="I447" t="str">
            <v>STAFF ADVANCES</v>
          </cell>
        </row>
        <row r="448">
          <cell r="A448" t="str">
            <v>A601202</v>
          </cell>
          <cell r="B448" t="str">
            <v>Advance L. T. A.</v>
          </cell>
          <cell r="C448" t="str">
            <v>ASSET</v>
          </cell>
          <cell r="D448" t="str">
            <v>BALANCE SHEET</v>
          </cell>
          <cell r="E448">
            <v>0</v>
          </cell>
          <cell r="F448">
            <v>0</v>
          </cell>
          <cell r="G448" t="str">
            <v>CURRENT ASSETS, LOANS AND ADVANCES</v>
          </cell>
          <cell r="H448" t="str">
            <v>LOANS AND ADVANCES</v>
          </cell>
          <cell r="I448" t="str">
            <v>STAFF ADVANCES</v>
          </cell>
        </row>
        <row r="449">
          <cell r="A449" t="str">
            <v>A601203</v>
          </cell>
          <cell r="B449" t="str">
            <v>Staff Advances- Expenses/Imprest</v>
          </cell>
          <cell r="C449" t="str">
            <v>ASSET</v>
          </cell>
          <cell r="D449" t="str">
            <v>BALANCE SHEET</v>
          </cell>
          <cell r="E449" t="str">
            <v>SUPPLIER PREPAYMENT A/C</v>
          </cell>
          <cell r="F449">
            <v>0</v>
          </cell>
          <cell r="G449" t="str">
            <v>CURRENT ASSETS, LOANS AND ADVANCES</v>
          </cell>
          <cell r="H449" t="str">
            <v>LOANS AND ADVANCES</v>
          </cell>
          <cell r="I449" t="str">
            <v>STAFF ADVANCES</v>
          </cell>
        </row>
        <row r="450">
          <cell r="A450" t="str">
            <v>A601204</v>
          </cell>
          <cell r="B450" t="str">
            <v>Tour Advance</v>
          </cell>
          <cell r="C450" t="str">
            <v>ASSET</v>
          </cell>
          <cell r="D450" t="str">
            <v>BALANCE SHEET</v>
          </cell>
          <cell r="E450" t="str">
            <v>SUPPLIER PREPAYMENT A/C</v>
          </cell>
          <cell r="F450">
            <v>0</v>
          </cell>
          <cell r="G450" t="str">
            <v>CURRENT ASSETS, LOANS AND ADVANCES</v>
          </cell>
          <cell r="H450" t="str">
            <v>LOANS AND ADVANCES</v>
          </cell>
          <cell r="I450" t="str">
            <v>STAFF ADVANCES</v>
          </cell>
        </row>
        <row r="451">
          <cell r="A451" t="str">
            <v>A601205</v>
          </cell>
          <cell r="B451" t="str">
            <v>Staff Advances- Expenses/Imprest</v>
          </cell>
          <cell r="C451" t="str">
            <v>ASSET</v>
          </cell>
          <cell r="D451" t="str">
            <v>BALANCE SHEET</v>
          </cell>
          <cell r="E451" t="str">
            <v>SUPPLIER PREPAYMENT A/C</v>
          </cell>
          <cell r="F451">
            <v>0</v>
          </cell>
          <cell r="G451" t="str">
            <v>CURRENT ASSETS, LOANS AND ADVANCES</v>
          </cell>
          <cell r="H451" t="str">
            <v>LOANS AND ADVANCES</v>
          </cell>
          <cell r="I451" t="str">
            <v>STAFF ADVANCES</v>
          </cell>
        </row>
        <row r="452">
          <cell r="A452" t="str">
            <v>A601206</v>
          </cell>
          <cell r="B452" t="str">
            <v>STAFF ADVANCE</v>
          </cell>
          <cell r="C452" t="str">
            <v>ASSET</v>
          </cell>
          <cell r="D452" t="str">
            <v>BALANCE SHEET</v>
          </cell>
          <cell r="E452" t="str">
            <v>SUPPLIER PREPAYMENT A/C</v>
          </cell>
          <cell r="F452">
            <v>0</v>
          </cell>
          <cell r="G452" t="str">
            <v>CURRENT ASSETS, LOANS AND ADVANCES</v>
          </cell>
          <cell r="H452" t="str">
            <v>LOANS AND ADVANCES</v>
          </cell>
          <cell r="I452" t="str">
            <v>STAFF ADVANCES</v>
          </cell>
        </row>
        <row r="453">
          <cell r="A453" t="str">
            <v>A601207</v>
          </cell>
          <cell r="B453" t="str">
            <v>Interest Subsidy (Employee)</v>
          </cell>
          <cell r="C453" t="str">
            <v>ASSET</v>
          </cell>
          <cell r="D453" t="str">
            <v>BALANCE SHEET</v>
          </cell>
          <cell r="E453" t="str">
            <v>SUPPLIER PREPAYMENT A/C</v>
          </cell>
          <cell r="F453">
            <v>0</v>
          </cell>
          <cell r="G453" t="str">
            <v>CURRENT ASSETS, LOANS AND ADVANCES</v>
          </cell>
          <cell r="H453" t="str">
            <v>LOANS AND ADVANCES</v>
          </cell>
          <cell r="I453" t="str">
            <v>STAFF ADVANCES</v>
          </cell>
        </row>
        <row r="454">
          <cell r="A454" t="str">
            <v>A601208</v>
          </cell>
          <cell r="B454" t="str">
            <v>Team Member Shortages</v>
          </cell>
          <cell r="C454" t="str">
            <v>ASSET</v>
          </cell>
          <cell r="D454" t="str">
            <v>BALANCE SHEET</v>
          </cell>
          <cell r="E454">
            <v>0</v>
          </cell>
          <cell r="F454">
            <v>0</v>
          </cell>
          <cell r="G454" t="str">
            <v>CURRENT ASSETS, LOANS AND ADVANCES</v>
          </cell>
          <cell r="H454" t="str">
            <v>LOANS AND ADVANCES</v>
          </cell>
          <cell r="I454" t="str">
            <v>STAFF ADVANCES</v>
          </cell>
        </row>
        <row r="455">
          <cell r="A455" t="str">
            <v>A601209</v>
          </cell>
          <cell r="B455" t="str">
            <v>Staff Shortages</v>
          </cell>
          <cell r="C455" t="str">
            <v>ASSET</v>
          </cell>
          <cell r="D455" t="str">
            <v>BALANCE SHEET</v>
          </cell>
          <cell r="E455">
            <v>0</v>
          </cell>
          <cell r="F455">
            <v>0</v>
          </cell>
          <cell r="G455" t="str">
            <v>CURRENT ASSETS, LOANS AND ADVANCES</v>
          </cell>
          <cell r="H455" t="str">
            <v>LOANS AND ADVANCES</v>
          </cell>
          <cell r="I455" t="str">
            <v>STAFF ADVANCES</v>
          </cell>
        </row>
        <row r="456">
          <cell r="A456" t="str">
            <v>A601301</v>
          </cell>
          <cell r="B456" t="str">
            <v>Appl. Money Towards Investment</v>
          </cell>
          <cell r="C456" t="str">
            <v>ASSET</v>
          </cell>
          <cell r="D456" t="str">
            <v>BALANCE SHEET</v>
          </cell>
          <cell r="E456">
            <v>0</v>
          </cell>
          <cell r="F456">
            <v>0</v>
          </cell>
          <cell r="G456" t="str">
            <v>CURRENT ASSETS, LOANS AND ADVANCES</v>
          </cell>
          <cell r="H456" t="str">
            <v>LOANS AND ADVANCES</v>
          </cell>
          <cell r="I456" t="str">
            <v>OTHER ADVANCES</v>
          </cell>
        </row>
        <row r="457">
          <cell r="A457" t="str">
            <v>A601302</v>
          </cell>
          <cell r="B457" t="str">
            <v>Advance - Others</v>
          </cell>
          <cell r="C457" t="str">
            <v>ASSET</v>
          </cell>
          <cell r="D457" t="str">
            <v>BALANCE SHEET</v>
          </cell>
          <cell r="E457">
            <v>0</v>
          </cell>
          <cell r="F457">
            <v>0</v>
          </cell>
          <cell r="G457" t="str">
            <v>CURRENT ASSETS, LOANS AND ADVANCES</v>
          </cell>
          <cell r="H457" t="str">
            <v>LOANS AND ADVANCES</v>
          </cell>
          <cell r="I457" t="str">
            <v>OTHER ADVANCES</v>
          </cell>
        </row>
        <row r="458">
          <cell r="A458" t="str">
            <v>A601303</v>
          </cell>
          <cell r="B458" t="str">
            <v>Distributors Tickets Recoverable</v>
          </cell>
          <cell r="C458" t="str">
            <v>ASSET</v>
          </cell>
          <cell r="D458" t="str">
            <v>BALANCE SHEET</v>
          </cell>
          <cell r="E458">
            <v>0</v>
          </cell>
          <cell r="F458">
            <v>0</v>
          </cell>
          <cell r="G458" t="str">
            <v>CURRENT ASSETS, LOANS AND ADVANCES</v>
          </cell>
          <cell r="H458" t="str">
            <v>LOANS AND ADVANCES</v>
          </cell>
          <cell r="I458" t="str">
            <v>OTHER ADVANCES</v>
          </cell>
        </row>
        <row r="459">
          <cell r="A459" t="str">
            <v>A602001-000</v>
          </cell>
          <cell r="B459" t="str">
            <v>Amt Reco.(Grp Co)</v>
          </cell>
          <cell r="C459" t="str">
            <v>ASSET</v>
          </cell>
          <cell r="D459" t="str">
            <v>BALANCE SHEET</v>
          </cell>
          <cell r="E459">
            <v>0</v>
          </cell>
          <cell r="F459">
            <v>0</v>
          </cell>
          <cell r="G459" t="str">
            <v>CURRENT ASSETS, LOANS AND ADVANCES</v>
          </cell>
          <cell r="H459" t="str">
            <v>LOANS AND ADVANCES</v>
          </cell>
          <cell r="I459" t="str">
            <v>AMOUNT RECOVERABLES</v>
          </cell>
        </row>
        <row r="460">
          <cell r="A460" t="str">
            <v>A602001-010</v>
          </cell>
          <cell r="B460" t="str">
            <v>Amt Reco.(Grp Co)-DUL Cnstr Div</v>
          </cell>
          <cell r="C460" t="str">
            <v>ASSET</v>
          </cell>
          <cell r="D460" t="str">
            <v>BALANCE SHEET</v>
          </cell>
          <cell r="E460">
            <v>0</v>
          </cell>
          <cell r="F460">
            <v>0</v>
          </cell>
          <cell r="G460" t="str">
            <v>CURRENT ASSETS, LOANS AND ADVANCES</v>
          </cell>
          <cell r="H460" t="str">
            <v>LOANS AND ADVANCES</v>
          </cell>
          <cell r="I460" t="str">
            <v>AMOUNT RECOVERABLES</v>
          </cell>
        </row>
        <row r="461">
          <cell r="A461" t="str">
            <v>A602001-020</v>
          </cell>
          <cell r="B461" t="str">
            <v>Amt Reco.(Grp Co)- DEDL</v>
          </cell>
          <cell r="C461" t="str">
            <v>ASSET</v>
          </cell>
          <cell r="D461" t="str">
            <v>BALANCE SHEET</v>
          </cell>
          <cell r="E461">
            <v>0</v>
          </cell>
          <cell r="F461">
            <v>0</v>
          </cell>
          <cell r="G461" t="str">
            <v>CURRENT ASSETS, LOANS AND ADVANCES</v>
          </cell>
          <cell r="H461" t="str">
            <v>LOANS AND ADVANCES</v>
          </cell>
          <cell r="I461" t="str">
            <v>AMOUNT RECOVERABLES</v>
          </cell>
        </row>
        <row r="462">
          <cell r="A462" t="str">
            <v>A602001-022</v>
          </cell>
          <cell r="B462" t="str">
            <v>Amt Reco.(Grp Co)-  Dlf Info City(Chenn)</v>
          </cell>
          <cell r="C462" t="str">
            <v>ASSET</v>
          </cell>
          <cell r="D462" t="str">
            <v>BALANCE SHEET</v>
          </cell>
          <cell r="E462">
            <v>0</v>
          </cell>
          <cell r="F462">
            <v>0</v>
          </cell>
          <cell r="G462" t="str">
            <v>CURRENT ASSETS, LOANS AND ADVANCES</v>
          </cell>
          <cell r="H462" t="str">
            <v>LOANS AND ADVANCES</v>
          </cell>
          <cell r="I462" t="str">
            <v>AMOUNT RECOVERABLES</v>
          </cell>
        </row>
        <row r="463">
          <cell r="A463" t="str">
            <v>A602001-023</v>
          </cell>
          <cell r="B463" t="str">
            <v>Amt Reco.(Grp Co)- DLF INFOCITY(HYDERBD)</v>
          </cell>
          <cell r="C463" t="str">
            <v>ASSET</v>
          </cell>
          <cell r="D463" t="str">
            <v>BALANCE SHEET</v>
          </cell>
          <cell r="E463">
            <v>0</v>
          </cell>
          <cell r="F463">
            <v>0</v>
          </cell>
          <cell r="G463" t="str">
            <v>CURRENT ASSETS, LOANS AND ADVANCES</v>
          </cell>
          <cell r="H463" t="str">
            <v>LOANS AND ADVANCES</v>
          </cell>
          <cell r="I463" t="str">
            <v>AMOUNT RECOVERABLES</v>
          </cell>
        </row>
        <row r="464">
          <cell r="A464" t="str">
            <v>A602001-025</v>
          </cell>
          <cell r="B464" t="str">
            <v>Amt Reco.(Grp Co)-DLF Services L</v>
          </cell>
          <cell r="C464" t="str">
            <v>ASSET</v>
          </cell>
          <cell r="D464" t="str">
            <v>BALANCE SHEET</v>
          </cell>
          <cell r="E464">
            <v>0</v>
          </cell>
          <cell r="F464">
            <v>0</v>
          </cell>
          <cell r="G464" t="str">
            <v>CURRENT ASSETS, LOANS AND ADVANCES</v>
          </cell>
          <cell r="H464" t="str">
            <v>LOANS AND ADVANCES</v>
          </cell>
          <cell r="I464" t="str">
            <v>AMOUNT RECOVERABLES</v>
          </cell>
        </row>
        <row r="465">
          <cell r="A465" t="str">
            <v>A602001-030</v>
          </cell>
          <cell r="B465" t="str">
            <v>Amt Reco.(Grp Co)-  Newgen Medworld Hosp</v>
          </cell>
          <cell r="C465" t="str">
            <v>ASSET</v>
          </cell>
          <cell r="D465" t="str">
            <v>BALANCE SHEET</v>
          </cell>
          <cell r="E465">
            <v>0</v>
          </cell>
          <cell r="F465">
            <v>0</v>
          </cell>
          <cell r="G465" t="str">
            <v>CURRENT ASSETS, LOANS AND ADVANCES</v>
          </cell>
          <cell r="H465" t="str">
            <v>LOANS AND ADVANCES</v>
          </cell>
          <cell r="I465" t="str">
            <v>AMOUNT RECOVERABLES</v>
          </cell>
        </row>
        <row r="466">
          <cell r="A466" t="str">
            <v>A602001-033</v>
          </cell>
          <cell r="B466" t="str">
            <v>Amt Reco.(Grp Co)-  Dlf Info City(Noida)</v>
          </cell>
          <cell r="C466" t="str">
            <v>ASSET</v>
          </cell>
          <cell r="D466" t="str">
            <v>BALANCE SHEET</v>
          </cell>
          <cell r="E466">
            <v>0</v>
          </cell>
          <cell r="F466">
            <v>0</v>
          </cell>
          <cell r="G466" t="str">
            <v>CURRENT ASSETS, LOANS AND ADVANCES</v>
          </cell>
          <cell r="H466" t="str">
            <v>LOANS AND ADVANCES</v>
          </cell>
          <cell r="I466" t="str">
            <v>AMOUNT RECOVERABLES</v>
          </cell>
        </row>
        <row r="467">
          <cell r="A467" t="str">
            <v>A602001-034</v>
          </cell>
          <cell r="B467" t="str">
            <v>Amt Reco.(Grp Co)-  Bharuka Fin. Ltd</v>
          </cell>
          <cell r="C467" t="str">
            <v>ASSET</v>
          </cell>
          <cell r="D467" t="str">
            <v>BALANCE SHEET</v>
          </cell>
          <cell r="E467">
            <v>0</v>
          </cell>
          <cell r="F467">
            <v>0</v>
          </cell>
          <cell r="G467" t="str">
            <v>CURRENT ASSETS, LOANS AND ADVANCES</v>
          </cell>
          <cell r="H467" t="str">
            <v>LOANS AND ADVANCES</v>
          </cell>
          <cell r="I467" t="str">
            <v>AMOUNT RECOVERABLES</v>
          </cell>
        </row>
        <row r="468">
          <cell r="A468" t="str">
            <v>A602001-035</v>
          </cell>
          <cell r="B468" t="str">
            <v>Amt Reco.(Grp Co)- DLF RECR. FNDTN P LTD</v>
          </cell>
          <cell r="C468" t="str">
            <v>ASSET</v>
          </cell>
          <cell r="D468" t="str">
            <v>BALANCE SHEET</v>
          </cell>
          <cell r="E468">
            <v>0</v>
          </cell>
          <cell r="F468">
            <v>0</v>
          </cell>
          <cell r="G468" t="str">
            <v>CURRENT ASSETS, LOANS AND ADVANCES</v>
          </cell>
          <cell r="H468" t="str">
            <v>LOANS AND ADVANCES</v>
          </cell>
          <cell r="I468" t="str">
            <v>AMOUNT RECOVERABLES</v>
          </cell>
        </row>
        <row r="469">
          <cell r="A469" t="str">
            <v>A602001-036</v>
          </cell>
          <cell r="B469" t="str">
            <v>Amt Reco.(Grp Co)- GALAXY MECANTILES Ltd</v>
          </cell>
          <cell r="C469" t="str">
            <v>ASSET</v>
          </cell>
          <cell r="D469" t="str">
            <v>BALANCE SHEET</v>
          </cell>
          <cell r="E469">
            <v>0</v>
          </cell>
          <cell r="F469">
            <v>0</v>
          </cell>
          <cell r="G469" t="str">
            <v>CURRENT ASSETS, LOANS AND ADVANCES</v>
          </cell>
          <cell r="H469" t="str">
            <v>LOANS AND ADVANCES</v>
          </cell>
          <cell r="I469" t="str">
            <v>AMOUNT RECOVERABLES</v>
          </cell>
        </row>
        <row r="470">
          <cell r="A470" t="str">
            <v>A602001-055</v>
          </cell>
          <cell r="B470" t="str">
            <v>Amt Reco.(Grp Co)- DLF RECREA. FOUNDATN.</v>
          </cell>
          <cell r="C470" t="str">
            <v>ASSET</v>
          </cell>
          <cell r="D470" t="str">
            <v>BALANCE SHEET</v>
          </cell>
          <cell r="E470">
            <v>0</v>
          </cell>
          <cell r="F470">
            <v>0</v>
          </cell>
          <cell r="G470" t="str">
            <v>CURRENT ASSETS, LOANS AND ADVANCES</v>
          </cell>
          <cell r="H470" t="str">
            <v>LOANS AND ADVANCES</v>
          </cell>
          <cell r="I470" t="str">
            <v>AMOUNT RECOVERABLES</v>
          </cell>
        </row>
        <row r="471">
          <cell r="A471" t="str">
            <v>A602001-075</v>
          </cell>
          <cell r="B471" t="str">
            <v>Amt Reco.(Grp Co)-  Dlf Info City(Chand)</v>
          </cell>
          <cell r="C471" t="str">
            <v>ASSET</v>
          </cell>
          <cell r="D471" t="str">
            <v>BALANCE SHEET</v>
          </cell>
          <cell r="E471">
            <v>0</v>
          </cell>
          <cell r="F471">
            <v>0</v>
          </cell>
          <cell r="G471" t="str">
            <v>CURRENT ASSETS, LOANS AND ADVANCES</v>
          </cell>
          <cell r="H471" t="str">
            <v>LOANS AND ADVANCES</v>
          </cell>
          <cell r="I471" t="str">
            <v>AMOUNT RECOVERABLES</v>
          </cell>
        </row>
        <row r="472">
          <cell r="A472" t="str">
            <v>A602001-076</v>
          </cell>
          <cell r="B472" t="str">
            <v>Amt Reco.(Grp Co)-  Dlf Info City(Kolk.)</v>
          </cell>
          <cell r="C472" t="str">
            <v>ASSET</v>
          </cell>
          <cell r="D472" t="str">
            <v>BALANCE SHEET</v>
          </cell>
          <cell r="E472">
            <v>0</v>
          </cell>
          <cell r="F472">
            <v>0</v>
          </cell>
          <cell r="G472" t="str">
            <v>CURRENT ASSETS, LOANS AND ADVANCES</v>
          </cell>
          <cell r="H472" t="str">
            <v>LOANS AND ADVANCES</v>
          </cell>
          <cell r="I472" t="str">
            <v>AMOUNT RECOVERABLES</v>
          </cell>
        </row>
        <row r="473">
          <cell r="A473" t="str">
            <v>A602001-096</v>
          </cell>
          <cell r="B473" t="str">
            <v>Amt Reco.(Grp Co)- DLF LAING O'ROURKE</v>
          </cell>
          <cell r="C473" t="str">
            <v>ASSET</v>
          </cell>
          <cell r="D473" t="str">
            <v>BALANCE SHEET</v>
          </cell>
          <cell r="E473">
            <v>0</v>
          </cell>
          <cell r="F473">
            <v>0</v>
          </cell>
          <cell r="G473" t="str">
            <v>CURRENT ASSETS, LOANS AND ADVANCES</v>
          </cell>
          <cell r="H473" t="str">
            <v>LOANS AND ADVANCES</v>
          </cell>
          <cell r="I473" t="str">
            <v>AMOUNT RECOVERABLES</v>
          </cell>
        </row>
        <row r="474">
          <cell r="A474" t="str">
            <v>A602001-101</v>
          </cell>
          <cell r="B474" t="str">
            <v>Amt Reco.(Grp Co)- DLF Ltd</v>
          </cell>
          <cell r="C474" t="str">
            <v>ASSET</v>
          </cell>
          <cell r="D474" t="str">
            <v>BALANCE SHEET</v>
          </cell>
          <cell r="E474">
            <v>0</v>
          </cell>
          <cell r="F474">
            <v>0</v>
          </cell>
          <cell r="G474" t="str">
            <v>CURRENT ASSETS, LOANS AND ADVANCES</v>
          </cell>
          <cell r="H474" t="str">
            <v>LOANS AND ADVANCES</v>
          </cell>
          <cell r="I474" t="str">
            <v>AMOUNT RECOVERABLES</v>
          </cell>
        </row>
        <row r="475">
          <cell r="A475" t="str">
            <v>A602001-102</v>
          </cell>
          <cell r="B475" t="str">
            <v>Amt Reco.(Grp Co)- Savitri Cinema</v>
          </cell>
          <cell r="C475" t="str">
            <v>ASSET</v>
          </cell>
          <cell r="D475" t="str">
            <v>BALANCE SHEET</v>
          </cell>
          <cell r="E475">
            <v>0</v>
          </cell>
          <cell r="F475">
            <v>0</v>
          </cell>
          <cell r="G475" t="str">
            <v>CURRENT ASSETS, LOANS AND ADVANCES</v>
          </cell>
          <cell r="H475" t="str">
            <v>LOANS AND ADVANCES</v>
          </cell>
          <cell r="I475" t="str">
            <v>AMOUNT RECOVERABLES</v>
          </cell>
        </row>
        <row r="476">
          <cell r="A476" t="str">
            <v>A602001-207</v>
          </cell>
          <cell r="B476" t="str">
            <v>Amt Reco.(Grp Co)-DLF Buil &amp; Dev L</v>
          </cell>
          <cell r="C476" t="str">
            <v>ASSET</v>
          </cell>
          <cell r="D476" t="str">
            <v>BALANCE SHEET</v>
          </cell>
          <cell r="E476">
            <v>0</v>
          </cell>
          <cell r="F476">
            <v>0</v>
          </cell>
          <cell r="G476" t="str">
            <v>CURRENT ASSETS, LOANS AND ADVANCES</v>
          </cell>
          <cell r="H476" t="str">
            <v>LOANS AND ADVANCES</v>
          </cell>
          <cell r="I476" t="str">
            <v>AMOUNT RECOVERABLES</v>
          </cell>
        </row>
        <row r="477">
          <cell r="A477" t="str">
            <v>A602001-211</v>
          </cell>
          <cell r="B477" t="str">
            <v>Amt Reco.(Grp Co)-DLF Housing Cnstr L</v>
          </cell>
          <cell r="C477" t="str">
            <v>ASSET</v>
          </cell>
          <cell r="D477" t="str">
            <v>BALANCE SHEET</v>
          </cell>
          <cell r="E477">
            <v>0</v>
          </cell>
          <cell r="F477">
            <v>0</v>
          </cell>
          <cell r="G477" t="str">
            <v>CURRENT ASSETS, LOANS AND ADVANCES</v>
          </cell>
          <cell r="H477" t="str">
            <v>LOANS AND ADVANCES</v>
          </cell>
          <cell r="I477" t="str">
            <v>AMOUNT RECOVERABLES</v>
          </cell>
        </row>
        <row r="478">
          <cell r="A478" t="str">
            <v>A602001-212</v>
          </cell>
          <cell r="B478" t="str">
            <v>Amt Reco.(Grp Co)- MAYUR RECR &amp; DEV LTD.</v>
          </cell>
          <cell r="C478" t="str">
            <v>ASSET</v>
          </cell>
          <cell r="D478" t="str">
            <v>BALANCE SHEET</v>
          </cell>
          <cell r="E478">
            <v>0</v>
          </cell>
          <cell r="F478">
            <v>0</v>
          </cell>
          <cell r="G478" t="str">
            <v>CURRENT ASSETS, LOANS AND ADVANCES</v>
          </cell>
          <cell r="H478" t="str">
            <v>LOANS AND ADVANCES</v>
          </cell>
          <cell r="I478" t="str">
            <v>AMOUNT RECOVERABLES</v>
          </cell>
        </row>
        <row r="479">
          <cell r="A479" t="str">
            <v>A602001-223</v>
          </cell>
          <cell r="B479" t="str">
            <v>Amt Reco.(Grp Co)- NILGIRI CULTIVATION</v>
          </cell>
          <cell r="C479" t="str">
            <v>ASSET</v>
          </cell>
          <cell r="D479" t="str">
            <v>BALANCE SHEET</v>
          </cell>
          <cell r="E479">
            <v>0</v>
          </cell>
          <cell r="F479">
            <v>0</v>
          </cell>
          <cell r="G479" t="str">
            <v>CURRENT ASSETS, LOANS AND ADVANCES</v>
          </cell>
          <cell r="H479" t="str">
            <v>LOANS AND ADVANCES</v>
          </cell>
          <cell r="I479" t="str">
            <v>AMOUNT RECOVERABLES</v>
          </cell>
        </row>
        <row r="480">
          <cell r="A480" t="str">
            <v>A602001-244</v>
          </cell>
          <cell r="B480" t="str">
            <v>Amt Reco.(Grp Co)-  Dlf Comm Dev</v>
          </cell>
          <cell r="C480" t="str">
            <v>ASSET</v>
          </cell>
          <cell r="D480" t="str">
            <v>BALANCE SHEET</v>
          </cell>
          <cell r="E480">
            <v>0</v>
          </cell>
          <cell r="F480">
            <v>0</v>
          </cell>
          <cell r="G480" t="str">
            <v>CURRENT ASSETS, LOANS AND ADVANCES</v>
          </cell>
          <cell r="H480" t="str">
            <v>LOANS AND ADVANCES</v>
          </cell>
          <cell r="I480" t="str">
            <v>AMOUNT RECOVERABLES</v>
          </cell>
        </row>
        <row r="481">
          <cell r="A481" t="str">
            <v>A602001-245</v>
          </cell>
          <cell r="B481" t="str">
            <v>Amt Reco.(Grp Co)- Dlf Comm Prjts Corp.</v>
          </cell>
          <cell r="C481" t="str">
            <v>ASSET</v>
          </cell>
          <cell r="D481" t="str">
            <v>BALANCE SHEET</v>
          </cell>
          <cell r="E481">
            <v>0</v>
          </cell>
          <cell r="F481">
            <v>0</v>
          </cell>
          <cell r="G481" t="str">
            <v>CURRENT ASSETS, LOANS AND ADVANCES</v>
          </cell>
          <cell r="H481" t="str">
            <v>LOANS AND ADVANCES</v>
          </cell>
          <cell r="I481" t="str">
            <v>AMOUNT RECOVERABLES</v>
          </cell>
        </row>
        <row r="482">
          <cell r="A482" t="str">
            <v>A602001-251</v>
          </cell>
          <cell r="B482" t="str">
            <v>Amt Reco.(Grp Co)- NILAYAM BUIL. &amp; DEV.</v>
          </cell>
          <cell r="C482" t="str">
            <v>ASSET</v>
          </cell>
          <cell r="D482" t="str">
            <v>BALANCE SHEET</v>
          </cell>
          <cell r="E482">
            <v>0</v>
          </cell>
          <cell r="F482">
            <v>0</v>
          </cell>
          <cell r="G482" t="str">
            <v>CURRENT ASSETS, LOANS AND ADVANCES</v>
          </cell>
          <cell r="H482" t="str">
            <v>LOANS AND ADVANCES</v>
          </cell>
          <cell r="I482" t="str">
            <v>AMOUNT RECOVERABLES</v>
          </cell>
        </row>
        <row r="483">
          <cell r="A483" t="str">
            <v>A602001-255</v>
          </cell>
          <cell r="B483" t="str">
            <v>Amt Reco.(Grp Co)-Realest Buil &amp; Srv</v>
          </cell>
          <cell r="C483" t="str">
            <v>ASSET</v>
          </cell>
          <cell r="D483" t="str">
            <v>BALANCE SHEET</v>
          </cell>
          <cell r="E483">
            <v>0</v>
          </cell>
          <cell r="F483">
            <v>0</v>
          </cell>
          <cell r="G483" t="str">
            <v>CURRENT ASSETS, LOANS AND ADVANCES</v>
          </cell>
          <cell r="H483" t="str">
            <v>LOANS AND ADVANCES</v>
          </cell>
          <cell r="I483" t="str">
            <v>AMOUNT RECOVERABLES</v>
          </cell>
        </row>
        <row r="484">
          <cell r="A484" t="str">
            <v>A602001-261</v>
          </cell>
          <cell r="B484" t="str">
            <v>Amt Reco.(Grp Co)-Real Estate Developers</v>
          </cell>
          <cell r="C484" t="str">
            <v>ASSET</v>
          </cell>
          <cell r="D484" t="str">
            <v>BALANCE SHEET</v>
          </cell>
          <cell r="E484">
            <v>0</v>
          </cell>
          <cell r="F484">
            <v>0</v>
          </cell>
          <cell r="G484" t="str">
            <v>CURRENT ASSETS, LOANS AND ADVANCES</v>
          </cell>
          <cell r="H484" t="str">
            <v>LOANS AND ADVANCES</v>
          </cell>
          <cell r="I484" t="str">
            <v>AMOUNT RECOVERABLES</v>
          </cell>
        </row>
        <row r="485">
          <cell r="A485" t="str">
            <v>A602001-262</v>
          </cell>
          <cell r="B485" t="str">
            <v>Amt Reco.(Grp Co)- DSPL</v>
          </cell>
          <cell r="C485" t="str">
            <v>ASSET</v>
          </cell>
          <cell r="D485" t="str">
            <v>BALANCE SHEET</v>
          </cell>
          <cell r="E485">
            <v>0</v>
          </cell>
          <cell r="F485">
            <v>0</v>
          </cell>
          <cell r="G485" t="str">
            <v>CURRENT ASSETS, LOANS AND ADVANCES</v>
          </cell>
          <cell r="H485" t="str">
            <v>LOANS AND ADVANCES</v>
          </cell>
          <cell r="I485" t="str">
            <v>AMOUNT RECOVERABLES</v>
          </cell>
        </row>
        <row r="486">
          <cell r="A486" t="str">
            <v>A602001-263</v>
          </cell>
          <cell r="B486" t="str">
            <v>Amt Reco.(Grp Co)-DLF Property Developer</v>
          </cell>
          <cell r="C486" t="str">
            <v>ASSET</v>
          </cell>
          <cell r="D486" t="str">
            <v>BALANCE SHEET</v>
          </cell>
          <cell r="E486">
            <v>0</v>
          </cell>
          <cell r="F486">
            <v>0</v>
          </cell>
          <cell r="G486" t="str">
            <v>CURRENT ASSETS, LOANS AND ADVANCES</v>
          </cell>
          <cell r="H486" t="str">
            <v>LOANS AND ADVANCES</v>
          </cell>
          <cell r="I486" t="str">
            <v>AMOUNT RECOVERABLES</v>
          </cell>
        </row>
        <row r="487">
          <cell r="A487" t="str">
            <v>A602001-264</v>
          </cell>
          <cell r="B487" t="str">
            <v>Amt Reco.(Grp Co)- Dlf Office Developers</v>
          </cell>
          <cell r="C487" t="str">
            <v>ASSET</v>
          </cell>
          <cell r="D487" t="str">
            <v>BALANCE SHEET</v>
          </cell>
          <cell r="E487">
            <v>0</v>
          </cell>
          <cell r="F487">
            <v>0</v>
          </cell>
          <cell r="G487" t="str">
            <v>CURRENT ASSETS, LOANS AND ADVANCES</v>
          </cell>
          <cell r="H487" t="str">
            <v>LOANS AND ADVANCES</v>
          </cell>
          <cell r="I487" t="str">
            <v>AMOUNT RECOVERABLES</v>
          </cell>
        </row>
        <row r="488">
          <cell r="A488" t="str">
            <v>A602001-265</v>
          </cell>
          <cell r="B488" t="str">
            <v>Amt Reco.(Grp Co)-DLF Resi. Developers</v>
          </cell>
          <cell r="C488" t="str">
            <v>ASSET</v>
          </cell>
          <cell r="D488" t="str">
            <v>BALANCE SHEET</v>
          </cell>
          <cell r="E488">
            <v>0</v>
          </cell>
          <cell r="F488">
            <v>0</v>
          </cell>
          <cell r="G488" t="str">
            <v>CURRENT ASSETS, LOANS AND ADVANCES</v>
          </cell>
          <cell r="H488" t="str">
            <v>LOANS AND ADVANCES</v>
          </cell>
          <cell r="I488" t="str">
            <v>AMOUNT RECOVERABLES</v>
          </cell>
        </row>
        <row r="489">
          <cell r="A489" t="str">
            <v>A602001-266</v>
          </cell>
          <cell r="B489" t="str">
            <v>Amt Reco.(Grp Co)- DLF HOME BUILDERS</v>
          </cell>
          <cell r="C489" t="str">
            <v>ASSET</v>
          </cell>
          <cell r="D489" t="str">
            <v>BALANCE SHEET</v>
          </cell>
          <cell r="E489">
            <v>0</v>
          </cell>
          <cell r="F489">
            <v>0</v>
          </cell>
          <cell r="G489" t="str">
            <v>CURRENT ASSETS, LOANS AND ADVANCES</v>
          </cell>
          <cell r="H489" t="str">
            <v>LOANS AND ADVANCES</v>
          </cell>
          <cell r="I489" t="str">
            <v>AMOUNT RECOVERABLES</v>
          </cell>
        </row>
        <row r="490">
          <cell r="A490" t="str">
            <v>A602001-267</v>
          </cell>
          <cell r="B490" t="str">
            <v>Amt Reco.(Grp Co)-DLF Resi. Partners</v>
          </cell>
          <cell r="C490" t="str">
            <v>ASSET</v>
          </cell>
          <cell r="D490" t="str">
            <v>BALANCE SHEET</v>
          </cell>
          <cell r="E490">
            <v>0</v>
          </cell>
          <cell r="F490">
            <v>0</v>
          </cell>
          <cell r="G490" t="str">
            <v>CURRENT ASSETS, LOANS AND ADVANCES</v>
          </cell>
          <cell r="H490" t="str">
            <v>LOANS AND ADVANCES</v>
          </cell>
          <cell r="I490" t="str">
            <v>AMOUNT RECOVERABLES</v>
          </cell>
        </row>
        <row r="491">
          <cell r="A491" t="str">
            <v>A602001-268</v>
          </cell>
          <cell r="B491" t="str">
            <v>Amt Reco.(Grp Co)- DLF GOLF HOLDINGS</v>
          </cell>
          <cell r="C491" t="str">
            <v>ASSET</v>
          </cell>
          <cell r="D491" t="str">
            <v>BALANCE SHEET</v>
          </cell>
          <cell r="E491">
            <v>0</v>
          </cell>
          <cell r="F491">
            <v>0</v>
          </cell>
          <cell r="G491" t="str">
            <v>CURRENT ASSETS, LOANS AND ADVANCES</v>
          </cell>
          <cell r="H491" t="str">
            <v>LOANS AND ADVANCES</v>
          </cell>
          <cell r="I491" t="str">
            <v>AMOUNT RECOVERABLES</v>
          </cell>
        </row>
        <row r="492">
          <cell r="A492" t="str">
            <v>A602001-274</v>
          </cell>
          <cell r="B492" t="str">
            <v>Amt Reco.(Grp Co)-  Dlf Retail Dev. Ltd</v>
          </cell>
          <cell r="C492" t="str">
            <v>ASSET</v>
          </cell>
          <cell r="D492" t="str">
            <v>BALANCE SHEET</v>
          </cell>
          <cell r="E492">
            <v>0</v>
          </cell>
          <cell r="F492">
            <v>0</v>
          </cell>
          <cell r="G492" t="str">
            <v>CURRENT ASSETS, LOANS AND ADVANCES</v>
          </cell>
          <cell r="H492" t="str">
            <v>LOANS AND ADVANCES</v>
          </cell>
          <cell r="I492" t="str">
            <v>AMOUNT RECOVERABLES</v>
          </cell>
        </row>
        <row r="493">
          <cell r="A493" t="str">
            <v>A602001-278</v>
          </cell>
          <cell r="B493" t="str">
            <v>Amt Reco.(Grp Co)- DHDL</v>
          </cell>
          <cell r="C493" t="str">
            <v>ASSET</v>
          </cell>
          <cell r="D493" t="str">
            <v>BALANCE SHEET</v>
          </cell>
          <cell r="E493">
            <v>0</v>
          </cell>
          <cell r="F493">
            <v>0</v>
          </cell>
          <cell r="G493" t="str">
            <v>CURRENT ASSETS, LOANS AND ADVANCES</v>
          </cell>
          <cell r="H493" t="str">
            <v>LOANS AND ADVANCES</v>
          </cell>
          <cell r="I493" t="str">
            <v>AMOUNT RECOVERABLES</v>
          </cell>
        </row>
        <row r="494">
          <cell r="A494" t="str">
            <v>A602001-279</v>
          </cell>
          <cell r="B494" t="str">
            <v>Amt Reco.(Grp Co)-  DCDL</v>
          </cell>
          <cell r="C494" t="str">
            <v>ASSET</v>
          </cell>
          <cell r="D494" t="str">
            <v>BALANCE SHEET</v>
          </cell>
          <cell r="E494">
            <v>0</v>
          </cell>
          <cell r="F494">
            <v>0</v>
          </cell>
          <cell r="G494" t="str">
            <v>CURRENT ASSETS, LOANS AND ADVANCES</v>
          </cell>
          <cell r="H494" t="str">
            <v>LOANS AND ADVANCES</v>
          </cell>
          <cell r="I494" t="str">
            <v>AMOUNT RECOVERABLES</v>
          </cell>
        </row>
        <row r="495">
          <cell r="A495" t="str">
            <v>A602001-288</v>
          </cell>
          <cell r="B495" t="str">
            <v>Amt Reco.(Grp Co)- DLF SOUTH POINT</v>
          </cell>
          <cell r="C495" t="str">
            <v>ASSET</v>
          </cell>
          <cell r="D495" t="str">
            <v>BALANCE SHEET</v>
          </cell>
          <cell r="E495">
            <v>0</v>
          </cell>
          <cell r="F495">
            <v>0</v>
          </cell>
          <cell r="G495" t="str">
            <v>CURRENT ASSETS, LOANS AND ADVANCES</v>
          </cell>
          <cell r="H495" t="str">
            <v>LOANS AND ADVANCES</v>
          </cell>
          <cell r="I495" t="str">
            <v>AMOUNT RECOVERABLES</v>
          </cell>
        </row>
        <row r="496">
          <cell r="A496" t="str">
            <v>A602001-289</v>
          </cell>
          <cell r="B496" t="str">
            <v>Amt Reco.(Grp Co)- ATRIA PARTNERS</v>
          </cell>
          <cell r="C496" t="str">
            <v>ASSET</v>
          </cell>
          <cell r="D496" t="str">
            <v>BALANCE SHEET</v>
          </cell>
          <cell r="E496">
            <v>0</v>
          </cell>
          <cell r="F496">
            <v>0</v>
          </cell>
          <cell r="G496" t="str">
            <v>CURRENT ASSETS, LOANS AND ADVANCES</v>
          </cell>
          <cell r="H496" t="str">
            <v>LOANS AND ADVANCES</v>
          </cell>
          <cell r="I496" t="str">
            <v>AMOUNT RECOVERABLES</v>
          </cell>
        </row>
        <row r="497">
          <cell r="A497" t="str">
            <v>A602001-290</v>
          </cell>
          <cell r="B497" t="str">
            <v>Amt Reco.(Grp Co)- Kavicon Partners</v>
          </cell>
          <cell r="C497" t="str">
            <v>ASSET</v>
          </cell>
          <cell r="D497" t="str">
            <v>BALANCE SHEET</v>
          </cell>
          <cell r="E497">
            <v>0</v>
          </cell>
          <cell r="F497">
            <v>0</v>
          </cell>
          <cell r="G497" t="str">
            <v>CURRENT ASSETS, LOANS AND ADVANCES</v>
          </cell>
          <cell r="H497" t="str">
            <v>LOANS AND ADVANCES</v>
          </cell>
          <cell r="I497" t="str">
            <v>AMOUNT RECOVERABLES</v>
          </cell>
        </row>
        <row r="498">
          <cell r="A498" t="str">
            <v>A602001-291</v>
          </cell>
          <cell r="B498" t="str">
            <v>Amt Reco.(Grp Co)-Renkon Partners</v>
          </cell>
          <cell r="C498" t="str">
            <v>ASSET</v>
          </cell>
          <cell r="D498" t="str">
            <v>BALANCE SHEET</v>
          </cell>
          <cell r="E498">
            <v>0</v>
          </cell>
          <cell r="F498">
            <v>0</v>
          </cell>
          <cell r="G498" t="str">
            <v>CURRENT ASSETS, LOANS AND ADVANCES</v>
          </cell>
          <cell r="H498" t="str">
            <v>LOANS AND ADVANCES</v>
          </cell>
          <cell r="I498" t="str">
            <v>AMOUNT RECOVERABLES</v>
          </cell>
        </row>
        <row r="499">
          <cell r="A499" t="str">
            <v>A602001-292</v>
          </cell>
          <cell r="B499" t="str">
            <v>Amt Reco.(Grp Co)-Plaza Partners</v>
          </cell>
          <cell r="C499" t="str">
            <v>ASSET</v>
          </cell>
          <cell r="D499" t="str">
            <v>BALANCE SHEET</v>
          </cell>
          <cell r="E499">
            <v>0</v>
          </cell>
          <cell r="F499">
            <v>0</v>
          </cell>
          <cell r="G499" t="str">
            <v>CURRENT ASSETS, LOANS AND ADVANCES</v>
          </cell>
          <cell r="H499" t="str">
            <v>LOANS AND ADVANCES</v>
          </cell>
          <cell r="I499" t="str">
            <v>AMOUNT RECOVERABLES</v>
          </cell>
        </row>
        <row r="500">
          <cell r="A500" t="str">
            <v>A602001-293</v>
          </cell>
          <cell r="B500" t="str">
            <v>Amt Reco.(Grp Co)-  Dlf Com. Enterprises</v>
          </cell>
          <cell r="C500" t="str">
            <v>ASSET</v>
          </cell>
          <cell r="D500" t="str">
            <v>BALANCE SHEET</v>
          </cell>
          <cell r="E500">
            <v>0</v>
          </cell>
          <cell r="F500">
            <v>0</v>
          </cell>
          <cell r="G500" t="str">
            <v>CURRENT ASSETS, LOANS AND ADVANCES</v>
          </cell>
          <cell r="H500" t="str">
            <v>LOANS AND ADVANCES</v>
          </cell>
          <cell r="I500" t="str">
            <v>AMOUNT RECOVERABLES</v>
          </cell>
        </row>
        <row r="501">
          <cell r="A501" t="str">
            <v>A602001-295</v>
          </cell>
          <cell r="B501" t="str">
            <v>Amt Reco.(Grp Co)- BEVERLY PRK MNT SER L</v>
          </cell>
          <cell r="C501" t="str">
            <v>ASSET</v>
          </cell>
          <cell r="D501" t="str">
            <v>BALANCE SHEET</v>
          </cell>
          <cell r="E501">
            <v>0</v>
          </cell>
          <cell r="F501">
            <v>0</v>
          </cell>
          <cell r="G501" t="str">
            <v>CURRENT ASSETS, LOANS AND ADVANCES</v>
          </cell>
          <cell r="H501" t="str">
            <v>LOANS AND ADVANCES</v>
          </cell>
          <cell r="I501" t="str">
            <v>AMOUNT RECOVERABLES</v>
          </cell>
        </row>
        <row r="502">
          <cell r="A502" t="str">
            <v>A602001-296</v>
          </cell>
          <cell r="B502" t="str">
            <v>Amt Reco.(Grp Co)-  Galleria Pro Mgt Ser</v>
          </cell>
          <cell r="C502" t="str">
            <v>ASSET</v>
          </cell>
          <cell r="D502" t="str">
            <v>BALANCE SHEET</v>
          </cell>
          <cell r="E502">
            <v>0</v>
          </cell>
          <cell r="F502">
            <v>0</v>
          </cell>
          <cell r="G502" t="str">
            <v>CURRENT ASSETS, LOANS AND ADVANCES</v>
          </cell>
          <cell r="H502" t="str">
            <v>LOANS AND ADVANCES</v>
          </cell>
          <cell r="I502" t="str">
            <v>AMOUNT RECOVERABLES</v>
          </cell>
        </row>
        <row r="503">
          <cell r="A503" t="str">
            <v>A602001-299</v>
          </cell>
          <cell r="B503" t="str">
            <v>Amt Reco.(Grp Co)-DLF Cyber City</v>
          </cell>
          <cell r="C503" t="str">
            <v>ASSET</v>
          </cell>
          <cell r="D503" t="str">
            <v>BALANCE SHEET</v>
          </cell>
          <cell r="E503">
            <v>0</v>
          </cell>
          <cell r="F503">
            <v>0</v>
          </cell>
          <cell r="G503" t="str">
            <v>CURRENT ASSETS, LOANS AND ADVANCES</v>
          </cell>
          <cell r="H503" t="str">
            <v>LOANS AND ADVANCES</v>
          </cell>
          <cell r="I503" t="str">
            <v>AMOUNT RECOVERABLES</v>
          </cell>
        </row>
        <row r="504">
          <cell r="A504" t="str">
            <v>A602001-301</v>
          </cell>
          <cell r="B504" t="str">
            <v>Amt Reco.(Grp Co)- PALIWAL DEV. LTD</v>
          </cell>
          <cell r="C504" t="str">
            <v>ASSET</v>
          </cell>
          <cell r="D504" t="str">
            <v>BALANCE SHEET</v>
          </cell>
          <cell r="E504">
            <v>0</v>
          </cell>
          <cell r="F504">
            <v>0</v>
          </cell>
          <cell r="G504" t="str">
            <v>CURRENT ASSETS, LOANS AND ADVANCES</v>
          </cell>
          <cell r="H504" t="str">
            <v>LOANS AND ADVANCES</v>
          </cell>
          <cell r="I504" t="str">
            <v>AMOUNT RECOVERABLES</v>
          </cell>
        </row>
        <row r="505">
          <cell r="A505" t="str">
            <v>A602001-309</v>
          </cell>
          <cell r="B505" t="str">
            <v>Amt Reco.(Grp Co)-  Kairav Real Estate</v>
          </cell>
          <cell r="C505" t="str">
            <v>ASSET</v>
          </cell>
          <cell r="D505" t="str">
            <v>BALANCE SHEET</v>
          </cell>
          <cell r="E505">
            <v>0</v>
          </cell>
          <cell r="F505">
            <v>0</v>
          </cell>
          <cell r="G505" t="str">
            <v>CURRENT ASSETS, LOANS AND ADVANCES</v>
          </cell>
          <cell r="H505" t="str">
            <v>LOANS AND ADVANCES</v>
          </cell>
          <cell r="I505" t="str">
            <v>AMOUNT RECOVERABLES</v>
          </cell>
        </row>
        <row r="506">
          <cell r="A506" t="str">
            <v>A602001-311</v>
          </cell>
          <cell r="B506" t="str">
            <v>Amt Reco.(Grp Co)-  Solid Buildcon P L</v>
          </cell>
          <cell r="C506" t="str">
            <v>ASSET</v>
          </cell>
          <cell r="D506" t="str">
            <v>BALANCE SHEET</v>
          </cell>
          <cell r="E506">
            <v>0</v>
          </cell>
          <cell r="F506">
            <v>0</v>
          </cell>
          <cell r="G506" t="str">
            <v>CURRENT ASSETS, LOANS AND ADVANCES</v>
          </cell>
          <cell r="H506" t="str">
            <v>LOANS AND ADVANCES</v>
          </cell>
          <cell r="I506" t="str">
            <v>AMOUNT RECOVERABLES</v>
          </cell>
        </row>
        <row r="507">
          <cell r="A507" t="str">
            <v>A602001-324</v>
          </cell>
          <cell r="B507" t="str">
            <v>Amt Reco.(Grp Co)-  Dalmia Prom. &amp; Dev.</v>
          </cell>
          <cell r="C507" t="str">
            <v>ASSET</v>
          </cell>
          <cell r="D507" t="str">
            <v>BALANCE SHEET</v>
          </cell>
          <cell r="E507">
            <v>0</v>
          </cell>
          <cell r="F507">
            <v>0</v>
          </cell>
          <cell r="G507" t="str">
            <v>CURRENT ASSETS, LOANS AND ADVANCES</v>
          </cell>
          <cell r="H507" t="str">
            <v>LOANS AND ADVANCES</v>
          </cell>
          <cell r="I507" t="str">
            <v>AMOUNT RECOVERABLES</v>
          </cell>
        </row>
        <row r="508">
          <cell r="A508" t="str">
            <v>A602001-333</v>
          </cell>
          <cell r="B508" t="str">
            <v>Amt Reco.(Grp Co)-Kujjal Buil Pvt</v>
          </cell>
          <cell r="C508" t="str">
            <v>ASSET</v>
          </cell>
          <cell r="D508" t="str">
            <v>BALANCE SHEET</v>
          </cell>
          <cell r="E508">
            <v>0</v>
          </cell>
          <cell r="F508">
            <v>0</v>
          </cell>
          <cell r="G508" t="str">
            <v>CURRENT ASSETS, LOANS AND ADVANCES</v>
          </cell>
          <cell r="H508" t="str">
            <v>LOANS AND ADVANCES</v>
          </cell>
          <cell r="I508" t="str">
            <v>AMOUNT RECOVERABLES</v>
          </cell>
        </row>
        <row r="509">
          <cell r="A509" t="str">
            <v>A602001-336</v>
          </cell>
          <cell r="B509" t="str">
            <v>Amt Reco.(Grp Co)-  Dhoomketu Buil &amp; Dev</v>
          </cell>
          <cell r="C509" t="str">
            <v>ASSET</v>
          </cell>
          <cell r="D509" t="str">
            <v>BALANCE SHEET</v>
          </cell>
          <cell r="E509">
            <v>0</v>
          </cell>
          <cell r="F509">
            <v>0</v>
          </cell>
          <cell r="G509" t="str">
            <v>CURRENT ASSETS, LOANS AND ADVANCES</v>
          </cell>
          <cell r="H509" t="str">
            <v>LOANS AND ADVANCES</v>
          </cell>
          <cell r="I509" t="str">
            <v>AMOUNT RECOVERABLES</v>
          </cell>
        </row>
        <row r="510">
          <cell r="A510" t="str">
            <v>A602001-374</v>
          </cell>
          <cell r="B510" t="str">
            <v>Amt Reco.(Grp Co)-  Eila Buil &amp; Dev P Lt</v>
          </cell>
          <cell r="C510" t="str">
            <v>ASSET</v>
          </cell>
          <cell r="D510" t="str">
            <v>BALANCE SHEET</v>
          </cell>
          <cell r="E510">
            <v>0</v>
          </cell>
          <cell r="F510">
            <v>0</v>
          </cell>
          <cell r="G510" t="str">
            <v>CURRENT ASSETS, LOANS AND ADVANCES</v>
          </cell>
          <cell r="H510" t="str">
            <v>LOANS AND ADVANCES</v>
          </cell>
          <cell r="I510" t="str">
            <v>AMOUNT RECOVERABLES</v>
          </cell>
        </row>
        <row r="511">
          <cell r="A511" t="str">
            <v>A602001-381</v>
          </cell>
          <cell r="B511" t="str">
            <v>Amt Reco.(Grp Co)- DLF CYBER CITY DEV Lt</v>
          </cell>
          <cell r="C511" t="str">
            <v>ASSET</v>
          </cell>
          <cell r="D511" t="str">
            <v>BALANCE SHEET</v>
          </cell>
          <cell r="E511">
            <v>0</v>
          </cell>
          <cell r="F511">
            <v>0</v>
          </cell>
          <cell r="G511" t="str">
            <v>CURRENT ASSETS, LOANS AND ADVANCES</v>
          </cell>
          <cell r="H511" t="str">
            <v>LOANS AND ADVANCES</v>
          </cell>
          <cell r="I511" t="str">
            <v>AMOUNT RECOVERABLES</v>
          </cell>
        </row>
        <row r="512">
          <cell r="A512" t="str">
            <v>A602001-417</v>
          </cell>
          <cell r="B512" t="str">
            <v>Amt Reco.(Grp Co)-  Bridget Buil &amp; Dev</v>
          </cell>
          <cell r="C512" t="str">
            <v>ASSET</v>
          </cell>
          <cell r="D512" t="str">
            <v>BALANCE SHEET</v>
          </cell>
          <cell r="E512">
            <v>0</v>
          </cell>
          <cell r="F512">
            <v>0</v>
          </cell>
          <cell r="G512" t="str">
            <v>CURRENT ASSETS, LOANS AND ADVANCES</v>
          </cell>
          <cell r="H512" t="str">
            <v>LOANS AND ADVANCES</v>
          </cell>
          <cell r="I512" t="str">
            <v>AMOUNT RECOVERABLES</v>
          </cell>
        </row>
        <row r="513">
          <cell r="A513" t="str">
            <v>A602001-418</v>
          </cell>
          <cell r="B513" t="str">
            <v>Amt Reco.(Grp Co)-  Catherine Buil &amp; Dev</v>
          </cell>
          <cell r="C513" t="str">
            <v>ASSET</v>
          </cell>
          <cell r="D513" t="str">
            <v>BALANCE SHEET</v>
          </cell>
          <cell r="E513">
            <v>0</v>
          </cell>
          <cell r="F513">
            <v>0</v>
          </cell>
          <cell r="G513" t="str">
            <v>CURRENT ASSETS, LOANS AND ADVANCES</v>
          </cell>
          <cell r="H513" t="str">
            <v>LOANS AND ADVANCES</v>
          </cell>
          <cell r="I513" t="str">
            <v>AMOUNT RECOVERABLES</v>
          </cell>
        </row>
        <row r="514">
          <cell r="A514" t="str">
            <v>A602001-431</v>
          </cell>
          <cell r="B514" t="str">
            <v>Amt Reco.(Grp Co)-DLF Land Limited</v>
          </cell>
          <cell r="C514" t="str">
            <v>ASSET</v>
          </cell>
          <cell r="D514" t="str">
            <v>BALANCE SHEET</v>
          </cell>
          <cell r="E514">
            <v>0</v>
          </cell>
          <cell r="F514">
            <v>0</v>
          </cell>
          <cell r="G514" t="str">
            <v>CURRENT ASSETS, LOANS AND ADVANCES</v>
          </cell>
          <cell r="H514" t="str">
            <v>LOANS AND ADVANCES</v>
          </cell>
          <cell r="I514" t="str">
            <v>AMOUNT RECOVERABLES</v>
          </cell>
        </row>
        <row r="515">
          <cell r="A515" t="str">
            <v>A602001-512</v>
          </cell>
          <cell r="B515" t="str">
            <v>Amt Reco.(Grp Co)-DLF INNS</v>
          </cell>
          <cell r="C515" t="str">
            <v>ASSET</v>
          </cell>
          <cell r="D515" t="str">
            <v>BALANCE SHEET</v>
          </cell>
          <cell r="E515">
            <v>0</v>
          </cell>
          <cell r="F515">
            <v>0</v>
          </cell>
          <cell r="G515" t="str">
            <v>CURRENT ASSETS, LOANS AND ADVANCES</v>
          </cell>
          <cell r="H515" t="str">
            <v>LOANS AND ADVANCES</v>
          </cell>
          <cell r="I515" t="str">
            <v>AMOUNT RECOVERABLES</v>
          </cell>
        </row>
        <row r="516">
          <cell r="A516" t="str">
            <v>A602001-513</v>
          </cell>
          <cell r="B516" t="str">
            <v>Amt Reco.(Grp Co)-DLF Service Appt</v>
          </cell>
          <cell r="C516" t="str">
            <v>ASSET</v>
          </cell>
          <cell r="D516" t="str">
            <v>BALANCE SHEET</v>
          </cell>
          <cell r="E516">
            <v>0</v>
          </cell>
          <cell r="F516">
            <v>0</v>
          </cell>
          <cell r="G516" t="str">
            <v>CURRENT ASSETS, LOANS AND ADVANCES</v>
          </cell>
          <cell r="H516" t="str">
            <v>LOANS AND ADVANCES</v>
          </cell>
          <cell r="I516" t="str">
            <v>AMOUNT RECOVERABLES</v>
          </cell>
        </row>
        <row r="517">
          <cell r="A517" t="str">
            <v>A602001-514</v>
          </cell>
          <cell r="B517" t="str">
            <v>Amt Reco.(Grp Co)-DLF Luxury Hotels</v>
          </cell>
          <cell r="C517" t="str">
            <v>ASSET</v>
          </cell>
          <cell r="D517" t="str">
            <v>BALANCE SHEET</v>
          </cell>
          <cell r="E517">
            <v>0</v>
          </cell>
          <cell r="F517">
            <v>0</v>
          </cell>
          <cell r="G517" t="str">
            <v>CURRENT ASSETS, LOANS AND ADVANCES</v>
          </cell>
          <cell r="H517" t="str">
            <v>LOANS AND ADVANCES</v>
          </cell>
          <cell r="I517" t="str">
            <v>AMOUNT RECOVERABLES</v>
          </cell>
        </row>
        <row r="518">
          <cell r="A518" t="str">
            <v>A602001-526</v>
          </cell>
          <cell r="B518" t="str">
            <v>Amt Reco.(Grp Co)-DT Cinema P L</v>
          </cell>
          <cell r="C518" t="str">
            <v>ASSET</v>
          </cell>
          <cell r="D518" t="str">
            <v>BALANCE SHEET</v>
          </cell>
          <cell r="E518">
            <v>0</v>
          </cell>
          <cell r="F518">
            <v>0</v>
          </cell>
          <cell r="G518" t="str">
            <v>CURRENT ASSETS, LOANS AND ADVANCES</v>
          </cell>
          <cell r="H518" t="str">
            <v>LOANS AND ADVANCES</v>
          </cell>
          <cell r="I518" t="str">
            <v>AMOUNT RECOVERABLES</v>
          </cell>
        </row>
        <row r="519">
          <cell r="A519" t="str">
            <v>A602001-564</v>
          </cell>
          <cell r="B519" t="str">
            <v>Amt Reco.(Grp Co)-DLF New Ggn Homes Dev</v>
          </cell>
          <cell r="C519" t="str">
            <v>ASSET</v>
          </cell>
          <cell r="D519" t="str">
            <v>BALANCE SHEET</v>
          </cell>
          <cell r="E519">
            <v>0</v>
          </cell>
          <cell r="F519">
            <v>0</v>
          </cell>
          <cell r="G519" t="str">
            <v>CURRENT ASSETS, LOANS AND ADVANCES</v>
          </cell>
          <cell r="H519" t="str">
            <v>LOANS AND ADVANCES</v>
          </cell>
          <cell r="I519" t="str">
            <v>AMOUNT RECOVERABLES</v>
          </cell>
        </row>
        <row r="520">
          <cell r="A520" t="str">
            <v>A602002-000</v>
          </cell>
          <cell r="B520" t="str">
            <v>Amt Reco(Partnership Firms)</v>
          </cell>
          <cell r="C520" t="str">
            <v>ASSET</v>
          </cell>
          <cell r="D520" t="str">
            <v>BALANCE SHEET</v>
          </cell>
          <cell r="E520">
            <v>0</v>
          </cell>
          <cell r="F520">
            <v>0</v>
          </cell>
          <cell r="G520" t="str">
            <v>CURRENT ASSETS, LOANS AND ADVANCES</v>
          </cell>
          <cell r="H520" t="str">
            <v>LOANS AND ADVANCES</v>
          </cell>
          <cell r="I520" t="str">
            <v>AMOUNT RECOVERABLES</v>
          </cell>
        </row>
        <row r="521">
          <cell r="A521" t="str">
            <v>A602101</v>
          </cell>
          <cell r="B521" t="str">
            <v>Amount Recoverable(Third Party)</v>
          </cell>
          <cell r="C521" t="str">
            <v>ASSET</v>
          </cell>
          <cell r="D521" t="str">
            <v>BALANCE SHEET</v>
          </cell>
          <cell r="E521">
            <v>0</v>
          </cell>
          <cell r="F521">
            <v>0</v>
          </cell>
          <cell r="G521" t="str">
            <v>CURRENT ASSETS, LOANS AND ADVANCES</v>
          </cell>
          <cell r="H521" t="str">
            <v>LOANS AND ADVANCES</v>
          </cell>
          <cell r="I521" t="str">
            <v>AMOUNT RECOVERABLES</v>
          </cell>
        </row>
        <row r="522">
          <cell r="A522" t="str">
            <v>A602102</v>
          </cell>
          <cell r="B522" t="str">
            <v>Amt Reco(Thrd prty)- Earnest Money Aucti</v>
          </cell>
          <cell r="C522" t="str">
            <v>ASSET</v>
          </cell>
          <cell r="D522" t="str">
            <v>BALANCE SHEET</v>
          </cell>
          <cell r="E522" t="str">
            <v>SUPPLIER PREPAYMENT A/C</v>
          </cell>
          <cell r="F522">
            <v>0</v>
          </cell>
          <cell r="G522" t="str">
            <v>CURRENT ASSETS, LOANS AND ADVANCES</v>
          </cell>
          <cell r="H522" t="str">
            <v>LOANS AND ADVANCES</v>
          </cell>
          <cell r="I522" t="str">
            <v>AMOUNT RECOVERABLES</v>
          </cell>
        </row>
        <row r="523">
          <cell r="A523" t="str">
            <v>A602103</v>
          </cell>
          <cell r="B523" t="str">
            <v>Amt Reco(Thrd prty)- Invstmnt In Pub Dep</v>
          </cell>
          <cell r="C523" t="str">
            <v>ASSET</v>
          </cell>
          <cell r="D523" t="str">
            <v>BALANCE SHEET</v>
          </cell>
          <cell r="E523" t="str">
            <v>SUPPLIER PREPAYMENT A/C</v>
          </cell>
          <cell r="F523">
            <v>0</v>
          </cell>
          <cell r="G523" t="str">
            <v>CURRENT ASSETS, LOANS AND ADVANCES</v>
          </cell>
          <cell r="H523" t="str">
            <v>LOANS AND ADVANCES</v>
          </cell>
          <cell r="I523" t="str">
            <v>AMOUNT RECOVERABLES</v>
          </cell>
        </row>
        <row r="524">
          <cell r="A524" t="str">
            <v>A602104</v>
          </cell>
          <cell r="B524" t="str">
            <v>Amt Reco(Thrd prty)- Ipo Expenses</v>
          </cell>
          <cell r="C524" t="str">
            <v>ASSET</v>
          </cell>
          <cell r="D524" t="str">
            <v>BALANCE SHEET</v>
          </cell>
          <cell r="E524" t="str">
            <v>SUPPLIER PREPAYMENT A/C</v>
          </cell>
          <cell r="F524">
            <v>0</v>
          </cell>
          <cell r="G524" t="str">
            <v>CURRENT ASSETS, LOANS AND ADVANCES</v>
          </cell>
          <cell r="H524" t="str">
            <v>LOANS AND ADVANCES</v>
          </cell>
          <cell r="I524" t="str">
            <v>AMOUNT RECOVERABLES</v>
          </cell>
        </row>
        <row r="525">
          <cell r="A525" t="str">
            <v>A602105</v>
          </cell>
          <cell r="B525" t="str">
            <v>Amt Reco(Thrd prty)- Stamps Refundable</v>
          </cell>
          <cell r="C525" t="str">
            <v>ASSET</v>
          </cell>
          <cell r="D525" t="str">
            <v>BALANCE SHEET</v>
          </cell>
          <cell r="E525" t="str">
            <v>SUPPLIER PREPAYMENT A/C</v>
          </cell>
          <cell r="F525">
            <v>0</v>
          </cell>
          <cell r="G525" t="str">
            <v>CURRENT ASSETS, LOANS AND ADVANCES</v>
          </cell>
          <cell r="H525" t="str">
            <v>LOANS AND ADVANCES</v>
          </cell>
          <cell r="I525" t="str">
            <v>AMOUNT RECOVERABLES</v>
          </cell>
        </row>
        <row r="526">
          <cell r="A526" t="str">
            <v>A602106</v>
          </cell>
          <cell r="B526" t="str">
            <v>Amt Reco(Thrd prty)- Meter Cost</v>
          </cell>
          <cell r="C526" t="str">
            <v>ASSET</v>
          </cell>
          <cell r="D526" t="str">
            <v>BALANCE SHEET</v>
          </cell>
          <cell r="E526">
            <v>0</v>
          </cell>
          <cell r="F526">
            <v>0</v>
          </cell>
          <cell r="G526" t="str">
            <v>CURRENT ASSETS, LOANS AND ADVANCES</v>
          </cell>
          <cell r="H526" t="str">
            <v>LOANS AND ADVANCES</v>
          </cell>
          <cell r="I526" t="str">
            <v>AMOUNT RECOVERABLES</v>
          </cell>
        </row>
        <row r="527">
          <cell r="A527" t="str">
            <v>A602107</v>
          </cell>
          <cell r="B527" t="str">
            <v>Amt Reco(Thrd prty)-Rent</v>
          </cell>
          <cell r="C527" t="str">
            <v>ASSET</v>
          </cell>
          <cell r="D527" t="str">
            <v>BALANCE SHEET</v>
          </cell>
          <cell r="E527">
            <v>0</v>
          </cell>
          <cell r="F527">
            <v>0</v>
          </cell>
          <cell r="G527" t="str">
            <v>CURRENT ASSETS, LOANS AND ADVANCES</v>
          </cell>
          <cell r="H527" t="str">
            <v>LOANS AND ADVANCES</v>
          </cell>
          <cell r="I527" t="str">
            <v>AMOUNT RECOVERABLES</v>
          </cell>
        </row>
        <row r="528">
          <cell r="A528" t="str">
            <v>A602201-001</v>
          </cell>
          <cell r="B528" t="str">
            <v>Advance Recoverable (condn)</v>
          </cell>
          <cell r="C528" t="str">
            <v>ASSET</v>
          </cell>
          <cell r="D528" t="str">
            <v>BALANCE SHEET</v>
          </cell>
          <cell r="E528">
            <v>0</v>
          </cell>
          <cell r="F528">
            <v>0</v>
          </cell>
          <cell r="G528" t="str">
            <v>CURRENT ASSETS, LOANS AND ADVANCES</v>
          </cell>
          <cell r="H528" t="str">
            <v>LOANS AND ADVANCES</v>
          </cell>
          <cell r="I528" t="str">
            <v>AMOUNT RECOVERABLES</v>
          </cell>
        </row>
        <row r="529">
          <cell r="A529" t="str">
            <v>A602201-002</v>
          </cell>
          <cell r="B529" t="str">
            <v>Beverly Park-I (Condominium)</v>
          </cell>
          <cell r="C529" t="str">
            <v>ASSET</v>
          </cell>
          <cell r="D529" t="str">
            <v>BALANCE SHEET</v>
          </cell>
          <cell r="E529">
            <v>0</v>
          </cell>
          <cell r="F529">
            <v>0</v>
          </cell>
          <cell r="G529" t="str">
            <v>CURRENT ASSETS, LOANS AND ADVANCES</v>
          </cell>
          <cell r="H529" t="str">
            <v>LOANS AND ADVANCES</v>
          </cell>
          <cell r="I529" t="str">
            <v>AMOUNT RECOVERABLES</v>
          </cell>
        </row>
        <row r="530">
          <cell r="A530" t="str">
            <v>A602201-003</v>
          </cell>
          <cell r="B530" t="str">
            <v>Beverly Park-II(Condominium)</v>
          </cell>
          <cell r="C530" t="str">
            <v>ASSET</v>
          </cell>
          <cell r="D530" t="str">
            <v>BALANCE SHEET</v>
          </cell>
          <cell r="E530">
            <v>0</v>
          </cell>
          <cell r="F530">
            <v>0</v>
          </cell>
          <cell r="G530" t="str">
            <v>CURRENT ASSETS, LOANS AND ADVANCES</v>
          </cell>
          <cell r="H530" t="str">
            <v>LOANS AND ADVANCES</v>
          </cell>
          <cell r="I530" t="str">
            <v>AMOUNT RECOVERABLES</v>
          </cell>
        </row>
        <row r="531">
          <cell r="A531" t="str">
            <v>A602201-004</v>
          </cell>
          <cell r="B531" t="str">
            <v>Ridgewood Estate Condominium Association</v>
          </cell>
          <cell r="C531" t="str">
            <v>ASSET</v>
          </cell>
          <cell r="D531" t="str">
            <v>BALANCE SHEET</v>
          </cell>
          <cell r="E531">
            <v>0</v>
          </cell>
          <cell r="F531">
            <v>0</v>
          </cell>
          <cell r="G531" t="str">
            <v>CURRENT ASSETS, LOANS AND ADVANCES</v>
          </cell>
          <cell r="H531" t="str">
            <v>LOANS AND ADVANCES</v>
          </cell>
          <cell r="I531" t="str">
            <v>AMOUNT RECOVERABLES</v>
          </cell>
        </row>
        <row r="532">
          <cell r="A532" t="str">
            <v>A602201-005</v>
          </cell>
          <cell r="B532" t="str">
            <v>Silver Oaks Condominium Assoc.</v>
          </cell>
          <cell r="C532" t="str">
            <v>ASSET</v>
          </cell>
          <cell r="D532" t="str">
            <v>BALANCE SHEET</v>
          </cell>
          <cell r="E532">
            <v>0</v>
          </cell>
          <cell r="F532">
            <v>0</v>
          </cell>
          <cell r="G532" t="str">
            <v>CURRENT ASSETS, LOANS AND ADVANCES</v>
          </cell>
          <cell r="H532" t="str">
            <v>LOANS AND ADVANCES</v>
          </cell>
          <cell r="I532" t="str">
            <v>AMOUNT RECOVERABLES</v>
          </cell>
        </row>
        <row r="533">
          <cell r="A533" t="str">
            <v>A602201-006</v>
          </cell>
          <cell r="B533" t="str">
            <v>Oakwood Est. Condominium Ass.</v>
          </cell>
          <cell r="C533" t="str">
            <v>ASSET</v>
          </cell>
          <cell r="D533" t="str">
            <v>BALANCE SHEET</v>
          </cell>
          <cell r="E533">
            <v>0</v>
          </cell>
          <cell r="F533">
            <v>0</v>
          </cell>
          <cell r="G533" t="str">
            <v>CURRENT ASSETS, LOANS AND ADVANCES</v>
          </cell>
          <cell r="H533" t="str">
            <v>LOANS AND ADVANCES</v>
          </cell>
          <cell r="I533" t="str">
            <v>AMOUNT RECOVERABLES</v>
          </cell>
        </row>
        <row r="534">
          <cell r="A534" t="str">
            <v>A602201-007</v>
          </cell>
          <cell r="B534" t="str">
            <v>Uppal Hotel Account</v>
          </cell>
          <cell r="C534" t="str">
            <v>ASSET</v>
          </cell>
          <cell r="D534" t="str">
            <v>BALANCE SHEET</v>
          </cell>
          <cell r="E534">
            <v>0</v>
          </cell>
          <cell r="F534">
            <v>0</v>
          </cell>
          <cell r="G534" t="str">
            <v>CURRENT ASSETS, LOANS AND ADVANCES</v>
          </cell>
          <cell r="H534" t="str">
            <v>LOANS AND ADVANCES</v>
          </cell>
          <cell r="I534" t="str">
            <v>AMOUNT RECOVERABLES</v>
          </cell>
        </row>
        <row r="535">
          <cell r="A535" t="str">
            <v>A602201-008</v>
          </cell>
          <cell r="B535" t="str">
            <v>Wellington Estate Cond. As</v>
          </cell>
          <cell r="C535" t="str">
            <v>ASSET</v>
          </cell>
          <cell r="D535" t="str">
            <v>BALANCE SHEET</v>
          </cell>
          <cell r="E535">
            <v>0</v>
          </cell>
          <cell r="F535">
            <v>0</v>
          </cell>
          <cell r="G535" t="str">
            <v>CURRENT ASSETS, LOANS AND ADVANCES</v>
          </cell>
          <cell r="H535" t="str">
            <v>LOANS AND ADVANCES</v>
          </cell>
          <cell r="I535" t="str">
            <v>AMOUNT RECOVERABLES</v>
          </cell>
        </row>
        <row r="536">
          <cell r="A536" t="str">
            <v>A602201-009</v>
          </cell>
          <cell r="B536" t="str">
            <v>Princeton Estate Cond. Ass</v>
          </cell>
          <cell r="C536" t="str">
            <v>ASSET</v>
          </cell>
          <cell r="D536" t="str">
            <v>BALANCE SHEET</v>
          </cell>
          <cell r="E536">
            <v>0</v>
          </cell>
          <cell r="F536">
            <v>0</v>
          </cell>
          <cell r="G536" t="str">
            <v>CURRENT ASSETS, LOANS AND ADVANCES</v>
          </cell>
          <cell r="H536" t="str">
            <v>LOANS AND ADVANCES</v>
          </cell>
          <cell r="I536" t="str">
            <v>AMOUNT RECOVERABLES</v>
          </cell>
        </row>
        <row r="537">
          <cell r="A537" t="str">
            <v>A602201-010</v>
          </cell>
          <cell r="B537" t="str">
            <v>H.Court,W.Court &amp; Rp-II Condominium</v>
          </cell>
          <cell r="C537" t="str">
            <v>ASSET</v>
          </cell>
          <cell r="D537" t="str">
            <v>BALANCE SHEET</v>
          </cell>
          <cell r="E537">
            <v>0</v>
          </cell>
          <cell r="F537">
            <v>0</v>
          </cell>
          <cell r="G537" t="str">
            <v>CURRENT ASSETS, LOANS AND ADVANCES</v>
          </cell>
          <cell r="H537" t="str">
            <v>LOANS AND ADVANCES</v>
          </cell>
          <cell r="I537" t="str">
            <v>AMOUNT RECOVERABLES</v>
          </cell>
        </row>
        <row r="538">
          <cell r="A538" t="str">
            <v>A602201-011</v>
          </cell>
          <cell r="B538" t="str">
            <v>Carlton Estate Cond. Associatio</v>
          </cell>
          <cell r="C538" t="str">
            <v>ASSET</v>
          </cell>
          <cell r="D538" t="str">
            <v>BALANCE SHEET</v>
          </cell>
          <cell r="E538">
            <v>0</v>
          </cell>
          <cell r="F538">
            <v>0</v>
          </cell>
          <cell r="G538" t="str">
            <v>CURRENT ASSETS, LOANS AND ADVANCES</v>
          </cell>
          <cell r="H538" t="str">
            <v>LOANS AND ADVANCES</v>
          </cell>
          <cell r="I538" t="str">
            <v>AMOUNT RECOVERABLES</v>
          </cell>
        </row>
        <row r="539">
          <cell r="A539" t="str">
            <v>A602201-012</v>
          </cell>
          <cell r="B539" t="str">
            <v>Galleria Condominium Association</v>
          </cell>
          <cell r="C539" t="str">
            <v>ASSET</v>
          </cell>
          <cell r="D539" t="str">
            <v>BALANCE SHEET</v>
          </cell>
          <cell r="E539">
            <v>0</v>
          </cell>
          <cell r="F539">
            <v>0</v>
          </cell>
          <cell r="G539" t="str">
            <v>CURRENT ASSETS, LOANS AND ADVANCES</v>
          </cell>
          <cell r="H539" t="str">
            <v>LOANS AND ADVANCES</v>
          </cell>
          <cell r="I539" t="str">
            <v>AMOUNT RECOVERABLES</v>
          </cell>
        </row>
        <row r="540">
          <cell r="A540" t="str">
            <v>A602201-013</v>
          </cell>
          <cell r="B540" t="str">
            <v>Richreg Condominium Association</v>
          </cell>
          <cell r="C540" t="str">
            <v>ASSET</v>
          </cell>
          <cell r="D540" t="str">
            <v>BALANCE SHEET</v>
          </cell>
          <cell r="E540">
            <v>0</v>
          </cell>
          <cell r="F540">
            <v>0</v>
          </cell>
          <cell r="G540" t="str">
            <v>CURRENT ASSETS, LOANS AND ADVANCES</v>
          </cell>
          <cell r="H540" t="str">
            <v>LOANS AND ADVANCES</v>
          </cell>
          <cell r="I540" t="str">
            <v>AMOUNT RECOVERABLES</v>
          </cell>
        </row>
        <row r="541">
          <cell r="A541" t="str">
            <v>A602201-014</v>
          </cell>
          <cell r="B541" t="str">
            <v>Belvedere Tower Cond. Association</v>
          </cell>
          <cell r="C541" t="str">
            <v>ASSET</v>
          </cell>
          <cell r="D541" t="str">
            <v>BALANCE SHEET</v>
          </cell>
          <cell r="E541">
            <v>0</v>
          </cell>
          <cell r="F541">
            <v>0</v>
          </cell>
          <cell r="G541" t="str">
            <v>CURRENT ASSETS, LOANS AND ADVANCES</v>
          </cell>
          <cell r="H541" t="str">
            <v>LOANS AND ADVANCES</v>
          </cell>
          <cell r="I541" t="str">
            <v>AMOUNT RECOVERABLES</v>
          </cell>
        </row>
        <row r="542">
          <cell r="A542" t="str">
            <v>A602201-015</v>
          </cell>
          <cell r="B542" t="str">
            <v>Belvedere Park Cond. Association</v>
          </cell>
          <cell r="C542" t="str">
            <v>ASSET</v>
          </cell>
          <cell r="D542" t="str">
            <v>BALANCE SHEET</v>
          </cell>
          <cell r="E542">
            <v>0</v>
          </cell>
          <cell r="F542">
            <v>0</v>
          </cell>
          <cell r="G542" t="str">
            <v>CURRENT ASSETS, LOANS AND ADVANCES</v>
          </cell>
          <cell r="H542" t="str">
            <v>LOANS AND ADVANCES</v>
          </cell>
          <cell r="I542" t="str">
            <v>AMOUNT RECOVERABLES</v>
          </cell>
        </row>
        <row r="543">
          <cell r="A543" t="str">
            <v>A602201-016</v>
          </cell>
          <cell r="B543" t="str">
            <v>Central Arcade Condominium Association</v>
          </cell>
          <cell r="C543" t="str">
            <v>ASSET</v>
          </cell>
          <cell r="D543" t="str">
            <v>BALANCE SHEET</v>
          </cell>
          <cell r="E543">
            <v>0</v>
          </cell>
          <cell r="F543">
            <v>0</v>
          </cell>
          <cell r="G543" t="str">
            <v>CURRENT ASSETS, LOANS AND ADVANCES</v>
          </cell>
          <cell r="H543" t="str">
            <v>LOANS AND ADVANCES</v>
          </cell>
          <cell r="I543" t="str">
            <v>AMOUNT RECOVERABLES</v>
          </cell>
        </row>
        <row r="544">
          <cell r="A544" t="str">
            <v>A602201-017</v>
          </cell>
          <cell r="B544" t="str">
            <v>Qutab Plaza Condominium Association</v>
          </cell>
          <cell r="C544" t="str">
            <v>ASSET</v>
          </cell>
          <cell r="D544" t="str">
            <v>BALANCE SHEET</v>
          </cell>
          <cell r="E544">
            <v>0</v>
          </cell>
          <cell r="F544">
            <v>0</v>
          </cell>
          <cell r="G544" t="str">
            <v>CURRENT ASSETS, LOANS AND ADVANCES</v>
          </cell>
          <cell r="H544" t="str">
            <v>LOANS AND ADVANCES</v>
          </cell>
          <cell r="I544" t="str">
            <v>AMOUNT RECOVERABLES</v>
          </cell>
        </row>
        <row r="545">
          <cell r="A545" t="str">
            <v>A602201-018</v>
          </cell>
          <cell r="B545" t="str">
            <v>Super Mart Condominium Association</v>
          </cell>
          <cell r="C545" t="str">
            <v>ASSET</v>
          </cell>
          <cell r="D545" t="str">
            <v>BALANCE SHEET</v>
          </cell>
          <cell r="E545">
            <v>0</v>
          </cell>
          <cell r="F545">
            <v>0</v>
          </cell>
          <cell r="G545" t="str">
            <v>CURRENT ASSETS, LOANS AND ADVANCES</v>
          </cell>
          <cell r="H545" t="str">
            <v>LOANS AND ADVANCES</v>
          </cell>
          <cell r="I545" t="str">
            <v>AMOUNT RECOVERABLES</v>
          </cell>
        </row>
        <row r="546">
          <cell r="A546" t="str">
            <v>A602201-019</v>
          </cell>
          <cell r="B546" t="str">
            <v>Exclusive Floors Owners Society</v>
          </cell>
          <cell r="C546" t="str">
            <v>ASSET</v>
          </cell>
          <cell r="D546" t="str">
            <v>BALANCE SHEET</v>
          </cell>
          <cell r="E546">
            <v>0</v>
          </cell>
          <cell r="F546">
            <v>0</v>
          </cell>
          <cell r="G546" t="str">
            <v>CURRENT ASSETS, LOANS AND ADVANCES</v>
          </cell>
          <cell r="H546" t="str">
            <v>LOANS AND ADVANCES</v>
          </cell>
          <cell r="I546" t="str">
            <v>AMOUNT RECOVERABLES</v>
          </cell>
        </row>
        <row r="547">
          <cell r="A547" t="str">
            <v>A602201-020</v>
          </cell>
          <cell r="B547" t="str">
            <v>Moulsari Arcade</v>
          </cell>
          <cell r="C547" t="str">
            <v>ASSET</v>
          </cell>
          <cell r="D547" t="str">
            <v>BALANCE SHEET</v>
          </cell>
          <cell r="E547">
            <v>0</v>
          </cell>
          <cell r="F547">
            <v>0</v>
          </cell>
          <cell r="G547" t="str">
            <v>CURRENT ASSETS, LOANS AND ADVANCES</v>
          </cell>
          <cell r="H547" t="str">
            <v>LOANS AND ADVANCES</v>
          </cell>
          <cell r="I547" t="str">
            <v>AMOUNT RECOVERABLES</v>
          </cell>
        </row>
        <row r="548">
          <cell r="A548" t="str">
            <v>A602301</v>
          </cell>
          <cell r="B548" t="str">
            <v>Prepaid Expenses</v>
          </cell>
          <cell r="C548" t="str">
            <v>ASSET</v>
          </cell>
          <cell r="D548" t="str">
            <v>BALANCE SHEET</v>
          </cell>
          <cell r="E548">
            <v>0</v>
          </cell>
          <cell r="F548">
            <v>0</v>
          </cell>
          <cell r="G548" t="str">
            <v>CURRENT ASSETS, LOANS AND ADVANCES</v>
          </cell>
          <cell r="H548" t="str">
            <v>LOANS AND ADVANCES</v>
          </cell>
          <cell r="I548" t="str">
            <v>OTHER ADVANCES</v>
          </cell>
        </row>
        <row r="549">
          <cell r="A549" t="str">
            <v>A602302</v>
          </cell>
          <cell r="B549" t="str">
            <v>Rent paid in advance</v>
          </cell>
          <cell r="C549" t="str">
            <v>ASSET</v>
          </cell>
          <cell r="D549" t="str">
            <v>BALANCE SHEET</v>
          </cell>
          <cell r="E549">
            <v>0</v>
          </cell>
          <cell r="F549">
            <v>0</v>
          </cell>
          <cell r="G549" t="str">
            <v>CURRENT ASSETS, LOANS AND ADVANCES</v>
          </cell>
          <cell r="H549" t="str">
            <v>LOANS AND ADVANCES</v>
          </cell>
          <cell r="I549" t="str">
            <v>OTHER ADVANCES</v>
          </cell>
        </row>
        <row r="550">
          <cell r="A550" t="str">
            <v>A602401</v>
          </cell>
          <cell r="B550" t="str">
            <v>HO Branch Current Account- Chennai</v>
          </cell>
          <cell r="C550" t="str">
            <v>ASSET</v>
          </cell>
          <cell r="D550" t="str">
            <v>BALANCE SHEET</v>
          </cell>
          <cell r="E550">
            <v>0</v>
          </cell>
          <cell r="F550">
            <v>0</v>
          </cell>
          <cell r="G550" t="str">
            <v>CURRENT ASSETS, LOANS AND ADVANCES</v>
          </cell>
          <cell r="H550" t="str">
            <v>LOANS AND ADVANCES</v>
          </cell>
          <cell r="I550" t="str">
            <v>OTHER ADVANCES</v>
          </cell>
        </row>
        <row r="551">
          <cell r="A551" t="str">
            <v>A602402</v>
          </cell>
          <cell r="B551" t="str">
            <v>HO Branch Current Account- Bangalor</v>
          </cell>
          <cell r="C551" t="str">
            <v>ASSET</v>
          </cell>
          <cell r="D551" t="str">
            <v>BALANCE SHEET</v>
          </cell>
          <cell r="E551">
            <v>0</v>
          </cell>
          <cell r="F551">
            <v>0</v>
          </cell>
          <cell r="G551" t="str">
            <v>CURRENT ASSETS, LOANS AND ADVANCES</v>
          </cell>
          <cell r="H551" t="str">
            <v>LOANS AND ADVANCES</v>
          </cell>
          <cell r="I551" t="str">
            <v>OTHER ADVANCES</v>
          </cell>
        </row>
        <row r="552">
          <cell r="A552" t="str">
            <v>A602403</v>
          </cell>
          <cell r="B552" t="str">
            <v>HO Branch Current Account- Mumbai</v>
          </cell>
          <cell r="C552" t="str">
            <v>ASSET</v>
          </cell>
          <cell r="D552" t="str">
            <v>BALANCE SHEET</v>
          </cell>
          <cell r="E552">
            <v>0</v>
          </cell>
          <cell r="F552">
            <v>0</v>
          </cell>
          <cell r="G552" t="str">
            <v>CURRENT ASSETS, LOANS AND ADVANCES</v>
          </cell>
          <cell r="H552" t="str">
            <v>LOANS AND ADVANCES</v>
          </cell>
          <cell r="I552" t="str">
            <v>OTHER ADVANCES</v>
          </cell>
        </row>
        <row r="553">
          <cell r="A553" t="str">
            <v>A602404</v>
          </cell>
          <cell r="B553" t="str">
            <v>HO Branch Current Account- Pune</v>
          </cell>
          <cell r="C553" t="str">
            <v>ASSET</v>
          </cell>
          <cell r="D553" t="str">
            <v>BALANCE SHEET</v>
          </cell>
          <cell r="E553">
            <v>0</v>
          </cell>
          <cell r="F553">
            <v>0</v>
          </cell>
          <cell r="G553" t="str">
            <v>CURRENT ASSETS, LOANS AND ADVANCES</v>
          </cell>
          <cell r="H553" t="str">
            <v>LOANS AND ADVANCES</v>
          </cell>
          <cell r="I553" t="str">
            <v>OTHER ADVANCES</v>
          </cell>
        </row>
        <row r="554">
          <cell r="A554" t="str">
            <v>A602405</v>
          </cell>
          <cell r="B554" t="str">
            <v>HO Branch Current Account-Kochin</v>
          </cell>
          <cell r="C554" t="str">
            <v>ASSET</v>
          </cell>
          <cell r="D554" t="str">
            <v>BALANCE SHEET</v>
          </cell>
          <cell r="E554">
            <v>0</v>
          </cell>
          <cell r="F554">
            <v>0</v>
          </cell>
          <cell r="G554" t="str">
            <v>CURRENT ASSETS, LOANS AND ADVANCES</v>
          </cell>
          <cell r="H554" t="str">
            <v>LOANS AND ADVANCES</v>
          </cell>
          <cell r="I554" t="str">
            <v>OTHER ADVANCES</v>
          </cell>
        </row>
        <row r="555">
          <cell r="A555" t="str">
            <v>A602501-000</v>
          </cell>
          <cell r="B555" t="str">
            <v>Inter Branch Current Account</v>
          </cell>
          <cell r="C555" t="str">
            <v>ASSET</v>
          </cell>
          <cell r="D555" t="str">
            <v>BALANCE SHEET</v>
          </cell>
          <cell r="E555">
            <v>0</v>
          </cell>
          <cell r="F555">
            <v>0</v>
          </cell>
          <cell r="G555" t="str">
            <v>CURRENT ASSETS, LOANS AND ADVANCES</v>
          </cell>
          <cell r="H555" t="str">
            <v>LOANS AND ADVANCES</v>
          </cell>
          <cell r="I555" t="str">
            <v>OTHER ADVANCES</v>
          </cell>
        </row>
        <row r="556">
          <cell r="A556" t="str">
            <v>A602501-101</v>
          </cell>
          <cell r="B556" t="str">
            <v>Inter Branch Current Account-DLF LTD</v>
          </cell>
          <cell r="C556" t="str">
            <v>ASSET</v>
          </cell>
          <cell r="D556" t="str">
            <v>BALANCE SHEET</v>
          </cell>
          <cell r="E556">
            <v>0</v>
          </cell>
          <cell r="F556">
            <v>0</v>
          </cell>
          <cell r="G556" t="str">
            <v>CURRENT ASSETS, LOANS AND ADVANCES</v>
          </cell>
          <cell r="H556" t="str">
            <v>LOANS AND ADVANCES</v>
          </cell>
          <cell r="I556" t="str">
            <v>OTHER ADVANCES</v>
          </cell>
        </row>
        <row r="557">
          <cell r="A557" t="str">
            <v>A602601</v>
          </cell>
          <cell r="B557" t="str">
            <v>HO contstr div Current A/c</v>
          </cell>
          <cell r="C557" t="str">
            <v>ASSET</v>
          </cell>
          <cell r="D557" t="str">
            <v>BALANCE SHEET</v>
          </cell>
          <cell r="E557">
            <v>0</v>
          </cell>
          <cell r="F557">
            <v>0</v>
          </cell>
          <cell r="G557" t="str">
            <v>CURRENT ASSETS, LOANS AND ADVANCES</v>
          </cell>
          <cell r="H557" t="str">
            <v>LOANS AND ADVANCES</v>
          </cell>
          <cell r="I557" t="str">
            <v>OTHER ADVANCES</v>
          </cell>
        </row>
        <row r="558">
          <cell r="A558" t="str">
            <v>A602701</v>
          </cell>
          <cell r="B558" t="str">
            <v>Intr-Project Bank Control A/C</v>
          </cell>
          <cell r="C558" t="str">
            <v>ASSET</v>
          </cell>
          <cell r="D558" t="str">
            <v>BALANCE SHEET</v>
          </cell>
          <cell r="E558">
            <v>0</v>
          </cell>
          <cell r="F558">
            <v>0</v>
          </cell>
          <cell r="G558" t="str">
            <v>CURRENT ASSETS, LOANS AND ADVANCES</v>
          </cell>
          <cell r="H558" t="str">
            <v>LOANS AND ADVANCES</v>
          </cell>
          <cell r="I558" t="str">
            <v>OTHER ADVANCES</v>
          </cell>
        </row>
        <row r="559">
          <cell r="A559" t="str">
            <v>A602702-000</v>
          </cell>
          <cell r="B559" t="str">
            <v>Inter Project Control A/C</v>
          </cell>
          <cell r="C559" t="str">
            <v>ASSET</v>
          </cell>
          <cell r="D559" t="str">
            <v>BALANCE SHEET</v>
          </cell>
          <cell r="E559">
            <v>0</v>
          </cell>
          <cell r="F559">
            <v>0</v>
          </cell>
          <cell r="G559" t="str">
            <v>CURRENT ASSETS, LOANS AND ADVANCES</v>
          </cell>
          <cell r="H559" t="str">
            <v>LOANS AND ADVANCES</v>
          </cell>
          <cell r="I559" t="str">
            <v>OTHER ADVANCES</v>
          </cell>
        </row>
        <row r="560">
          <cell r="A560" t="str">
            <v>A602702-001</v>
          </cell>
          <cell r="B560" t="str">
            <v>INTER COMPANY CONTROL A/C</v>
          </cell>
          <cell r="C560" t="str">
            <v>ASSET</v>
          </cell>
          <cell r="D560" t="str">
            <v>BALANCE SHEET</v>
          </cell>
          <cell r="E560">
            <v>0</v>
          </cell>
          <cell r="F560">
            <v>0</v>
          </cell>
          <cell r="G560" t="str">
            <v>CURRENT ASSETS, LOANS AND ADVANCES</v>
          </cell>
          <cell r="H560" t="str">
            <v>SUNDRY DEBTORS</v>
          </cell>
          <cell r="I560" t="str">
            <v>SUNDRY DEBTORS</v>
          </cell>
        </row>
        <row r="561">
          <cell r="A561" t="str">
            <v>A602702-002</v>
          </cell>
          <cell r="B561" t="str">
            <v>INTER PROJECT CONTROL A/C-MATERIAL</v>
          </cell>
          <cell r="C561" t="str">
            <v>ASSET</v>
          </cell>
          <cell r="D561" t="str">
            <v>BALANCE SHEET</v>
          </cell>
          <cell r="E561">
            <v>0</v>
          </cell>
          <cell r="F561">
            <v>0</v>
          </cell>
          <cell r="G561" t="str">
            <v>CURRENT ASSETS, LOANS AND ADVANCES</v>
          </cell>
          <cell r="H561" t="str">
            <v>SUNDRY DEBTORS</v>
          </cell>
          <cell r="I561" t="str">
            <v>SUNDRY DEBTORS</v>
          </cell>
        </row>
        <row r="562">
          <cell r="A562" t="str">
            <v>A602702-003</v>
          </cell>
          <cell r="B562" t="str">
            <v>PROJECT CONTROL A/C-DT Divison</v>
          </cell>
          <cell r="C562" t="str">
            <v>ASSET</v>
          </cell>
          <cell r="D562" t="str">
            <v>BALANCE SHEET</v>
          </cell>
          <cell r="E562">
            <v>0</v>
          </cell>
          <cell r="F562">
            <v>0</v>
          </cell>
          <cell r="G562" t="str">
            <v>CURRENT ASSETS, LOANS AND ADVANCES</v>
          </cell>
          <cell r="H562" t="str">
            <v>SUNDRY DEBTORS</v>
          </cell>
          <cell r="I562" t="str">
            <v>SUNDRY DEBTORS</v>
          </cell>
        </row>
        <row r="563">
          <cell r="A563" t="str">
            <v>A602702-004</v>
          </cell>
          <cell r="B563" t="str">
            <v>Project Control A/C-DLF New Ggn Cstr Div</v>
          </cell>
          <cell r="C563" t="str">
            <v>ASSET</v>
          </cell>
          <cell r="D563" t="str">
            <v>BALANCE SHEET</v>
          </cell>
          <cell r="E563">
            <v>0</v>
          </cell>
          <cell r="F563">
            <v>0</v>
          </cell>
          <cell r="G563" t="str">
            <v>CURRENT ASSETS, LOANS AND ADVANCES</v>
          </cell>
          <cell r="H563" t="str">
            <v>SUNDRY DEBTORS</v>
          </cell>
          <cell r="I563" t="str">
            <v>SUNDRY DEBTORS</v>
          </cell>
        </row>
        <row r="564">
          <cell r="A564" t="str">
            <v>A602702-005</v>
          </cell>
          <cell r="B564" t="str">
            <v>Pjt Cntr A/C-Chennai Branch &amp; Cnstr Div</v>
          </cell>
          <cell r="C564" t="str">
            <v>ASSET</v>
          </cell>
          <cell r="D564" t="str">
            <v>BALANCE SHEET</v>
          </cell>
          <cell r="E564">
            <v>0</v>
          </cell>
          <cell r="F564">
            <v>0</v>
          </cell>
          <cell r="G564" t="str">
            <v>CURRENT ASSETS, LOANS AND ADVANCES</v>
          </cell>
          <cell r="H564" t="str">
            <v>SUNDRY DEBTORS</v>
          </cell>
          <cell r="I564" t="str">
            <v>SUNDRY DEBTORS</v>
          </cell>
        </row>
        <row r="565">
          <cell r="A565" t="str">
            <v>A602702-006</v>
          </cell>
          <cell r="B565" t="str">
            <v>Inter Project Cntrl A/c-Nilgri Power Div</v>
          </cell>
          <cell r="C565" t="str">
            <v>ASSET</v>
          </cell>
          <cell r="D565" t="str">
            <v>BALANCE SHEET</v>
          </cell>
          <cell r="E565">
            <v>0</v>
          </cell>
          <cell r="F565">
            <v>0</v>
          </cell>
          <cell r="G565" t="str">
            <v>CURRENT ASSETS, LOANS AND ADVANCES</v>
          </cell>
          <cell r="H565" t="str">
            <v>SUNDRY DEBTORS</v>
          </cell>
          <cell r="I565" t="str">
            <v>SUNDRY DEBTORS</v>
          </cell>
        </row>
        <row r="566">
          <cell r="A566" t="str">
            <v>A602801</v>
          </cell>
          <cell r="B566" t="str">
            <v>Transfer To Corporate Park</v>
          </cell>
          <cell r="C566" t="str">
            <v>ASSET</v>
          </cell>
          <cell r="D566" t="str">
            <v>BALANCE SHEET</v>
          </cell>
          <cell r="E566">
            <v>0</v>
          </cell>
          <cell r="F566">
            <v>0</v>
          </cell>
          <cell r="G566" t="str">
            <v>CURRENT ASSETS, LOANS AND ADVANCES</v>
          </cell>
          <cell r="H566" t="str">
            <v>LOANS AND ADVANCES</v>
          </cell>
          <cell r="I566" t="str">
            <v>OTHER ADVANCES</v>
          </cell>
        </row>
        <row r="567">
          <cell r="A567" t="str">
            <v>A602802</v>
          </cell>
          <cell r="B567" t="str">
            <v>Transfer To Plaza Tower</v>
          </cell>
          <cell r="C567" t="str">
            <v>ASSET</v>
          </cell>
          <cell r="D567" t="str">
            <v>BALANCE SHEET</v>
          </cell>
          <cell r="E567">
            <v>0</v>
          </cell>
          <cell r="F567">
            <v>0</v>
          </cell>
          <cell r="G567" t="str">
            <v>CURRENT ASSETS, LOANS AND ADVANCES</v>
          </cell>
          <cell r="H567" t="str">
            <v>LOANS AND ADVANCES</v>
          </cell>
          <cell r="I567" t="str">
            <v>OTHER ADVANCES</v>
          </cell>
        </row>
        <row r="568">
          <cell r="A568" t="str">
            <v>A602803</v>
          </cell>
          <cell r="B568" t="str">
            <v>Transfer To Gateway Tower</v>
          </cell>
          <cell r="C568" t="str">
            <v>ASSET</v>
          </cell>
          <cell r="D568" t="str">
            <v>BALANCE SHEET</v>
          </cell>
          <cell r="E568">
            <v>0</v>
          </cell>
          <cell r="F568">
            <v>0</v>
          </cell>
          <cell r="G568" t="str">
            <v>CURRENT ASSETS, LOANS AND ADVANCES</v>
          </cell>
          <cell r="H568" t="str">
            <v>LOANS AND ADVANCES</v>
          </cell>
          <cell r="I568" t="str">
            <v>OTHER ADVANCES</v>
          </cell>
        </row>
        <row r="569">
          <cell r="A569" t="str">
            <v>A602804</v>
          </cell>
          <cell r="B569" t="str">
            <v>Transfer To Dlf Square</v>
          </cell>
          <cell r="C569" t="str">
            <v>ASSET</v>
          </cell>
          <cell r="D569" t="str">
            <v>BALANCE SHEET</v>
          </cell>
          <cell r="E569">
            <v>0</v>
          </cell>
          <cell r="F569">
            <v>0</v>
          </cell>
          <cell r="G569" t="str">
            <v>CURRENT ASSETS, LOANS AND ADVANCES</v>
          </cell>
          <cell r="H569" t="str">
            <v>LOANS AND ADVANCES</v>
          </cell>
          <cell r="I569" t="str">
            <v>OTHER ADVANCES</v>
          </cell>
        </row>
        <row r="570">
          <cell r="A570" t="str">
            <v>A602805</v>
          </cell>
          <cell r="B570" t="str">
            <v>Transfer To Other Buildings</v>
          </cell>
          <cell r="C570" t="str">
            <v>ASSET</v>
          </cell>
          <cell r="D570" t="str">
            <v>BALANCE SHEET</v>
          </cell>
          <cell r="E570">
            <v>0</v>
          </cell>
          <cell r="F570">
            <v>0</v>
          </cell>
          <cell r="G570" t="str">
            <v>CURRENT ASSETS, LOANS AND ADVANCES</v>
          </cell>
          <cell r="H570" t="str">
            <v>LOANS AND ADVANCES</v>
          </cell>
          <cell r="I570" t="str">
            <v>OTHER ADVANCES</v>
          </cell>
        </row>
        <row r="571">
          <cell r="A571" t="str">
            <v>A603001</v>
          </cell>
          <cell r="B571" t="str">
            <v>Advance Tax-UPST</v>
          </cell>
          <cell r="C571" t="str">
            <v>ASSET</v>
          </cell>
          <cell r="D571" t="str">
            <v>BALANCE SHEET</v>
          </cell>
          <cell r="E571">
            <v>0</v>
          </cell>
          <cell r="F571">
            <v>0</v>
          </cell>
          <cell r="G571" t="str">
            <v>CURRENT ASSETS, LOANS AND ADVANCES</v>
          </cell>
          <cell r="H571" t="str">
            <v>LOANS AND ADVANCES</v>
          </cell>
          <cell r="I571" t="str">
            <v>OTHER ADVANCES</v>
          </cell>
        </row>
        <row r="572">
          <cell r="A572" t="str">
            <v>A603002</v>
          </cell>
          <cell r="B572" t="str">
            <v>Advance Tax-HST</v>
          </cell>
          <cell r="C572" t="str">
            <v>ASSET</v>
          </cell>
          <cell r="D572" t="str">
            <v>BALANCE SHEET</v>
          </cell>
          <cell r="E572">
            <v>0</v>
          </cell>
          <cell r="F572">
            <v>0</v>
          </cell>
          <cell r="G572" t="str">
            <v>CURRENT ASSETS, LOANS AND ADVANCES</v>
          </cell>
          <cell r="H572" t="str">
            <v>LOANS AND ADVANCES</v>
          </cell>
          <cell r="I572" t="str">
            <v>OTHER ADVANCES</v>
          </cell>
        </row>
        <row r="573">
          <cell r="A573" t="str">
            <v>A603003</v>
          </cell>
          <cell r="B573" t="str">
            <v>Advance Tax - Local Area Dev. Tax</v>
          </cell>
          <cell r="C573" t="str">
            <v>ASSET</v>
          </cell>
          <cell r="D573" t="str">
            <v>BALANCE SHEET</v>
          </cell>
          <cell r="E573">
            <v>0</v>
          </cell>
          <cell r="F573">
            <v>0</v>
          </cell>
          <cell r="G573" t="str">
            <v>CURRENT ASSETS, LOANS AND ADVANCES</v>
          </cell>
          <cell r="H573" t="str">
            <v>LOANS AND ADVANCES</v>
          </cell>
          <cell r="I573" t="str">
            <v>OTHER ADVANCES</v>
          </cell>
        </row>
        <row r="574">
          <cell r="A574" t="str">
            <v>A603004</v>
          </cell>
          <cell r="B574" t="str">
            <v>Advance Tax-Karnataka</v>
          </cell>
          <cell r="C574" t="str">
            <v>ASSET</v>
          </cell>
          <cell r="D574" t="str">
            <v>BALANCE SHEET</v>
          </cell>
          <cell r="E574">
            <v>0</v>
          </cell>
          <cell r="F574">
            <v>0</v>
          </cell>
          <cell r="G574" t="str">
            <v>CURRENT ASSETS, LOANS AND ADVANCES</v>
          </cell>
          <cell r="H574" t="str">
            <v>LOANS AND ADVANCES</v>
          </cell>
          <cell r="I574" t="str">
            <v>OTHER ADVANCES</v>
          </cell>
        </row>
        <row r="575">
          <cell r="A575" t="str">
            <v>A603005</v>
          </cell>
          <cell r="B575" t="str">
            <v>Sales Tax Recoverable</v>
          </cell>
          <cell r="C575" t="str">
            <v>ASSET</v>
          </cell>
          <cell r="D575" t="str">
            <v>BALANCE SHEET</v>
          </cell>
          <cell r="E575">
            <v>0</v>
          </cell>
          <cell r="F575">
            <v>0</v>
          </cell>
          <cell r="G575" t="str">
            <v>CURRENT ASSETS, LOANS AND ADVANCES</v>
          </cell>
          <cell r="H575" t="str">
            <v>LOANS AND ADVANCES</v>
          </cell>
          <cell r="I575" t="str">
            <v>OTHER ADVANCES</v>
          </cell>
        </row>
        <row r="576">
          <cell r="A576" t="str">
            <v>A603006</v>
          </cell>
          <cell r="B576" t="str">
            <v>Advance Tax-Others</v>
          </cell>
          <cell r="C576" t="str">
            <v>ASSET</v>
          </cell>
          <cell r="D576" t="str">
            <v>BALANCE SHEET</v>
          </cell>
          <cell r="E576">
            <v>0</v>
          </cell>
          <cell r="F576">
            <v>0</v>
          </cell>
          <cell r="G576" t="str">
            <v>CURRENT ASSETS, LOANS AND ADVANCES</v>
          </cell>
          <cell r="H576" t="str">
            <v>LOANS AND ADVANCES</v>
          </cell>
          <cell r="I576" t="str">
            <v>OTHER ADVANCES</v>
          </cell>
        </row>
        <row r="577">
          <cell r="A577" t="str">
            <v>A603007</v>
          </cell>
          <cell r="B577" t="str">
            <v>Entertainment Tax Paid in Advance</v>
          </cell>
          <cell r="C577" t="str">
            <v>ASSET</v>
          </cell>
          <cell r="D577" t="str">
            <v>BALANCE SHEET</v>
          </cell>
          <cell r="E577">
            <v>0</v>
          </cell>
          <cell r="F577">
            <v>0</v>
          </cell>
          <cell r="G577" t="str">
            <v>CURRENT ASSETS, LOANS AND ADVANCES</v>
          </cell>
          <cell r="H577" t="str">
            <v>LOANS AND ADVANCES</v>
          </cell>
          <cell r="I577" t="str">
            <v>OTHER ADVANCES</v>
          </cell>
        </row>
        <row r="578">
          <cell r="A578" t="str">
            <v>A603008</v>
          </cell>
          <cell r="B578" t="str">
            <v>Advance E.Tax (Pending Approval)</v>
          </cell>
          <cell r="C578" t="str">
            <v>ASSET</v>
          </cell>
          <cell r="D578" t="str">
            <v>BALANCE SHEET</v>
          </cell>
          <cell r="E578">
            <v>0</v>
          </cell>
          <cell r="F578">
            <v>0</v>
          </cell>
          <cell r="G578" t="str">
            <v>CURRENT ASSETS, LOANS AND ADVANCES</v>
          </cell>
          <cell r="H578" t="str">
            <v>LOANS AND ADVANCES</v>
          </cell>
          <cell r="I578" t="str">
            <v>OTHER ADVANCES</v>
          </cell>
        </row>
        <row r="579">
          <cell r="A579" t="str">
            <v>A603100</v>
          </cell>
          <cell r="B579" t="str">
            <v>Advance FBT</v>
          </cell>
          <cell r="C579" t="str">
            <v>ASSET</v>
          </cell>
          <cell r="D579" t="str">
            <v>BALANCE SHEET</v>
          </cell>
          <cell r="E579">
            <v>0</v>
          </cell>
          <cell r="F579">
            <v>0</v>
          </cell>
          <cell r="G579" t="str">
            <v>CURRENT ASSETS, LOANS AND ADVANCES</v>
          </cell>
          <cell r="H579" t="str">
            <v>LOANS AND ADVANCES</v>
          </cell>
          <cell r="I579" t="str">
            <v>OTHER ADVANCES</v>
          </cell>
        </row>
        <row r="580">
          <cell r="A580" t="str">
            <v>A604001</v>
          </cell>
          <cell r="B580" t="str">
            <v>Deposits / Bal. with Govt. Authorities</v>
          </cell>
          <cell r="C580" t="str">
            <v>ASSET</v>
          </cell>
          <cell r="D580" t="str">
            <v>BALANCE SHEET</v>
          </cell>
          <cell r="E580">
            <v>0</v>
          </cell>
          <cell r="F580">
            <v>0</v>
          </cell>
          <cell r="G580" t="str">
            <v>CURRENT ASSETS, LOANS AND ADVANCES</v>
          </cell>
          <cell r="H580" t="str">
            <v>LOANS AND ADVANCES</v>
          </cell>
          <cell r="I580" t="str">
            <v>SECURITY DEPOSITS (ASSETS)</v>
          </cell>
        </row>
        <row r="581">
          <cell r="A581" t="str">
            <v>A604002</v>
          </cell>
          <cell r="B581" t="str">
            <v>Security Paid Ledger Control</v>
          </cell>
          <cell r="C581" t="str">
            <v>ASSET</v>
          </cell>
          <cell r="D581" t="str">
            <v>BALANCE SHEET</v>
          </cell>
          <cell r="E581">
            <v>0</v>
          </cell>
          <cell r="F581">
            <v>0</v>
          </cell>
          <cell r="G581" t="str">
            <v>CURRENT ASSETS, LOANS AND ADVANCES</v>
          </cell>
          <cell r="H581" t="str">
            <v>LOANS AND ADVANCES</v>
          </cell>
          <cell r="I581" t="str">
            <v>SECURITY DEPOSITS (ASSETS)</v>
          </cell>
        </row>
        <row r="582">
          <cell r="A582" t="str">
            <v>A604003</v>
          </cell>
          <cell r="B582" t="str">
            <v>Security Paid Ledger Control-HSEB</v>
          </cell>
          <cell r="C582" t="str">
            <v>ASSET</v>
          </cell>
          <cell r="D582" t="str">
            <v>BALANCE SHEET</v>
          </cell>
          <cell r="E582">
            <v>0</v>
          </cell>
          <cell r="F582">
            <v>0</v>
          </cell>
          <cell r="G582" t="str">
            <v>CURRENT ASSETS, LOANS AND ADVANCES</v>
          </cell>
          <cell r="H582" t="str">
            <v>LOANS AND ADVANCES</v>
          </cell>
          <cell r="I582" t="str">
            <v>SECURITY DEPOSITS (ASSETS)</v>
          </cell>
        </row>
        <row r="583">
          <cell r="A583" t="str">
            <v>A604004</v>
          </cell>
          <cell r="B583" t="str">
            <v>Security - Lease Rent</v>
          </cell>
          <cell r="C583" t="str">
            <v>ASSET</v>
          </cell>
          <cell r="D583" t="str">
            <v>BALANCE SHEET</v>
          </cell>
          <cell r="E583">
            <v>0</v>
          </cell>
          <cell r="F583">
            <v>0</v>
          </cell>
          <cell r="G583" t="str">
            <v>CURRENT ASSETS, LOANS AND ADVANCES</v>
          </cell>
          <cell r="H583" t="str">
            <v>LOANS AND ADVANCES</v>
          </cell>
          <cell r="I583" t="str">
            <v>SECURITY DEPOSITS (ASSETS)</v>
          </cell>
        </row>
        <row r="584">
          <cell r="A584" t="str">
            <v>A604005</v>
          </cell>
          <cell r="B584" t="str">
            <v>Community Centre-Security</v>
          </cell>
          <cell r="C584" t="str">
            <v>ASSET</v>
          </cell>
          <cell r="D584" t="str">
            <v>BALANCE SHEET</v>
          </cell>
          <cell r="E584">
            <v>0</v>
          </cell>
          <cell r="F584">
            <v>0</v>
          </cell>
          <cell r="G584" t="str">
            <v>CURRENT ASSETS, LOANS AND ADVANCES</v>
          </cell>
          <cell r="H584" t="str">
            <v>LOANS AND ADVANCES</v>
          </cell>
          <cell r="I584" t="str">
            <v>SECURITY DEPOSITS (ASSETS)</v>
          </cell>
        </row>
        <row r="585">
          <cell r="A585" t="str">
            <v>A604006</v>
          </cell>
          <cell r="B585" t="str">
            <v>Security Deposit Refundable</v>
          </cell>
          <cell r="C585" t="str">
            <v>ASSET</v>
          </cell>
          <cell r="D585" t="str">
            <v>BALANCE SHEET</v>
          </cell>
          <cell r="E585">
            <v>0</v>
          </cell>
          <cell r="F585">
            <v>0</v>
          </cell>
          <cell r="G585" t="str">
            <v>CURRENT ASSETS, LOANS AND ADVANCES</v>
          </cell>
          <cell r="H585" t="str">
            <v>LOANS AND ADVANCES</v>
          </cell>
          <cell r="I585" t="str">
            <v>SECURITY DEPOSITS (ASSETS)</v>
          </cell>
        </row>
        <row r="586">
          <cell r="A586" t="str">
            <v>A604007</v>
          </cell>
          <cell r="B586" t="str">
            <v>SECURITY PAID-EMPLOYEE'S RESIDENCE</v>
          </cell>
          <cell r="C586" t="str">
            <v>ASSET</v>
          </cell>
          <cell r="D586" t="str">
            <v>BALANCE SHEET</v>
          </cell>
          <cell r="E586">
            <v>0</v>
          </cell>
          <cell r="F586">
            <v>0</v>
          </cell>
          <cell r="G586" t="str">
            <v>CURRENT ASSETS, LOANS AND ADVANCES</v>
          </cell>
          <cell r="H586" t="str">
            <v>LOANS AND ADVANCES</v>
          </cell>
          <cell r="I586" t="str">
            <v>SECURITY DEPOSITS (ASSETS)</v>
          </cell>
        </row>
        <row r="587">
          <cell r="A587" t="str">
            <v>A604008</v>
          </cell>
          <cell r="B587" t="str">
            <v>SECURITYPAID-OFFICE</v>
          </cell>
          <cell r="C587" t="str">
            <v>ASSET</v>
          </cell>
          <cell r="D587" t="str">
            <v>BALANCE SHEET</v>
          </cell>
          <cell r="E587">
            <v>0</v>
          </cell>
          <cell r="F587">
            <v>0</v>
          </cell>
          <cell r="G587" t="str">
            <v>CURRENT ASSETS, LOANS AND ADVANCES</v>
          </cell>
          <cell r="H587" t="str">
            <v>LOANS AND ADVANCES</v>
          </cell>
          <cell r="I587" t="str">
            <v>SECURITY DEPOSITS (ASSETS)</v>
          </cell>
        </row>
        <row r="588">
          <cell r="A588" t="str">
            <v>A604009</v>
          </cell>
          <cell r="B588" t="str">
            <v>SECURITY PAID-VEHICLES</v>
          </cell>
          <cell r="C588" t="str">
            <v>ASSET</v>
          </cell>
          <cell r="D588" t="str">
            <v>BALANCE SHEET</v>
          </cell>
          <cell r="E588">
            <v>0</v>
          </cell>
          <cell r="F588">
            <v>0</v>
          </cell>
          <cell r="G588" t="str">
            <v>CURRENT ASSETS, LOANS AND ADVANCES</v>
          </cell>
          <cell r="H588" t="str">
            <v>LOANS AND ADVANCES</v>
          </cell>
          <cell r="I588" t="str">
            <v>SECURITY DEPOSITS (ASSETS)</v>
          </cell>
        </row>
        <row r="589">
          <cell r="A589" t="str">
            <v>A604010</v>
          </cell>
          <cell r="B589" t="str">
            <v>SECURITY PAID-OTHERS</v>
          </cell>
          <cell r="C589" t="str">
            <v>ASSET</v>
          </cell>
          <cell r="D589" t="str">
            <v>BALANCE SHEET</v>
          </cell>
          <cell r="E589">
            <v>0</v>
          </cell>
          <cell r="F589">
            <v>0</v>
          </cell>
          <cell r="G589" t="str">
            <v>CURRENT ASSETS, LOANS AND ADVANCES</v>
          </cell>
          <cell r="H589" t="str">
            <v>LOANS AND ADVANCES</v>
          </cell>
          <cell r="I589" t="str">
            <v>SECURITY DEPOSITS (ASSETS)</v>
          </cell>
        </row>
        <row r="590">
          <cell r="A590" t="str">
            <v>A604011</v>
          </cell>
          <cell r="B590" t="str">
            <v>Security Deposit (Suppliers)</v>
          </cell>
          <cell r="C590" t="str">
            <v>ASSET</v>
          </cell>
          <cell r="D590" t="str">
            <v>BALANCE SHEET</v>
          </cell>
          <cell r="E590" t="str">
            <v>SUPPLIER DEPOSIT A/C</v>
          </cell>
          <cell r="F590">
            <v>0</v>
          </cell>
          <cell r="G590" t="str">
            <v>CURRENT ASSETS, LOANS AND ADVANCES</v>
          </cell>
          <cell r="H590" t="str">
            <v>LOANS AND ADVANCES</v>
          </cell>
          <cell r="I590" t="str">
            <v>SECURITY DEPOSITS (ASSETS)</v>
          </cell>
        </row>
        <row r="591">
          <cell r="A591" t="str">
            <v>A604012</v>
          </cell>
          <cell r="B591" t="str">
            <v>SECURITY DEPOSIT - SUPP</v>
          </cell>
          <cell r="C591" t="str">
            <v>ASSET</v>
          </cell>
          <cell r="D591" t="str">
            <v>BALANCE SHEET</v>
          </cell>
          <cell r="E591">
            <v>0</v>
          </cell>
          <cell r="F591">
            <v>0</v>
          </cell>
          <cell r="G591" t="str">
            <v>CURRENT ASSETS, LOANS AND ADVANCES</v>
          </cell>
          <cell r="H591" t="str">
            <v>LOANS AND ADVANCES</v>
          </cell>
          <cell r="I591" t="str">
            <v>SECURITY DEPOSITS (ASSETS)</v>
          </cell>
        </row>
        <row r="592">
          <cell r="A592" t="str">
            <v>A604013</v>
          </cell>
          <cell r="B592" t="str">
            <v>Security Deposit-Water</v>
          </cell>
          <cell r="C592" t="str">
            <v>ASSET</v>
          </cell>
          <cell r="D592" t="str">
            <v>BALANCE SHEET</v>
          </cell>
          <cell r="E592">
            <v>0</v>
          </cell>
          <cell r="F592">
            <v>0</v>
          </cell>
          <cell r="G592" t="str">
            <v>CURRENT ASSETS, LOANS AND ADVANCES</v>
          </cell>
          <cell r="H592" t="str">
            <v>LOANS AND ADVANCES</v>
          </cell>
          <cell r="I592" t="str">
            <v>SECURITY DEPOSITS (ASSETS)</v>
          </cell>
        </row>
        <row r="593">
          <cell r="A593" t="str">
            <v>A604014</v>
          </cell>
          <cell r="B593" t="str">
            <v>Security Deposit-Sewer</v>
          </cell>
          <cell r="C593" t="str">
            <v>ASSET</v>
          </cell>
          <cell r="D593" t="str">
            <v>BALANCE SHEET</v>
          </cell>
          <cell r="E593">
            <v>0</v>
          </cell>
          <cell r="F593">
            <v>0</v>
          </cell>
          <cell r="G593" t="str">
            <v>CURRENT ASSETS, LOANS AND ADVANCES</v>
          </cell>
          <cell r="H593" t="str">
            <v>LOANS AND ADVANCES</v>
          </cell>
          <cell r="I593" t="str">
            <v>SECURITY DEPOSITS (ASSETS)</v>
          </cell>
        </row>
        <row r="594">
          <cell r="A594" t="str">
            <v>A604015</v>
          </cell>
          <cell r="B594" t="str">
            <v>Advance Rent Deposit</v>
          </cell>
          <cell r="C594" t="str">
            <v>ASSET</v>
          </cell>
          <cell r="D594" t="str">
            <v>BALANCE SHEET</v>
          </cell>
          <cell r="E594">
            <v>0</v>
          </cell>
          <cell r="F594">
            <v>0</v>
          </cell>
          <cell r="G594" t="str">
            <v>CURRENT ASSETS, LOANS AND ADVANCES</v>
          </cell>
          <cell r="H594" t="str">
            <v>LOANS AND ADVANCES</v>
          </cell>
          <cell r="I594" t="str">
            <v>SECURITY DEPOSITS (ASSETS)</v>
          </cell>
        </row>
        <row r="595">
          <cell r="A595" t="str">
            <v>A604016</v>
          </cell>
          <cell r="B595" t="str">
            <v>Security Deposit- E.Tax</v>
          </cell>
          <cell r="C595" t="str">
            <v>ASSET</v>
          </cell>
          <cell r="D595" t="str">
            <v>BALANCE SHEET</v>
          </cell>
          <cell r="E595">
            <v>0</v>
          </cell>
          <cell r="F595">
            <v>0</v>
          </cell>
          <cell r="G595" t="str">
            <v>CURRENT ASSETS, LOANS AND ADVANCES</v>
          </cell>
          <cell r="H595" t="str">
            <v>LOANS AND ADVANCES</v>
          </cell>
          <cell r="I595" t="str">
            <v>SECURITY DEPOSITS (ASSETS)</v>
          </cell>
        </row>
        <row r="596">
          <cell r="A596" t="str">
            <v>A604017</v>
          </cell>
          <cell r="B596" t="str">
            <v>Security Deposit- Lease Rent</v>
          </cell>
          <cell r="C596" t="str">
            <v>ASSET</v>
          </cell>
          <cell r="D596" t="str">
            <v>BALANCE SHEET</v>
          </cell>
          <cell r="E596" t="str">
            <v>SUPPLIER DEPOSIT A/C</v>
          </cell>
          <cell r="F596">
            <v>0</v>
          </cell>
          <cell r="G596" t="str">
            <v>CURRENT ASSETS, LOANS AND ADVANCES</v>
          </cell>
          <cell r="H596" t="str">
            <v>LOANS AND ADVANCES</v>
          </cell>
          <cell r="I596" t="str">
            <v>SECURITY DEPOSITS (ASSETS)</v>
          </cell>
        </row>
        <row r="597">
          <cell r="A597" t="str">
            <v>A604018</v>
          </cell>
          <cell r="B597" t="str">
            <v>Advance Rent Deposit (Supplier)</v>
          </cell>
          <cell r="C597" t="str">
            <v>ASSET</v>
          </cell>
          <cell r="D597" t="str">
            <v>BALANCE SHEET</v>
          </cell>
          <cell r="E597" t="str">
            <v>SUPPLIER PREPAYMENT A/C</v>
          </cell>
          <cell r="F597">
            <v>0</v>
          </cell>
          <cell r="G597" t="str">
            <v>CURRENT ASSETS, LOANS AND ADVANCES</v>
          </cell>
          <cell r="H597" t="str">
            <v>LOANS AND ADVANCES</v>
          </cell>
          <cell r="I597" t="str">
            <v>SECURITY DEPOSITS (ASSETS)</v>
          </cell>
        </row>
        <row r="598">
          <cell r="A598" t="str">
            <v>A605001</v>
          </cell>
          <cell r="B598" t="str">
            <v>Income Tax Paid</v>
          </cell>
          <cell r="C598" t="str">
            <v>ASSET</v>
          </cell>
          <cell r="D598" t="str">
            <v>BALANCE SHEET</v>
          </cell>
          <cell r="E598" t="str">
            <v>TDSRECEIVABLE</v>
          </cell>
          <cell r="F598">
            <v>0</v>
          </cell>
          <cell r="G598" t="str">
            <v>CURRENT ASSETS, LOANS AND ADVANCES</v>
          </cell>
          <cell r="H598" t="str">
            <v>LOANS AND ADVANCES</v>
          </cell>
          <cell r="I598" t="str">
            <v>ADVANCE INCOME TAX</v>
          </cell>
        </row>
        <row r="599">
          <cell r="A599" t="str">
            <v>A605002</v>
          </cell>
          <cell r="B599" t="str">
            <v>Income Tax Paid (TDS on Interest)</v>
          </cell>
          <cell r="C599" t="str">
            <v>ASSET</v>
          </cell>
          <cell r="D599" t="str">
            <v>BALANCE SHEET</v>
          </cell>
          <cell r="E599" t="str">
            <v>TDSRECEIVABLE</v>
          </cell>
          <cell r="F599">
            <v>0</v>
          </cell>
          <cell r="G599" t="str">
            <v>CURRENT ASSETS, LOANS AND ADVANCES</v>
          </cell>
          <cell r="H599" t="str">
            <v>LOANS AND ADVANCES</v>
          </cell>
          <cell r="I599" t="str">
            <v>ADVANCE INCOME TAX</v>
          </cell>
        </row>
        <row r="600">
          <cell r="A600" t="str">
            <v>A605003</v>
          </cell>
          <cell r="B600" t="str">
            <v>Income Tax Paid (TDS Rent Received)</v>
          </cell>
          <cell r="C600" t="str">
            <v>ASSET</v>
          </cell>
          <cell r="D600" t="str">
            <v>BALANCE SHEET</v>
          </cell>
          <cell r="E600" t="str">
            <v>TDSRECEIVABLE</v>
          </cell>
          <cell r="F600">
            <v>0</v>
          </cell>
          <cell r="G600" t="str">
            <v>CURRENT ASSETS, LOANS AND ADVANCES</v>
          </cell>
          <cell r="H600" t="str">
            <v>LOANS AND ADVANCES</v>
          </cell>
          <cell r="I600" t="str">
            <v>ADVANCE INCOME TAX</v>
          </cell>
        </row>
        <row r="601">
          <cell r="A601" t="str">
            <v>A605004</v>
          </cell>
          <cell r="B601" t="str">
            <v>Amount Recoverable from Income tax</v>
          </cell>
          <cell r="C601" t="str">
            <v>ASSET</v>
          </cell>
          <cell r="D601" t="str">
            <v>BALANCE SHEET</v>
          </cell>
          <cell r="E601">
            <v>0</v>
          </cell>
          <cell r="F601">
            <v>0</v>
          </cell>
          <cell r="G601" t="str">
            <v>CURRENT ASSETS, LOANS AND ADVANCES</v>
          </cell>
          <cell r="H601" t="str">
            <v>LOANS AND ADVANCES</v>
          </cell>
          <cell r="I601" t="str">
            <v>ADVANCE INCOME TAX</v>
          </cell>
        </row>
        <row r="602">
          <cell r="A602" t="str">
            <v>A605005</v>
          </cell>
          <cell r="B602" t="str">
            <v>I T Certificates Recoverable A\C</v>
          </cell>
          <cell r="C602" t="str">
            <v>ASSET</v>
          </cell>
          <cell r="D602" t="str">
            <v>BALANCE SHEET</v>
          </cell>
          <cell r="E602">
            <v>0</v>
          </cell>
          <cell r="F602">
            <v>0</v>
          </cell>
          <cell r="G602" t="str">
            <v>CURRENT ASSETS, LOANS AND ADVANCES</v>
          </cell>
          <cell r="H602" t="str">
            <v>LOANS AND ADVANCES</v>
          </cell>
          <cell r="I602" t="str">
            <v>ADVANCE INCOME TAX</v>
          </cell>
        </row>
        <row r="603">
          <cell r="A603" t="str">
            <v>A605006</v>
          </cell>
          <cell r="B603" t="str">
            <v>TDS Receivable on Interest</v>
          </cell>
          <cell r="C603" t="str">
            <v>ASSET</v>
          </cell>
          <cell r="D603" t="str">
            <v>BALANCE SHEET</v>
          </cell>
          <cell r="E603">
            <v>0</v>
          </cell>
          <cell r="F603">
            <v>0</v>
          </cell>
          <cell r="G603" t="str">
            <v>CURRENT ASSETS, LOANS AND ADVANCES</v>
          </cell>
          <cell r="H603" t="str">
            <v>LOANS AND ADVANCES</v>
          </cell>
          <cell r="I603" t="str">
            <v>ADVANCE INCOME TAX</v>
          </cell>
        </row>
        <row r="604">
          <cell r="A604" t="str">
            <v>A605007</v>
          </cell>
          <cell r="B604" t="str">
            <v>TDS INTEREST</v>
          </cell>
          <cell r="C604" t="str">
            <v>ASSET</v>
          </cell>
          <cell r="D604" t="str">
            <v>BALANCE SHEET</v>
          </cell>
          <cell r="E604">
            <v>0</v>
          </cell>
          <cell r="F604">
            <v>0</v>
          </cell>
          <cell r="G604" t="str">
            <v>CURRENT ASSETS, LOANS AND ADVANCES</v>
          </cell>
          <cell r="H604" t="str">
            <v>LOANS AND ADVANCES</v>
          </cell>
          <cell r="I604" t="str">
            <v>ADVANCE INCOME TAX</v>
          </cell>
        </row>
        <row r="605">
          <cell r="A605" t="str">
            <v>A605008</v>
          </cell>
          <cell r="B605" t="str">
            <v>Income Tax Paid as Contract</v>
          </cell>
          <cell r="C605" t="str">
            <v>ASSET</v>
          </cell>
          <cell r="D605" t="str">
            <v>BALANCE SHEET</v>
          </cell>
          <cell r="E605">
            <v>0</v>
          </cell>
          <cell r="F605">
            <v>0</v>
          </cell>
          <cell r="G605" t="str">
            <v>CURRENT ASSETS, LOANS AND ADVANCES</v>
          </cell>
          <cell r="H605" t="str">
            <v>LOANS AND ADVANCES</v>
          </cell>
          <cell r="I605" t="str">
            <v>ADVANCE INCOME TAX</v>
          </cell>
        </row>
        <row r="606">
          <cell r="A606" t="str">
            <v>A605009</v>
          </cell>
          <cell r="B606" t="str">
            <v>Advance Income Tax</v>
          </cell>
          <cell r="C606" t="str">
            <v>ASSET</v>
          </cell>
          <cell r="D606" t="str">
            <v>BALANCE SHEET</v>
          </cell>
          <cell r="E606">
            <v>0</v>
          </cell>
          <cell r="F606">
            <v>0</v>
          </cell>
          <cell r="G606" t="str">
            <v>CURRENT ASSETS, LOANS AND ADVANCES</v>
          </cell>
          <cell r="H606" t="str">
            <v>LOANS AND ADVANCES</v>
          </cell>
          <cell r="I606" t="str">
            <v>ADVANCE INCOME TAX</v>
          </cell>
        </row>
        <row r="607">
          <cell r="A607" t="str">
            <v>A605010</v>
          </cell>
          <cell r="B607" t="str">
            <v>TDS Recoverable</v>
          </cell>
          <cell r="C607" t="str">
            <v>ASSET</v>
          </cell>
          <cell r="D607" t="str">
            <v>BALANCE SHEET</v>
          </cell>
          <cell r="E607">
            <v>0</v>
          </cell>
          <cell r="F607">
            <v>0</v>
          </cell>
          <cell r="G607" t="str">
            <v>CURRENT ASSETS, LOANS AND ADVANCES</v>
          </cell>
          <cell r="H607" t="str">
            <v>LOANS AND ADVANCES</v>
          </cell>
          <cell r="I607" t="str">
            <v>ADVANCE INCOME TAX</v>
          </cell>
        </row>
        <row r="608">
          <cell r="A608" t="str">
            <v>A701001</v>
          </cell>
          <cell r="B608" t="str">
            <v>Cash in Hand</v>
          </cell>
          <cell r="C608" t="str">
            <v>ASSET</v>
          </cell>
          <cell r="D608" t="str">
            <v>BALANCE SHEET</v>
          </cell>
          <cell r="E608" t="str">
            <v>BANK CASH PTT A/C</v>
          </cell>
          <cell r="F608">
            <v>0</v>
          </cell>
          <cell r="G608" t="str">
            <v>CURRENT ASSETS, LOANS AND ADVANCES</v>
          </cell>
          <cell r="H608" t="str">
            <v>CASH AND BANK BALANCES</v>
          </cell>
          <cell r="I608" t="str">
            <v>CASH/CHEQUE IN HAND</v>
          </cell>
        </row>
        <row r="609">
          <cell r="A609" t="str">
            <v>A701002</v>
          </cell>
          <cell r="B609" t="str">
            <v>Foreign Currency in Hand</v>
          </cell>
          <cell r="C609" t="str">
            <v>ASSET</v>
          </cell>
          <cell r="D609" t="str">
            <v>BALANCE SHEET</v>
          </cell>
          <cell r="E609">
            <v>0</v>
          </cell>
          <cell r="F609">
            <v>0</v>
          </cell>
          <cell r="G609" t="str">
            <v>CURRENT ASSETS, LOANS AND ADVANCES</v>
          </cell>
          <cell r="H609" t="str">
            <v>CASH AND BANK BALANCES</v>
          </cell>
          <cell r="I609" t="str">
            <v>CASH/CHEQUE IN HAND</v>
          </cell>
        </row>
        <row r="610">
          <cell r="A610" t="str">
            <v>A701003</v>
          </cell>
          <cell r="B610" t="str">
            <v>Gold</v>
          </cell>
          <cell r="C610" t="str">
            <v>ASSET</v>
          </cell>
          <cell r="D610" t="str">
            <v>BALANCE SHEET</v>
          </cell>
          <cell r="E610">
            <v>0</v>
          </cell>
          <cell r="F610">
            <v>0</v>
          </cell>
          <cell r="G610" t="str">
            <v>CURRENT ASSETS, LOANS AND ADVANCES</v>
          </cell>
          <cell r="H610" t="str">
            <v>CASH AND BANK BALANCES</v>
          </cell>
          <cell r="I610" t="str">
            <v>CASH/CHEQUE IN HAND</v>
          </cell>
        </row>
        <row r="611">
          <cell r="A611" t="str">
            <v>A701004</v>
          </cell>
          <cell r="B611" t="str">
            <v>Cheques in hand</v>
          </cell>
          <cell r="C611" t="str">
            <v>ASSET</v>
          </cell>
          <cell r="D611" t="str">
            <v>BALANCE SHEET</v>
          </cell>
          <cell r="E611">
            <v>0</v>
          </cell>
          <cell r="F611">
            <v>0</v>
          </cell>
          <cell r="G611" t="str">
            <v>CURRENT ASSETS, LOANS AND ADVANCES</v>
          </cell>
          <cell r="H611" t="str">
            <v>CASH AND BANK BALANCES</v>
          </cell>
          <cell r="I611" t="str">
            <v>CASH/CHEQUE IN HAND</v>
          </cell>
        </row>
        <row r="612">
          <cell r="A612" t="str">
            <v>A701005</v>
          </cell>
          <cell r="B612" t="str">
            <v>Drafts In Hand</v>
          </cell>
          <cell r="C612" t="str">
            <v>ASSET</v>
          </cell>
          <cell r="D612" t="str">
            <v>BALANCE SHEET</v>
          </cell>
          <cell r="E612">
            <v>0</v>
          </cell>
          <cell r="F612">
            <v>0</v>
          </cell>
          <cell r="G612" t="str">
            <v>CURRENT ASSETS, LOANS AND ADVANCES</v>
          </cell>
          <cell r="H612" t="str">
            <v>CASH AND BANK BALANCES</v>
          </cell>
          <cell r="I612" t="str">
            <v>CASH/CHEQUE IN HAND</v>
          </cell>
        </row>
        <row r="613">
          <cell r="A613" t="str">
            <v>A701006</v>
          </cell>
          <cell r="B613" t="str">
            <v>Postage stamps in hand</v>
          </cell>
          <cell r="C613" t="str">
            <v>ASSET</v>
          </cell>
          <cell r="D613" t="str">
            <v>BALANCE SHEET</v>
          </cell>
          <cell r="E613">
            <v>0</v>
          </cell>
          <cell r="F613">
            <v>0</v>
          </cell>
          <cell r="G613" t="str">
            <v>CURRENT ASSETS, LOANS AND ADVANCES</v>
          </cell>
          <cell r="H613" t="str">
            <v>CASH AND BANK BALANCES</v>
          </cell>
          <cell r="I613" t="str">
            <v>CASH/CHEQUE IN HAND</v>
          </cell>
        </row>
        <row r="614">
          <cell r="A614" t="str">
            <v>A701007</v>
          </cell>
          <cell r="B614" t="str">
            <v>Franking Machine</v>
          </cell>
          <cell r="C614" t="str">
            <v>ASSET</v>
          </cell>
          <cell r="D614" t="str">
            <v>BALANCE SHEET</v>
          </cell>
          <cell r="E614">
            <v>0</v>
          </cell>
          <cell r="F614">
            <v>0</v>
          </cell>
          <cell r="G614" t="str">
            <v>CURRENT ASSETS, LOANS AND ADVANCES</v>
          </cell>
          <cell r="H614" t="str">
            <v>CASH AND BANK BALANCES</v>
          </cell>
          <cell r="I614" t="str">
            <v>CASH/CHEQUE IN HAND</v>
          </cell>
        </row>
        <row r="615">
          <cell r="A615" t="str">
            <v>A701008</v>
          </cell>
          <cell r="B615" t="str">
            <v>Contra To Bank/Cash</v>
          </cell>
          <cell r="C615" t="str">
            <v>ASSET</v>
          </cell>
          <cell r="D615" t="str">
            <v>BALANCE SHEET</v>
          </cell>
          <cell r="E615">
            <v>0</v>
          </cell>
          <cell r="F615">
            <v>0</v>
          </cell>
          <cell r="G615" t="str">
            <v>CURRENT ASSETS, LOANS AND ADVANCES</v>
          </cell>
          <cell r="H615" t="str">
            <v>CASH AND BANK BALANCES</v>
          </cell>
          <cell r="I615" t="str">
            <v>CASH/CHEQUE IN HAND</v>
          </cell>
        </row>
        <row r="616">
          <cell r="A616" t="str">
            <v>A702001</v>
          </cell>
          <cell r="B616" t="str">
            <v>Amex Bank CP</v>
          </cell>
          <cell r="C616" t="str">
            <v>ASSET</v>
          </cell>
          <cell r="D616" t="str">
            <v>BALANCE SHEET</v>
          </cell>
          <cell r="E616" t="str">
            <v>BANK CASH PTT A/C</v>
          </cell>
          <cell r="F616">
            <v>0</v>
          </cell>
          <cell r="G616" t="str">
            <v>CURRENT ASSETS, LOANS AND ADVANCES</v>
          </cell>
          <cell r="H616" t="str">
            <v>CASH AND BANK BALANCES</v>
          </cell>
          <cell r="I616" t="str">
            <v>BANK ACCOUNTS- CURRENT</v>
          </cell>
        </row>
        <row r="617">
          <cell r="A617" t="str">
            <v>A702002</v>
          </cell>
          <cell r="B617" t="str">
            <v>ABN AMRO Bank MG Road Gurgaon</v>
          </cell>
          <cell r="C617" t="str">
            <v>ASSET</v>
          </cell>
          <cell r="D617" t="str">
            <v>BALANCE SHEET</v>
          </cell>
          <cell r="E617" t="str">
            <v>BANK CASH PTT A/C</v>
          </cell>
          <cell r="F617">
            <v>0</v>
          </cell>
          <cell r="G617" t="str">
            <v>CURRENT ASSETS, LOANS AND ADVANCES</v>
          </cell>
          <cell r="H617" t="str">
            <v>CASH AND BANK BALANCES</v>
          </cell>
          <cell r="I617" t="str">
            <v>BANK ACCOUNTS- CURRENT</v>
          </cell>
        </row>
        <row r="618">
          <cell r="A618" t="str">
            <v>A702003</v>
          </cell>
          <cell r="B618" t="str">
            <v>ABN AMRO Bank Barakhamba Road</v>
          </cell>
          <cell r="C618" t="str">
            <v>ASSET</v>
          </cell>
          <cell r="D618" t="str">
            <v>BALANCE SHEET</v>
          </cell>
          <cell r="E618" t="str">
            <v>BANK CASH PTT A/C</v>
          </cell>
          <cell r="F618">
            <v>0</v>
          </cell>
          <cell r="G618" t="str">
            <v>CURRENT ASSETS, LOANS AND ADVANCES</v>
          </cell>
          <cell r="H618" t="str">
            <v>CASH AND BANK BALANCES</v>
          </cell>
          <cell r="I618" t="str">
            <v>BANK ACCOUNTS- CURRENT</v>
          </cell>
        </row>
        <row r="619">
          <cell r="A619" t="str">
            <v>A702004</v>
          </cell>
          <cell r="B619" t="str">
            <v>ABN Escro A/C Barakhamba Road</v>
          </cell>
          <cell r="C619" t="str">
            <v>ASSET</v>
          </cell>
          <cell r="D619" t="str">
            <v>BALANCE SHEET</v>
          </cell>
          <cell r="E619" t="str">
            <v>BANK CASH PTT A/C</v>
          </cell>
          <cell r="F619">
            <v>0</v>
          </cell>
          <cell r="G619" t="str">
            <v>CURRENT ASSETS, LOANS AND ADVANCES</v>
          </cell>
          <cell r="H619" t="str">
            <v>CASH AND BANK BALANCES</v>
          </cell>
          <cell r="I619" t="str">
            <v>BANK ACCOUNTS- CURRENT</v>
          </cell>
        </row>
        <row r="620">
          <cell r="A620" t="str">
            <v>A702005</v>
          </cell>
          <cell r="B620" t="str">
            <v>Allahbad Bank Barakhamba Road</v>
          </cell>
          <cell r="C620" t="str">
            <v>ASSET</v>
          </cell>
          <cell r="D620" t="str">
            <v>BALANCE SHEET</v>
          </cell>
          <cell r="E620" t="str">
            <v>BANK CASH PTT A/C</v>
          </cell>
          <cell r="F620">
            <v>0</v>
          </cell>
          <cell r="G620" t="str">
            <v>CURRENT ASSETS, LOANS AND ADVANCES</v>
          </cell>
          <cell r="H620" t="str">
            <v>CASH AND BANK BALANCES</v>
          </cell>
          <cell r="I620" t="str">
            <v>BANK ACCOUNTS- CURRENT</v>
          </cell>
        </row>
        <row r="621">
          <cell r="A621" t="str">
            <v>A702006</v>
          </cell>
          <cell r="B621" t="str">
            <v>Bank Of Baroda Parliament Street</v>
          </cell>
          <cell r="C621" t="str">
            <v>ASSET</v>
          </cell>
          <cell r="D621" t="str">
            <v>BALANCE SHEET</v>
          </cell>
          <cell r="E621" t="str">
            <v>BANK CASH PTT A/C</v>
          </cell>
          <cell r="F621">
            <v>0</v>
          </cell>
          <cell r="G621" t="str">
            <v>CURRENT ASSETS, LOANS AND ADVANCES</v>
          </cell>
          <cell r="H621" t="str">
            <v>CASH AND BANK BALANCES</v>
          </cell>
          <cell r="I621" t="str">
            <v>BANK ACCOUNTS- CURRENT</v>
          </cell>
        </row>
        <row r="622">
          <cell r="A622" t="str">
            <v>A702007</v>
          </cell>
          <cell r="B622" t="str">
            <v>Bank of Baroda Khan Market</v>
          </cell>
          <cell r="C622" t="str">
            <v>ASSET</v>
          </cell>
          <cell r="D622" t="str">
            <v>BALANCE SHEET</v>
          </cell>
          <cell r="E622" t="str">
            <v>BANK CASH PTT A/C</v>
          </cell>
          <cell r="F622">
            <v>0</v>
          </cell>
          <cell r="G622" t="str">
            <v>CURRENT ASSETS, LOANS AND ADVANCES</v>
          </cell>
          <cell r="H622" t="str">
            <v>CASH AND BANK BALANCES</v>
          </cell>
          <cell r="I622" t="str">
            <v>BANK ACCOUNTS- CURRENT</v>
          </cell>
        </row>
        <row r="623">
          <cell r="A623" t="str">
            <v>A702008</v>
          </cell>
          <cell r="B623" t="str">
            <v>Bharat Overseas Bank Shopping Mall Gurg.</v>
          </cell>
          <cell r="C623" t="str">
            <v>ASSET</v>
          </cell>
          <cell r="D623" t="str">
            <v>BALANCE SHEET</v>
          </cell>
          <cell r="E623" t="str">
            <v>BANK CASH PTT A/C</v>
          </cell>
          <cell r="F623">
            <v>0</v>
          </cell>
          <cell r="G623" t="str">
            <v>CURRENT ASSETS, LOANS AND ADVANCES</v>
          </cell>
          <cell r="H623" t="str">
            <v>CASH AND BANK BALANCES</v>
          </cell>
          <cell r="I623" t="str">
            <v>BANK ACCOUNTS- CURRENT</v>
          </cell>
        </row>
        <row r="624">
          <cell r="A624" t="str">
            <v>A702009</v>
          </cell>
          <cell r="B624" t="str">
            <v>Central Bank of India JeevanTara Parliam</v>
          </cell>
          <cell r="C624" t="str">
            <v>ASSET</v>
          </cell>
          <cell r="D624" t="str">
            <v>BALANCE SHEET</v>
          </cell>
          <cell r="E624" t="str">
            <v>BANK CASH PTT A/C</v>
          </cell>
          <cell r="F624">
            <v>0</v>
          </cell>
          <cell r="G624" t="str">
            <v>CURRENT ASSETS, LOANS AND ADVANCES</v>
          </cell>
          <cell r="H624" t="str">
            <v>CASH AND BANK BALANCES</v>
          </cell>
          <cell r="I624" t="str">
            <v>BANK ACCOUNTS- CURRENT</v>
          </cell>
        </row>
        <row r="625">
          <cell r="A625" t="str">
            <v>A702010</v>
          </cell>
          <cell r="B625" t="str">
            <v>Central Bank of India Silchar Assam</v>
          </cell>
          <cell r="C625" t="str">
            <v>ASSET</v>
          </cell>
          <cell r="D625" t="str">
            <v>BALANCE SHEET</v>
          </cell>
          <cell r="E625" t="str">
            <v>BANK CASH PTT A/C</v>
          </cell>
          <cell r="F625">
            <v>0</v>
          </cell>
          <cell r="G625" t="str">
            <v>CURRENT ASSETS, LOANS AND ADVANCES</v>
          </cell>
          <cell r="H625" t="str">
            <v>CASH AND BANK BALANCES</v>
          </cell>
          <cell r="I625" t="str">
            <v>BANK ACCOUNTS- CURRENT</v>
          </cell>
        </row>
        <row r="626">
          <cell r="A626" t="str">
            <v>A702011</v>
          </cell>
          <cell r="B626" t="str">
            <v>Central Bank of India Hazaribagh Bihar</v>
          </cell>
          <cell r="C626" t="str">
            <v>ASSET</v>
          </cell>
          <cell r="D626" t="str">
            <v>BALANCE SHEET</v>
          </cell>
          <cell r="E626" t="str">
            <v>BANK CASH PTT A/C</v>
          </cell>
          <cell r="F626">
            <v>0</v>
          </cell>
          <cell r="G626" t="str">
            <v>CURRENT ASSETS, LOANS AND ADVANCES</v>
          </cell>
          <cell r="H626" t="str">
            <v>CASH AND BANK BALANCES</v>
          </cell>
          <cell r="I626" t="str">
            <v>BANK ACCOUNTS- CURRENT</v>
          </cell>
        </row>
        <row r="627">
          <cell r="A627" t="str">
            <v>A702012</v>
          </cell>
          <cell r="B627" t="str">
            <v>Citi Bank Jeevan Bharti CP</v>
          </cell>
          <cell r="C627" t="str">
            <v>ASSET</v>
          </cell>
          <cell r="D627" t="str">
            <v>BALANCE SHEET</v>
          </cell>
          <cell r="E627" t="str">
            <v>BANK CASH PTT A/C</v>
          </cell>
          <cell r="F627">
            <v>0</v>
          </cell>
          <cell r="G627" t="str">
            <v>CURRENT ASSETS, LOANS AND ADVANCES</v>
          </cell>
          <cell r="H627" t="str">
            <v>CASH AND BANK BALANCES</v>
          </cell>
          <cell r="I627" t="str">
            <v>BANK ACCOUNTS- CURRENT</v>
          </cell>
        </row>
        <row r="628">
          <cell r="A628" t="str">
            <v>A702013</v>
          </cell>
          <cell r="B628" t="str">
            <v>Citi Bank DLF Square Gurgaon</v>
          </cell>
          <cell r="C628" t="str">
            <v>ASSET</v>
          </cell>
          <cell r="D628" t="str">
            <v>BALANCE SHEET</v>
          </cell>
          <cell r="E628" t="str">
            <v>BANK CASH PTT A/C</v>
          </cell>
          <cell r="F628">
            <v>0</v>
          </cell>
          <cell r="G628" t="str">
            <v>CURRENT ASSETS, LOANS AND ADVANCES</v>
          </cell>
          <cell r="H628" t="str">
            <v>CASH AND BANK BALANCES</v>
          </cell>
          <cell r="I628" t="str">
            <v>BANK ACCOUNTS- CURRENT</v>
          </cell>
        </row>
        <row r="629">
          <cell r="A629" t="str">
            <v>A702014</v>
          </cell>
          <cell r="B629" t="str">
            <v>Citi Bank Annasalai Chennai</v>
          </cell>
          <cell r="C629" t="str">
            <v>ASSET</v>
          </cell>
          <cell r="D629" t="str">
            <v>BALANCE SHEET</v>
          </cell>
          <cell r="E629" t="str">
            <v>BANK CASH PTT A/C</v>
          </cell>
          <cell r="F629">
            <v>0</v>
          </cell>
          <cell r="G629" t="str">
            <v>CURRENT ASSETS, LOANS AND ADVANCES</v>
          </cell>
          <cell r="H629" t="str">
            <v>CASH AND BANK BALANCES</v>
          </cell>
          <cell r="I629" t="str">
            <v>BANK ACCOUNTS- CURRENT</v>
          </cell>
        </row>
        <row r="630">
          <cell r="A630" t="str">
            <v>A702015</v>
          </cell>
          <cell r="B630" t="str">
            <v>Citi Bank custodian account CP</v>
          </cell>
          <cell r="C630" t="str">
            <v>ASSET</v>
          </cell>
          <cell r="D630" t="str">
            <v>BALANCE SHEET</v>
          </cell>
          <cell r="E630" t="str">
            <v>BANK CASH PTT A/C</v>
          </cell>
          <cell r="F630">
            <v>0</v>
          </cell>
          <cell r="G630" t="str">
            <v>CURRENT ASSETS, LOANS AND ADVANCES</v>
          </cell>
          <cell r="H630" t="str">
            <v>CASH AND BANK BALANCES</v>
          </cell>
          <cell r="I630" t="str">
            <v>BANK ACCOUNTS- CURRENT</v>
          </cell>
        </row>
        <row r="631">
          <cell r="A631" t="str">
            <v>A702016</v>
          </cell>
          <cell r="B631" t="str">
            <v>Citi Bank Jeevan Bharti CP</v>
          </cell>
          <cell r="C631" t="str">
            <v>ASSET</v>
          </cell>
          <cell r="D631" t="str">
            <v>BALANCE SHEET</v>
          </cell>
          <cell r="E631" t="str">
            <v>BANK CASH PTT A/C</v>
          </cell>
          <cell r="F631">
            <v>0</v>
          </cell>
          <cell r="G631" t="str">
            <v>CURRENT ASSETS, LOANS AND ADVANCES</v>
          </cell>
          <cell r="H631" t="str">
            <v>CASH AND BANK BALANCES</v>
          </cell>
          <cell r="I631" t="str">
            <v>BANK ACCOUNTS- CURRENT</v>
          </cell>
        </row>
        <row r="632">
          <cell r="A632" t="str">
            <v>A702017</v>
          </cell>
          <cell r="B632" t="str">
            <v>Citi Bank Jeevan Bharti CP</v>
          </cell>
          <cell r="C632" t="str">
            <v>ASSET</v>
          </cell>
          <cell r="D632" t="str">
            <v>BALANCE SHEET</v>
          </cell>
          <cell r="E632" t="str">
            <v>BANK CASH PTT A/C</v>
          </cell>
          <cell r="F632">
            <v>0</v>
          </cell>
          <cell r="G632" t="str">
            <v>CURRENT ASSETS, LOANS AND ADVANCES</v>
          </cell>
          <cell r="H632" t="str">
            <v>CASH AND BANK BALANCES</v>
          </cell>
          <cell r="I632" t="str">
            <v>BANK ACCOUNTS- CURRENT</v>
          </cell>
        </row>
        <row r="633">
          <cell r="A633" t="str">
            <v>A702018</v>
          </cell>
          <cell r="B633" t="str">
            <v>Citi Bank ESCRO Jeevan Bharti CP</v>
          </cell>
          <cell r="C633" t="str">
            <v>ASSET</v>
          </cell>
          <cell r="D633" t="str">
            <v>BALANCE SHEET</v>
          </cell>
          <cell r="E633" t="str">
            <v>BANK CASH PTT A/C</v>
          </cell>
          <cell r="F633">
            <v>0</v>
          </cell>
          <cell r="G633" t="str">
            <v>CURRENT ASSETS, LOANS AND ADVANCES</v>
          </cell>
          <cell r="H633" t="str">
            <v>CASH AND BANK BALANCES</v>
          </cell>
          <cell r="I633" t="str">
            <v>BANK ACCOUNTS- CURRENT</v>
          </cell>
        </row>
        <row r="634">
          <cell r="A634" t="str">
            <v>A702019</v>
          </cell>
          <cell r="B634" t="str">
            <v>Corporatio Bank Karol Bagh</v>
          </cell>
          <cell r="C634" t="str">
            <v>ASSET</v>
          </cell>
          <cell r="D634" t="str">
            <v>BALANCE SHEET</v>
          </cell>
          <cell r="E634" t="str">
            <v>BANK CASH PTT A/C</v>
          </cell>
          <cell r="F634">
            <v>0</v>
          </cell>
          <cell r="G634" t="str">
            <v>CURRENT ASSETS, LOANS AND ADVANCES</v>
          </cell>
          <cell r="H634" t="str">
            <v>CASH AND BANK BALANCES</v>
          </cell>
          <cell r="I634" t="str">
            <v>BANK ACCOUNTS- CURRENT</v>
          </cell>
        </row>
        <row r="635">
          <cell r="A635" t="str">
            <v>A702020</v>
          </cell>
          <cell r="B635" t="str">
            <v>Corporation Bank KG Marg</v>
          </cell>
          <cell r="C635" t="str">
            <v>ASSET</v>
          </cell>
          <cell r="D635" t="str">
            <v>BALANCE SHEET</v>
          </cell>
          <cell r="E635" t="str">
            <v>BANK CASH PTT A/C</v>
          </cell>
          <cell r="F635">
            <v>0</v>
          </cell>
          <cell r="G635" t="str">
            <v>CURRENT ASSETS, LOANS AND ADVANCES</v>
          </cell>
          <cell r="H635" t="str">
            <v>CASH AND BANK BALANCES</v>
          </cell>
          <cell r="I635" t="str">
            <v>BANK ACCOUNTS- CURRENT</v>
          </cell>
        </row>
        <row r="636">
          <cell r="A636" t="str">
            <v>A702021</v>
          </cell>
          <cell r="B636" t="str">
            <v>Corporation Bank Sec 14 Gurgaon</v>
          </cell>
          <cell r="C636" t="str">
            <v>ASSET</v>
          </cell>
          <cell r="D636" t="str">
            <v>BALANCE SHEET</v>
          </cell>
          <cell r="E636" t="str">
            <v>BANK CASH PTT A/C</v>
          </cell>
          <cell r="F636">
            <v>0</v>
          </cell>
          <cell r="G636" t="str">
            <v>CURRENT ASSETS, LOANS AND ADVANCES</v>
          </cell>
          <cell r="H636" t="str">
            <v>CASH AND BANK BALANCES</v>
          </cell>
          <cell r="I636" t="str">
            <v>BANK ACCOUNTS- CURRENT</v>
          </cell>
        </row>
        <row r="637">
          <cell r="A637" t="str">
            <v>A702022</v>
          </cell>
          <cell r="B637" t="str">
            <v>Corporation Bank Phase I Gurgaon</v>
          </cell>
          <cell r="C637" t="str">
            <v>ASSET</v>
          </cell>
          <cell r="D637" t="str">
            <v>BALANCE SHEET</v>
          </cell>
          <cell r="E637" t="str">
            <v>BANK CASH PTT A/C</v>
          </cell>
          <cell r="F637">
            <v>0</v>
          </cell>
          <cell r="G637" t="str">
            <v>CURRENT ASSETS, LOANS AND ADVANCES</v>
          </cell>
          <cell r="H637" t="str">
            <v>CASH AND BANK BALANCES</v>
          </cell>
          <cell r="I637" t="str">
            <v>BANK ACCOUNTS- CURRENT</v>
          </cell>
        </row>
        <row r="638">
          <cell r="A638" t="str">
            <v>A702023</v>
          </cell>
          <cell r="B638" t="str">
            <v>Corporation Bank Sikandarpur Gurgaon</v>
          </cell>
          <cell r="C638" t="str">
            <v>ASSET</v>
          </cell>
          <cell r="D638" t="str">
            <v>BALANCE SHEET</v>
          </cell>
          <cell r="E638" t="str">
            <v>BANK CASH PTT A/C</v>
          </cell>
          <cell r="F638">
            <v>0</v>
          </cell>
          <cell r="G638" t="str">
            <v>CURRENT ASSETS, LOANS AND ADVANCES</v>
          </cell>
          <cell r="H638" t="str">
            <v>CASH AND BANK BALANCES</v>
          </cell>
          <cell r="I638" t="str">
            <v>BANK ACCOUNTS- CURRENT</v>
          </cell>
        </row>
        <row r="639">
          <cell r="A639" t="str">
            <v>A702024</v>
          </cell>
          <cell r="B639" t="str">
            <v>DBS Bank Barakhamba Road</v>
          </cell>
          <cell r="C639" t="str">
            <v>ASSET</v>
          </cell>
          <cell r="D639" t="str">
            <v>BALANCE SHEET</v>
          </cell>
          <cell r="E639" t="str">
            <v>BANK CASH PTT A/C</v>
          </cell>
          <cell r="F639">
            <v>0</v>
          </cell>
          <cell r="G639" t="str">
            <v>CURRENT ASSETS, LOANS AND ADVANCES</v>
          </cell>
          <cell r="H639" t="str">
            <v>CASH AND BANK BALANCES</v>
          </cell>
          <cell r="I639" t="str">
            <v>BANK ACCOUNTS- CURRENT</v>
          </cell>
        </row>
        <row r="640">
          <cell r="A640" t="str">
            <v>A702025</v>
          </cell>
          <cell r="B640" t="str">
            <v>Deutsche Bank KG Marg</v>
          </cell>
          <cell r="C640" t="str">
            <v>ASSET</v>
          </cell>
          <cell r="D640" t="str">
            <v>BALANCE SHEET</v>
          </cell>
          <cell r="E640" t="str">
            <v>BANK CASH PTT A/C</v>
          </cell>
          <cell r="F640">
            <v>0</v>
          </cell>
          <cell r="G640" t="str">
            <v>CURRENT ASSETS, LOANS AND ADVANCES</v>
          </cell>
          <cell r="H640" t="str">
            <v>CASH AND BANK BALANCES</v>
          </cell>
          <cell r="I640" t="str">
            <v>BANK ACCOUNTS- CURRENT</v>
          </cell>
        </row>
        <row r="641">
          <cell r="A641" t="str">
            <v>A702026</v>
          </cell>
          <cell r="B641" t="str">
            <v>HDFC Bank KG Marg</v>
          </cell>
          <cell r="C641" t="str">
            <v>ASSET</v>
          </cell>
          <cell r="D641" t="str">
            <v>BALANCE SHEET</v>
          </cell>
          <cell r="E641" t="str">
            <v>BANK CASH PTT A/C</v>
          </cell>
          <cell r="F641">
            <v>0</v>
          </cell>
          <cell r="G641" t="str">
            <v>CURRENT ASSETS, LOANS AND ADVANCES</v>
          </cell>
          <cell r="H641" t="str">
            <v>CASH AND BANK BALANCES</v>
          </cell>
          <cell r="I641" t="str">
            <v>BANK ACCOUNTS- CURRENT</v>
          </cell>
        </row>
        <row r="642">
          <cell r="A642" t="str">
            <v>A702027</v>
          </cell>
          <cell r="B642" t="str">
            <v>HDFC Bank HT House</v>
          </cell>
          <cell r="C642" t="str">
            <v>ASSET</v>
          </cell>
          <cell r="D642" t="str">
            <v>BALANCE SHEET</v>
          </cell>
          <cell r="E642" t="str">
            <v>BANK CASH PTT A/C</v>
          </cell>
          <cell r="F642">
            <v>0</v>
          </cell>
          <cell r="G642" t="str">
            <v>CURRENT ASSETS, LOANS AND ADVANCES</v>
          </cell>
          <cell r="H642" t="str">
            <v>CASH AND BANK BALANCES</v>
          </cell>
          <cell r="I642" t="str">
            <v>BANK ACCOUNTS- CURRENT</v>
          </cell>
        </row>
        <row r="643">
          <cell r="A643" t="str">
            <v>A702028</v>
          </cell>
          <cell r="B643" t="str">
            <v>HDFC Bank Kasturba Road Bangalore</v>
          </cell>
          <cell r="C643" t="str">
            <v>ASSET</v>
          </cell>
          <cell r="D643" t="str">
            <v>BALANCE SHEET</v>
          </cell>
          <cell r="E643" t="str">
            <v>BANK CASH PTT A/C</v>
          </cell>
          <cell r="F643">
            <v>0</v>
          </cell>
          <cell r="G643" t="str">
            <v>CURRENT ASSETS, LOANS AND ADVANCES</v>
          </cell>
          <cell r="H643" t="str">
            <v>CASH AND BANK BALANCES</v>
          </cell>
          <cell r="I643" t="str">
            <v>BANK ACCOUNTS- CURRENT</v>
          </cell>
        </row>
        <row r="644">
          <cell r="A644" t="str">
            <v>A702029</v>
          </cell>
          <cell r="B644" t="str">
            <v>HDFC Bank Shopping Mall Gurgaon</v>
          </cell>
          <cell r="C644" t="str">
            <v>ASSET</v>
          </cell>
          <cell r="D644" t="str">
            <v>BALANCE SHEET</v>
          </cell>
          <cell r="E644" t="str">
            <v>BANK CASH PTT A/C</v>
          </cell>
          <cell r="F644">
            <v>0</v>
          </cell>
          <cell r="G644" t="str">
            <v>CURRENT ASSETS, LOANS AND ADVANCES</v>
          </cell>
          <cell r="H644" t="str">
            <v>CASH AND BANK BALANCES</v>
          </cell>
          <cell r="I644" t="str">
            <v>BANK ACCOUNTS- CURRENT</v>
          </cell>
        </row>
        <row r="645">
          <cell r="A645" t="str">
            <v>A702030</v>
          </cell>
          <cell r="B645" t="str">
            <v>HDFC Bank ESCRO Acc KG Marg</v>
          </cell>
          <cell r="C645" t="str">
            <v>ASSET</v>
          </cell>
          <cell r="D645" t="str">
            <v>BALANCE SHEET</v>
          </cell>
          <cell r="E645" t="str">
            <v>BANK CASH PTT A/C</v>
          </cell>
          <cell r="F645">
            <v>0</v>
          </cell>
          <cell r="G645" t="str">
            <v>CURRENT ASSETS, LOANS AND ADVANCES</v>
          </cell>
          <cell r="H645" t="str">
            <v>CASH AND BANK BALANCES</v>
          </cell>
          <cell r="I645" t="str">
            <v>BANK ACCOUNTS- CURRENT</v>
          </cell>
        </row>
        <row r="646">
          <cell r="A646" t="str">
            <v>A702031</v>
          </cell>
          <cell r="B646" t="str">
            <v>HSBC Bank Barakhamba Road</v>
          </cell>
          <cell r="C646" t="str">
            <v>ASSET</v>
          </cell>
          <cell r="D646" t="str">
            <v>BALANCE SHEET</v>
          </cell>
          <cell r="E646" t="str">
            <v>BANK CASH PTT A/C</v>
          </cell>
          <cell r="F646">
            <v>0</v>
          </cell>
          <cell r="G646" t="str">
            <v>CURRENT ASSETS, LOANS AND ADVANCES</v>
          </cell>
          <cell r="H646" t="str">
            <v>CASH AND BANK BALANCES</v>
          </cell>
          <cell r="I646" t="str">
            <v>BANK ACCOUNTS- CURRENT</v>
          </cell>
        </row>
        <row r="647">
          <cell r="A647" t="str">
            <v>A702032</v>
          </cell>
          <cell r="B647" t="str">
            <v>HSBC Bank Barakhamba Road</v>
          </cell>
          <cell r="C647" t="str">
            <v>ASSET</v>
          </cell>
          <cell r="D647" t="str">
            <v>BALANCE SHEET</v>
          </cell>
          <cell r="E647" t="str">
            <v>BANK CASH PTT A/C</v>
          </cell>
          <cell r="F647">
            <v>0</v>
          </cell>
          <cell r="G647" t="str">
            <v>CURRENT ASSETS, LOANS AND ADVANCES</v>
          </cell>
          <cell r="H647" t="str">
            <v>CASH AND BANK BALANCES</v>
          </cell>
          <cell r="I647" t="str">
            <v>BANK ACCOUNTS- CURRENT</v>
          </cell>
        </row>
        <row r="648">
          <cell r="A648" t="str">
            <v>A702033</v>
          </cell>
          <cell r="B648" t="str">
            <v>HSBC Bank Central Arcade Gurgaon</v>
          </cell>
          <cell r="C648" t="str">
            <v>ASSET</v>
          </cell>
          <cell r="D648" t="str">
            <v>BALANCE SHEET</v>
          </cell>
          <cell r="E648" t="str">
            <v>BANK CASH PTT A/C</v>
          </cell>
          <cell r="F648">
            <v>0</v>
          </cell>
          <cell r="G648" t="str">
            <v>CURRENT ASSETS, LOANS AND ADVANCES</v>
          </cell>
          <cell r="H648" t="str">
            <v>CASH AND BANK BALANCES</v>
          </cell>
          <cell r="I648" t="str">
            <v>BANK ACCOUNTS- CURRENT</v>
          </cell>
        </row>
        <row r="649">
          <cell r="A649" t="str">
            <v>A702034</v>
          </cell>
          <cell r="B649" t="str">
            <v>HSBC Bank London</v>
          </cell>
          <cell r="C649" t="str">
            <v>ASSET</v>
          </cell>
          <cell r="D649" t="str">
            <v>BALANCE SHEET</v>
          </cell>
          <cell r="E649" t="str">
            <v>BANK CASH PTT A/C</v>
          </cell>
          <cell r="F649">
            <v>0</v>
          </cell>
          <cell r="G649" t="str">
            <v>CURRENT ASSETS, LOANS AND ADVANCES</v>
          </cell>
          <cell r="H649" t="str">
            <v>CASH AND BANK BALANCES</v>
          </cell>
          <cell r="I649" t="str">
            <v>BANK ACCOUNTS- CURRENT</v>
          </cell>
        </row>
        <row r="650">
          <cell r="A650" t="str">
            <v>A702035</v>
          </cell>
          <cell r="B650" t="str">
            <v>ICICI Bank HUDA Shopping Complex Gurgaon</v>
          </cell>
          <cell r="C650" t="str">
            <v>ASSET</v>
          </cell>
          <cell r="D650" t="str">
            <v>BALANCE SHEET</v>
          </cell>
          <cell r="E650" t="str">
            <v>BANK CASH PTT A/C</v>
          </cell>
          <cell r="F650">
            <v>0</v>
          </cell>
          <cell r="G650" t="str">
            <v>CURRENT ASSETS, LOANS AND ADVANCES</v>
          </cell>
          <cell r="H650" t="str">
            <v>CASH AND BANK BALANCES</v>
          </cell>
          <cell r="I650" t="str">
            <v>BANK ACCOUNTS- CURRENT</v>
          </cell>
        </row>
        <row r="651">
          <cell r="A651" t="str">
            <v>A702036</v>
          </cell>
          <cell r="B651" t="str">
            <v>ICICI Bank HUDA Shopping Complex Gurgaon</v>
          </cell>
          <cell r="C651" t="str">
            <v>ASSET</v>
          </cell>
          <cell r="D651" t="str">
            <v>BALANCE SHEET</v>
          </cell>
          <cell r="E651" t="str">
            <v>BANK CASH PTT A/C</v>
          </cell>
          <cell r="F651">
            <v>0</v>
          </cell>
          <cell r="G651" t="str">
            <v>CURRENT ASSETS, LOANS AND ADVANCES</v>
          </cell>
          <cell r="H651" t="str">
            <v>CASH AND BANK BALANCES</v>
          </cell>
          <cell r="I651" t="str">
            <v>BANK ACCOUNTS- CURRENT</v>
          </cell>
        </row>
        <row r="652">
          <cell r="A652" t="str">
            <v>A702037</v>
          </cell>
          <cell r="B652" t="str">
            <v>ICICI Bank Shastri Nagar Dhanbad</v>
          </cell>
          <cell r="C652" t="str">
            <v>ASSET</v>
          </cell>
          <cell r="D652" t="str">
            <v>BALANCE SHEET</v>
          </cell>
          <cell r="E652" t="str">
            <v>BANK CASH PTT A/C</v>
          </cell>
          <cell r="F652">
            <v>0</v>
          </cell>
          <cell r="G652" t="str">
            <v>CURRENT ASSETS, LOANS AND ADVANCES</v>
          </cell>
          <cell r="H652" t="str">
            <v>CASH AND BANK BALANCES</v>
          </cell>
          <cell r="I652" t="str">
            <v>BANK ACCOUNTS- CURRENT</v>
          </cell>
        </row>
        <row r="653">
          <cell r="A653" t="str">
            <v>A702038</v>
          </cell>
          <cell r="B653" t="str">
            <v>ICICI Bank 9A CP</v>
          </cell>
          <cell r="C653" t="str">
            <v>ASSET</v>
          </cell>
          <cell r="D653" t="str">
            <v>BALANCE SHEET</v>
          </cell>
          <cell r="E653" t="str">
            <v>BANK CASH PTT A/C</v>
          </cell>
          <cell r="F653">
            <v>0</v>
          </cell>
          <cell r="G653" t="str">
            <v>CURRENT ASSETS, LOANS AND ADVANCES</v>
          </cell>
          <cell r="H653" t="str">
            <v>CASH AND BANK BALANCES</v>
          </cell>
          <cell r="I653" t="str">
            <v>BANK ACCOUNTS- CURRENT</v>
          </cell>
        </row>
        <row r="654">
          <cell r="A654" t="str">
            <v>A702039</v>
          </cell>
          <cell r="B654" t="str">
            <v>ICICI Bank Qutab Plaza Ph1 Gurgaon</v>
          </cell>
          <cell r="C654" t="str">
            <v>ASSET</v>
          </cell>
          <cell r="D654" t="str">
            <v>BALANCE SHEET</v>
          </cell>
          <cell r="E654" t="str">
            <v>BANK CASH PTT A/C</v>
          </cell>
          <cell r="F654">
            <v>0</v>
          </cell>
          <cell r="G654" t="str">
            <v>CURRENT ASSETS, LOANS AND ADVANCES</v>
          </cell>
          <cell r="H654" t="str">
            <v>CASH AND BANK BALANCES</v>
          </cell>
          <cell r="I654" t="str">
            <v>BANK ACCOUNTS- CURRENT</v>
          </cell>
        </row>
        <row r="655">
          <cell r="A655" t="str">
            <v>A702040</v>
          </cell>
          <cell r="B655" t="str">
            <v>ICICI Bank Qutab Plaza Ph1 Gurgaon</v>
          </cell>
          <cell r="C655" t="str">
            <v>ASSET</v>
          </cell>
          <cell r="D655" t="str">
            <v>BALANCE SHEET</v>
          </cell>
          <cell r="E655" t="str">
            <v>BANK CASH PTT A/C</v>
          </cell>
          <cell r="F655">
            <v>0</v>
          </cell>
          <cell r="G655" t="str">
            <v>CURRENT ASSETS, LOANS AND ADVANCES</v>
          </cell>
          <cell r="H655" t="str">
            <v>CASH AND BANK BALANCES</v>
          </cell>
          <cell r="I655" t="str">
            <v>BANK ACCOUNTS- CURRENT</v>
          </cell>
        </row>
        <row r="656">
          <cell r="A656" t="str">
            <v>A702041</v>
          </cell>
          <cell r="B656" t="str">
            <v>ICICI Bank Saket</v>
          </cell>
          <cell r="C656" t="str">
            <v>ASSET</v>
          </cell>
          <cell r="D656" t="str">
            <v>BALANCE SHEET</v>
          </cell>
          <cell r="E656" t="str">
            <v>BANK CASH PTT A/C</v>
          </cell>
          <cell r="F656">
            <v>0</v>
          </cell>
          <cell r="G656" t="str">
            <v>CURRENT ASSETS, LOANS AND ADVANCES</v>
          </cell>
          <cell r="H656" t="str">
            <v>CASH AND BANK BALANCES</v>
          </cell>
          <cell r="I656" t="str">
            <v>BANK ACCOUNTS- CURRENT</v>
          </cell>
        </row>
        <row r="657">
          <cell r="A657" t="str">
            <v>A702042</v>
          </cell>
          <cell r="B657" t="str">
            <v>ICICI Bank Sushant Lok Ph1</v>
          </cell>
          <cell r="C657" t="str">
            <v>ASSET</v>
          </cell>
          <cell r="D657" t="str">
            <v>BALANCE SHEET</v>
          </cell>
          <cell r="E657" t="str">
            <v>BANK CASH PTT A/C</v>
          </cell>
          <cell r="F657">
            <v>0</v>
          </cell>
          <cell r="G657" t="str">
            <v>CURRENT ASSETS, LOANS AND ADVANCES</v>
          </cell>
          <cell r="H657" t="str">
            <v>CASH AND BANK BALANCES</v>
          </cell>
          <cell r="I657" t="str">
            <v>BANK ACCOUNTS- CURRENT</v>
          </cell>
        </row>
        <row r="658">
          <cell r="A658" t="str">
            <v>A702043</v>
          </cell>
          <cell r="B658" t="str">
            <v>ICICI Bank Nariman Pt Mumbai</v>
          </cell>
          <cell r="C658" t="str">
            <v>ASSET</v>
          </cell>
          <cell r="D658" t="str">
            <v>BALANCE SHEET</v>
          </cell>
          <cell r="E658" t="str">
            <v>BANK CASH PTT A/C</v>
          </cell>
          <cell r="F658">
            <v>0</v>
          </cell>
          <cell r="G658" t="str">
            <v>CURRENT ASSETS, LOANS AND ADVANCES</v>
          </cell>
          <cell r="H658" t="str">
            <v>CASH AND BANK BALANCES</v>
          </cell>
          <cell r="I658" t="str">
            <v>BANK ACCOUNTS- CURRENT</v>
          </cell>
        </row>
        <row r="659">
          <cell r="A659" t="str">
            <v>A702044</v>
          </cell>
          <cell r="B659" t="str">
            <v>ICICI Bank Deccan GymKhana Pune</v>
          </cell>
          <cell r="C659" t="str">
            <v>ASSET</v>
          </cell>
          <cell r="D659" t="str">
            <v>BALANCE SHEET</v>
          </cell>
          <cell r="E659" t="str">
            <v>BANK CASH PTT A/C</v>
          </cell>
          <cell r="F659">
            <v>0</v>
          </cell>
          <cell r="G659" t="str">
            <v>CURRENT ASSETS, LOANS AND ADVANCES</v>
          </cell>
          <cell r="H659" t="str">
            <v>CASH AND BANK BALANCES</v>
          </cell>
          <cell r="I659" t="str">
            <v>BANK ACCOUNTS- CURRENT</v>
          </cell>
        </row>
        <row r="660">
          <cell r="A660" t="str">
            <v>A702045</v>
          </cell>
          <cell r="B660" t="str">
            <v>ICICI Bank Langford Road Bangalore</v>
          </cell>
          <cell r="C660" t="str">
            <v>ASSET</v>
          </cell>
          <cell r="D660" t="str">
            <v>BALANCE SHEET</v>
          </cell>
          <cell r="E660" t="str">
            <v>BANK CASH PTT A/C</v>
          </cell>
          <cell r="F660">
            <v>0</v>
          </cell>
          <cell r="G660" t="str">
            <v>CURRENT ASSETS, LOANS AND ADVANCES</v>
          </cell>
          <cell r="H660" t="str">
            <v>CASH AND BANK BALANCES</v>
          </cell>
          <cell r="I660" t="str">
            <v>BANK ACCOUNTS- CURRENT</v>
          </cell>
        </row>
        <row r="661">
          <cell r="A661" t="str">
            <v>A702046</v>
          </cell>
          <cell r="B661" t="str">
            <v>ICICI Bank Bombay Samachar Marg fort Mum</v>
          </cell>
          <cell r="C661" t="str">
            <v>ASSET</v>
          </cell>
          <cell r="D661" t="str">
            <v>BALANCE SHEET</v>
          </cell>
          <cell r="E661" t="str">
            <v>BANK CASH PTT A/C</v>
          </cell>
          <cell r="F661">
            <v>0</v>
          </cell>
          <cell r="G661" t="str">
            <v>CURRENT ASSETS, LOANS AND ADVANCES</v>
          </cell>
          <cell r="H661" t="str">
            <v>CASH AND BANK BALANCES</v>
          </cell>
          <cell r="I661" t="str">
            <v>BANK ACCOUNTS- CURRENT</v>
          </cell>
        </row>
        <row r="662">
          <cell r="A662" t="str">
            <v>A702047</v>
          </cell>
          <cell r="B662" t="str">
            <v>ICICI Bank Cenotaph Road Chennai</v>
          </cell>
          <cell r="C662" t="str">
            <v>ASSET</v>
          </cell>
          <cell r="D662" t="str">
            <v>BALANCE SHEET</v>
          </cell>
          <cell r="E662" t="str">
            <v>BANK CASH PTT A/C</v>
          </cell>
          <cell r="F662">
            <v>0</v>
          </cell>
          <cell r="G662" t="str">
            <v>CURRENT ASSETS, LOANS AND ADVANCES</v>
          </cell>
          <cell r="H662" t="str">
            <v>CASH AND BANK BALANCES</v>
          </cell>
          <cell r="I662" t="str">
            <v>BANK ACCOUNTS- CURRENT</v>
          </cell>
        </row>
        <row r="663">
          <cell r="A663" t="str">
            <v>A702048</v>
          </cell>
          <cell r="B663" t="str">
            <v>ICICI Dividend Acc 00-01 9A CP</v>
          </cell>
          <cell r="C663" t="str">
            <v>ASSET</v>
          </cell>
          <cell r="D663" t="str">
            <v>BALANCE SHEET</v>
          </cell>
          <cell r="E663" t="str">
            <v>BANK CASH PTT A/C</v>
          </cell>
          <cell r="F663">
            <v>0</v>
          </cell>
          <cell r="G663" t="str">
            <v>CURRENT ASSETS, LOANS AND ADVANCES</v>
          </cell>
          <cell r="H663" t="str">
            <v>CASH AND BANK BALANCES</v>
          </cell>
          <cell r="I663" t="str">
            <v>BANK ACCOUNTS- CURRENT</v>
          </cell>
        </row>
        <row r="664">
          <cell r="A664" t="str">
            <v>A702049</v>
          </cell>
          <cell r="B664" t="str">
            <v>ICICI Dividend Acc 2002 9A CP</v>
          </cell>
          <cell r="C664" t="str">
            <v>ASSET</v>
          </cell>
          <cell r="D664" t="str">
            <v>BALANCE SHEET</v>
          </cell>
          <cell r="E664" t="str">
            <v>BANK CASH PTT A/C</v>
          </cell>
          <cell r="F664">
            <v>0</v>
          </cell>
          <cell r="G664" t="str">
            <v>CURRENT ASSETS, LOANS AND ADVANCES</v>
          </cell>
          <cell r="H664" t="str">
            <v>CASH AND BANK BALANCES</v>
          </cell>
          <cell r="I664" t="str">
            <v>BANK ACCOUNTS- CURRENT</v>
          </cell>
        </row>
        <row r="665">
          <cell r="A665" t="str">
            <v>A702050</v>
          </cell>
          <cell r="B665" t="str">
            <v>ICICI Dividend Acc 2003 9A CP</v>
          </cell>
          <cell r="C665" t="str">
            <v>ASSET</v>
          </cell>
          <cell r="D665" t="str">
            <v>BALANCE SHEET</v>
          </cell>
          <cell r="E665" t="str">
            <v>BANK CASH PTT A/C</v>
          </cell>
          <cell r="F665">
            <v>0</v>
          </cell>
          <cell r="G665" t="str">
            <v>CURRENT ASSETS, LOANS AND ADVANCES</v>
          </cell>
          <cell r="H665" t="str">
            <v>CASH AND BANK BALANCES</v>
          </cell>
          <cell r="I665" t="str">
            <v>BANK ACCOUNTS- CURRENT</v>
          </cell>
        </row>
        <row r="666">
          <cell r="A666" t="str">
            <v>A702051</v>
          </cell>
          <cell r="B666" t="str">
            <v>ICICI Dividend Acc 2004 9A CP</v>
          </cell>
          <cell r="C666" t="str">
            <v>ASSET</v>
          </cell>
          <cell r="D666" t="str">
            <v>BALANCE SHEET</v>
          </cell>
          <cell r="E666" t="str">
            <v>BANK CASH PTT A/C</v>
          </cell>
          <cell r="F666">
            <v>0</v>
          </cell>
          <cell r="G666" t="str">
            <v>CURRENT ASSETS, LOANS AND ADVANCES</v>
          </cell>
          <cell r="H666" t="str">
            <v>CASH AND BANK BALANCES</v>
          </cell>
          <cell r="I666" t="str">
            <v>BANK ACCOUNTS- CURRENT</v>
          </cell>
        </row>
        <row r="667">
          <cell r="A667" t="str">
            <v>A702052</v>
          </cell>
          <cell r="B667" t="str">
            <v>ICICI Dividend Acc 2005 9A CP</v>
          </cell>
          <cell r="C667" t="str">
            <v>ASSET</v>
          </cell>
          <cell r="D667" t="str">
            <v>BALANCE SHEET</v>
          </cell>
          <cell r="E667" t="str">
            <v>BANK CASH PTT A/C</v>
          </cell>
          <cell r="F667">
            <v>0</v>
          </cell>
          <cell r="G667" t="str">
            <v>CURRENT ASSETS, LOANS AND ADVANCES</v>
          </cell>
          <cell r="H667" t="str">
            <v>CASH AND BANK BALANCES</v>
          </cell>
          <cell r="I667" t="str">
            <v>BANK ACCOUNTS- CURRENT</v>
          </cell>
        </row>
        <row r="668">
          <cell r="A668" t="str">
            <v>A702053</v>
          </cell>
          <cell r="B668" t="str">
            <v>ICICI Dividend Acc 2006 9A CP</v>
          </cell>
          <cell r="C668" t="str">
            <v>ASSET</v>
          </cell>
          <cell r="D668" t="str">
            <v>BALANCE SHEET</v>
          </cell>
          <cell r="E668" t="str">
            <v>BANK CASH PTT A/C</v>
          </cell>
          <cell r="F668">
            <v>0</v>
          </cell>
          <cell r="G668" t="str">
            <v>CURRENT ASSETS, LOANS AND ADVANCES</v>
          </cell>
          <cell r="H668" t="str">
            <v>CASH AND BANK BALANCES</v>
          </cell>
          <cell r="I668" t="str">
            <v>BANK ACCOUNTS- CURRENT</v>
          </cell>
        </row>
        <row r="669">
          <cell r="A669" t="str">
            <v>A702054</v>
          </cell>
          <cell r="B669" t="str">
            <v>ICICI ESCRO Account</v>
          </cell>
          <cell r="C669" t="str">
            <v>ASSET</v>
          </cell>
          <cell r="D669" t="str">
            <v>BALANCE SHEET</v>
          </cell>
          <cell r="E669" t="str">
            <v>BANK CASH PTT A/C</v>
          </cell>
          <cell r="F669">
            <v>0</v>
          </cell>
          <cell r="G669" t="str">
            <v>CURRENT ASSETS, LOANS AND ADVANCES</v>
          </cell>
          <cell r="H669" t="str">
            <v>CASH AND BANK BALANCES</v>
          </cell>
          <cell r="I669" t="str">
            <v>BANK ACCOUNTS- CURRENT</v>
          </cell>
        </row>
        <row r="670">
          <cell r="A670" t="str">
            <v>A702055</v>
          </cell>
          <cell r="B670" t="str">
            <v>ICICI Mumbai Account</v>
          </cell>
          <cell r="C670" t="str">
            <v>ASSET</v>
          </cell>
          <cell r="D670" t="str">
            <v>BALANCE SHEET</v>
          </cell>
          <cell r="E670" t="str">
            <v>BANK CASH PTT A/C</v>
          </cell>
          <cell r="F670">
            <v>0</v>
          </cell>
          <cell r="G670" t="str">
            <v>CURRENT ASSETS, LOANS AND ADVANCES</v>
          </cell>
          <cell r="H670" t="str">
            <v>CASH AND BANK BALANCES</v>
          </cell>
          <cell r="I670" t="str">
            <v>BANK ACCOUNTS- CURRENT</v>
          </cell>
        </row>
        <row r="671">
          <cell r="A671" t="str">
            <v>A702056</v>
          </cell>
          <cell r="B671" t="str">
            <v>ICICI PH 1,2, 3 Dev Acc 9A CP</v>
          </cell>
          <cell r="C671" t="str">
            <v>ASSET</v>
          </cell>
          <cell r="D671" t="str">
            <v>BALANCE SHEET</v>
          </cell>
          <cell r="E671" t="str">
            <v>BANK CASH PTT A/C</v>
          </cell>
          <cell r="F671">
            <v>0</v>
          </cell>
          <cell r="G671" t="str">
            <v>CURRENT ASSETS, LOANS AND ADVANCES</v>
          </cell>
          <cell r="H671" t="str">
            <v>CASH AND BANK BALANCES</v>
          </cell>
          <cell r="I671" t="str">
            <v>BANK ACCOUNTS- CURRENT</v>
          </cell>
        </row>
        <row r="672">
          <cell r="A672" t="str">
            <v>A702057</v>
          </cell>
          <cell r="B672" t="str">
            <v>ICICI PH 4 Dev Acc 9A CP</v>
          </cell>
          <cell r="C672" t="str">
            <v>ASSET</v>
          </cell>
          <cell r="D672" t="str">
            <v>BALANCE SHEET</v>
          </cell>
          <cell r="E672" t="str">
            <v>BANK CASH PTT A/C</v>
          </cell>
          <cell r="F672">
            <v>0</v>
          </cell>
          <cell r="G672" t="str">
            <v>CURRENT ASSETS, LOANS AND ADVANCES</v>
          </cell>
          <cell r="H672" t="str">
            <v>CASH AND BANK BALANCES</v>
          </cell>
          <cell r="I672" t="str">
            <v>BANK ACCOUNTS- CURRENT</v>
          </cell>
        </row>
        <row r="673">
          <cell r="A673" t="str">
            <v>A702058</v>
          </cell>
          <cell r="B673" t="str">
            <v>ICICI PH 5 Dev Acc 9A CP</v>
          </cell>
          <cell r="C673" t="str">
            <v>ASSET</v>
          </cell>
          <cell r="D673" t="str">
            <v>BALANCE SHEET</v>
          </cell>
          <cell r="E673" t="str">
            <v>BANK CASH PTT A/C</v>
          </cell>
          <cell r="F673">
            <v>0</v>
          </cell>
          <cell r="G673" t="str">
            <v>CURRENT ASSETS, LOANS AND ADVANCES</v>
          </cell>
          <cell r="H673" t="str">
            <v>CASH AND BANK BALANCES</v>
          </cell>
          <cell r="I673" t="str">
            <v>BANK ACCOUNTS- CURRENT</v>
          </cell>
        </row>
        <row r="674">
          <cell r="A674" t="str">
            <v>A702059</v>
          </cell>
          <cell r="B674" t="str">
            <v>ICICI PH 5 Dev Acc 9A CP</v>
          </cell>
          <cell r="C674" t="str">
            <v>ASSET</v>
          </cell>
          <cell r="D674" t="str">
            <v>BALANCE SHEET</v>
          </cell>
          <cell r="E674" t="str">
            <v>BANK CASH PTT A/C</v>
          </cell>
          <cell r="F674">
            <v>0</v>
          </cell>
          <cell r="G674" t="str">
            <v>CURRENT ASSETS, LOANS AND ADVANCES</v>
          </cell>
          <cell r="H674" t="str">
            <v>CASH AND BANK BALANCES</v>
          </cell>
          <cell r="I674" t="str">
            <v>BANK ACCOUNTS- CURRENT</v>
          </cell>
        </row>
        <row r="675">
          <cell r="A675" t="str">
            <v>A702060</v>
          </cell>
          <cell r="B675" t="str">
            <v>IDBI Bank Surya Kiran KG Marg</v>
          </cell>
          <cell r="C675" t="str">
            <v>ASSET</v>
          </cell>
          <cell r="D675" t="str">
            <v>BALANCE SHEET</v>
          </cell>
          <cell r="E675" t="str">
            <v>BANK CASH PTT A/C</v>
          </cell>
          <cell r="F675">
            <v>0</v>
          </cell>
          <cell r="G675" t="str">
            <v>CURRENT ASSETS, LOANS AND ADVANCES</v>
          </cell>
          <cell r="H675" t="str">
            <v>CASH AND BANK BALANCES</v>
          </cell>
          <cell r="I675" t="str">
            <v>BANK ACCOUNTS- CURRENT</v>
          </cell>
        </row>
        <row r="676">
          <cell r="A676" t="str">
            <v>A702061</v>
          </cell>
          <cell r="B676" t="str">
            <v>IDBI Bank Surya Kiran KG Marg</v>
          </cell>
          <cell r="C676" t="str">
            <v>ASSET</v>
          </cell>
          <cell r="D676" t="str">
            <v>BALANCE SHEET</v>
          </cell>
          <cell r="E676" t="str">
            <v>BANK CASH PTT A/C</v>
          </cell>
          <cell r="F676">
            <v>0</v>
          </cell>
          <cell r="G676" t="str">
            <v>CURRENT ASSETS, LOANS AND ADVANCES</v>
          </cell>
          <cell r="H676" t="str">
            <v>CASH AND BANK BALANCES</v>
          </cell>
          <cell r="I676" t="str">
            <v>BANK ACCOUNTS- CURRENT</v>
          </cell>
        </row>
        <row r="677">
          <cell r="A677" t="str">
            <v>A702062</v>
          </cell>
          <cell r="B677" t="str">
            <v>Indian Bank CP</v>
          </cell>
          <cell r="C677" t="str">
            <v>ASSET</v>
          </cell>
          <cell r="D677" t="str">
            <v>BALANCE SHEET</v>
          </cell>
          <cell r="E677" t="str">
            <v>BANK CASH PTT A/C</v>
          </cell>
          <cell r="F677">
            <v>0</v>
          </cell>
          <cell r="G677" t="str">
            <v>CURRENT ASSETS, LOANS AND ADVANCES</v>
          </cell>
          <cell r="H677" t="str">
            <v>CASH AND BANK BALANCES</v>
          </cell>
          <cell r="I677" t="str">
            <v>BANK ACCOUNTS- CURRENT</v>
          </cell>
        </row>
        <row r="678">
          <cell r="A678" t="str">
            <v>A702063</v>
          </cell>
          <cell r="B678" t="str">
            <v>ING VYSYA Bank West Patel Ngr</v>
          </cell>
          <cell r="C678" t="str">
            <v>ASSET</v>
          </cell>
          <cell r="D678" t="str">
            <v>BALANCE SHEET</v>
          </cell>
          <cell r="E678" t="str">
            <v>BANK CASH PTT A/C</v>
          </cell>
          <cell r="F678">
            <v>0</v>
          </cell>
          <cell r="G678" t="str">
            <v>CURRENT ASSETS, LOANS AND ADVANCES</v>
          </cell>
          <cell r="H678" t="str">
            <v>CASH AND BANK BALANCES</v>
          </cell>
          <cell r="I678" t="str">
            <v>BANK ACCOUNTS- CURRENT</v>
          </cell>
        </row>
        <row r="679">
          <cell r="A679" t="str">
            <v>A702064</v>
          </cell>
          <cell r="B679" t="str">
            <v>ING VYSYA Bank Barakhamba Rd</v>
          </cell>
          <cell r="C679" t="str">
            <v>ASSET</v>
          </cell>
          <cell r="D679" t="str">
            <v>BALANCE SHEET</v>
          </cell>
          <cell r="E679" t="str">
            <v>BANK CASH PTT A/C</v>
          </cell>
          <cell r="F679">
            <v>0</v>
          </cell>
          <cell r="G679" t="str">
            <v>CURRENT ASSETS, LOANS AND ADVANCES</v>
          </cell>
          <cell r="H679" t="str">
            <v>CASH AND BANK BALANCES</v>
          </cell>
          <cell r="I679" t="str">
            <v>BANK ACCOUNTS- CURRENT</v>
          </cell>
        </row>
        <row r="680">
          <cell r="A680" t="str">
            <v>A702065</v>
          </cell>
          <cell r="B680" t="str">
            <v>J&amp;K Bank Shopping Mall Gurgaon</v>
          </cell>
          <cell r="C680" t="str">
            <v>ASSET</v>
          </cell>
          <cell r="D680" t="str">
            <v>BALANCE SHEET</v>
          </cell>
          <cell r="E680" t="str">
            <v>BANK CASH PTT A/C</v>
          </cell>
          <cell r="F680">
            <v>0</v>
          </cell>
          <cell r="G680" t="str">
            <v>CURRENT ASSETS, LOANS AND ADVANCES</v>
          </cell>
          <cell r="H680" t="str">
            <v>CASH AND BANK BALANCES</v>
          </cell>
          <cell r="I680" t="str">
            <v>BANK ACCOUNTS- CURRENT</v>
          </cell>
        </row>
        <row r="681">
          <cell r="A681" t="str">
            <v>A702066</v>
          </cell>
          <cell r="B681" t="str">
            <v>Kotak Mahindra Bank Ambadeep KG Marg</v>
          </cell>
          <cell r="C681" t="str">
            <v>ASSET</v>
          </cell>
          <cell r="D681" t="str">
            <v>BALANCE SHEET</v>
          </cell>
          <cell r="E681" t="str">
            <v>BANK CASH PTT A/C</v>
          </cell>
          <cell r="F681">
            <v>0</v>
          </cell>
          <cell r="G681" t="str">
            <v>CURRENT ASSETS, LOANS AND ADVANCES</v>
          </cell>
          <cell r="H681" t="str">
            <v>CASH AND BANK BALANCES</v>
          </cell>
          <cell r="I681" t="str">
            <v>BANK ACCOUNTS- CURRENT</v>
          </cell>
        </row>
        <row r="682">
          <cell r="A682" t="str">
            <v>A702067</v>
          </cell>
          <cell r="B682" t="str">
            <v>OBC Sec 17 Gurgaon</v>
          </cell>
          <cell r="C682" t="str">
            <v>ASSET</v>
          </cell>
          <cell r="D682" t="str">
            <v>BALANCE SHEET</v>
          </cell>
          <cell r="E682" t="str">
            <v>BANK CASH PTT A/C</v>
          </cell>
          <cell r="F682">
            <v>0</v>
          </cell>
          <cell r="G682" t="str">
            <v>CURRENT ASSETS, LOANS AND ADVANCES</v>
          </cell>
          <cell r="H682" t="str">
            <v>CASH AND BANK BALANCES</v>
          </cell>
          <cell r="I682" t="str">
            <v>BANK ACCOUNTS- CURRENT</v>
          </cell>
        </row>
        <row r="683">
          <cell r="A683" t="str">
            <v>A702068</v>
          </cell>
          <cell r="B683" t="str">
            <v>PNB Dividend Acc 99-00</v>
          </cell>
          <cell r="C683" t="str">
            <v>ASSET</v>
          </cell>
          <cell r="D683" t="str">
            <v>BALANCE SHEET</v>
          </cell>
          <cell r="E683" t="str">
            <v>BANK CASH PTT A/C</v>
          </cell>
          <cell r="F683">
            <v>0</v>
          </cell>
          <cell r="G683" t="str">
            <v>CURRENT ASSETS, LOANS AND ADVANCES</v>
          </cell>
          <cell r="H683" t="str">
            <v>CASH AND BANK BALANCES</v>
          </cell>
          <cell r="I683" t="str">
            <v>BANK ACCOUNTS- CURRENT</v>
          </cell>
        </row>
        <row r="684">
          <cell r="A684" t="str">
            <v>A702069</v>
          </cell>
          <cell r="B684" t="str">
            <v>PNB Fountain Chowk Gurgaon</v>
          </cell>
          <cell r="C684" t="str">
            <v>ASSET</v>
          </cell>
          <cell r="D684" t="str">
            <v>BALANCE SHEET</v>
          </cell>
          <cell r="E684" t="str">
            <v>BANK CASH PTT A/C</v>
          </cell>
          <cell r="F684">
            <v>0</v>
          </cell>
          <cell r="G684" t="str">
            <v>CURRENT ASSETS, LOANS AND ADVANCES</v>
          </cell>
          <cell r="H684" t="str">
            <v>CASH AND BANK BALANCES</v>
          </cell>
          <cell r="I684" t="str">
            <v>BANK ACCOUNTS- CURRENT</v>
          </cell>
        </row>
        <row r="685">
          <cell r="A685" t="str">
            <v>A702070</v>
          </cell>
          <cell r="B685" t="str">
            <v>PNB Hazaribagh Jharkhand</v>
          </cell>
          <cell r="C685" t="str">
            <v>ASSET</v>
          </cell>
          <cell r="D685" t="str">
            <v>BALANCE SHEET</v>
          </cell>
          <cell r="E685" t="str">
            <v>BANK CASH PTT A/C</v>
          </cell>
          <cell r="F685">
            <v>0</v>
          </cell>
          <cell r="G685" t="str">
            <v>CURRENT ASSETS, LOANS AND ADVANCES</v>
          </cell>
          <cell r="H685" t="str">
            <v>CASH AND BANK BALANCES</v>
          </cell>
          <cell r="I685" t="str">
            <v>BANK ACCOUNTS- CURRENT</v>
          </cell>
        </row>
        <row r="686">
          <cell r="A686" t="str">
            <v>A702071</v>
          </cell>
          <cell r="B686" t="str">
            <v>PNB L block CP</v>
          </cell>
          <cell r="C686" t="str">
            <v>ASSET</v>
          </cell>
          <cell r="D686" t="str">
            <v>BALANCE SHEET</v>
          </cell>
          <cell r="E686" t="str">
            <v>BANK CASH PTT A/C</v>
          </cell>
          <cell r="F686">
            <v>0</v>
          </cell>
          <cell r="G686" t="str">
            <v>CURRENT ASSETS, LOANS AND ADVANCES</v>
          </cell>
          <cell r="H686" t="str">
            <v>CASH AND BANK BALANCES</v>
          </cell>
          <cell r="I686" t="str">
            <v>BANK ACCOUNTS- CURRENT</v>
          </cell>
        </row>
        <row r="687">
          <cell r="A687" t="str">
            <v>A702072</v>
          </cell>
          <cell r="B687" t="str">
            <v>SBI ESCRO Account STC Building</v>
          </cell>
          <cell r="C687" t="str">
            <v>ASSET</v>
          </cell>
          <cell r="D687" t="str">
            <v>BALANCE SHEET</v>
          </cell>
          <cell r="E687" t="str">
            <v>BANK CASH PTT A/C</v>
          </cell>
          <cell r="F687">
            <v>0</v>
          </cell>
          <cell r="G687" t="str">
            <v>CURRENT ASSETS, LOANS AND ADVANCES</v>
          </cell>
          <cell r="H687" t="str">
            <v>CASH AND BANK BALANCES</v>
          </cell>
          <cell r="I687" t="str">
            <v>BANK ACCOUNTS- CURRENT</v>
          </cell>
        </row>
        <row r="688">
          <cell r="A688" t="str">
            <v>A702073</v>
          </cell>
          <cell r="B688" t="str">
            <v>SBI STC Building</v>
          </cell>
          <cell r="C688" t="str">
            <v>ASSET</v>
          </cell>
          <cell r="D688" t="str">
            <v>BALANCE SHEET</v>
          </cell>
          <cell r="E688" t="str">
            <v>BANK CASH PTT A/C</v>
          </cell>
          <cell r="F688">
            <v>0</v>
          </cell>
          <cell r="G688" t="str">
            <v>CURRENT ASSETS, LOANS AND ADVANCES</v>
          </cell>
          <cell r="H688" t="str">
            <v>CASH AND BANK BALANCES</v>
          </cell>
          <cell r="I688" t="str">
            <v>BANK ACCOUNTS- CURRENT</v>
          </cell>
        </row>
        <row r="689">
          <cell r="A689" t="str">
            <v>A702074</v>
          </cell>
          <cell r="B689" t="str">
            <v>SBI MG Road Gurgaon</v>
          </cell>
          <cell r="C689" t="str">
            <v>ASSET</v>
          </cell>
          <cell r="D689" t="str">
            <v>BALANCE SHEET</v>
          </cell>
          <cell r="E689" t="str">
            <v>BANK CASH PTT A/C</v>
          </cell>
          <cell r="F689">
            <v>0</v>
          </cell>
          <cell r="G689" t="str">
            <v>CURRENT ASSETS, LOANS AND ADVANCES</v>
          </cell>
          <cell r="H689" t="str">
            <v>CASH AND BANK BALANCES</v>
          </cell>
          <cell r="I689" t="str">
            <v>BANK ACCOUNTS- CURRENT</v>
          </cell>
        </row>
        <row r="690">
          <cell r="A690" t="str">
            <v>A702075</v>
          </cell>
          <cell r="B690" t="str">
            <v>SBI Palm Court Gurgaon</v>
          </cell>
          <cell r="C690" t="str">
            <v>ASSET</v>
          </cell>
          <cell r="D690" t="str">
            <v>BALANCE SHEET</v>
          </cell>
          <cell r="E690" t="str">
            <v>BANK CASH PTT A/C</v>
          </cell>
          <cell r="F690">
            <v>0</v>
          </cell>
          <cell r="G690" t="str">
            <v>CURRENT ASSETS, LOANS AND ADVANCES</v>
          </cell>
          <cell r="H690" t="str">
            <v>CASH AND BANK BALANCES</v>
          </cell>
          <cell r="I690" t="str">
            <v>BANK ACCOUNTS- CURRENT</v>
          </cell>
        </row>
        <row r="691">
          <cell r="A691" t="str">
            <v>A702076</v>
          </cell>
          <cell r="B691" t="str">
            <v>SBI New Guwahati</v>
          </cell>
          <cell r="C691" t="str">
            <v>ASSET</v>
          </cell>
          <cell r="D691" t="str">
            <v>BALANCE SHEET</v>
          </cell>
          <cell r="E691" t="str">
            <v>BANK CASH PTT A/C</v>
          </cell>
          <cell r="F691">
            <v>0</v>
          </cell>
          <cell r="G691" t="str">
            <v>CURRENT ASSETS, LOANS AND ADVANCES</v>
          </cell>
          <cell r="H691" t="str">
            <v>CASH AND BANK BALANCES</v>
          </cell>
          <cell r="I691" t="str">
            <v>BANK ACCOUNTS- CURRENT</v>
          </cell>
        </row>
        <row r="692">
          <cell r="A692" t="str">
            <v>A702077</v>
          </cell>
          <cell r="B692" t="str">
            <v>SBI Dhanbad</v>
          </cell>
          <cell r="C692" t="str">
            <v>ASSET</v>
          </cell>
          <cell r="D692" t="str">
            <v>BALANCE SHEET</v>
          </cell>
          <cell r="E692" t="str">
            <v>BANK CASH PTT A/C</v>
          </cell>
          <cell r="F692">
            <v>0</v>
          </cell>
          <cell r="G692" t="str">
            <v>CURRENT ASSETS, LOANS AND ADVANCES</v>
          </cell>
          <cell r="H692" t="str">
            <v>CASH AND BANK BALANCES</v>
          </cell>
          <cell r="I692" t="str">
            <v>BANK ACCOUNTS- CURRENT</v>
          </cell>
        </row>
        <row r="693">
          <cell r="A693" t="str">
            <v>A702078</v>
          </cell>
          <cell r="B693" t="str">
            <v>Standard Chartered Bank Barakhamba Road</v>
          </cell>
          <cell r="C693" t="str">
            <v>ASSET</v>
          </cell>
          <cell r="D693" t="str">
            <v>BALANCE SHEET</v>
          </cell>
          <cell r="E693" t="str">
            <v>BANK CASH PTT A/C</v>
          </cell>
          <cell r="F693">
            <v>0</v>
          </cell>
          <cell r="G693" t="str">
            <v>CURRENT ASSETS, LOANS AND ADVANCES</v>
          </cell>
          <cell r="H693" t="str">
            <v>CASH AND BANK BALANCES</v>
          </cell>
          <cell r="I693" t="str">
            <v>BANK ACCOUNTS- CURRENT</v>
          </cell>
        </row>
        <row r="694">
          <cell r="A694" t="str">
            <v>A702079</v>
          </cell>
          <cell r="B694" t="str">
            <v>Syndicate Bank Khan Market</v>
          </cell>
          <cell r="C694" t="str">
            <v>ASSET</v>
          </cell>
          <cell r="D694" t="str">
            <v>BALANCE SHEET</v>
          </cell>
          <cell r="E694" t="str">
            <v>BANK CASH PTT A/C</v>
          </cell>
          <cell r="F694">
            <v>0</v>
          </cell>
          <cell r="G694" t="str">
            <v>CURRENT ASSETS, LOANS AND ADVANCES</v>
          </cell>
          <cell r="H694" t="str">
            <v>CASH AND BANK BALANCES</v>
          </cell>
          <cell r="I694" t="str">
            <v>BANK ACCOUNTS- CURRENT</v>
          </cell>
        </row>
        <row r="695">
          <cell r="A695" t="str">
            <v>A702080</v>
          </cell>
          <cell r="B695" t="str">
            <v>The Laxmi Vilas Bank Karol Bagh</v>
          </cell>
          <cell r="C695" t="str">
            <v>ASSET</v>
          </cell>
          <cell r="D695" t="str">
            <v>BALANCE SHEET</v>
          </cell>
          <cell r="E695" t="str">
            <v>BANK CASH PTT A/C</v>
          </cell>
          <cell r="F695">
            <v>0</v>
          </cell>
          <cell r="G695" t="str">
            <v>CURRENT ASSETS, LOANS AND ADVANCES</v>
          </cell>
          <cell r="H695" t="str">
            <v>CASH AND BANK BALANCES</v>
          </cell>
          <cell r="I695" t="str">
            <v>BANK ACCOUNTS- CURRENT</v>
          </cell>
        </row>
        <row r="696">
          <cell r="A696" t="str">
            <v>A702081</v>
          </cell>
          <cell r="B696" t="str">
            <v>United Bank of India Nehru Place</v>
          </cell>
          <cell r="C696" t="str">
            <v>ASSET</v>
          </cell>
          <cell r="D696" t="str">
            <v>BALANCE SHEET</v>
          </cell>
          <cell r="E696" t="str">
            <v>BANK CASH PTT A/C</v>
          </cell>
          <cell r="F696">
            <v>0</v>
          </cell>
          <cell r="G696" t="str">
            <v>CURRENT ASSETS, LOANS AND ADVANCES</v>
          </cell>
          <cell r="H696" t="str">
            <v>CASH AND BANK BALANCES</v>
          </cell>
          <cell r="I696" t="str">
            <v>BANK ACCOUNTS- CURRENT</v>
          </cell>
        </row>
        <row r="697">
          <cell r="A697" t="str">
            <v>A702082</v>
          </cell>
          <cell r="B697" t="str">
            <v>UTI Bank Ltd Barakhamba Road</v>
          </cell>
          <cell r="C697" t="str">
            <v>ASSET</v>
          </cell>
          <cell r="D697" t="str">
            <v>BALANCE SHEET</v>
          </cell>
          <cell r="E697" t="str">
            <v>BANK CASH PTT A/C</v>
          </cell>
          <cell r="F697">
            <v>0</v>
          </cell>
          <cell r="G697" t="str">
            <v>CURRENT ASSETS, LOANS AND ADVANCES</v>
          </cell>
          <cell r="H697" t="str">
            <v>CASH AND BANK BALANCES</v>
          </cell>
          <cell r="I697" t="str">
            <v>BANK ACCOUNTS- CURRENT</v>
          </cell>
        </row>
        <row r="698">
          <cell r="A698" t="str">
            <v>A702083</v>
          </cell>
          <cell r="B698" t="str">
            <v>UTI Bank Ltd Galleria Shopping Mall Gurg</v>
          </cell>
          <cell r="C698" t="str">
            <v>ASSET</v>
          </cell>
          <cell r="D698" t="str">
            <v>BALANCE SHEET</v>
          </cell>
          <cell r="E698" t="str">
            <v>BANK CASH PTT A/C</v>
          </cell>
          <cell r="F698">
            <v>0</v>
          </cell>
          <cell r="G698" t="str">
            <v>CURRENT ASSETS, LOANS AND ADVANCES</v>
          </cell>
          <cell r="H698" t="str">
            <v>CASH AND BANK BALANCES</v>
          </cell>
          <cell r="I698" t="str">
            <v>BANK ACCOUNTS- CURRENT</v>
          </cell>
        </row>
        <row r="699">
          <cell r="A699" t="str">
            <v>A702084</v>
          </cell>
          <cell r="B699" t="str">
            <v>Canara Bank Bangalore</v>
          </cell>
          <cell r="C699" t="str">
            <v>ASSET</v>
          </cell>
          <cell r="D699" t="str">
            <v>BALANCE SHEET</v>
          </cell>
          <cell r="E699" t="str">
            <v>BANK CASH PTT A/C</v>
          </cell>
          <cell r="F699">
            <v>0</v>
          </cell>
          <cell r="G699" t="str">
            <v>CURRENT ASSETS, LOANS AND ADVANCES</v>
          </cell>
          <cell r="H699" t="str">
            <v>CASH AND BANK BALANCES</v>
          </cell>
          <cell r="I699" t="str">
            <v>BANK ACCOUNTS- CURRENT</v>
          </cell>
        </row>
        <row r="700">
          <cell r="A700" t="str">
            <v>A702085</v>
          </cell>
          <cell r="B700" t="str">
            <v>Hong Kong Bank New Delhi</v>
          </cell>
          <cell r="C700" t="str">
            <v>ASSET</v>
          </cell>
          <cell r="D700" t="str">
            <v>BALANCE SHEET</v>
          </cell>
          <cell r="E700" t="str">
            <v>BANK CASH PTT A/C</v>
          </cell>
          <cell r="F700">
            <v>0</v>
          </cell>
          <cell r="G700" t="str">
            <v>CURRENT ASSETS, LOANS AND ADVANCES</v>
          </cell>
          <cell r="H700" t="str">
            <v>CASH AND BANK BALANCES</v>
          </cell>
          <cell r="I700" t="str">
            <v>BANK ACCOUNTS- CURRENT</v>
          </cell>
        </row>
        <row r="701">
          <cell r="A701" t="str">
            <v>A702086</v>
          </cell>
          <cell r="B701" t="str">
            <v>SBI Opp Plaza Gurgaon</v>
          </cell>
          <cell r="C701" t="str">
            <v>ASSET</v>
          </cell>
          <cell r="D701" t="str">
            <v>BALANCE SHEET</v>
          </cell>
          <cell r="E701" t="str">
            <v>BANK CASH PTT A/C</v>
          </cell>
          <cell r="F701">
            <v>0</v>
          </cell>
          <cell r="G701" t="str">
            <v>CURRENT ASSETS, LOANS AND ADVANCES</v>
          </cell>
          <cell r="H701" t="str">
            <v>CASH AND BANK BALANCES</v>
          </cell>
          <cell r="I701" t="str">
            <v>BANK ACCOUNTS- CURRENT</v>
          </cell>
        </row>
        <row r="702">
          <cell r="A702" t="str">
            <v>A702087</v>
          </cell>
          <cell r="B702" t="str">
            <v>UTI Bank Chennai</v>
          </cell>
          <cell r="C702" t="str">
            <v>ASSET</v>
          </cell>
          <cell r="D702" t="str">
            <v>BALANCE SHEET</v>
          </cell>
          <cell r="E702" t="str">
            <v>BANK CASH PTT A/C</v>
          </cell>
          <cell r="F702">
            <v>0</v>
          </cell>
          <cell r="G702" t="str">
            <v>CURRENT ASSETS, LOANS AND ADVANCES</v>
          </cell>
          <cell r="H702" t="str">
            <v>CASH AND BANK BALANCES</v>
          </cell>
          <cell r="I702" t="str">
            <v>BANK ACCOUNTS- CURRENT</v>
          </cell>
        </row>
        <row r="703">
          <cell r="A703" t="str">
            <v>A702088</v>
          </cell>
          <cell r="B703" t="str">
            <v>SBI Qutab Plaza  Ph-1</v>
          </cell>
          <cell r="C703" t="str">
            <v>ASSET</v>
          </cell>
          <cell r="D703" t="str">
            <v>BALANCE SHEET</v>
          </cell>
          <cell r="E703" t="str">
            <v>BANK CASH PTT A/C</v>
          </cell>
          <cell r="F703">
            <v>0</v>
          </cell>
          <cell r="G703" t="str">
            <v>CURRENT ASSETS, LOANS AND ADVANCES</v>
          </cell>
          <cell r="H703" t="str">
            <v>CASH AND BANK BALANCES</v>
          </cell>
          <cell r="I703" t="str">
            <v>BANK ACCOUNTS- CURRENT</v>
          </cell>
        </row>
        <row r="704">
          <cell r="A704" t="str">
            <v>A702089</v>
          </cell>
          <cell r="B704" t="str">
            <v>ABN Amro Haddows Rd Chennai</v>
          </cell>
          <cell r="C704" t="str">
            <v>ASSET</v>
          </cell>
          <cell r="D704" t="str">
            <v>BALANCE SHEET</v>
          </cell>
          <cell r="E704" t="str">
            <v>BANK CASH PTT A/C</v>
          </cell>
          <cell r="F704">
            <v>0</v>
          </cell>
          <cell r="G704" t="str">
            <v>CURRENT ASSETS, LOANS AND ADVANCES</v>
          </cell>
          <cell r="H704" t="str">
            <v>CASH AND BANK BALANCES</v>
          </cell>
          <cell r="I704" t="str">
            <v>BANK ACCOUNTS- CURRENT</v>
          </cell>
        </row>
        <row r="705">
          <cell r="A705" t="str">
            <v>A702090</v>
          </cell>
          <cell r="B705" t="str">
            <v>SBI South Ext-1</v>
          </cell>
          <cell r="C705" t="str">
            <v>ASSET</v>
          </cell>
          <cell r="D705" t="str">
            <v>BALANCE SHEET</v>
          </cell>
          <cell r="E705" t="str">
            <v>BANK CASH PTT A/C</v>
          </cell>
          <cell r="F705">
            <v>0</v>
          </cell>
          <cell r="G705" t="str">
            <v>CURRENT ASSETS, LOANS AND ADVANCES</v>
          </cell>
          <cell r="H705" t="str">
            <v>CASH AND BANK BALANCES</v>
          </cell>
          <cell r="I705" t="str">
            <v>BANK ACCOUNTS- CURRENT</v>
          </cell>
        </row>
        <row r="706">
          <cell r="A706" t="str">
            <v>A702091</v>
          </cell>
          <cell r="B706" t="str">
            <v>UBI Nungambakkam Chennai</v>
          </cell>
          <cell r="C706" t="str">
            <v>ASSET</v>
          </cell>
          <cell r="D706" t="str">
            <v>BALANCE SHEET</v>
          </cell>
          <cell r="E706" t="str">
            <v>BANK CASH PTT A/C</v>
          </cell>
          <cell r="F706">
            <v>0</v>
          </cell>
          <cell r="G706" t="str">
            <v>CURRENT ASSETS, LOANS AND ADVANCES</v>
          </cell>
          <cell r="H706" t="str">
            <v>CASH AND BANK BALANCES</v>
          </cell>
          <cell r="I706" t="str">
            <v>BANK ACCOUNTS- CURRENT</v>
          </cell>
        </row>
        <row r="707">
          <cell r="A707" t="str">
            <v>A702092</v>
          </cell>
          <cell r="B707" t="str">
            <v>Corporation Bank Sikandarpur Gurgaon</v>
          </cell>
          <cell r="C707" t="str">
            <v>ASSET</v>
          </cell>
          <cell r="D707" t="str">
            <v>BALANCE SHEET</v>
          </cell>
          <cell r="E707" t="str">
            <v>BANK CASH PTT A/C</v>
          </cell>
          <cell r="F707">
            <v>0</v>
          </cell>
          <cell r="G707" t="str">
            <v>CURRENT ASSETS, LOANS AND ADVANCES</v>
          </cell>
          <cell r="H707" t="str">
            <v>CASH AND BANK BALANCES</v>
          </cell>
          <cell r="I707" t="str">
            <v>BANK ACCOUNTS- CURRENT</v>
          </cell>
        </row>
        <row r="708">
          <cell r="A708" t="str">
            <v>A702093</v>
          </cell>
          <cell r="B708" t="str">
            <v>Corporation Bank Sikandarpur Gurgaon</v>
          </cell>
          <cell r="C708" t="str">
            <v>ASSET</v>
          </cell>
          <cell r="D708" t="str">
            <v>BALANCE SHEET</v>
          </cell>
          <cell r="E708" t="str">
            <v>BANK CASH PTT A/C</v>
          </cell>
          <cell r="F708">
            <v>0</v>
          </cell>
          <cell r="G708" t="str">
            <v>CURRENT ASSETS, LOANS AND ADVANCES</v>
          </cell>
          <cell r="H708" t="str">
            <v>CASH AND BANK BALANCES</v>
          </cell>
          <cell r="I708" t="str">
            <v>BANK ACCOUNTS- CURRENT</v>
          </cell>
        </row>
        <row r="709">
          <cell r="A709" t="str">
            <v>A702094</v>
          </cell>
          <cell r="B709" t="str">
            <v>Corporation Bank Sikandarpur Gurgaon</v>
          </cell>
          <cell r="C709" t="str">
            <v>ASSET</v>
          </cell>
          <cell r="D709" t="str">
            <v>BALANCE SHEET</v>
          </cell>
          <cell r="E709" t="str">
            <v>BANK CASH PTT A/C</v>
          </cell>
          <cell r="F709">
            <v>0</v>
          </cell>
          <cell r="G709" t="str">
            <v>CURRENT ASSETS, LOANS AND ADVANCES</v>
          </cell>
          <cell r="H709" t="str">
            <v>CASH AND BANK BALANCES</v>
          </cell>
          <cell r="I709" t="str">
            <v>BANK ACCOUNTS- CURRENT</v>
          </cell>
        </row>
        <row r="710">
          <cell r="A710" t="str">
            <v>A702095</v>
          </cell>
          <cell r="B710" t="str">
            <v>Corporation Bank Sikandarpur Gurgaon</v>
          </cell>
          <cell r="C710" t="str">
            <v>ASSET</v>
          </cell>
          <cell r="D710" t="str">
            <v>BALANCE SHEET</v>
          </cell>
          <cell r="E710" t="str">
            <v>BANK CASH PTT A/C</v>
          </cell>
          <cell r="F710">
            <v>0</v>
          </cell>
          <cell r="G710" t="str">
            <v>CURRENT ASSETS, LOANS AND ADVANCES</v>
          </cell>
          <cell r="H710" t="str">
            <v>CASH AND BANK BALANCES</v>
          </cell>
          <cell r="I710" t="str">
            <v>BANK ACCOUNTS- CURRENT</v>
          </cell>
        </row>
        <row r="711">
          <cell r="A711" t="str">
            <v>A702096</v>
          </cell>
          <cell r="B711" t="str">
            <v>Bharat Overseas Bank Shopping Mall Gurg.</v>
          </cell>
          <cell r="C711" t="str">
            <v>ASSET</v>
          </cell>
          <cell r="D711" t="str">
            <v>BALANCE SHEET</v>
          </cell>
          <cell r="E711" t="str">
            <v>BANK CASH PTT A/C</v>
          </cell>
          <cell r="F711">
            <v>0</v>
          </cell>
          <cell r="G711" t="str">
            <v>CURRENT ASSETS, LOANS AND ADVANCES</v>
          </cell>
          <cell r="H711" t="str">
            <v>CASH AND BANK BALANCES</v>
          </cell>
          <cell r="I711" t="str">
            <v>BANK ACCOUNTS- CURRENT</v>
          </cell>
        </row>
        <row r="712">
          <cell r="A712" t="str">
            <v>A702097</v>
          </cell>
          <cell r="B712" t="str">
            <v>HDFC Bank Shopping Mall Gurgaon</v>
          </cell>
          <cell r="C712" t="str">
            <v>ASSET</v>
          </cell>
          <cell r="D712" t="str">
            <v>BALANCE SHEET</v>
          </cell>
          <cell r="E712" t="str">
            <v>BANK CASH PTT A/C</v>
          </cell>
          <cell r="F712">
            <v>0</v>
          </cell>
          <cell r="G712" t="str">
            <v>CURRENT ASSETS, LOANS AND ADVANCES</v>
          </cell>
          <cell r="H712" t="str">
            <v>CASH AND BANK BALANCES</v>
          </cell>
          <cell r="I712" t="str">
            <v>BANK ACCOUNTS- CURRENT</v>
          </cell>
        </row>
        <row r="713">
          <cell r="A713" t="str">
            <v>A702098</v>
          </cell>
          <cell r="B713" t="str">
            <v>SBI Sikandarpur Gurgaon</v>
          </cell>
          <cell r="C713" t="str">
            <v>ASSET</v>
          </cell>
          <cell r="D713" t="str">
            <v>BALANCE SHEET</v>
          </cell>
          <cell r="E713" t="str">
            <v>BANK CASH PTT A/C</v>
          </cell>
          <cell r="F713">
            <v>0</v>
          </cell>
          <cell r="G713" t="str">
            <v>CURRENT ASSETS, LOANS AND ADVANCES</v>
          </cell>
          <cell r="H713" t="str">
            <v>CASH AND BANK BALANCES</v>
          </cell>
          <cell r="I713" t="str">
            <v>BANK ACCOUNTS- CURRENT</v>
          </cell>
        </row>
        <row r="714">
          <cell r="A714" t="str">
            <v>A702099</v>
          </cell>
          <cell r="B714" t="str">
            <v>BANK INTERIM ACCOUNT</v>
          </cell>
          <cell r="C714" t="str">
            <v>ASSET</v>
          </cell>
          <cell r="D714" t="str">
            <v>BALANCE SHEET</v>
          </cell>
          <cell r="E714" t="str">
            <v>BANK CASH PTT A/C</v>
          </cell>
          <cell r="F714">
            <v>0</v>
          </cell>
          <cell r="G714" t="str">
            <v>CURRENT ASSETS, LOANS AND ADVANCES</v>
          </cell>
          <cell r="H714" t="str">
            <v>CASH AND BANK BALANCES</v>
          </cell>
          <cell r="I714" t="str">
            <v>BANK ACCOUNTS- CURRENT</v>
          </cell>
        </row>
        <row r="715">
          <cell r="A715" t="str">
            <v>A702100</v>
          </cell>
          <cell r="B715" t="str">
            <v>UTI Bank Hyderabad</v>
          </cell>
          <cell r="C715" t="str">
            <v>ASSET</v>
          </cell>
          <cell r="D715" t="str">
            <v>BALANCE SHEET</v>
          </cell>
          <cell r="E715" t="str">
            <v>BANK CASH PTT A/C</v>
          </cell>
          <cell r="F715">
            <v>0</v>
          </cell>
          <cell r="G715" t="str">
            <v>CURRENT ASSETS, LOANS AND ADVANCES</v>
          </cell>
          <cell r="H715" t="str">
            <v>CASH AND BANK BALANCES</v>
          </cell>
          <cell r="I715" t="str">
            <v>BANK ACCOUNTS- CURRENT</v>
          </cell>
        </row>
        <row r="716">
          <cell r="A716" t="str">
            <v>A702101</v>
          </cell>
          <cell r="B716" t="str">
            <v>UTI Bank Bangalore</v>
          </cell>
          <cell r="C716" t="str">
            <v>ASSET</v>
          </cell>
          <cell r="D716" t="str">
            <v>BALANCE SHEET</v>
          </cell>
          <cell r="E716" t="str">
            <v>BANK CASH PTT A/C</v>
          </cell>
          <cell r="F716">
            <v>0</v>
          </cell>
          <cell r="G716" t="str">
            <v>CURRENT ASSETS, LOANS AND ADVANCES</v>
          </cell>
          <cell r="H716" t="str">
            <v>CASH AND BANK BALANCES</v>
          </cell>
          <cell r="I716" t="str">
            <v>BANK ACCOUNTS- CURRENT</v>
          </cell>
        </row>
        <row r="717">
          <cell r="A717" t="str">
            <v>A702102</v>
          </cell>
          <cell r="B717" t="str">
            <v>Corporation Bank Sikandarpur Gurgaon</v>
          </cell>
          <cell r="C717" t="str">
            <v>ASSET</v>
          </cell>
          <cell r="D717" t="str">
            <v>BALANCE SHEET</v>
          </cell>
          <cell r="E717" t="str">
            <v>BANK CASH PTT A/C</v>
          </cell>
          <cell r="F717">
            <v>0</v>
          </cell>
          <cell r="G717" t="str">
            <v>CURRENT ASSETS, LOANS AND ADVANCES</v>
          </cell>
          <cell r="H717" t="str">
            <v>CASH AND BANK BALANCES</v>
          </cell>
          <cell r="I717" t="str">
            <v>BANK ACCOUNTS- CURRENT</v>
          </cell>
        </row>
        <row r="718">
          <cell r="A718" t="str">
            <v>A702103</v>
          </cell>
          <cell r="B718" t="str">
            <v>Corporation Bank Sikandarpur Gurgaon</v>
          </cell>
          <cell r="C718" t="str">
            <v>ASSET</v>
          </cell>
          <cell r="D718" t="str">
            <v>BALANCE SHEET</v>
          </cell>
          <cell r="E718" t="str">
            <v>BANK CASH PTT A/C</v>
          </cell>
          <cell r="F718">
            <v>0</v>
          </cell>
          <cell r="G718" t="str">
            <v>CURRENT ASSETS, LOANS AND ADVANCES</v>
          </cell>
          <cell r="H718" t="str">
            <v>CASH AND BANK BALANCES</v>
          </cell>
          <cell r="I718" t="str">
            <v>BANK ACCOUNTS- CURRENT</v>
          </cell>
        </row>
        <row r="719">
          <cell r="A719" t="str">
            <v>A702104</v>
          </cell>
          <cell r="B719" t="str">
            <v>Corporation Bank Sikandarpur Gurgaon</v>
          </cell>
          <cell r="C719" t="str">
            <v>ASSET</v>
          </cell>
          <cell r="D719" t="str">
            <v>BALANCE SHEET</v>
          </cell>
          <cell r="E719" t="str">
            <v>BANK CASH PTT A/C</v>
          </cell>
          <cell r="F719">
            <v>0</v>
          </cell>
          <cell r="G719" t="str">
            <v>CURRENT ASSETS, LOANS AND ADVANCES</v>
          </cell>
          <cell r="H719" t="str">
            <v>CASH AND BANK BALANCES</v>
          </cell>
          <cell r="I719" t="str">
            <v>BANK ACCOUNTS- CURRENT</v>
          </cell>
        </row>
        <row r="720">
          <cell r="A720" t="str">
            <v>A702105</v>
          </cell>
          <cell r="B720" t="str">
            <v>Corporation Bank Sikandarpur Gurgaon</v>
          </cell>
          <cell r="C720" t="str">
            <v>ASSET</v>
          </cell>
          <cell r="D720" t="str">
            <v>BALANCE SHEET</v>
          </cell>
          <cell r="E720" t="str">
            <v>BANK CASH PTT A/C</v>
          </cell>
          <cell r="F720">
            <v>0</v>
          </cell>
          <cell r="G720" t="str">
            <v>CURRENT ASSETS, LOANS AND ADVANCES</v>
          </cell>
          <cell r="H720" t="str">
            <v>CASH AND BANK BALANCES</v>
          </cell>
          <cell r="I720" t="str">
            <v>BANK ACCOUNTS- CURRENT</v>
          </cell>
        </row>
        <row r="721">
          <cell r="A721" t="str">
            <v>A702106</v>
          </cell>
          <cell r="B721" t="str">
            <v>Corporation Bank Sikandarpur Gurgaon</v>
          </cell>
          <cell r="C721" t="str">
            <v>ASSET</v>
          </cell>
          <cell r="D721" t="str">
            <v>BALANCE SHEET</v>
          </cell>
          <cell r="E721" t="str">
            <v>BANK CASH PTT A/C</v>
          </cell>
          <cell r="F721">
            <v>0</v>
          </cell>
          <cell r="G721" t="str">
            <v>CURRENT ASSETS, LOANS AND ADVANCES</v>
          </cell>
          <cell r="H721" t="str">
            <v>CASH AND BANK BALANCES</v>
          </cell>
          <cell r="I721" t="str">
            <v>BANK ACCOUNTS- CURRENT</v>
          </cell>
        </row>
        <row r="722">
          <cell r="A722" t="str">
            <v>A702107</v>
          </cell>
          <cell r="B722" t="str">
            <v>Corporation Bank Sikandarpur Gurgaon</v>
          </cell>
          <cell r="C722" t="str">
            <v>ASSET</v>
          </cell>
          <cell r="D722" t="str">
            <v>BALANCE SHEET</v>
          </cell>
          <cell r="E722" t="str">
            <v>BANK CASH PTT A/C</v>
          </cell>
          <cell r="F722">
            <v>0</v>
          </cell>
          <cell r="G722" t="str">
            <v>CURRENT ASSETS, LOANS AND ADVANCES</v>
          </cell>
          <cell r="H722" t="str">
            <v>CASH AND BANK BALANCES</v>
          </cell>
          <cell r="I722" t="str">
            <v>BANK ACCOUNTS- CURRENT</v>
          </cell>
        </row>
        <row r="723">
          <cell r="A723" t="str">
            <v>A702108</v>
          </cell>
          <cell r="B723" t="str">
            <v>Corporation Bank Sikandarpur Gurgaon</v>
          </cell>
          <cell r="C723" t="str">
            <v>ASSET</v>
          </cell>
          <cell r="D723" t="str">
            <v>BALANCE SHEET</v>
          </cell>
          <cell r="E723" t="str">
            <v>BANK CASH PTT A/C</v>
          </cell>
          <cell r="F723">
            <v>0</v>
          </cell>
          <cell r="G723" t="str">
            <v>CURRENT ASSETS, LOANS AND ADVANCES</v>
          </cell>
          <cell r="H723" t="str">
            <v>CASH AND BANK BALANCES</v>
          </cell>
          <cell r="I723" t="str">
            <v>BANK ACCOUNTS- CURRENT</v>
          </cell>
        </row>
        <row r="724">
          <cell r="A724" t="str">
            <v>A702109</v>
          </cell>
          <cell r="B724" t="str">
            <v>Corporation Bank Sikandarpur Gurgaon</v>
          </cell>
          <cell r="C724" t="str">
            <v>ASSET</v>
          </cell>
          <cell r="D724" t="str">
            <v>BALANCE SHEET</v>
          </cell>
          <cell r="E724" t="str">
            <v>BANK CASH PTT A/C</v>
          </cell>
          <cell r="F724">
            <v>0</v>
          </cell>
          <cell r="G724" t="str">
            <v>CURRENT ASSETS, LOANS AND ADVANCES</v>
          </cell>
          <cell r="H724" t="str">
            <v>CASH AND BANK BALANCES</v>
          </cell>
          <cell r="I724" t="str">
            <v>BANK ACCOUNTS- CURRENT</v>
          </cell>
        </row>
        <row r="725">
          <cell r="A725" t="str">
            <v>A702110</v>
          </cell>
          <cell r="B725" t="str">
            <v>Corporation Bank Sikandarpur Gurgaon</v>
          </cell>
          <cell r="C725" t="str">
            <v>ASSET</v>
          </cell>
          <cell r="D725" t="str">
            <v>BALANCE SHEET</v>
          </cell>
          <cell r="E725" t="str">
            <v>BANK CASH PTT A/C</v>
          </cell>
          <cell r="F725">
            <v>0</v>
          </cell>
          <cell r="G725" t="str">
            <v>CURRENT ASSETS, LOANS AND ADVANCES</v>
          </cell>
          <cell r="H725" t="str">
            <v>CASH AND BANK BALANCES</v>
          </cell>
          <cell r="I725" t="str">
            <v>BANK ACCOUNTS- CURRENT</v>
          </cell>
        </row>
        <row r="726">
          <cell r="A726" t="str">
            <v>A702111</v>
          </cell>
          <cell r="B726" t="str">
            <v>HDFC Bank Shopping Mall Gurgaon</v>
          </cell>
          <cell r="C726" t="str">
            <v>ASSET</v>
          </cell>
          <cell r="D726" t="str">
            <v>BALANCE SHEET</v>
          </cell>
          <cell r="E726" t="str">
            <v>BANK CASH PTT A/C</v>
          </cell>
          <cell r="F726">
            <v>0</v>
          </cell>
          <cell r="G726" t="str">
            <v>CURRENT ASSETS, LOANS AND ADVANCES</v>
          </cell>
          <cell r="H726" t="str">
            <v>CASH AND BANK BALANCES</v>
          </cell>
          <cell r="I726" t="str">
            <v>BANK ACCOUNTS- CURRENT</v>
          </cell>
        </row>
        <row r="727">
          <cell r="A727" t="str">
            <v>A702112</v>
          </cell>
          <cell r="B727" t="str">
            <v>HDFC Bank Shopping Mall Gurgaon</v>
          </cell>
          <cell r="C727" t="str">
            <v>ASSET</v>
          </cell>
          <cell r="D727" t="str">
            <v>BALANCE SHEET</v>
          </cell>
          <cell r="E727" t="str">
            <v>BANK CASH PTT A/C</v>
          </cell>
          <cell r="F727">
            <v>0</v>
          </cell>
          <cell r="G727" t="str">
            <v>CURRENT ASSETS, LOANS AND ADVANCES</v>
          </cell>
          <cell r="H727" t="str">
            <v>CASH AND BANK BALANCES</v>
          </cell>
          <cell r="I727" t="str">
            <v>BANK ACCOUNTS- CURRENT</v>
          </cell>
        </row>
        <row r="728">
          <cell r="A728" t="str">
            <v>A702113</v>
          </cell>
          <cell r="B728" t="str">
            <v>HDFC Bank Shopping Mall Gurgaon</v>
          </cell>
          <cell r="C728" t="str">
            <v>ASSET</v>
          </cell>
          <cell r="D728" t="str">
            <v>BALANCE SHEET</v>
          </cell>
          <cell r="E728" t="str">
            <v>BANK CASH PTT A/C</v>
          </cell>
          <cell r="F728">
            <v>0</v>
          </cell>
          <cell r="G728" t="str">
            <v>CURRENT ASSETS, LOANS AND ADVANCES</v>
          </cell>
          <cell r="H728" t="str">
            <v>CASH AND BANK BALANCES</v>
          </cell>
          <cell r="I728" t="str">
            <v>BANK ACCOUNTS- CURRENT</v>
          </cell>
        </row>
        <row r="729">
          <cell r="A729" t="str">
            <v>A702114</v>
          </cell>
          <cell r="B729" t="str">
            <v>SBI Qutab Plaza Ph-1</v>
          </cell>
          <cell r="C729" t="str">
            <v>ASSET</v>
          </cell>
          <cell r="D729" t="str">
            <v>BALANCE SHEET</v>
          </cell>
          <cell r="E729" t="str">
            <v>BANK CASH PTT A/C</v>
          </cell>
          <cell r="F729">
            <v>0</v>
          </cell>
          <cell r="G729" t="str">
            <v>CURRENT ASSETS, LOANS AND ADVANCES</v>
          </cell>
          <cell r="H729" t="str">
            <v>CASH AND BANK BALANCES</v>
          </cell>
          <cell r="I729" t="str">
            <v>BANK ACCOUNTS- CURRENT</v>
          </cell>
        </row>
        <row r="730">
          <cell r="A730" t="str">
            <v>A702115</v>
          </cell>
          <cell r="B730" t="str">
            <v>SBI Sikandarpur Gurgaon</v>
          </cell>
          <cell r="C730" t="str">
            <v>ASSET</v>
          </cell>
          <cell r="D730" t="str">
            <v>BALANCE SHEET</v>
          </cell>
          <cell r="E730" t="str">
            <v>BANK CASH PTT A/C</v>
          </cell>
          <cell r="F730">
            <v>0</v>
          </cell>
          <cell r="G730" t="str">
            <v>CURRENT ASSETS, LOANS AND ADVANCES</v>
          </cell>
          <cell r="H730" t="str">
            <v>CASH AND BANK BALANCES</v>
          </cell>
          <cell r="I730" t="str">
            <v>BANK ACCOUNTS- CURRENT</v>
          </cell>
        </row>
        <row r="731">
          <cell r="A731" t="str">
            <v>A702116</v>
          </cell>
          <cell r="B731" t="str">
            <v>ICICI Bank Qutab Plaza Ph1 Gurgaon</v>
          </cell>
          <cell r="C731" t="str">
            <v>ASSET</v>
          </cell>
          <cell r="D731" t="str">
            <v>BALANCE SHEET</v>
          </cell>
          <cell r="E731" t="str">
            <v>BANK CASH PTT A/C</v>
          </cell>
          <cell r="F731">
            <v>0</v>
          </cell>
          <cell r="G731" t="str">
            <v>CURRENT ASSETS, LOANS AND ADVANCES</v>
          </cell>
          <cell r="H731" t="str">
            <v>CASH AND BANK BALANCES</v>
          </cell>
          <cell r="I731" t="str">
            <v>BANK ACCOUNTS- CURRENT</v>
          </cell>
        </row>
        <row r="732">
          <cell r="A732" t="str">
            <v>A702117</v>
          </cell>
          <cell r="B732" t="str">
            <v>ICICI Bank - Chandigarh</v>
          </cell>
          <cell r="C732" t="str">
            <v>ASSET</v>
          </cell>
          <cell r="D732" t="str">
            <v>BALANCE SHEET</v>
          </cell>
          <cell r="E732" t="str">
            <v>BANK CASH PTT A/C</v>
          </cell>
          <cell r="F732">
            <v>0</v>
          </cell>
          <cell r="G732" t="str">
            <v>CURRENT ASSETS, LOANS AND ADVANCES</v>
          </cell>
          <cell r="H732" t="str">
            <v>CASH AND BANK BALANCES</v>
          </cell>
          <cell r="I732" t="str">
            <v>BANK ACCOUNTS- CURRENT</v>
          </cell>
        </row>
        <row r="733">
          <cell r="A733" t="str">
            <v>A702118</v>
          </cell>
          <cell r="B733" t="str">
            <v>STATE BANK OF INDIA - KOLKATA</v>
          </cell>
          <cell r="C733" t="str">
            <v>ASSET</v>
          </cell>
          <cell r="D733" t="str">
            <v>BALANCE SHEET</v>
          </cell>
          <cell r="E733" t="str">
            <v>BANK CASH PTT A/C</v>
          </cell>
          <cell r="F733">
            <v>0</v>
          </cell>
          <cell r="G733" t="str">
            <v>CURRENT ASSETS, LOANS AND ADVANCES</v>
          </cell>
          <cell r="H733" t="str">
            <v>CASH AND BANK BALANCES</v>
          </cell>
          <cell r="I733" t="str">
            <v>BANK ACCOUNTS- CURRENT</v>
          </cell>
        </row>
        <row r="734">
          <cell r="A734" t="str">
            <v>A702119</v>
          </cell>
          <cell r="B734" t="str">
            <v>Bank of India Khan Market</v>
          </cell>
          <cell r="C734" t="str">
            <v>ASSET</v>
          </cell>
          <cell r="D734" t="str">
            <v>BALANCE SHEET</v>
          </cell>
          <cell r="E734" t="str">
            <v>BANK CASH PTT A/C</v>
          </cell>
          <cell r="F734">
            <v>0</v>
          </cell>
          <cell r="G734" t="str">
            <v>CURRENT ASSETS, LOANS AND ADVANCES</v>
          </cell>
          <cell r="H734" t="str">
            <v>CASH AND BANK BALANCES</v>
          </cell>
          <cell r="I734" t="str">
            <v>BANK ACCOUNTS- CURRENT</v>
          </cell>
        </row>
        <row r="735">
          <cell r="A735" t="str">
            <v>A702120</v>
          </cell>
          <cell r="B735" t="str">
            <v>ICICI Bank 9A CP</v>
          </cell>
          <cell r="C735" t="str">
            <v>ASSET</v>
          </cell>
          <cell r="D735" t="str">
            <v>BALANCE SHEET</v>
          </cell>
          <cell r="E735" t="str">
            <v>BANK CASH PTT A/C</v>
          </cell>
          <cell r="F735">
            <v>0</v>
          </cell>
          <cell r="G735" t="str">
            <v>CURRENT ASSETS, LOANS AND ADVANCES</v>
          </cell>
          <cell r="H735" t="str">
            <v>CASH AND BANK BALANCES</v>
          </cell>
          <cell r="I735" t="str">
            <v>BANK ACCOUNTS- CURRENT</v>
          </cell>
        </row>
        <row r="736">
          <cell r="A736" t="str">
            <v>A702121</v>
          </cell>
          <cell r="B736" t="str">
            <v>ICICI Bank 9A CP</v>
          </cell>
          <cell r="C736" t="str">
            <v>ASSET</v>
          </cell>
          <cell r="D736" t="str">
            <v>BALANCE SHEET</v>
          </cell>
          <cell r="E736" t="str">
            <v>BANK CASH PTT A/C</v>
          </cell>
          <cell r="F736">
            <v>0</v>
          </cell>
          <cell r="G736" t="str">
            <v>CURRENT ASSETS, LOANS AND ADVANCES</v>
          </cell>
          <cell r="H736" t="str">
            <v>CASH AND BANK BALANCES</v>
          </cell>
          <cell r="I736" t="str">
            <v>BANK ACCOUNTS- CURRENT</v>
          </cell>
        </row>
        <row r="737">
          <cell r="A737" t="str">
            <v>A702122</v>
          </cell>
          <cell r="B737" t="str">
            <v>ICICI Bank 9A CP</v>
          </cell>
          <cell r="C737" t="str">
            <v>ASSET</v>
          </cell>
          <cell r="D737" t="str">
            <v>BALANCE SHEET</v>
          </cell>
          <cell r="E737" t="str">
            <v>BANK CASH PTT A/C</v>
          </cell>
          <cell r="F737">
            <v>0</v>
          </cell>
          <cell r="G737" t="str">
            <v>CURRENT ASSETS, LOANS AND ADVANCES</v>
          </cell>
          <cell r="H737" t="str">
            <v>CASH AND BANK BALANCES</v>
          </cell>
          <cell r="I737" t="str">
            <v>BANK ACCOUNTS- CURRENT</v>
          </cell>
        </row>
        <row r="738">
          <cell r="A738" t="str">
            <v>A702123</v>
          </cell>
          <cell r="B738" t="str">
            <v>UTI Escro A/C</v>
          </cell>
          <cell r="C738" t="str">
            <v>ASSET</v>
          </cell>
          <cell r="D738" t="str">
            <v>BALANCE SHEET</v>
          </cell>
          <cell r="E738" t="str">
            <v>BANK CASH PTT A/C</v>
          </cell>
          <cell r="F738">
            <v>0</v>
          </cell>
          <cell r="G738" t="str">
            <v>CURRENT ASSETS, LOANS AND ADVANCES</v>
          </cell>
          <cell r="H738" t="str">
            <v>CASH AND BANK BALANCES</v>
          </cell>
          <cell r="I738" t="str">
            <v>BANK ACCOUNTS- CURRENT</v>
          </cell>
        </row>
        <row r="739">
          <cell r="A739" t="str">
            <v>A702124</v>
          </cell>
          <cell r="B739" t="str">
            <v>ING Vysya Escro A/C</v>
          </cell>
          <cell r="C739" t="str">
            <v>ASSET</v>
          </cell>
          <cell r="D739" t="str">
            <v>BALANCE SHEET</v>
          </cell>
          <cell r="E739" t="str">
            <v>BANK CASH PTT A/C</v>
          </cell>
          <cell r="F739">
            <v>0</v>
          </cell>
          <cell r="G739" t="str">
            <v>CURRENT ASSETS, LOANS AND ADVANCES</v>
          </cell>
          <cell r="H739" t="str">
            <v>CASH AND BANK BALANCES</v>
          </cell>
          <cell r="I739" t="str">
            <v>BANK ACCOUNTS- CURRENT</v>
          </cell>
        </row>
        <row r="740">
          <cell r="A740" t="str">
            <v>A702125</v>
          </cell>
          <cell r="B740" t="str">
            <v>HDFC Bank Shopping Mall Gurgaon</v>
          </cell>
          <cell r="C740" t="str">
            <v>ASSET</v>
          </cell>
          <cell r="D740" t="str">
            <v>BALANCE SHEET</v>
          </cell>
          <cell r="E740" t="str">
            <v>BANK CASH PTT A/C</v>
          </cell>
          <cell r="F740">
            <v>0</v>
          </cell>
          <cell r="G740" t="str">
            <v>CURRENT ASSETS, LOANS AND ADVANCES</v>
          </cell>
          <cell r="H740" t="str">
            <v>CASH AND BANK BALANCES</v>
          </cell>
          <cell r="I740" t="str">
            <v>BANK ACCOUNTS- CURRENT</v>
          </cell>
        </row>
        <row r="741">
          <cell r="A741" t="str">
            <v>A702126</v>
          </cell>
          <cell r="B741" t="str">
            <v>HDFC Bank Salt Lake City Kolkota</v>
          </cell>
          <cell r="C741" t="str">
            <v>ASSET</v>
          </cell>
          <cell r="D741" t="str">
            <v>BALANCE SHEET</v>
          </cell>
          <cell r="E741" t="str">
            <v>BANK CASH PTT A/C</v>
          </cell>
          <cell r="F741">
            <v>0</v>
          </cell>
          <cell r="G741" t="str">
            <v>CURRENT ASSETS, LOANS AND ADVANCES</v>
          </cell>
          <cell r="H741" t="str">
            <v>CASH AND BANK BALANCES</v>
          </cell>
          <cell r="I741" t="str">
            <v>BANK ACCOUNTS- CURRENT</v>
          </cell>
        </row>
        <row r="742">
          <cell r="A742" t="str">
            <v>A702127</v>
          </cell>
          <cell r="B742" t="str">
            <v>Centurion Bank of Punjab CP</v>
          </cell>
          <cell r="C742" t="str">
            <v>ASSET</v>
          </cell>
          <cell r="D742" t="str">
            <v>BALANCE SHEET</v>
          </cell>
          <cell r="E742" t="str">
            <v>BANK CASH PTT A/C</v>
          </cell>
          <cell r="F742">
            <v>0</v>
          </cell>
          <cell r="G742" t="str">
            <v>CURRENT ASSETS, LOANS AND ADVANCES</v>
          </cell>
          <cell r="H742" t="str">
            <v>CASH AND BANK BALANCES</v>
          </cell>
          <cell r="I742" t="str">
            <v>BANK ACCOUNTS- CURRENT</v>
          </cell>
        </row>
        <row r="743">
          <cell r="A743" t="str">
            <v>A702128</v>
          </cell>
          <cell r="B743" t="str">
            <v>ICICI Bank Mylapore Chennai</v>
          </cell>
          <cell r="C743" t="str">
            <v>ASSET</v>
          </cell>
          <cell r="D743" t="str">
            <v>BALANCE SHEET</v>
          </cell>
          <cell r="E743" t="str">
            <v>BANK CASH PTT A/C</v>
          </cell>
          <cell r="F743">
            <v>0</v>
          </cell>
          <cell r="G743" t="str">
            <v>CURRENT ASSETS, LOANS AND ADVANCES</v>
          </cell>
          <cell r="H743" t="str">
            <v>CASH AND BANK BALANCES</v>
          </cell>
          <cell r="I743" t="str">
            <v>BANK ACCOUNTS- CURRENT</v>
          </cell>
        </row>
        <row r="744">
          <cell r="A744" t="str">
            <v>A702129</v>
          </cell>
          <cell r="B744" t="str">
            <v>ICICI Sec 54 Gurgaon</v>
          </cell>
          <cell r="C744" t="str">
            <v>ASSET</v>
          </cell>
          <cell r="D744" t="str">
            <v>BALANCE SHEET</v>
          </cell>
          <cell r="E744" t="str">
            <v>BANK CASH PTT A/C</v>
          </cell>
          <cell r="F744">
            <v>0</v>
          </cell>
          <cell r="G744" t="str">
            <v>CURRENT ASSETS, LOANS AND ADVANCES</v>
          </cell>
          <cell r="H744" t="str">
            <v>CASH AND BANK BALANCES</v>
          </cell>
          <cell r="I744" t="str">
            <v>BANK ACCOUNTS- CURRENT</v>
          </cell>
        </row>
        <row r="745">
          <cell r="A745" t="str">
            <v>A702130</v>
          </cell>
          <cell r="B745" t="str">
            <v>Central Bank of India Janpath</v>
          </cell>
          <cell r="C745" t="str">
            <v>ASSET</v>
          </cell>
          <cell r="D745" t="str">
            <v>BALANCE SHEET</v>
          </cell>
          <cell r="E745" t="str">
            <v>BANK CASH PTT A/C</v>
          </cell>
          <cell r="F745">
            <v>0</v>
          </cell>
          <cell r="G745" t="str">
            <v>CURRENT ASSETS, LOANS AND ADVANCES</v>
          </cell>
          <cell r="H745" t="str">
            <v>CASH AND BANK BALANCES</v>
          </cell>
          <cell r="I745" t="str">
            <v>BANK ACCOUNTS- CURRENT</v>
          </cell>
        </row>
        <row r="746">
          <cell r="A746" t="str">
            <v>A702131</v>
          </cell>
          <cell r="B746" t="str">
            <v>Bank of India Janpath</v>
          </cell>
          <cell r="C746" t="str">
            <v>ASSET</v>
          </cell>
          <cell r="D746" t="str">
            <v>BALANCE SHEET</v>
          </cell>
          <cell r="E746" t="str">
            <v>BANK CASH PTT A/C</v>
          </cell>
          <cell r="F746">
            <v>0</v>
          </cell>
          <cell r="G746" t="str">
            <v>CURRENT ASSETS, LOANS AND ADVANCES</v>
          </cell>
          <cell r="H746" t="str">
            <v>CASH AND BANK BALANCES</v>
          </cell>
          <cell r="I746" t="str">
            <v>BANK ACCOUNTS- CURRENT</v>
          </cell>
        </row>
        <row r="747">
          <cell r="A747" t="str">
            <v>A702132</v>
          </cell>
          <cell r="B747" t="str">
            <v>ICICI Bank Kochi</v>
          </cell>
          <cell r="C747" t="str">
            <v>ASSET</v>
          </cell>
          <cell r="D747" t="str">
            <v>BALANCE SHEET</v>
          </cell>
          <cell r="E747" t="str">
            <v>BANK CASH PTT A/C</v>
          </cell>
          <cell r="F747">
            <v>0</v>
          </cell>
          <cell r="G747" t="str">
            <v>CURRENT ASSETS, LOANS AND ADVANCES</v>
          </cell>
          <cell r="H747" t="str">
            <v>CASH AND BANK BALANCES</v>
          </cell>
          <cell r="I747" t="str">
            <v>BANK ACCOUNTS- CURRENT</v>
          </cell>
        </row>
        <row r="748">
          <cell r="A748" t="str">
            <v>A702133</v>
          </cell>
          <cell r="B748" t="str">
            <v>ICICI Bank Kochi (Current A/c)</v>
          </cell>
          <cell r="C748" t="str">
            <v>ASSET</v>
          </cell>
          <cell r="D748" t="str">
            <v>BALANCE SHEET</v>
          </cell>
          <cell r="E748" t="str">
            <v>BANK CASH PTT A/C</v>
          </cell>
          <cell r="F748">
            <v>0</v>
          </cell>
          <cell r="G748" t="str">
            <v>CURRENT ASSETS, LOANS AND ADVANCES</v>
          </cell>
          <cell r="H748" t="str">
            <v>CASH AND BANK BALANCES</v>
          </cell>
          <cell r="I748" t="str">
            <v>BANK ACCOUNTS- CURRENT</v>
          </cell>
        </row>
        <row r="749">
          <cell r="A749" t="str">
            <v>A702134</v>
          </cell>
          <cell r="B749" t="str">
            <v>ICICI BANK SALT LAKE CITY</v>
          </cell>
          <cell r="C749" t="str">
            <v>ASSET</v>
          </cell>
          <cell r="D749" t="str">
            <v>BALANCE SHEET</v>
          </cell>
          <cell r="E749" t="str">
            <v>BANK CASH PTT A/C</v>
          </cell>
          <cell r="F749">
            <v>0</v>
          </cell>
          <cell r="G749" t="str">
            <v>CURRENT ASSETS, LOANS AND ADVANCES</v>
          </cell>
          <cell r="H749" t="str">
            <v>CASH AND BANK BALANCES</v>
          </cell>
          <cell r="I749" t="str">
            <v>BANK ACCOUNTS- CURRENT</v>
          </cell>
        </row>
        <row r="750">
          <cell r="A750" t="str">
            <v>A702135</v>
          </cell>
          <cell r="B750" t="str">
            <v>CITI Bank DLF Square Gurgaon</v>
          </cell>
          <cell r="C750" t="str">
            <v>ASSET</v>
          </cell>
          <cell r="D750" t="str">
            <v>BALANCE SHEET</v>
          </cell>
          <cell r="E750" t="str">
            <v>BANK CASH PTT A/C</v>
          </cell>
          <cell r="F750">
            <v>0</v>
          </cell>
          <cell r="G750" t="str">
            <v>CURRENT ASSETS, LOANS AND ADVANCES</v>
          </cell>
          <cell r="H750" t="str">
            <v>CASH AND BANK BALANCES</v>
          </cell>
          <cell r="I750" t="str">
            <v>BANK ACCOUNTS- CURRENT</v>
          </cell>
        </row>
        <row r="751">
          <cell r="A751" t="str">
            <v>A702136</v>
          </cell>
          <cell r="B751" t="str">
            <v>SBI Chandigarh</v>
          </cell>
          <cell r="C751" t="str">
            <v>ASSET</v>
          </cell>
          <cell r="D751" t="str">
            <v>BALANCE SHEET</v>
          </cell>
          <cell r="E751" t="str">
            <v>BANK CASH PTT A/C</v>
          </cell>
          <cell r="F751">
            <v>0</v>
          </cell>
          <cell r="G751" t="str">
            <v>CURRENT ASSETS, LOANS AND ADVANCES</v>
          </cell>
          <cell r="H751" t="str">
            <v>CASH AND BANK BALANCES</v>
          </cell>
          <cell r="I751" t="str">
            <v>BANK ACCOUNTS- CURRENT</v>
          </cell>
        </row>
        <row r="752">
          <cell r="A752" t="str">
            <v>A702137</v>
          </cell>
          <cell r="B752" t="str">
            <v>SBI MG Road Gurgaon</v>
          </cell>
          <cell r="C752" t="str">
            <v>ASSET</v>
          </cell>
          <cell r="D752" t="str">
            <v>BALANCE SHEET</v>
          </cell>
          <cell r="E752" t="str">
            <v>BANK CASH PTT A/C</v>
          </cell>
          <cell r="F752">
            <v>0</v>
          </cell>
          <cell r="G752" t="str">
            <v>CURRENT ASSETS, LOANS AND ADVANCES</v>
          </cell>
          <cell r="H752" t="str">
            <v>CASH AND BANK BALANCES</v>
          </cell>
          <cell r="I752" t="str">
            <v>BANK ACCOUNTS- CURRENT</v>
          </cell>
        </row>
        <row r="753">
          <cell r="A753" t="str">
            <v>A702138</v>
          </cell>
          <cell r="B753" t="str">
            <v>B.K.M.E</v>
          </cell>
          <cell r="C753" t="str">
            <v>ASSET</v>
          </cell>
          <cell r="D753" t="str">
            <v>BALANCE SHEET</v>
          </cell>
          <cell r="E753" t="str">
            <v>BANK CASH PTT A/C</v>
          </cell>
          <cell r="G753" t="str">
            <v>CURRENT ASSETS, LOANS AND ADVANCES</v>
          </cell>
          <cell r="H753" t="str">
            <v>CASH AND BANK BALANCES</v>
          </cell>
          <cell r="I753" t="str">
            <v>BANK ACCOUNTS- CURRENT</v>
          </cell>
        </row>
        <row r="754">
          <cell r="A754" t="str">
            <v>A702139</v>
          </cell>
          <cell r="B754" t="str">
            <v>CITIBANK-LRD</v>
          </cell>
          <cell r="C754" t="str">
            <v>ASSET</v>
          </cell>
          <cell r="D754" t="str">
            <v>BALANCE SHEET</v>
          </cell>
          <cell r="E754" t="str">
            <v>BANK CASH PTT A/C</v>
          </cell>
          <cell r="G754" t="str">
            <v>CURRENT ASSETS, LOANS AND ADVANCES</v>
          </cell>
          <cell r="H754" t="str">
            <v>CASH AND BANK BALANCES</v>
          </cell>
          <cell r="I754" t="str">
            <v>BANK ACCOUNTS- CURRENT</v>
          </cell>
        </row>
        <row r="755">
          <cell r="A755" t="str">
            <v>A702140</v>
          </cell>
          <cell r="B755" t="str">
            <v>CANARA BANK</v>
          </cell>
          <cell r="C755" t="str">
            <v>ASSET</v>
          </cell>
          <cell r="D755" t="str">
            <v>BALANCE SHEET</v>
          </cell>
          <cell r="E755" t="str">
            <v>BANK CASH PTT A/C</v>
          </cell>
          <cell r="G755" t="str">
            <v>CURRENT ASSETS, LOANS AND ADVANCES</v>
          </cell>
          <cell r="H755" t="str">
            <v>CASH AND BANK BALANCES</v>
          </cell>
          <cell r="I755" t="str">
            <v>BANK ACCOUNTS- CURRENT</v>
          </cell>
        </row>
        <row r="756">
          <cell r="A756" t="str">
            <v>A702141</v>
          </cell>
          <cell r="B756" t="str">
            <v>ICICI BANK</v>
          </cell>
          <cell r="C756" t="str">
            <v>ASSET</v>
          </cell>
          <cell r="D756" t="str">
            <v>BALANCE SHEET</v>
          </cell>
          <cell r="E756" t="str">
            <v>BANK CASH PTT A/C</v>
          </cell>
          <cell r="G756" t="str">
            <v>CURRENT ASSETS, LOANS AND ADVANCES</v>
          </cell>
          <cell r="H756" t="str">
            <v>CASH AND BANK BALANCES</v>
          </cell>
          <cell r="I756" t="str">
            <v>BANK ACCOUNTS- CURRENT</v>
          </cell>
        </row>
        <row r="757">
          <cell r="A757" t="str">
            <v>A702142</v>
          </cell>
          <cell r="B757" t="str">
            <v>CORPORATION BANK, SIKANDERPUR</v>
          </cell>
          <cell r="C757" t="str">
            <v>ASSET</v>
          </cell>
          <cell r="D757" t="str">
            <v>BALANCE SHEET</v>
          </cell>
          <cell r="E757" t="str">
            <v>BANK CASH PTT A/C</v>
          </cell>
          <cell r="G757" t="str">
            <v>CURRENT ASSETS, LOANS AND ADVANCES</v>
          </cell>
          <cell r="H757" t="str">
            <v>CASH AND BANK BALANCES</v>
          </cell>
          <cell r="I757" t="str">
            <v>BANK ACCOUNTS- CURRENT</v>
          </cell>
        </row>
        <row r="758">
          <cell r="A758" t="str">
            <v>A702143</v>
          </cell>
          <cell r="B758" t="str">
            <v>CORPORATION BANK, SIKANDERPUR</v>
          </cell>
          <cell r="C758" t="str">
            <v>ASSET</v>
          </cell>
          <cell r="D758" t="str">
            <v>BALANCE SHEET</v>
          </cell>
          <cell r="E758" t="str">
            <v>BANK CASH PTT A/C</v>
          </cell>
          <cell r="G758" t="str">
            <v>CURRENT ASSETS, LOANS AND ADVANCES</v>
          </cell>
          <cell r="H758" t="str">
            <v>CASH AND BANK BALANCES</v>
          </cell>
          <cell r="I758" t="str">
            <v>BANK ACCOUNTS- CURRENT</v>
          </cell>
        </row>
        <row r="759">
          <cell r="A759" t="str">
            <v>A702144</v>
          </cell>
          <cell r="B759" t="str">
            <v>CORPORATION BANK, SIKANDERPUR</v>
          </cell>
          <cell r="C759" t="str">
            <v>ASSET</v>
          </cell>
          <cell r="D759" t="str">
            <v>BALANCE SHEET</v>
          </cell>
          <cell r="E759" t="str">
            <v>BANK CASH PTT A/C</v>
          </cell>
          <cell r="G759" t="str">
            <v>CURRENT ASSETS, LOANS AND ADVANCES</v>
          </cell>
          <cell r="H759" t="str">
            <v>CASH AND BANK BALANCES</v>
          </cell>
          <cell r="I759" t="str">
            <v>BANK ACCOUNTS- CURRENT</v>
          </cell>
        </row>
        <row r="760">
          <cell r="A760" t="str">
            <v>A702145</v>
          </cell>
          <cell r="B760" t="str">
            <v>CORPORATION BANK, SIKANDERPUR</v>
          </cell>
          <cell r="C760" t="str">
            <v>ASSET</v>
          </cell>
          <cell r="D760" t="str">
            <v>BALANCE SHEET</v>
          </cell>
          <cell r="E760" t="str">
            <v>BANK CASH PTT A/C</v>
          </cell>
          <cell r="G760" t="str">
            <v>CURRENT ASSETS, LOANS AND ADVANCES</v>
          </cell>
          <cell r="H760" t="str">
            <v>CASH AND BANK BALANCES</v>
          </cell>
          <cell r="I760" t="str">
            <v>BANK ACCOUNTS- CURRENT</v>
          </cell>
        </row>
        <row r="761">
          <cell r="A761" t="str">
            <v>A702146</v>
          </cell>
          <cell r="B761" t="str">
            <v>CORPORATION BANK, SIKANDERPUR</v>
          </cell>
          <cell r="C761" t="str">
            <v>ASSET</v>
          </cell>
          <cell r="D761" t="str">
            <v>BALANCE SHEET</v>
          </cell>
          <cell r="E761" t="str">
            <v>BANK CASH PTT A/C</v>
          </cell>
          <cell r="G761" t="str">
            <v>CURRENT ASSETS, LOANS AND ADVANCES</v>
          </cell>
          <cell r="H761" t="str">
            <v>CASH AND BANK BALANCES</v>
          </cell>
          <cell r="I761" t="str">
            <v>BANK ACCOUNTS- CURRENT</v>
          </cell>
        </row>
        <row r="762">
          <cell r="A762" t="str">
            <v>A702147</v>
          </cell>
          <cell r="B762" t="str">
            <v>STATE BANK OF INDIA, MG ROAD, GURGAON</v>
          </cell>
          <cell r="C762" t="str">
            <v>ASSET</v>
          </cell>
          <cell r="D762" t="str">
            <v>BALANCE SHEET</v>
          </cell>
          <cell r="E762" t="str">
            <v>BANK CASH PTT A/C</v>
          </cell>
          <cell r="G762" t="str">
            <v>CURRENT ASSETS, LOANS AND ADVANCES</v>
          </cell>
          <cell r="H762" t="str">
            <v>CASH AND BANK BALANCES</v>
          </cell>
          <cell r="I762" t="str">
            <v>BANK ACCOUNTS- CURRENT</v>
          </cell>
        </row>
        <row r="763">
          <cell r="A763" t="str">
            <v>A702148</v>
          </cell>
          <cell r="B763" t="str">
            <v>CORPORATION BANK, SIKANDERPUR</v>
          </cell>
          <cell r="C763" t="str">
            <v>ASSET</v>
          </cell>
          <cell r="D763" t="str">
            <v>BALANCE SHEET</v>
          </cell>
          <cell r="E763" t="str">
            <v>BANK CASH PTT A/C</v>
          </cell>
          <cell r="G763" t="str">
            <v>CURRENT ASSETS, LOANS AND ADVANCES</v>
          </cell>
          <cell r="H763" t="str">
            <v>CASH AND BANK BALANCES</v>
          </cell>
          <cell r="I763" t="str">
            <v>BANK ACCOUNTS- CURRENT</v>
          </cell>
        </row>
        <row r="764">
          <cell r="A764" t="str">
            <v>A702149</v>
          </cell>
          <cell r="B764" t="str">
            <v>CORPORATION BANK, SIKANDERPUR</v>
          </cell>
          <cell r="C764" t="str">
            <v>ASSET</v>
          </cell>
          <cell r="D764" t="str">
            <v>BALANCE SHEET</v>
          </cell>
          <cell r="E764" t="str">
            <v>BANK CASH PTT A/C</v>
          </cell>
          <cell r="G764" t="str">
            <v>CURRENT ASSETS, LOANS AND ADVANCES</v>
          </cell>
          <cell r="H764" t="str">
            <v>CASH AND BANK BALANCES</v>
          </cell>
          <cell r="I764" t="str">
            <v>BANK ACCOUNTS- CURRENT</v>
          </cell>
        </row>
        <row r="765">
          <cell r="A765" t="str">
            <v>A702150</v>
          </cell>
          <cell r="B765" t="str">
            <v>CORPORATION BANK, SIKANDERPUR</v>
          </cell>
          <cell r="C765" t="str">
            <v>ASSET</v>
          </cell>
          <cell r="D765" t="str">
            <v>BALANCE SHEET</v>
          </cell>
          <cell r="E765" t="str">
            <v>BANK CASH PTT A/C</v>
          </cell>
          <cell r="G765" t="str">
            <v>CURRENT ASSETS, LOANS AND ADVANCES</v>
          </cell>
          <cell r="H765" t="str">
            <v>CASH AND BANK BALANCES</v>
          </cell>
          <cell r="I765" t="str">
            <v>BANK ACCOUNTS- CURRENT</v>
          </cell>
        </row>
        <row r="766">
          <cell r="A766" t="str">
            <v>A702151</v>
          </cell>
          <cell r="B766" t="str">
            <v>CORPORATION BANK, SIKANDERPUR</v>
          </cell>
          <cell r="C766" t="str">
            <v>ASSET</v>
          </cell>
          <cell r="D766" t="str">
            <v>BALANCE SHEET</v>
          </cell>
          <cell r="E766" t="str">
            <v>BANK CASH PTT A/C</v>
          </cell>
          <cell r="G766" t="str">
            <v>CURRENT ASSETS, LOANS AND ADVANCES</v>
          </cell>
          <cell r="H766" t="str">
            <v>CASH AND BANK BALANCES</v>
          </cell>
          <cell r="I766" t="str">
            <v>BANK ACCOUNTS- CURRENT</v>
          </cell>
        </row>
        <row r="767">
          <cell r="A767" t="str">
            <v>A702152</v>
          </cell>
          <cell r="B767" t="str">
            <v>CORPORATION BANK, SIKANDERPUR</v>
          </cell>
          <cell r="C767" t="str">
            <v>ASSET</v>
          </cell>
          <cell r="D767" t="str">
            <v>BALANCE SHEET</v>
          </cell>
          <cell r="E767" t="str">
            <v>BANK CASH PTT A/C</v>
          </cell>
          <cell r="G767" t="str">
            <v>CURRENT ASSETS, LOANS AND ADVANCES</v>
          </cell>
          <cell r="H767" t="str">
            <v>CASH AND BANK BALANCES</v>
          </cell>
          <cell r="I767" t="str">
            <v>BANK ACCOUNTS- CURRENT</v>
          </cell>
        </row>
        <row r="768">
          <cell r="A768" t="str">
            <v>A702153</v>
          </cell>
          <cell r="B768" t="str">
            <v>CORPORATION BANK, SIKANDERPUR</v>
          </cell>
          <cell r="C768" t="str">
            <v>ASSET</v>
          </cell>
          <cell r="D768" t="str">
            <v>BALANCE SHEET</v>
          </cell>
          <cell r="E768" t="str">
            <v>BANK CASH PTT A/C</v>
          </cell>
          <cell r="G768" t="str">
            <v>CURRENT ASSETS, LOANS AND ADVANCES</v>
          </cell>
          <cell r="H768" t="str">
            <v>CASH AND BANK BALANCES</v>
          </cell>
          <cell r="I768" t="str">
            <v>BANK ACCOUNTS- CURRENT</v>
          </cell>
        </row>
        <row r="769">
          <cell r="A769" t="str">
            <v>A702154</v>
          </cell>
          <cell r="B769" t="str">
            <v>CORPORATION BANK, SIKANDERPUR</v>
          </cell>
          <cell r="C769" t="str">
            <v>ASSET</v>
          </cell>
          <cell r="D769" t="str">
            <v>BALANCE SHEET</v>
          </cell>
          <cell r="E769" t="str">
            <v>BANK CASH PTT A/C</v>
          </cell>
          <cell r="G769" t="str">
            <v>CURRENT ASSETS, LOANS AND ADVANCES</v>
          </cell>
          <cell r="H769" t="str">
            <v>CASH AND BANK BALANCES</v>
          </cell>
          <cell r="I769" t="str">
            <v>BANK ACCOUNTS- CURRENT</v>
          </cell>
        </row>
        <row r="770">
          <cell r="A770" t="str">
            <v>A702155</v>
          </cell>
          <cell r="B770" t="str">
            <v>CORPORATION BANK, SIKANDERPUR</v>
          </cell>
          <cell r="C770" t="str">
            <v>ASSET</v>
          </cell>
          <cell r="D770" t="str">
            <v>BALANCE SHEET</v>
          </cell>
          <cell r="E770" t="str">
            <v>BANK CASH PTT A/C</v>
          </cell>
          <cell r="G770" t="str">
            <v>CURRENT ASSETS, LOANS AND ADVANCES</v>
          </cell>
          <cell r="H770" t="str">
            <v>CASH AND BANK BALANCES</v>
          </cell>
          <cell r="I770" t="str">
            <v>BANK ACCOUNTS- CURRENT</v>
          </cell>
        </row>
        <row r="771">
          <cell r="A771" t="str">
            <v>A702156</v>
          </cell>
          <cell r="B771" t="str">
            <v>CORPORATION BANK, SIKANDERPUR</v>
          </cell>
          <cell r="C771" t="str">
            <v>ASSET</v>
          </cell>
          <cell r="D771" t="str">
            <v>BALANCE SHEET</v>
          </cell>
          <cell r="E771" t="str">
            <v>BANK CASH PTT A/C</v>
          </cell>
          <cell r="G771" t="str">
            <v>CURRENT ASSETS, LOANS AND ADVANCES</v>
          </cell>
          <cell r="H771" t="str">
            <v>CASH AND BANK BALANCES</v>
          </cell>
          <cell r="I771" t="str">
            <v>BANK ACCOUNTS- CURRENT</v>
          </cell>
        </row>
        <row r="772">
          <cell r="A772" t="str">
            <v>A702157</v>
          </cell>
          <cell r="B772" t="str">
            <v>CORPORATION BANK, SIKANDERPUR</v>
          </cell>
          <cell r="C772" t="str">
            <v>ASSET</v>
          </cell>
          <cell r="D772" t="str">
            <v>BALANCE SHEET</v>
          </cell>
          <cell r="E772" t="str">
            <v>BANK CASH PTT A/C</v>
          </cell>
          <cell r="G772" t="str">
            <v>CURRENT ASSETS, LOANS AND ADVANCES</v>
          </cell>
          <cell r="H772" t="str">
            <v>CASH AND BANK BALANCES</v>
          </cell>
          <cell r="I772" t="str">
            <v>BANK ACCOUNTS- CURRENT</v>
          </cell>
        </row>
        <row r="773">
          <cell r="A773" t="str">
            <v>A702158</v>
          </cell>
          <cell r="B773" t="str">
            <v>STATE BANK OF INDIA</v>
          </cell>
          <cell r="C773" t="str">
            <v>ASSET</v>
          </cell>
          <cell r="D773" t="str">
            <v>BALANCE SHEET</v>
          </cell>
          <cell r="E773" t="str">
            <v>BANK CASH PTT A/C</v>
          </cell>
          <cell r="G773" t="str">
            <v>CURRENT ASSETS, LOANS AND ADVANCES</v>
          </cell>
          <cell r="H773" t="str">
            <v>CASH AND BANK BALANCES</v>
          </cell>
          <cell r="I773" t="str">
            <v>BANK ACCOUNTS- CURRENT</v>
          </cell>
        </row>
        <row r="774">
          <cell r="A774" t="str">
            <v>A702159</v>
          </cell>
          <cell r="B774" t="str">
            <v>STATE BANK OF INDIA, PLAZA TOWER</v>
          </cell>
          <cell r="C774" t="str">
            <v>ASSET</v>
          </cell>
          <cell r="D774" t="str">
            <v>BALANCE SHEET</v>
          </cell>
          <cell r="E774" t="str">
            <v>BANK CASH PTT A/C</v>
          </cell>
          <cell r="G774" t="str">
            <v>CURRENT ASSETS, LOANS AND ADVANCES</v>
          </cell>
          <cell r="H774" t="str">
            <v>CASH AND BANK BALANCES</v>
          </cell>
          <cell r="I774" t="str">
            <v>BANK ACCOUNTS- CURRENT</v>
          </cell>
        </row>
        <row r="775">
          <cell r="A775" t="str">
            <v>A702199</v>
          </cell>
          <cell r="B775" t="str">
            <v>IB-BANK AND CASH</v>
          </cell>
          <cell r="C775" t="str">
            <v>ASSET</v>
          </cell>
          <cell r="D775" t="str">
            <v>BALANCE SHEET</v>
          </cell>
          <cell r="E775">
            <v>0</v>
          </cell>
          <cell r="F775">
            <v>0</v>
          </cell>
          <cell r="G775" t="str">
            <v>CURRENT ASSETS, LOANS AND ADVANCES</v>
          </cell>
          <cell r="H775" t="str">
            <v>CASH AND BANK BALANCES</v>
          </cell>
          <cell r="I775" t="str">
            <v>BANK ACCOUNTS- CURRENT</v>
          </cell>
        </row>
        <row r="776">
          <cell r="A776" t="str">
            <v>A703001</v>
          </cell>
          <cell r="B776" t="str">
            <v>Pledged Account</v>
          </cell>
          <cell r="C776" t="str">
            <v>ASSET</v>
          </cell>
          <cell r="D776" t="str">
            <v>BALANCE SHEET</v>
          </cell>
          <cell r="E776">
            <v>0</v>
          </cell>
          <cell r="F776">
            <v>0</v>
          </cell>
          <cell r="G776" t="str">
            <v>CURRENT ASSETS, LOANS AND ADVANCES</v>
          </cell>
          <cell r="H776" t="str">
            <v>CASH AND BANK BALANCES</v>
          </cell>
          <cell r="I776" t="str">
            <v>BANK ACCOUNTS- TERM DEPOSITS</v>
          </cell>
        </row>
        <row r="777">
          <cell r="A777" t="str">
            <v>A703002</v>
          </cell>
          <cell r="B777" t="str">
            <v>Fixed Deposits (FDR) With Bank</v>
          </cell>
          <cell r="C777" t="str">
            <v>ASSET</v>
          </cell>
          <cell r="D777" t="str">
            <v>BALANCE SHEET</v>
          </cell>
          <cell r="E777">
            <v>0</v>
          </cell>
          <cell r="F777">
            <v>0</v>
          </cell>
          <cell r="G777" t="str">
            <v>CURRENT ASSETS, LOANS AND ADVANCES</v>
          </cell>
          <cell r="H777" t="str">
            <v>CASH AND BANK BALANCES</v>
          </cell>
          <cell r="I777" t="str">
            <v>BANK ACCOUNTS- TERM DEPOSITS</v>
          </cell>
        </row>
        <row r="778">
          <cell r="A778" t="str">
            <v>A703003</v>
          </cell>
          <cell r="B778" t="str">
            <v>Development Deposits FDR (Lein)</v>
          </cell>
          <cell r="C778" t="str">
            <v>ASSET</v>
          </cell>
          <cell r="D778" t="str">
            <v>BALANCE SHEET</v>
          </cell>
          <cell r="E778">
            <v>0</v>
          </cell>
          <cell r="F778">
            <v>0</v>
          </cell>
          <cell r="G778" t="str">
            <v>CURRENT ASSETS, LOANS AND ADVANCES</v>
          </cell>
          <cell r="H778" t="str">
            <v>CASH AND BANK BALANCES</v>
          </cell>
          <cell r="I778" t="str">
            <v>BANK ACCOUNTS- TERM DEPOSITS</v>
          </cell>
        </row>
        <row r="779">
          <cell r="A779" t="str">
            <v>A703004</v>
          </cell>
          <cell r="B779" t="str">
            <v>Margin Money with banks</v>
          </cell>
          <cell r="C779" t="str">
            <v>ASSET</v>
          </cell>
          <cell r="D779" t="str">
            <v>BALANCE SHEET</v>
          </cell>
          <cell r="E779">
            <v>0</v>
          </cell>
          <cell r="F779">
            <v>0</v>
          </cell>
          <cell r="G779" t="str">
            <v>CURRENT ASSETS, LOANS AND ADVANCES</v>
          </cell>
          <cell r="H779" t="str">
            <v>CASH AND BANK BALANCES</v>
          </cell>
          <cell r="I779" t="str">
            <v>BANK ACCOUNTS- TERM DEPOSITS</v>
          </cell>
        </row>
        <row r="780">
          <cell r="A780" t="str">
            <v>A703005</v>
          </cell>
          <cell r="B780" t="str">
            <v>Margin Money On Bank Guarantee</v>
          </cell>
          <cell r="C780" t="str">
            <v>ASSET</v>
          </cell>
          <cell r="D780" t="str">
            <v>BALANCE SHEET</v>
          </cell>
          <cell r="E780">
            <v>0</v>
          </cell>
          <cell r="F780">
            <v>0</v>
          </cell>
          <cell r="G780" t="str">
            <v>CURRENT ASSETS, LOANS AND ADVANCES</v>
          </cell>
          <cell r="H780" t="str">
            <v>CASH AND BANK BALANCES</v>
          </cell>
          <cell r="I780" t="str">
            <v>BANK ACCOUNTS- TERM DEPOSITS</v>
          </cell>
        </row>
        <row r="781">
          <cell r="A781" t="str">
            <v>A704001</v>
          </cell>
          <cell r="B781" t="str">
            <v>Intra-Sub Div Bank Control A/C</v>
          </cell>
          <cell r="C781" t="str">
            <v>ASSET</v>
          </cell>
          <cell r="D781" t="str">
            <v>BALANCE SHEET</v>
          </cell>
          <cell r="E781">
            <v>0</v>
          </cell>
          <cell r="F781">
            <v>0</v>
          </cell>
          <cell r="G781" t="str">
            <v>CURRENT ASSETS, LOANS AND ADVANCES</v>
          </cell>
          <cell r="H781" t="str">
            <v>CASH AND BANK BALANCES</v>
          </cell>
          <cell r="I781" t="str">
            <v>BANK ACCOUNTS- TERM DEPOSITS</v>
          </cell>
        </row>
        <row r="782">
          <cell r="A782" t="str">
            <v>A801001</v>
          </cell>
          <cell r="B782" t="str">
            <v>Deferred Tax Assets</v>
          </cell>
          <cell r="C782" t="str">
            <v>ASSET</v>
          </cell>
          <cell r="D782" t="str">
            <v>BALANCE SHEET</v>
          </cell>
          <cell r="E782">
            <v>0</v>
          </cell>
          <cell r="F782">
            <v>0</v>
          </cell>
          <cell r="G782" t="str">
            <v>CURRENT ASSETS, LOANS AND ADVANCES</v>
          </cell>
          <cell r="H782" t="str">
            <v>DEFERRED TAX ASSETS</v>
          </cell>
          <cell r="I782" t="str">
            <v>DEFERRED TAX ASSETS</v>
          </cell>
        </row>
        <row r="783">
          <cell r="A783" t="str">
            <v>A801101</v>
          </cell>
          <cell r="B783" t="str">
            <v>Derivatives Assets</v>
          </cell>
          <cell r="C783" t="str">
            <v>ASSET</v>
          </cell>
          <cell r="D783" t="str">
            <v>BALANCE SHEET</v>
          </cell>
          <cell r="E783">
            <v>0</v>
          </cell>
          <cell r="F783">
            <v>0</v>
          </cell>
          <cell r="G783" t="str">
            <v>CURRENT ASSETS, LOANS AND ADVANCES</v>
          </cell>
          <cell r="H783" t="str">
            <v>DERIVATIVES ASSETS</v>
          </cell>
          <cell r="I783" t="str">
            <v>DERIVATIVES ASSETS</v>
          </cell>
        </row>
        <row r="784">
          <cell r="A784" t="str">
            <v>A901001</v>
          </cell>
          <cell r="B784" t="str">
            <v>Interest accrued- other than investments</v>
          </cell>
          <cell r="C784" t="str">
            <v>ASSET</v>
          </cell>
          <cell r="D784" t="str">
            <v>BALANCE SHEET</v>
          </cell>
          <cell r="E784">
            <v>0</v>
          </cell>
          <cell r="F784">
            <v>0</v>
          </cell>
          <cell r="G784" t="str">
            <v>CURRENT ASSETS, LOANS AND ADVANCES</v>
          </cell>
          <cell r="H784" t="str">
            <v>OTHER CURRENT ASSETS</v>
          </cell>
          <cell r="I784" t="str">
            <v>OTHER CURRENT ASSETS</v>
          </cell>
        </row>
        <row r="785">
          <cell r="A785" t="str">
            <v>A901002</v>
          </cell>
          <cell r="B785" t="str">
            <v>Interest Receivable</v>
          </cell>
          <cell r="C785" t="str">
            <v>ASSET</v>
          </cell>
          <cell r="D785" t="str">
            <v>BALANCE SHEET</v>
          </cell>
          <cell r="E785">
            <v>0</v>
          </cell>
          <cell r="F785">
            <v>0</v>
          </cell>
          <cell r="G785" t="str">
            <v>CURRENT ASSETS, LOANS AND ADVANCES</v>
          </cell>
          <cell r="H785" t="str">
            <v>OTHER CURRENT ASSETS</v>
          </cell>
          <cell r="I785" t="str">
            <v>OTHER CURRENT ASSETS</v>
          </cell>
        </row>
        <row r="786">
          <cell r="A786" t="str">
            <v>A901003</v>
          </cell>
          <cell r="B786" t="str">
            <v>Interest accrued-on investments</v>
          </cell>
          <cell r="C786" t="str">
            <v>ASSET</v>
          </cell>
          <cell r="D786" t="str">
            <v>BALANCE SHEET</v>
          </cell>
          <cell r="E786">
            <v>0</v>
          </cell>
          <cell r="F786">
            <v>0</v>
          </cell>
          <cell r="G786" t="str">
            <v>CURRENT ASSETS, LOANS AND ADVANCES</v>
          </cell>
          <cell r="H786" t="str">
            <v>OTHER CURRENT ASSETS</v>
          </cell>
          <cell r="I786" t="str">
            <v>OTHER CURRENT ASSETS</v>
          </cell>
        </row>
        <row r="787">
          <cell r="A787" t="str">
            <v>A901004</v>
          </cell>
          <cell r="B787" t="str">
            <v>Interest Accrued Not Due On Fd</v>
          </cell>
          <cell r="C787" t="str">
            <v>ASSET</v>
          </cell>
          <cell r="D787" t="str">
            <v>BALANCE SHEET</v>
          </cell>
          <cell r="E787">
            <v>0</v>
          </cell>
          <cell r="F787">
            <v>0</v>
          </cell>
          <cell r="G787" t="str">
            <v>CURRENT ASSETS, LOANS AND ADVANCES</v>
          </cell>
          <cell r="H787" t="str">
            <v>OTHER CURRENT ASSETS</v>
          </cell>
          <cell r="I787" t="str">
            <v>OTHER CURRENT ASSETS</v>
          </cell>
        </row>
        <row r="788">
          <cell r="A788" t="str">
            <v>A901005</v>
          </cell>
          <cell r="B788" t="str">
            <v>Interest Accrued But Not Due</v>
          </cell>
          <cell r="C788" t="str">
            <v>ASSET</v>
          </cell>
          <cell r="D788" t="str">
            <v>BALANCE SHEET</v>
          </cell>
          <cell r="E788">
            <v>0</v>
          </cell>
          <cell r="F788">
            <v>0</v>
          </cell>
          <cell r="G788" t="str">
            <v>CURRENT ASSETS, LOANS AND ADVANCES</v>
          </cell>
          <cell r="H788" t="str">
            <v>OTHER CURRENT ASSETS</v>
          </cell>
          <cell r="I788" t="str">
            <v>OTHER CURRENT ASSETS</v>
          </cell>
        </row>
        <row r="789">
          <cell r="A789" t="str">
            <v>A901101</v>
          </cell>
          <cell r="B789" t="str">
            <v>Compensation Receivable</v>
          </cell>
          <cell r="C789" t="str">
            <v>ASSET</v>
          </cell>
          <cell r="D789" t="str">
            <v>BALANCE SHEET</v>
          </cell>
          <cell r="E789">
            <v>0</v>
          </cell>
          <cell r="F789">
            <v>0</v>
          </cell>
          <cell r="G789" t="str">
            <v>CURRENT ASSETS, LOANS AND ADVANCES</v>
          </cell>
          <cell r="H789" t="str">
            <v>OTHER CURRENT ASSETS</v>
          </cell>
          <cell r="I789" t="str">
            <v>OTHER CURRENT ASSETS</v>
          </cell>
        </row>
        <row r="790">
          <cell r="A790" t="str">
            <v>A901102</v>
          </cell>
          <cell r="B790" t="str">
            <v>Claims Recoverables</v>
          </cell>
          <cell r="C790" t="str">
            <v>ASSET</v>
          </cell>
          <cell r="D790" t="str">
            <v>BALANCE SHEET</v>
          </cell>
          <cell r="E790">
            <v>0</v>
          </cell>
          <cell r="F790">
            <v>0</v>
          </cell>
          <cell r="G790" t="str">
            <v>CURRENT ASSETS, LOANS AND ADVANCES</v>
          </cell>
          <cell r="H790" t="str">
            <v>OTHER CURRENT ASSETS</v>
          </cell>
          <cell r="I790" t="str">
            <v>OTHER CURRENT ASSETS</v>
          </cell>
        </row>
        <row r="791">
          <cell r="A791" t="str">
            <v>A901103</v>
          </cell>
          <cell r="B791" t="str">
            <v>Insurance Chgs Recoverable</v>
          </cell>
          <cell r="C791" t="str">
            <v>ASSET</v>
          </cell>
          <cell r="D791" t="str">
            <v>BALANCE SHEET</v>
          </cell>
          <cell r="E791">
            <v>0</v>
          </cell>
          <cell r="F791">
            <v>0</v>
          </cell>
          <cell r="G791" t="str">
            <v>CURRENT ASSETS, LOANS AND ADVANCES</v>
          </cell>
          <cell r="H791" t="str">
            <v>OTHER CURRENT ASSETS</v>
          </cell>
          <cell r="I791" t="str">
            <v>OTHER CURRENT ASSETS</v>
          </cell>
        </row>
        <row r="792">
          <cell r="A792" t="str">
            <v>A901104</v>
          </cell>
          <cell r="B792" t="str">
            <v>INPUT EXCISE DUTY RECOVERABLE</v>
          </cell>
          <cell r="C792" t="str">
            <v>ASSET</v>
          </cell>
          <cell r="D792" t="str">
            <v>BALANCE SHEET</v>
          </cell>
          <cell r="G792" t="str">
            <v>CURRENT ASSETS, LOANS AND ADVANCES</v>
          </cell>
          <cell r="H792" t="str">
            <v>OTHER CURRENT ASSETS</v>
          </cell>
          <cell r="I792" t="str">
            <v>OTHER CURRENT ASSETS</v>
          </cell>
        </row>
        <row r="793">
          <cell r="A793" t="str">
            <v>A901105</v>
          </cell>
          <cell r="B793" t="str">
            <v>INPUT SERVICE TAX RECOVERABLE</v>
          </cell>
          <cell r="C793" t="str">
            <v>ASSET</v>
          </cell>
          <cell r="D793" t="str">
            <v>BALANCE SHEET</v>
          </cell>
          <cell r="G793" t="str">
            <v>CURRENT ASSETS, LOANS AND ADVANCES</v>
          </cell>
          <cell r="H793" t="str">
            <v>OTHER CURRENT ASSETS</v>
          </cell>
          <cell r="I793" t="str">
            <v>OTHER CURRENT ASSETS</v>
          </cell>
        </row>
        <row r="794">
          <cell r="A794" t="str">
            <v>A902001</v>
          </cell>
          <cell r="B794" t="str">
            <v>Int. on loan (Gp Co.)</v>
          </cell>
          <cell r="C794" t="str">
            <v>ASSET</v>
          </cell>
          <cell r="D794" t="str">
            <v>BALANCE SHEET</v>
          </cell>
          <cell r="E794">
            <v>0</v>
          </cell>
          <cell r="F794">
            <v>0</v>
          </cell>
          <cell r="G794" t="str">
            <v>CURRENT ASSETS, LOANS AND ADVANCES</v>
          </cell>
          <cell r="H794" t="str">
            <v>OTHER CURRENT ASSETS</v>
          </cell>
          <cell r="I794" t="str">
            <v>OTHER CURRENT ASSETS</v>
          </cell>
        </row>
        <row r="795">
          <cell r="A795" t="str">
            <v>A903001</v>
          </cell>
          <cell r="B795" t="str">
            <v>Preliminary Expenses</v>
          </cell>
          <cell r="C795" t="str">
            <v>ASSET</v>
          </cell>
          <cell r="D795" t="str">
            <v>BALANCE SHEET</v>
          </cell>
          <cell r="E795">
            <v>0</v>
          </cell>
          <cell r="F795">
            <v>0</v>
          </cell>
          <cell r="G795" t="str">
            <v>CURRENT ASSETS, LOANS AND ADVANCES</v>
          </cell>
          <cell r="H795" t="str">
            <v>OTHER CURRENT ASSETS</v>
          </cell>
          <cell r="I795" t="str">
            <v>OTHER CURRENT ASSETS</v>
          </cell>
        </row>
        <row r="796">
          <cell r="A796" t="str">
            <v>A903002</v>
          </cell>
          <cell r="B796" t="str">
            <v>Deferred Revenue Expenses</v>
          </cell>
          <cell r="C796" t="str">
            <v>ASSET</v>
          </cell>
          <cell r="D796" t="str">
            <v>BALANCE SHEET</v>
          </cell>
          <cell r="E796">
            <v>0</v>
          </cell>
          <cell r="F796">
            <v>0</v>
          </cell>
          <cell r="G796" t="str">
            <v>CURRENT ASSETS, LOANS AND ADVANCES</v>
          </cell>
          <cell r="H796" t="str">
            <v>OTHER CURRENT ASSETS</v>
          </cell>
          <cell r="I796" t="str">
            <v>OTHER CURRENT ASSETS</v>
          </cell>
        </row>
        <row r="797">
          <cell r="A797" t="str">
            <v>A903003</v>
          </cell>
          <cell r="B797" t="str">
            <v>Pre-Operative Expenses</v>
          </cell>
          <cell r="C797" t="str">
            <v>ASSET</v>
          </cell>
          <cell r="D797" t="str">
            <v>BALANCE SHEET</v>
          </cell>
          <cell r="E797">
            <v>0</v>
          </cell>
          <cell r="F797">
            <v>0</v>
          </cell>
          <cell r="G797" t="str">
            <v>CURRENT ASSETS, LOANS AND ADVANCES</v>
          </cell>
          <cell r="H797" t="str">
            <v>OTHER CURRENT ASSETS</v>
          </cell>
          <cell r="I797" t="str">
            <v>OTHER CURRENT ASSETS</v>
          </cell>
        </row>
        <row r="798">
          <cell r="A798" t="str">
            <v>A903004</v>
          </cell>
          <cell r="B798" t="str">
            <v>Capital Arrangement Fees</v>
          </cell>
          <cell r="C798" t="str">
            <v>ASSET</v>
          </cell>
          <cell r="D798" t="str">
            <v>BALANCE SHEET</v>
          </cell>
          <cell r="E798">
            <v>0</v>
          </cell>
          <cell r="F798">
            <v>0</v>
          </cell>
          <cell r="G798" t="str">
            <v>CURRENT ASSETS, LOANS AND ADVANCES</v>
          </cell>
          <cell r="H798" t="str">
            <v>OTHER CURRENT ASSETS</v>
          </cell>
          <cell r="I798" t="str">
            <v>OTHER CURRENT ASSETS</v>
          </cell>
        </row>
        <row r="799">
          <cell r="A799" t="str">
            <v>A904001</v>
          </cell>
          <cell r="B799" t="str">
            <v>Purchase of Dev Rights</v>
          </cell>
          <cell r="C799" t="str">
            <v>ASSET</v>
          </cell>
          <cell r="D799" t="str">
            <v>BALANCE SHEET</v>
          </cell>
          <cell r="E799">
            <v>0</v>
          </cell>
          <cell r="F799">
            <v>0</v>
          </cell>
          <cell r="G799" t="str">
            <v>CURRENT ASSETS, LOANS AND ADVANCES</v>
          </cell>
          <cell r="H799" t="str">
            <v>OTHER CURRENT ASSETS</v>
          </cell>
          <cell r="I799" t="str">
            <v>OTHER CURRENT ASSETS</v>
          </cell>
        </row>
        <row r="800">
          <cell r="A800" t="str">
            <v>L101000</v>
          </cell>
          <cell r="B800" t="str">
            <v>Shri Ganeshji Maharaj</v>
          </cell>
          <cell r="C800" t="str">
            <v>CAPITAL</v>
          </cell>
          <cell r="D800" t="str">
            <v>BALANCE SHEET</v>
          </cell>
          <cell r="E800">
            <v>0</v>
          </cell>
          <cell r="F800">
            <v>0</v>
          </cell>
          <cell r="G800" t="str">
            <v>SHAREHOLDERS FUNDS</v>
          </cell>
          <cell r="H800" t="str">
            <v>SHARE CAPITAL</v>
          </cell>
          <cell r="I800" t="str">
            <v>EQUITY SHARE CAPITAL</v>
          </cell>
        </row>
        <row r="801">
          <cell r="A801" t="str">
            <v>L101001</v>
          </cell>
          <cell r="B801" t="str">
            <v>Equity Sh. Capital</v>
          </cell>
          <cell r="C801" t="str">
            <v>CAPITAL</v>
          </cell>
          <cell r="D801" t="str">
            <v>BALANCE SHEET</v>
          </cell>
          <cell r="E801">
            <v>0</v>
          </cell>
          <cell r="F801">
            <v>0</v>
          </cell>
          <cell r="G801" t="str">
            <v>SHAREHOLDERS FUNDS</v>
          </cell>
          <cell r="H801" t="str">
            <v>SHARE CAPITAL</v>
          </cell>
          <cell r="I801" t="str">
            <v>EQUITY SHARE CAPITAL</v>
          </cell>
        </row>
        <row r="802">
          <cell r="A802" t="str">
            <v>L101002</v>
          </cell>
          <cell r="B802" t="str">
            <v>Equity Share Application Money</v>
          </cell>
          <cell r="C802" t="str">
            <v>CAPITAL</v>
          </cell>
          <cell r="D802" t="str">
            <v>BALANCE SHEET</v>
          </cell>
          <cell r="E802">
            <v>0</v>
          </cell>
          <cell r="F802">
            <v>0</v>
          </cell>
          <cell r="G802" t="str">
            <v>SHAREHOLDERS FUNDS</v>
          </cell>
          <cell r="H802" t="str">
            <v>SHARE CAPITAL</v>
          </cell>
          <cell r="I802" t="str">
            <v>EQUITY SHARE CAPITAL</v>
          </cell>
        </row>
        <row r="803">
          <cell r="A803" t="str">
            <v>L101003</v>
          </cell>
          <cell r="B803" t="str">
            <v>Equity Share Allotment Money</v>
          </cell>
          <cell r="C803" t="str">
            <v>CAPITAL</v>
          </cell>
          <cell r="D803" t="str">
            <v>BALANCE SHEET</v>
          </cell>
          <cell r="E803">
            <v>0</v>
          </cell>
          <cell r="F803">
            <v>0</v>
          </cell>
          <cell r="G803" t="str">
            <v>SHAREHOLDERS FUNDS</v>
          </cell>
          <cell r="H803" t="str">
            <v>SHARE CAPITAL</v>
          </cell>
          <cell r="I803" t="str">
            <v>EQUITY SHARE CAPITAL</v>
          </cell>
        </row>
        <row r="804">
          <cell r="A804" t="str">
            <v>L101004</v>
          </cell>
          <cell r="B804" t="str">
            <v>Equity Share Call Money</v>
          </cell>
          <cell r="C804" t="str">
            <v>CAPITAL</v>
          </cell>
          <cell r="D804" t="str">
            <v>BALANCE SHEET</v>
          </cell>
          <cell r="E804">
            <v>0</v>
          </cell>
          <cell r="F804">
            <v>0</v>
          </cell>
          <cell r="G804" t="str">
            <v>SHAREHOLDERS FUNDS</v>
          </cell>
          <cell r="H804" t="str">
            <v>SHARE CAPITAL</v>
          </cell>
          <cell r="I804" t="str">
            <v>EQUITY SHARE CAPITAL</v>
          </cell>
        </row>
        <row r="805">
          <cell r="A805" t="str">
            <v>L101005</v>
          </cell>
          <cell r="B805" t="str">
            <v>Equity Calls In Advance A/C</v>
          </cell>
          <cell r="C805" t="str">
            <v>CAPITAL</v>
          </cell>
          <cell r="D805" t="str">
            <v>BALANCE SHEET</v>
          </cell>
          <cell r="E805">
            <v>0</v>
          </cell>
          <cell r="F805">
            <v>0</v>
          </cell>
          <cell r="G805" t="str">
            <v>SHAREHOLDERS FUNDS</v>
          </cell>
          <cell r="H805" t="str">
            <v>SHARE CAPITAL</v>
          </cell>
          <cell r="I805" t="str">
            <v>EQUITY SHARE CAPITAL</v>
          </cell>
        </row>
        <row r="806">
          <cell r="A806" t="str">
            <v>L101006</v>
          </cell>
          <cell r="B806" t="str">
            <v>APPL. MONEY FOR PUR.OF EQ.SHA.</v>
          </cell>
          <cell r="C806" t="str">
            <v>LIABILITIES</v>
          </cell>
          <cell r="D806" t="str">
            <v>BALANCE SHEET</v>
          </cell>
          <cell r="E806">
            <v>0</v>
          </cell>
          <cell r="G806" t="str">
            <v>SHAREHOLDERS FUNDS</v>
          </cell>
          <cell r="H806" t="str">
            <v>SHARE CAPITAL</v>
          </cell>
          <cell r="I806" t="str">
            <v>EQUITY SHARE CAPITAL</v>
          </cell>
        </row>
        <row r="807">
          <cell r="A807" t="str">
            <v>L102001</v>
          </cell>
          <cell r="B807" t="str">
            <v>Preference Sh. Capital</v>
          </cell>
          <cell r="C807" t="str">
            <v>CAPITAL</v>
          </cell>
          <cell r="D807" t="str">
            <v>BALANCE SHEET</v>
          </cell>
          <cell r="E807">
            <v>0</v>
          </cell>
          <cell r="F807">
            <v>0</v>
          </cell>
          <cell r="G807" t="str">
            <v>SHAREHOLDERS FUNDS</v>
          </cell>
          <cell r="H807" t="str">
            <v>SHARE CAPITAL</v>
          </cell>
          <cell r="I807" t="str">
            <v>PREFERENCE SHARE CAPITAL</v>
          </cell>
        </row>
        <row r="808">
          <cell r="A808" t="str">
            <v>L102002</v>
          </cell>
          <cell r="B808" t="str">
            <v>Preference Share Application Money</v>
          </cell>
          <cell r="C808" t="str">
            <v>CAPITAL</v>
          </cell>
          <cell r="D808" t="str">
            <v>BALANCE SHEET</v>
          </cell>
          <cell r="E808">
            <v>0</v>
          </cell>
          <cell r="F808">
            <v>0</v>
          </cell>
          <cell r="G808" t="str">
            <v>SHAREHOLDERS FUNDS</v>
          </cell>
          <cell r="H808" t="str">
            <v>SHARE CAPITAL</v>
          </cell>
          <cell r="I808" t="str">
            <v>PREFERENCE SHARE CAPITAL</v>
          </cell>
        </row>
        <row r="809">
          <cell r="A809" t="str">
            <v>L103001-000</v>
          </cell>
          <cell r="B809" t="str">
            <v>Partner's Capital Account</v>
          </cell>
          <cell r="C809" t="str">
            <v>CAPITAL</v>
          </cell>
          <cell r="D809" t="str">
            <v>BALANCE SHEET</v>
          </cell>
          <cell r="E809">
            <v>0</v>
          </cell>
          <cell r="F809">
            <v>0</v>
          </cell>
          <cell r="G809" t="str">
            <v>SHAREHOLDERS FUNDS</v>
          </cell>
          <cell r="H809" t="str">
            <v>PARTNERS CAPITAL</v>
          </cell>
          <cell r="I809" t="str">
            <v>PARTNERS CAPITAL</v>
          </cell>
        </row>
        <row r="810">
          <cell r="A810" t="str">
            <v>L103001-101</v>
          </cell>
          <cell r="B810" t="str">
            <v>Partner's Capital Account-DLF Limited</v>
          </cell>
          <cell r="C810" t="str">
            <v>CAPITAL</v>
          </cell>
          <cell r="D810" t="str">
            <v>BALANCE SHEET</v>
          </cell>
          <cell r="E810">
            <v>0</v>
          </cell>
          <cell r="F810">
            <v>0</v>
          </cell>
          <cell r="G810" t="str">
            <v>SHAREHOLDERS FUNDS</v>
          </cell>
          <cell r="H810" t="str">
            <v>PARTNERS CAPITAL</v>
          </cell>
          <cell r="I810" t="str">
            <v>PARTNERS CAPITAL</v>
          </cell>
        </row>
        <row r="811">
          <cell r="A811" t="str">
            <v>L103001-211</v>
          </cell>
          <cell r="B811" t="str">
            <v>Partner's Capital A/c-DLF Hsng &amp; Cnstr L</v>
          </cell>
          <cell r="C811" t="str">
            <v>CAPITAL</v>
          </cell>
          <cell r="D811" t="str">
            <v>BALANCE SHEET</v>
          </cell>
          <cell r="E811">
            <v>0</v>
          </cell>
          <cell r="F811">
            <v>0</v>
          </cell>
          <cell r="G811" t="str">
            <v>SHAREHOLDERS FUNDS</v>
          </cell>
          <cell r="H811" t="str">
            <v>PARTNERS CAPITAL</v>
          </cell>
          <cell r="I811" t="str">
            <v>PARTNERS CAPITAL</v>
          </cell>
        </row>
        <row r="812">
          <cell r="A812" t="str">
            <v>L103001-247</v>
          </cell>
          <cell r="B812" t="str">
            <v>Partner's Capital Account-Kiritman</v>
          </cell>
          <cell r="C812" t="str">
            <v>CAPITAL</v>
          </cell>
          <cell r="D812" t="str">
            <v>BALANCE SHEET</v>
          </cell>
          <cell r="E812">
            <v>0</v>
          </cell>
          <cell r="F812">
            <v>0</v>
          </cell>
          <cell r="G812" t="str">
            <v>SHAREHOLDERS FUNDS</v>
          </cell>
          <cell r="H812" t="str">
            <v>PARTNERS CAPITAL</v>
          </cell>
          <cell r="I812" t="str">
            <v>PARTNERS CAPITAL</v>
          </cell>
        </row>
        <row r="813">
          <cell r="A813" t="str">
            <v>L103001-278</v>
          </cell>
          <cell r="B813" t="str">
            <v>Partner's Capital Account-DLF Home Dev</v>
          </cell>
          <cell r="C813" t="str">
            <v>CAPITAL</v>
          </cell>
          <cell r="D813" t="str">
            <v>BALANCE SHEET</v>
          </cell>
          <cell r="E813">
            <v>0</v>
          </cell>
          <cell r="F813">
            <v>0</v>
          </cell>
          <cell r="G813" t="str">
            <v>SHAREHOLDERS FUNDS</v>
          </cell>
          <cell r="H813" t="str">
            <v>PARTNERS CAPITAL</v>
          </cell>
          <cell r="I813" t="str">
            <v>PARTNERS CAPITAL</v>
          </cell>
        </row>
        <row r="814">
          <cell r="A814" t="str">
            <v>L103001-279</v>
          </cell>
          <cell r="B814" t="str">
            <v>Partner's Capital Account- DCDL</v>
          </cell>
          <cell r="C814" t="str">
            <v>CAPITAL</v>
          </cell>
          <cell r="D814" t="str">
            <v>BALANCE SHEET</v>
          </cell>
          <cell r="E814">
            <v>0</v>
          </cell>
          <cell r="F814">
            <v>0</v>
          </cell>
          <cell r="G814" t="str">
            <v>SHAREHOLDERS FUNDS</v>
          </cell>
          <cell r="H814" t="str">
            <v>PARTNERS CAPITAL</v>
          </cell>
          <cell r="I814" t="str">
            <v>PARTNERS CAPITAL</v>
          </cell>
        </row>
        <row r="815">
          <cell r="A815" t="str">
            <v>L103001-281</v>
          </cell>
          <cell r="B815" t="str">
            <v>Partner's Capital Account-Pee Tee Prop M</v>
          </cell>
          <cell r="C815" t="str">
            <v>CAPITAL</v>
          </cell>
          <cell r="D815" t="str">
            <v>BALANCE SHEET</v>
          </cell>
          <cell r="E815">
            <v>0</v>
          </cell>
          <cell r="F815">
            <v>0</v>
          </cell>
          <cell r="G815" t="str">
            <v>SHAREHOLDERS FUNDS</v>
          </cell>
          <cell r="H815" t="str">
            <v>PARTNERS CAPITAL</v>
          </cell>
          <cell r="I815" t="str">
            <v>PARTNERS CAPITAL</v>
          </cell>
        </row>
        <row r="816">
          <cell r="A816" t="str">
            <v>L103001-282</v>
          </cell>
          <cell r="B816" t="str">
            <v>Partner's Capital Account-Silver Oaks Pr</v>
          </cell>
          <cell r="C816" t="str">
            <v>CAPITAL</v>
          </cell>
          <cell r="D816" t="str">
            <v>BALANCE SHEET</v>
          </cell>
          <cell r="E816">
            <v>0</v>
          </cell>
          <cell r="F816">
            <v>0</v>
          </cell>
          <cell r="G816" t="str">
            <v>SHAREHOLDERS FUNDS</v>
          </cell>
          <cell r="H816" t="str">
            <v>PARTNERS CAPITAL</v>
          </cell>
          <cell r="I816" t="str">
            <v>PARTNERS CAPITAL</v>
          </cell>
        </row>
        <row r="817">
          <cell r="A817" t="str">
            <v>L103001-381</v>
          </cell>
          <cell r="B817" t="str">
            <v>Partner's Capital Account-DLF Cyber Cit</v>
          </cell>
          <cell r="C817" t="str">
            <v>CAPITAL</v>
          </cell>
          <cell r="D817" t="str">
            <v>BALANCE SHEET</v>
          </cell>
          <cell r="E817">
            <v>0</v>
          </cell>
          <cell r="F817">
            <v>0</v>
          </cell>
          <cell r="G817" t="str">
            <v>SHAREHOLDERS FUNDS</v>
          </cell>
          <cell r="H817" t="str">
            <v>PARTNERS CAPITAL</v>
          </cell>
          <cell r="I817" t="str">
            <v>PARTNERS CAPITAL</v>
          </cell>
        </row>
        <row r="818">
          <cell r="A818" t="str">
            <v>L103001-536</v>
          </cell>
          <cell r="B818" t="str">
            <v>Partner's Capital Account-Heimo</v>
          </cell>
          <cell r="C818" t="str">
            <v>CAPITAL</v>
          </cell>
          <cell r="D818" t="str">
            <v>BALANCE SHEET</v>
          </cell>
          <cell r="E818">
            <v>0</v>
          </cell>
          <cell r="F818">
            <v>0</v>
          </cell>
          <cell r="G818" t="str">
            <v>SHAREHOLDERS FUNDS</v>
          </cell>
          <cell r="H818" t="str">
            <v>PARTNERS CAPITAL</v>
          </cell>
          <cell r="I818" t="str">
            <v>PARTNERS CAPITAL</v>
          </cell>
        </row>
        <row r="819">
          <cell r="A819" t="str">
            <v>L103001-537</v>
          </cell>
          <cell r="B819" t="str">
            <v>Partner's Capital Account-Khem</v>
          </cell>
          <cell r="C819" t="str">
            <v>CAPITAL</v>
          </cell>
          <cell r="D819" t="str">
            <v>BALANCE SHEET</v>
          </cell>
          <cell r="E819">
            <v>0</v>
          </cell>
          <cell r="F819">
            <v>0</v>
          </cell>
          <cell r="G819" t="str">
            <v>SHAREHOLDERS FUNDS</v>
          </cell>
          <cell r="H819" t="str">
            <v>PARTNERS CAPITAL</v>
          </cell>
          <cell r="I819" t="str">
            <v>PARTNERS CAPITAL</v>
          </cell>
        </row>
        <row r="820">
          <cell r="A820" t="str">
            <v>L201001</v>
          </cell>
          <cell r="B820" t="str">
            <v>Capital Reserve</v>
          </cell>
          <cell r="C820" t="str">
            <v>CAPITAL</v>
          </cell>
          <cell r="D820" t="str">
            <v>BALANCE SHEET</v>
          </cell>
          <cell r="E820">
            <v>0</v>
          </cell>
          <cell r="F820">
            <v>0</v>
          </cell>
          <cell r="G820" t="str">
            <v>SHAREHOLDERS FUNDS</v>
          </cell>
          <cell r="H820" t="str">
            <v>RESERVES AND SURPLUS</v>
          </cell>
          <cell r="I820" t="str">
            <v>RESERVE- CAPITAL RESERVE</v>
          </cell>
        </row>
        <row r="821">
          <cell r="A821" t="str">
            <v>L202001</v>
          </cell>
          <cell r="B821" t="str">
            <v>Capital Redemption Reserve</v>
          </cell>
          <cell r="C821" t="str">
            <v>CAPITAL</v>
          </cell>
          <cell r="D821" t="str">
            <v>BALANCE SHEET</v>
          </cell>
          <cell r="E821">
            <v>0</v>
          </cell>
          <cell r="F821">
            <v>0</v>
          </cell>
          <cell r="G821" t="str">
            <v>SHAREHOLDERS FUNDS</v>
          </cell>
          <cell r="H821" t="str">
            <v>RESERVES AND SURPLUS</v>
          </cell>
          <cell r="I821" t="str">
            <v>RESERVE-CAPITAL REDEMPTION RESERVE</v>
          </cell>
        </row>
        <row r="822">
          <cell r="A822" t="str">
            <v>L203001</v>
          </cell>
          <cell r="B822" t="str">
            <v>Contingency Reserve</v>
          </cell>
          <cell r="C822" t="str">
            <v>CAPITAL</v>
          </cell>
          <cell r="D822" t="str">
            <v>BALANCE SHEET</v>
          </cell>
          <cell r="E822">
            <v>0</v>
          </cell>
          <cell r="F822">
            <v>0</v>
          </cell>
          <cell r="G822" t="str">
            <v>SHAREHOLDERS FUNDS</v>
          </cell>
          <cell r="H822" t="str">
            <v>RESERVES AND SURPLUS</v>
          </cell>
          <cell r="I822" t="str">
            <v>RESERVE- CONTINGENCY RESERVE</v>
          </cell>
        </row>
        <row r="823">
          <cell r="A823" t="str">
            <v>L204001</v>
          </cell>
          <cell r="B823" t="str">
            <v>Share Premium</v>
          </cell>
          <cell r="C823" t="str">
            <v>CAPITAL</v>
          </cell>
          <cell r="D823" t="str">
            <v>BALANCE SHEET</v>
          </cell>
          <cell r="E823">
            <v>0</v>
          </cell>
          <cell r="F823">
            <v>0</v>
          </cell>
          <cell r="G823" t="str">
            <v>SHAREHOLDERS FUNDS</v>
          </cell>
          <cell r="H823" t="str">
            <v>RESERVES AND SURPLUS</v>
          </cell>
          <cell r="I823" t="str">
            <v>RESERVE- SHARE PREMIUM</v>
          </cell>
        </row>
        <row r="824">
          <cell r="A824" t="str">
            <v>L205001</v>
          </cell>
          <cell r="B824" t="str">
            <v>General Reserve</v>
          </cell>
          <cell r="C824" t="str">
            <v>CAPITAL</v>
          </cell>
          <cell r="D824" t="str">
            <v>BALANCE SHEET</v>
          </cell>
          <cell r="E824">
            <v>0</v>
          </cell>
          <cell r="F824">
            <v>0</v>
          </cell>
          <cell r="G824" t="str">
            <v>SHAREHOLDERS FUNDS</v>
          </cell>
          <cell r="H824" t="str">
            <v>RESERVES AND SURPLUS</v>
          </cell>
          <cell r="I824" t="str">
            <v>RESERVE- GENERAL RESERVE</v>
          </cell>
        </row>
        <row r="825">
          <cell r="A825" t="str">
            <v>L206001</v>
          </cell>
          <cell r="B825" t="str">
            <v>Revaluation Reserve</v>
          </cell>
          <cell r="C825" t="str">
            <v>CAPITAL</v>
          </cell>
          <cell r="D825" t="str">
            <v>BALANCE SHEET</v>
          </cell>
          <cell r="E825">
            <v>0</v>
          </cell>
          <cell r="F825">
            <v>0</v>
          </cell>
          <cell r="G825" t="str">
            <v>SHAREHOLDERS FUNDS</v>
          </cell>
          <cell r="H825" t="str">
            <v>RESERVES AND SURPLUS</v>
          </cell>
          <cell r="I825" t="str">
            <v>RESERVE- REVALUATION RESERVE</v>
          </cell>
        </row>
        <row r="826">
          <cell r="A826" t="str">
            <v>L207001</v>
          </cell>
          <cell r="B826" t="str">
            <v>Investment Allowance Reserve</v>
          </cell>
          <cell r="C826" t="str">
            <v>CAPITAL</v>
          </cell>
          <cell r="D826" t="str">
            <v>BALANCE SHEET</v>
          </cell>
          <cell r="E826">
            <v>0</v>
          </cell>
          <cell r="F826">
            <v>0</v>
          </cell>
          <cell r="G826" t="str">
            <v>SHAREHOLDERS FUNDS</v>
          </cell>
          <cell r="H826" t="str">
            <v>RESERVES AND SURPLUS</v>
          </cell>
          <cell r="I826" t="str">
            <v>RESERVE- INVESTMENT ALLOWANCE</v>
          </cell>
        </row>
        <row r="827">
          <cell r="A827" t="str">
            <v>L208001</v>
          </cell>
          <cell r="B827" t="str">
            <v>Amalgamation Reserve</v>
          </cell>
          <cell r="C827" t="str">
            <v>CAPITAL</v>
          </cell>
          <cell r="D827" t="str">
            <v>BALANCE SHEET</v>
          </cell>
          <cell r="E827">
            <v>0</v>
          </cell>
          <cell r="F827">
            <v>0</v>
          </cell>
          <cell r="G827" t="str">
            <v>SHAREHOLDERS FUNDS</v>
          </cell>
          <cell r="H827" t="str">
            <v>RESERVES AND SURPLUS</v>
          </cell>
          <cell r="I827" t="str">
            <v>RESERVE- GENERAL RESERVE</v>
          </cell>
        </row>
        <row r="828">
          <cell r="A828" t="str">
            <v>L220001</v>
          </cell>
          <cell r="B828" t="str">
            <v>Profit &amp; Loss A/C</v>
          </cell>
          <cell r="C828" t="str">
            <v>CAPITAL</v>
          </cell>
          <cell r="D828" t="str">
            <v>BALANCE SHEET</v>
          </cell>
          <cell r="E828">
            <v>0</v>
          </cell>
          <cell r="F828">
            <v>0</v>
          </cell>
          <cell r="G828" t="str">
            <v>SHAREHOLDERS FUNDS</v>
          </cell>
          <cell r="H828" t="str">
            <v>RESERVES AND SURPLUS</v>
          </cell>
          <cell r="I828" t="str">
            <v>SURPLUS-PROFIT AND LOSS ACCOUNT</v>
          </cell>
        </row>
        <row r="829">
          <cell r="A829" t="str">
            <v>L230001-101</v>
          </cell>
          <cell r="B829" t="str">
            <v>Partner's Current A/c-DLF Ltd</v>
          </cell>
          <cell r="C829" t="str">
            <v>CAPITAL</v>
          </cell>
          <cell r="D829" t="str">
            <v>BALANCE SHEET</v>
          </cell>
          <cell r="E829">
            <v>0</v>
          </cell>
          <cell r="F829">
            <v>0</v>
          </cell>
          <cell r="G829" t="str">
            <v>SHAREHOLDERS FUNDS</v>
          </cell>
          <cell r="H829" t="str">
            <v>RESERVES AND SURPLUS</v>
          </cell>
          <cell r="I829" t="str">
            <v>SURPLUS-PROFIT AND LOSS ACCOUNT</v>
          </cell>
        </row>
        <row r="830">
          <cell r="A830" t="str">
            <v>L230001-211</v>
          </cell>
          <cell r="B830" t="str">
            <v>Partner's Current A/c-DLF Hsng &amp; Cnstr</v>
          </cell>
          <cell r="C830" t="str">
            <v>CAPITAL</v>
          </cell>
          <cell r="D830" t="str">
            <v>BALANCE SHEET</v>
          </cell>
          <cell r="E830">
            <v>0</v>
          </cell>
          <cell r="F830">
            <v>0</v>
          </cell>
          <cell r="G830" t="str">
            <v>SHAREHOLDERS FUNDS</v>
          </cell>
          <cell r="H830" t="str">
            <v>RESERVES AND SURPLUS</v>
          </cell>
          <cell r="I830" t="str">
            <v>SURPLUS-PROFIT AND LOSS ACCOUNT</v>
          </cell>
        </row>
        <row r="831">
          <cell r="A831" t="str">
            <v>L301000</v>
          </cell>
          <cell r="B831" t="str">
            <v>Retained Earnings</v>
          </cell>
          <cell r="C831" t="str">
            <v>CAPITAL</v>
          </cell>
          <cell r="D831" t="str">
            <v>RETAINED EARNINGS</v>
          </cell>
          <cell r="E831">
            <v>0</v>
          </cell>
          <cell r="F831" t="str">
            <v>RETAINED EARNINGS</v>
          </cell>
          <cell r="G831" t="str">
            <v>SHAREHOLDERS FUNDS</v>
          </cell>
          <cell r="H831" t="str">
            <v>RESERVES AND SURPLUS</v>
          </cell>
          <cell r="I831" t="str">
            <v>RESERVE- GENERAL RESERVE</v>
          </cell>
        </row>
        <row r="832">
          <cell r="A832" t="str">
            <v>L301001</v>
          </cell>
          <cell r="B832" t="str">
            <v>Secured Loan (Bank)- ICICI Loan</v>
          </cell>
          <cell r="C832" t="str">
            <v>LIABILITIES</v>
          </cell>
          <cell r="D832" t="str">
            <v>BALANCE SHEET</v>
          </cell>
          <cell r="E832">
            <v>0</v>
          </cell>
          <cell r="F832">
            <v>0</v>
          </cell>
          <cell r="G832" t="str">
            <v>LOAN FUNDS</v>
          </cell>
          <cell r="H832" t="str">
            <v>SECURED LOANS</v>
          </cell>
          <cell r="I832" t="str">
            <v>FROM BANKS/FI-TERM LOANS</v>
          </cell>
        </row>
        <row r="833">
          <cell r="A833" t="str">
            <v>L301002</v>
          </cell>
          <cell r="B833" t="str">
            <v>Secured Loan (Bank)- HSBC(ECB)</v>
          </cell>
          <cell r="C833" t="str">
            <v>LIABILITIES</v>
          </cell>
          <cell r="D833" t="str">
            <v>BALANCE SHEET</v>
          </cell>
          <cell r="E833">
            <v>0</v>
          </cell>
          <cell r="F833">
            <v>0</v>
          </cell>
          <cell r="G833" t="str">
            <v>LOAN FUNDS</v>
          </cell>
          <cell r="H833" t="str">
            <v>SECURED LOANS</v>
          </cell>
          <cell r="I833" t="str">
            <v>FROM BANKS/FI-TERM LOANS</v>
          </cell>
        </row>
        <row r="834">
          <cell r="A834" t="str">
            <v>L301003</v>
          </cell>
          <cell r="B834" t="str">
            <v>Secured Loan (Bank)- DBS</v>
          </cell>
          <cell r="C834" t="str">
            <v>LIABILITIES</v>
          </cell>
          <cell r="D834" t="str">
            <v>BALANCE SHEET</v>
          </cell>
          <cell r="E834">
            <v>0</v>
          </cell>
          <cell r="F834">
            <v>0</v>
          </cell>
          <cell r="G834" t="str">
            <v>LOAN FUNDS</v>
          </cell>
          <cell r="H834" t="str">
            <v>SECURED LOANS</v>
          </cell>
          <cell r="I834" t="str">
            <v>FROM BANKS/FI-TERM LOANS</v>
          </cell>
        </row>
        <row r="835">
          <cell r="A835" t="str">
            <v>L301004</v>
          </cell>
          <cell r="B835" t="str">
            <v>Secured Loan (Bank)- Bank Of Maharashtra</v>
          </cell>
          <cell r="C835" t="str">
            <v>LIABILITIES</v>
          </cell>
          <cell r="D835" t="str">
            <v>BALANCE SHEET</v>
          </cell>
          <cell r="E835">
            <v>0</v>
          </cell>
          <cell r="F835">
            <v>0</v>
          </cell>
          <cell r="G835" t="str">
            <v>LOAN FUNDS</v>
          </cell>
          <cell r="H835" t="str">
            <v>SECURED LOANS</v>
          </cell>
          <cell r="I835" t="str">
            <v>FROM BANKS/FI-TERM LOANS</v>
          </cell>
        </row>
        <row r="836">
          <cell r="A836" t="str">
            <v>L301005</v>
          </cell>
          <cell r="B836" t="str">
            <v>Secured Loan (Bank)- IDBI</v>
          </cell>
          <cell r="C836" t="str">
            <v>LIABILITIES</v>
          </cell>
          <cell r="D836" t="str">
            <v>BALANCE SHEET</v>
          </cell>
          <cell r="E836">
            <v>0</v>
          </cell>
          <cell r="F836">
            <v>0</v>
          </cell>
          <cell r="G836" t="str">
            <v>LOAN FUNDS</v>
          </cell>
          <cell r="H836" t="str">
            <v>SECURED LOANS</v>
          </cell>
          <cell r="I836" t="str">
            <v>FROM BANKS/FI-TERM LOANS</v>
          </cell>
        </row>
        <row r="837">
          <cell r="A837" t="str">
            <v>L301006</v>
          </cell>
          <cell r="B837" t="str">
            <v>Secured Loan (Bank)- UBI</v>
          </cell>
          <cell r="C837" t="str">
            <v>LIABILITIES</v>
          </cell>
          <cell r="D837" t="str">
            <v>BALANCE SHEET</v>
          </cell>
          <cell r="E837">
            <v>0</v>
          </cell>
          <cell r="F837">
            <v>0</v>
          </cell>
          <cell r="G837" t="str">
            <v>LOAN FUNDS</v>
          </cell>
          <cell r="H837" t="str">
            <v>SECURED LOANS</v>
          </cell>
          <cell r="I837" t="str">
            <v>FROM BANKS/FI-TERM LOANS</v>
          </cell>
        </row>
        <row r="838">
          <cell r="A838" t="str">
            <v>L301007</v>
          </cell>
          <cell r="B838" t="str">
            <v>Secured Loan (Bank)- Bank Of Baroda</v>
          </cell>
          <cell r="C838" t="str">
            <v>LIABILITIES</v>
          </cell>
          <cell r="D838" t="str">
            <v>BALANCE SHEET</v>
          </cell>
          <cell r="E838">
            <v>0</v>
          </cell>
          <cell r="F838">
            <v>0</v>
          </cell>
          <cell r="G838" t="str">
            <v>LOAN FUNDS</v>
          </cell>
          <cell r="H838" t="str">
            <v>SECURED LOANS</v>
          </cell>
          <cell r="I838" t="str">
            <v>FROM BANKS/FI-TERM LOANS</v>
          </cell>
        </row>
        <row r="839">
          <cell r="A839" t="str">
            <v>L301008</v>
          </cell>
          <cell r="B839" t="str">
            <v>Secured Loan (Bank)- HKB-51-303170-003</v>
          </cell>
          <cell r="C839" t="str">
            <v>LIABILITIES</v>
          </cell>
          <cell r="D839" t="str">
            <v>BALANCE SHEET</v>
          </cell>
          <cell r="E839">
            <v>0</v>
          </cell>
          <cell r="F839">
            <v>0</v>
          </cell>
          <cell r="G839" t="str">
            <v>LOAN FUNDS</v>
          </cell>
          <cell r="H839" t="str">
            <v>SECURED LOANS</v>
          </cell>
          <cell r="I839" t="str">
            <v>FROM BANKS/FI-TERM LOANS</v>
          </cell>
        </row>
        <row r="840">
          <cell r="A840" t="str">
            <v>L301009</v>
          </cell>
          <cell r="B840" t="str">
            <v>Secured Loan (Bank)- HDFC</v>
          </cell>
          <cell r="C840" t="str">
            <v>LIABILITIES</v>
          </cell>
          <cell r="D840" t="str">
            <v>BALANCE SHEET</v>
          </cell>
          <cell r="E840">
            <v>0</v>
          </cell>
          <cell r="F840">
            <v>0</v>
          </cell>
          <cell r="G840" t="str">
            <v>LOAN FUNDS</v>
          </cell>
          <cell r="H840" t="str">
            <v>SECURED LOANS</v>
          </cell>
          <cell r="I840" t="str">
            <v>FROM BANKS/FI-TERM LOANS</v>
          </cell>
        </row>
        <row r="841">
          <cell r="A841" t="str">
            <v>L301010</v>
          </cell>
          <cell r="B841" t="str">
            <v>Secured Loan (Bank)- Kotak Mahindra</v>
          </cell>
          <cell r="C841" t="str">
            <v>LIABILITIES</v>
          </cell>
          <cell r="D841" t="str">
            <v>BALANCE SHEET</v>
          </cell>
          <cell r="E841">
            <v>0</v>
          </cell>
          <cell r="F841">
            <v>0</v>
          </cell>
          <cell r="G841" t="str">
            <v>LOAN FUNDS</v>
          </cell>
          <cell r="H841" t="str">
            <v>SECURED LOANS</v>
          </cell>
          <cell r="I841" t="str">
            <v>FROM BANKS/FI-TERM LOANS</v>
          </cell>
        </row>
        <row r="842">
          <cell r="A842" t="str">
            <v>L301011</v>
          </cell>
          <cell r="B842" t="str">
            <v>Secured Loan (Bank)- Syndicate Bank</v>
          </cell>
          <cell r="C842" t="str">
            <v>LIABILITIES</v>
          </cell>
          <cell r="D842" t="str">
            <v>BALANCE SHEET</v>
          </cell>
          <cell r="E842">
            <v>0</v>
          </cell>
          <cell r="F842">
            <v>0</v>
          </cell>
          <cell r="G842" t="str">
            <v>LOAN FUNDS</v>
          </cell>
          <cell r="H842" t="str">
            <v>SECURED LOANS</v>
          </cell>
          <cell r="I842" t="str">
            <v>FROM BANKS/FI-TERM LOANS</v>
          </cell>
        </row>
        <row r="843">
          <cell r="A843" t="str">
            <v>L301012</v>
          </cell>
          <cell r="B843" t="str">
            <v>Secured Loan (Bank)- SCB</v>
          </cell>
          <cell r="C843" t="str">
            <v>LIABILITIES</v>
          </cell>
          <cell r="D843" t="str">
            <v>BALANCE SHEET</v>
          </cell>
          <cell r="E843">
            <v>0</v>
          </cell>
          <cell r="F843">
            <v>0</v>
          </cell>
          <cell r="G843" t="str">
            <v>LOAN FUNDS</v>
          </cell>
          <cell r="H843" t="str">
            <v>SECURED LOANS</v>
          </cell>
          <cell r="I843" t="str">
            <v>FROM BANKS/FI-TERM LOANS</v>
          </cell>
        </row>
        <row r="844">
          <cell r="A844" t="str">
            <v>L301013</v>
          </cell>
          <cell r="B844" t="str">
            <v>Secured Loan (Bank)- Corporation Bank</v>
          </cell>
          <cell r="C844" t="str">
            <v>LIABILITIES</v>
          </cell>
          <cell r="D844" t="str">
            <v>BALANCE SHEET</v>
          </cell>
          <cell r="E844">
            <v>0</v>
          </cell>
          <cell r="F844">
            <v>0</v>
          </cell>
          <cell r="G844" t="str">
            <v>LOAN FUNDS</v>
          </cell>
          <cell r="H844" t="str">
            <v>SECURED LOANS</v>
          </cell>
          <cell r="I844" t="str">
            <v>FROM BANKS/FI-TERM LOANS</v>
          </cell>
        </row>
        <row r="845">
          <cell r="A845" t="str">
            <v>L301014</v>
          </cell>
          <cell r="B845" t="str">
            <v>Secured Loan (Bank)- Deutsche Bank</v>
          </cell>
          <cell r="C845" t="str">
            <v>LIABILITIES</v>
          </cell>
          <cell r="D845" t="str">
            <v>BALANCE SHEET</v>
          </cell>
          <cell r="E845">
            <v>0</v>
          </cell>
          <cell r="F845">
            <v>0</v>
          </cell>
          <cell r="G845" t="str">
            <v>LOAN FUNDS</v>
          </cell>
          <cell r="H845" t="str">
            <v>SECURED LOANS</v>
          </cell>
          <cell r="I845" t="str">
            <v>FROM BANKS/FI-TERM LOANS</v>
          </cell>
        </row>
        <row r="846">
          <cell r="A846" t="str">
            <v>L301015</v>
          </cell>
          <cell r="B846" t="str">
            <v>Secured Loan (Bank)- UCO Bank</v>
          </cell>
          <cell r="C846" t="str">
            <v>LIABILITIES</v>
          </cell>
          <cell r="D846" t="str">
            <v>BALANCE SHEET</v>
          </cell>
          <cell r="E846">
            <v>0</v>
          </cell>
          <cell r="F846">
            <v>0</v>
          </cell>
          <cell r="G846" t="str">
            <v>LOAN FUNDS</v>
          </cell>
          <cell r="H846" t="str">
            <v>SECURED LOANS</v>
          </cell>
          <cell r="I846" t="str">
            <v>FROM BANKS/FI-TERM LOANS</v>
          </cell>
        </row>
        <row r="847">
          <cell r="A847" t="str">
            <v>L301016</v>
          </cell>
          <cell r="B847" t="str">
            <v>Secured Loan (Bank)- State Bnk Of Trvnco</v>
          </cell>
          <cell r="C847" t="str">
            <v>LIABILITIES</v>
          </cell>
          <cell r="D847" t="str">
            <v>BALANCE SHEET</v>
          </cell>
          <cell r="E847">
            <v>0</v>
          </cell>
          <cell r="F847">
            <v>0</v>
          </cell>
          <cell r="G847" t="str">
            <v>LOAN FUNDS</v>
          </cell>
          <cell r="H847" t="str">
            <v>SECURED LOANS</v>
          </cell>
          <cell r="I847" t="str">
            <v>FROM BANKS/FI-TERM LOANS</v>
          </cell>
        </row>
        <row r="848">
          <cell r="A848" t="str">
            <v>L301017</v>
          </cell>
          <cell r="B848" t="str">
            <v>Secured Loan (Bank)- ABN Amro</v>
          </cell>
          <cell r="C848" t="str">
            <v>LIABILITIES</v>
          </cell>
          <cell r="D848" t="str">
            <v>BALANCE SHEET</v>
          </cell>
          <cell r="E848">
            <v>0</v>
          </cell>
          <cell r="F848">
            <v>0</v>
          </cell>
          <cell r="G848" t="str">
            <v>LOAN FUNDS</v>
          </cell>
          <cell r="H848" t="str">
            <v>SECURED LOANS</v>
          </cell>
          <cell r="I848" t="str">
            <v>FROM BANKS/FI-TERM LOANS</v>
          </cell>
        </row>
        <row r="849">
          <cell r="A849" t="str">
            <v>L301018</v>
          </cell>
          <cell r="B849" t="str">
            <v>Secured Loan (Bank)- UTI  Bank</v>
          </cell>
          <cell r="C849" t="str">
            <v>LIABILITIES</v>
          </cell>
          <cell r="D849" t="str">
            <v>BALANCE SHEET</v>
          </cell>
          <cell r="E849">
            <v>0</v>
          </cell>
          <cell r="F849">
            <v>0</v>
          </cell>
          <cell r="G849" t="str">
            <v>LOAN FUNDS</v>
          </cell>
          <cell r="H849" t="str">
            <v>SECURED LOANS</v>
          </cell>
          <cell r="I849" t="str">
            <v>FROM BANKS/FI-TERM LOANS</v>
          </cell>
        </row>
        <row r="850">
          <cell r="A850" t="str">
            <v>L301019</v>
          </cell>
          <cell r="B850" t="str">
            <v>Secured Loan (Bank)- HSBC</v>
          </cell>
          <cell r="C850" t="str">
            <v>LIABILITIES</v>
          </cell>
          <cell r="D850" t="str">
            <v>BALANCE SHEET</v>
          </cell>
          <cell r="E850">
            <v>0</v>
          </cell>
          <cell r="F850">
            <v>0</v>
          </cell>
          <cell r="G850" t="str">
            <v>LOAN FUNDS</v>
          </cell>
          <cell r="H850" t="str">
            <v>SECURED LOANS</v>
          </cell>
          <cell r="I850" t="str">
            <v>FROM BANKS/FI-TERM LOANS</v>
          </cell>
        </row>
        <row r="851">
          <cell r="A851" t="str">
            <v>L301020</v>
          </cell>
          <cell r="B851" t="str">
            <v>Secured Loan (Bank)- Citi Bank</v>
          </cell>
          <cell r="C851" t="str">
            <v>LIABILITIES</v>
          </cell>
          <cell r="D851" t="str">
            <v>BALANCE SHEET</v>
          </cell>
          <cell r="E851">
            <v>0</v>
          </cell>
          <cell r="F851">
            <v>0</v>
          </cell>
          <cell r="G851" t="str">
            <v>LOAN FUNDS</v>
          </cell>
          <cell r="H851" t="str">
            <v>SECURED LOANS</v>
          </cell>
          <cell r="I851" t="str">
            <v>FROM BANKS/FI-TERM LOANS</v>
          </cell>
        </row>
        <row r="852">
          <cell r="A852" t="str">
            <v>L301021</v>
          </cell>
          <cell r="B852" t="str">
            <v>Secured Loan (Bank)- DBS(Buyer Credit)</v>
          </cell>
          <cell r="C852" t="str">
            <v>LIABILITIES</v>
          </cell>
          <cell r="D852" t="str">
            <v>BALANCE SHEET</v>
          </cell>
          <cell r="E852">
            <v>0</v>
          </cell>
          <cell r="F852">
            <v>0</v>
          </cell>
          <cell r="G852" t="str">
            <v>LOAN FUNDS</v>
          </cell>
          <cell r="H852" t="str">
            <v>SECURED LOANS</v>
          </cell>
          <cell r="I852" t="str">
            <v>FROM BANKS/FI-TERM LOANS</v>
          </cell>
        </row>
        <row r="853">
          <cell r="A853" t="str">
            <v>L301024</v>
          </cell>
          <cell r="B853" t="str">
            <v>Secured Loan (Bank)- YES BANK</v>
          </cell>
          <cell r="C853" t="str">
            <v>LIABILITIES</v>
          </cell>
          <cell r="D853" t="str">
            <v>BALANCE SHEET</v>
          </cell>
          <cell r="E853">
            <v>0</v>
          </cell>
          <cell r="F853">
            <v>0</v>
          </cell>
          <cell r="G853" t="str">
            <v>LOAN FUNDS</v>
          </cell>
          <cell r="H853" t="str">
            <v>SECURED LOANS</v>
          </cell>
          <cell r="I853" t="str">
            <v>FROM BANKS/FI-TERM LOAN</v>
          </cell>
        </row>
        <row r="854">
          <cell r="A854" t="str">
            <v>L301101</v>
          </cell>
          <cell r="B854" t="str">
            <v>Intt. Accrued &amp; due (Banks)</v>
          </cell>
          <cell r="C854" t="str">
            <v>LIABILITIES</v>
          </cell>
          <cell r="D854" t="str">
            <v>BALANCE SHEET</v>
          </cell>
          <cell r="E854">
            <v>0</v>
          </cell>
          <cell r="F854">
            <v>0</v>
          </cell>
          <cell r="G854" t="str">
            <v>LOAN FUNDS</v>
          </cell>
          <cell r="H854" t="str">
            <v>SECURED LOANS</v>
          </cell>
          <cell r="I854" t="str">
            <v>FROM BANKS/FI-TERM LOANS</v>
          </cell>
        </row>
        <row r="855">
          <cell r="A855" t="str">
            <v>L302001</v>
          </cell>
          <cell r="B855" t="str">
            <v>Overdrft Facility- CITI Bank(0422216227)</v>
          </cell>
          <cell r="C855" t="str">
            <v>LIABILITIES</v>
          </cell>
          <cell r="D855" t="str">
            <v>BALANCE SHEET</v>
          </cell>
          <cell r="E855">
            <v>0</v>
          </cell>
          <cell r="F855">
            <v>0</v>
          </cell>
          <cell r="G855" t="str">
            <v>LOAN FUNDS</v>
          </cell>
          <cell r="H855" t="str">
            <v>SECURED LOANS</v>
          </cell>
          <cell r="I855" t="str">
            <v>FROM BANKS/FI-OVERDRAFT FACILITY</v>
          </cell>
        </row>
        <row r="856">
          <cell r="A856" t="str">
            <v>L302002</v>
          </cell>
          <cell r="B856" t="str">
            <v>Overdrft Facility- ABN Amro (6535100)</v>
          </cell>
          <cell r="C856" t="str">
            <v>LIABILITIES</v>
          </cell>
          <cell r="D856" t="str">
            <v>BALANCE SHEET</v>
          </cell>
          <cell r="E856">
            <v>0</v>
          </cell>
          <cell r="F856">
            <v>0</v>
          </cell>
          <cell r="G856" t="str">
            <v>LOAN FUNDS</v>
          </cell>
          <cell r="H856" t="str">
            <v>SECURED LOANS</v>
          </cell>
          <cell r="I856" t="str">
            <v>FROM BANKS/FI-OVERDRAFT FACILITY</v>
          </cell>
        </row>
        <row r="857">
          <cell r="A857" t="str">
            <v>L302003</v>
          </cell>
          <cell r="B857" t="str">
            <v>Overdrft Facility- SBI Stc Bldg (Dul)</v>
          </cell>
          <cell r="C857" t="str">
            <v>LIABILITIES</v>
          </cell>
          <cell r="D857" t="str">
            <v>BALANCE SHEET</v>
          </cell>
          <cell r="E857">
            <v>0</v>
          </cell>
          <cell r="F857">
            <v>0</v>
          </cell>
          <cell r="G857" t="str">
            <v>LOAN FUNDS</v>
          </cell>
          <cell r="H857" t="str">
            <v>SECURED LOANS</v>
          </cell>
          <cell r="I857" t="str">
            <v>FROM BANKS/FI-OVERDRAFT FACILITY</v>
          </cell>
        </row>
        <row r="858">
          <cell r="A858" t="str">
            <v>L302004</v>
          </cell>
          <cell r="B858" t="str">
            <v>Overdrft Facility- SCB (5220534118)</v>
          </cell>
          <cell r="C858" t="str">
            <v>LIABILITIES</v>
          </cell>
          <cell r="D858" t="str">
            <v>BALANCE SHEET</v>
          </cell>
          <cell r="E858">
            <v>0</v>
          </cell>
          <cell r="F858">
            <v>0</v>
          </cell>
          <cell r="G858" t="str">
            <v>LOAN FUNDS</v>
          </cell>
          <cell r="H858" t="str">
            <v>SECURED LOANS</v>
          </cell>
          <cell r="I858" t="str">
            <v>FROM BANKS/FI-OVERDRAFT FACILITY</v>
          </cell>
        </row>
        <row r="859">
          <cell r="A859" t="str">
            <v>L302005</v>
          </cell>
          <cell r="B859" t="str">
            <v>Overdrft Facility- Corp Bank (Od) Dul</v>
          </cell>
          <cell r="C859" t="str">
            <v>LIABILITIES</v>
          </cell>
          <cell r="D859" t="str">
            <v>BALANCE SHEET</v>
          </cell>
          <cell r="E859">
            <v>0</v>
          </cell>
          <cell r="F859">
            <v>0</v>
          </cell>
          <cell r="G859" t="str">
            <v>LOAN FUNDS</v>
          </cell>
          <cell r="H859" t="str">
            <v>SECURED LOANS</v>
          </cell>
          <cell r="I859" t="str">
            <v>FROM BANKS/FI-OVERDRAFT FACILITY</v>
          </cell>
        </row>
        <row r="860">
          <cell r="A860" t="str">
            <v>L302006</v>
          </cell>
          <cell r="B860" t="str">
            <v>Overdrft Facility- SBH (Dul Od)</v>
          </cell>
          <cell r="C860" t="str">
            <v>LIABILITIES</v>
          </cell>
          <cell r="D860" t="str">
            <v>BALANCE SHEET</v>
          </cell>
          <cell r="E860">
            <v>0</v>
          </cell>
          <cell r="F860">
            <v>0</v>
          </cell>
          <cell r="G860" t="str">
            <v>LOAN FUNDS</v>
          </cell>
          <cell r="H860" t="str">
            <v>SECURED LOANS</v>
          </cell>
          <cell r="I860" t="str">
            <v>FROM BANKS/FI-OVERDRAFT FACILITY</v>
          </cell>
        </row>
        <row r="861">
          <cell r="A861" t="str">
            <v>L302007</v>
          </cell>
          <cell r="B861" t="str">
            <v>Overdrft Facility- ING VYASYA</v>
          </cell>
          <cell r="C861" t="str">
            <v>LIABILITIES</v>
          </cell>
          <cell r="D861" t="str">
            <v>BALANCE SHEET</v>
          </cell>
          <cell r="E861">
            <v>0</v>
          </cell>
          <cell r="F861">
            <v>0</v>
          </cell>
          <cell r="G861" t="str">
            <v>LOAN FUNDS</v>
          </cell>
          <cell r="H861" t="str">
            <v>SECURED LOANS</v>
          </cell>
          <cell r="I861" t="str">
            <v>FROM BANKS/FI-OVERDRAFT FACILITY</v>
          </cell>
        </row>
        <row r="862">
          <cell r="A862" t="str">
            <v>L302008</v>
          </cell>
          <cell r="B862" t="str">
            <v>Overdrft Facility- Kotak Mahindra</v>
          </cell>
          <cell r="C862" t="str">
            <v>LIABILITIES</v>
          </cell>
          <cell r="D862" t="str">
            <v>BALANCE SHEET</v>
          </cell>
          <cell r="E862">
            <v>0</v>
          </cell>
          <cell r="F862">
            <v>0</v>
          </cell>
          <cell r="G862" t="str">
            <v>LOAN FUNDS</v>
          </cell>
          <cell r="H862" t="str">
            <v>SECURED LOANS</v>
          </cell>
          <cell r="I862" t="str">
            <v>FROM BANKS/FI-OVERDRAFT FACILITY</v>
          </cell>
        </row>
        <row r="863">
          <cell r="A863" t="str">
            <v>L302009</v>
          </cell>
          <cell r="B863" t="str">
            <v>Overdrft Facility- State bank of Travanc</v>
          </cell>
          <cell r="C863" t="str">
            <v>LIABILITIES</v>
          </cell>
          <cell r="D863" t="str">
            <v>BALANCE SHEET</v>
          </cell>
          <cell r="E863">
            <v>0</v>
          </cell>
          <cell r="F863">
            <v>0</v>
          </cell>
          <cell r="G863" t="str">
            <v>LOAN FUNDS</v>
          </cell>
          <cell r="H863" t="str">
            <v>SECURED LOANS</v>
          </cell>
          <cell r="I863" t="str">
            <v>FROM BANKS/FI-OVERDRAFT FACILITY</v>
          </cell>
        </row>
        <row r="864">
          <cell r="A864" t="str">
            <v>L303001</v>
          </cell>
          <cell r="B864" t="str">
            <v>Secured Loan (Oth)- GE Capital</v>
          </cell>
          <cell r="C864" t="str">
            <v>LIABILITIES</v>
          </cell>
          <cell r="D864" t="str">
            <v>BALANCE SHEET</v>
          </cell>
          <cell r="E864">
            <v>0</v>
          </cell>
          <cell r="F864">
            <v>0</v>
          </cell>
          <cell r="G864" t="str">
            <v>LOAN FUNDS</v>
          </cell>
          <cell r="H864" t="str">
            <v>SECURED LOANS</v>
          </cell>
          <cell r="I864" t="str">
            <v>FROM OTHERS</v>
          </cell>
        </row>
        <row r="865">
          <cell r="A865" t="str">
            <v>L303002</v>
          </cell>
          <cell r="B865" t="str">
            <v>Secured Loan (Oth)- DSP Merryl Capital</v>
          </cell>
          <cell r="C865" t="str">
            <v>LIABILITIES</v>
          </cell>
          <cell r="D865" t="str">
            <v>BALANCE SHEET</v>
          </cell>
          <cell r="E865">
            <v>0</v>
          </cell>
          <cell r="F865">
            <v>0</v>
          </cell>
          <cell r="G865" t="str">
            <v>LOAN FUNDS</v>
          </cell>
          <cell r="H865" t="str">
            <v>SECURED LOANS</v>
          </cell>
          <cell r="I865" t="str">
            <v>FROM OTHERS</v>
          </cell>
        </row>
        <row r="866">
          <cell r="A866" t="str">
            <v>L303003</v>
          </cell>
          <cell r="B866" t="str">
            <v>Secured Loan (Oth)- DSP Merryl 930.00 CR</v>
          </cell>
          <cell r="C866" t="str">
            <v>LIABILITIES</v>
          </cell>
          <cell r="D866" t="str">
            <v>BALANCE SHEET</v>
          </cell>
          <cell r="E866">
            <v>0</v>
          </cell>
          <cell r="F866">
            <v>0</v>
          </cell>
          <cell r="G866" t="str">
            <v>LOAN FUNDS</v>
          </cell>
          <cell r="H866" t="str">
            <v>SECURED LOANS</v>
          </cell>
          <cell r="I866" t="str">
            <v>FROM OTHERS</v>
          </cell>
        </row>
        <row r="867">
          <cell r="A867" t="str">
            <v>L303004</v>
          </cell>
          <cell r="B867" t="str">
            <v>Secured Loan (Oth)- DSP Merryl 465.00 CR</v>
          </cell>
          <cell r="C867" t="str">
            <v>LIABILITIES</v>
          </cell>
          <cell r="D867" t="str">
            <v>BALANCE SHEET</v>
          </cell>
          <cell r="E867">
            <v>0</v>
          </cell>
          <cell r="F867">
            <v>0</v>
          </cell>
          <cell r="G867" t="str">
            <v>LOAN FUNDS</v>
          </cell>
          <cell r="H867" t="str">
            <v>SECURED LOANS</v>
          </cell>
          <cell r="I867" t="str">
            <v>FROM OTHERS</v>
          </cell>
        </row>
        <row r="868">
          <cell r="A868" t="str">
            <v>L303005</v>
          </cell>
          <cell r="B868" t="str">
            <v>Secured Loan (Oth)- HDFC Ltd</v>
          </cell>
          <cell r="C868" t="str">
            <v>LIABILITIES</v>
          </cell>
          <cell r="D868" t="str">
            <v>BALANCE SHEET</v>
          </cell>
          <cell r="E868">
            <v>0</v>
          </cell>
          <cell r="F868">
            <v>0</v>
          </cell>
          <cell r="G868" t="str">
            <v>LOAN FUNDS</v>
          </cell>
          <cell r="H868" t="str">
            <v>SECURED LOANS</v>
          </cell>
          <cell r="I868" t="str">
            <v>FROM OTHERS</v>
          </cell>
        </row>
        <row r="869">
          <cell r="A869" t="str">
            <v>L303006</v>
          </cell>
          <cell r="B869" t="str">
            <v>Secured Loan (Oth)- IL&amp;Fs Term Loan</v>
          </cell>
          <cell r="C869" t="str">
            <v>LIABILITIES</v>
          </cell>
          <cell r="D869" t="str">
            <v>BALANCE SHEET</v>
          </cell>
          <cell r="E869">
            <v>0</v>
          </cell>
          <cell r="F869">
            <v>0</v>
          </cell>
          <cell r="G869" t="str">
            <v>LOAN FUNDS</v>
          </cell>
          <cell r="H869" t="str">
            <v>SECURED LOANS</v>
          </cell>
          <cell r="I869" t="str">
            <v>FROM OTHERS</v>
          </cell>
        </row>
        <row r="870">
          <cell r="A870" t="str">
            <v>L305001</v>
          </cell>
          <cell r="B870" t="str">
            <v>Loan for Vehicles</v>
          </cell>
          <cell r="C870" t="str">
            <v>LIABILITIES</v>
          </cell>
          <cell r="D870" t="str">
            <v>BALANCE SHEET</v>
          </cell>
          <cell r="E870">
            <v>0</v>
          </cell>
          <cell r="F870">
            <v>0</v>
          </cell>
          <cell r="G870" t="str">
            <v>LOAN FUNDS</v>
          </cell>
          <cell r="H870" t="str">
            <v>SECURED LOANS</v>
          </cell>
          <cell r="I870" t="str">
            <v>FROM OTHERS-TERM LOANS</v>
          </cell>
        </row>
        <row r="871">
          <cell r="A871" t="str">
            <v>L308001</v>
          </cell>
          <cell r="B871" t="str">
            <v>Debentures (Secured)</v>
          </cell>
          <cell r="C871" t="str">
            <v>LIABILITIES</v>
          </cell>
          <cell r="D871" t="str">
            <v>BALANCE SHEET</v>
          </cell>
          <cell r="E871">
            <v>0</v>
          </cell>
          <cell r="F871">
            <v>0</v>
          </cell>
          <cell r="G871" t="str">
            <v>LOAN FUNDS</v>
          </cell>
          <cell r="H871" t="str">
            <v>SECURED LOANS</v>
          </cell>
          <cell r="I871" t="str">
            <v>FROM OTHERS</v>
          </cell>
        </row>
        <row r="872">
          <cell r="A872" t="str">
            <v>L308002</v>
          </cell>
          <cell r="B872" t="str">
            <v>Debenture Redemption</v>
          </cell>
          <cell r="C872" t="str">
            <v>LIABILITIES</v>
          </cell>
          <cell r="D872" t="str">
            <v>BALANCE SHEET</v>
          </cell>
          <cell r="E872">
            <v>0</v>
          </cell>
          <cell r="F872">
            <v>0</v>
          </cell>
          <cell r="G872" t="str">
            <v>LOAN FUNDS</v>
          </cell>
          <cell r="H872" t="str">
            <v>SECURED LOANS</v>
          </cell>
          <cell r="I872" t="str">
            <v>FROM OTHERS</v>
          </cell>
        </row>
        <row r="873">
          <cell r="A873" t="str">
            <v>L309001</v>
          </cell>
          <cell r="B873" t="str">
            <v>Intt. accrued &amp; Due (others)</v>
          </cell>
          <cell r="C873" t="str">
            <v>LIABILITIES</v>
          </cell>
          <cell r="D873" t="str">
            <v>BALANCE SHEET</v>
          </cell>
          <cell r="E873">
            <v>0</v>
          </cell>
          <cell r="F873">
            <v>0</v>
          </cell>
          <cell r="G873" t="str">
            <v>LOAN FUNDS</v>
          </cell>
          <cell r="H873" t="str">
            <v>SECURED LOANS</v>
          </cell>
          <cell r="I873" t="str">
            <v>FROM OTHERS</v>
          </cell>
        </row>
        <row r="874">
          <cell r="A874" t="str">
            <v>L401001</v>
          </cell>
          <cell r="B874" t="str">
            <v>Unsecured Loans- Fixed Deposits</v>
          </cell>
          <cell r="C874" t="str">
            <v>LIABILITIES</v>
          </cell>
          <cell r="D874" t="str">
            <v>BALANCE SHEET</v>
          </cell>
          <cell r="E874">
            <v>0</v>
          </cell>
          <cell r="F874">
            <v>0</v>
          </cell>
          <cell r="G874" t="str">
            <v>LOAN FUNDS</v>
          </cell>
          <cell r="H874" t="str">
            <v>UNSECURED LOANS</v>
          </cell>
          <cell r="I874" t="str">
            <v>UNSECURED LOANS</v>
          </cell>
        </row>
        <row r="875">
          <cell r="A875" t="str">
            <v>L401002-000</v>
          </cell>
          <cell r="B875" t="str">
            <v>Loan/adv- Grp Co.</v>
          </cell>
          <cell r="C875" t="str">
            <v>LIABILITIES</v>
          </cell>
          <cell r="D875" t="str">
            <v>BALANCE SHEET</v>
          </cell>
          <cell r="E875">
            <v>0</v>
          </cell>
          <cell r="F875">
            <v>0</v>
          </cell>
          <cell r="G875" t="str">
            <v>LOAN FUNDS</v>
          </cell>
          <cell r="H875" t="str">
            <v>UNSECURED LOANS</v>
          </cell>
          <cell r="I875" t="str">
            <v>UNSECURED LOANS</v>
          </cell>
        </row>
        <row r="876">
          <cell r="A876" t="str">
            <v>L401002-008</v>
          </cell>
          <cell r="B876" t="str">
            <v>Loan/adv- Grp Co-DLF GOLF RESORTS</v>
          </cell>
          <cell r="C876" t="str">
            <v>LIABILITIES</v>
          </cell>
          <cell r="D876" t="str">
            <v>BALANCE SHEET</v>
          </cell>
          <cell r="G876" t="str">
            <v>LOAN FUNDS</v>
          </cell>
          <cell r="H876" t="str">
            <v>UNSECURED LOANS</v>
          </cell>
          <cell r="I876" t="str">
            <v>UNSECURED LOANS</v>
          </cell>
        </row>
        <row r="877">
          <cell r="A877" t="str">
            <v>L401002-010</v>
          </cell>
          <cell r="B877" t="str">
            <v>Loan/adv- Grp Co.-DLF LTD Cnstr</v>
          </cell>
          <cell r="C877" t="str">
            <v>LIABILITIES</v>
          </cell>
          <cell r="D877" t="str">
            <v>BALANCE SHEET</v>
          </cell>
          <cell r="E877">
            <v>0</v>
          </cell>
          <cell r="F877">
            <v>0</v>
          </cell>
          <cell r="G877" t="str">
            <v>LOAN FUNDS</v>
          </cell>
          <cell r="H877" t="str">
            <v>UNSECURED LOANS</v>
          </cell>
          <cell r="I877" t="str">
            <v>UNSECURED LOANS</v>
          </cell>
        </row>
        <row r="878">
          <cell r="A878" t="str">
            <v>L401002-020</v>
          </cell>
          <cell r="B878" t="str">
            <v>Loan/adv- Grp Co.- DEDL</v>
          </cell>
          <cell r="C878" t="str">
            <v>LIABILITIES</v>
          </cell>
          <cell r="D878" t="str">
            <v>BALANCE SHEET</v>
          </cell>
          <cell r="E878">
            <v>0</v>
          </cell>
          <cell r="F878">
            <v>0</v>
          </cell>
          <cell r="G878" t="str">
            <v>LOAN FUNDS</v>
          </cell>
          <cell r="H878" t="str">
            <v>UNSECURED LOANS</v>
          </cell>
          <cell r="I878" t="str">
            <v>UNSECURED LOANS</v>
          </cell>
        </row>
        <row r="879">
          <cell r="A879" t="str">
            <v>L401002-022</v>
          </cell>
          <cell r="B879" t="str">
            <v>Loan/adv- Grp Co-DICD-CHENNAI</v>
          </cell>
          <cell r="C879" t="str">
            <v>LIABILITIES</v>
          </cell>
          <cell r="D879" t="str">
            <v>BALANCE SHEET</v>
          </cell>
          <cell r="G879" t="str">
            <v>LOAN FUNDS</v>
          </cell>
          <cell r="H879" t="str">
            <v>UNSECURED LOANS</v>
          </cell>
          <cell r="I879" t="str">
            <v>UNSECURED LOANS</v>
          </cell>
        </row>
        <row r="880">
          <cell r="A880" t="str">
            <v>L401002-023</v>
          </cell>
          <cell r="B880" t="str">
            <v>Loan/adv- Grp Co-DICD-HYDERABAD</v>
          </cell>
          <cell r="C880" t="str">
            <v>LIABILITIES</v>
          </cell>
          <cell r="D880" t="str">
            <v>BALANCE SHEET</v>
          </cell>
          <cell r="G880" t="str">
            <v>LOAN FUNDS</v>
          </cell>
          <cell r="H880" t="str">
            <v>UNSECURED LOANS</v>
          </cell>
          <cell r="I880" t="str">
            <v>UNSECURED LOANS</v>
          </cell>
        </row>
        <row r="881">
          <cell r="A881" t="str">
            <v>L401002-026</v>
          </cell>
          <cell r="B881" t="str">
            <v>Loan/adv- Grp Co-GKS TECH PARK</v>
          </cell>
          <cell r="C881" t="str">
            <v>LIABILITIES</v>
          </cell>
          <cell r="D881" t="str">
            <v>BALANCE SHEET</v>
          </cell>
          <cell r="G881" t="str">
            <v>LOAN FUNDS</v>
          </cell>
          <cell r="H881" t="str">
            <v>UNSECURED LOANS</v>
          </cell>
          <cell r="I881" t="str">
            <v>UNSECURED LOANS</v>
          </cell>
        </row>
        <row r="882">
          <cell r="A882" t="str">
            <v>L401002-028</v>
          </cell>
          <cell r="B882" t="str">
            <v>Loan/adv- Grp Co-UDIPTI EST DEVP</v>
          </cell>
          <cell r="C882" t="str">
            <v>LIABILITIES</v>
          </cell>
          <cell r="D882" t="str">
            <v>BALANCE SHEET</v>
          </cell>
          <cell r="G882" t="str">
            <v>LOAN FUNDS</v>
          </cell>
          <cell r="H882" t="str">
            <v>UNSECURED LOANS</v>
          </cell>
          <cell r="I882" t="str">
            <v>UNSECURED LOANS</v>
          </cell>
        </row>
        <row r="883">
          <cell r="A883" t="str">
            <v>L401002-034</v>
          </cell>
          <cell r="B883" t="str">
            <v>Loan/adv- Grp Co-BHORUKA FIN SERV</v>
          </cell>
          <cell r="C883" t="str">
            <v>LIABILITIES</v>
          </cell>
          <cell r="D883" t="str">
            <v>BALANCE SHEET</v>
          </cell>
          <cell r="G883" t="str">
            <v>LOAN FUNDS</v>
          </cell>
          <cell r="H883" t="str">
            <v>UNSECURED LOANS</v>
          </cell>
          <cell r="I883" t="str">
            <v>UNSECURED LOANS</v>
          </cell>
        </row>
        <row r="884">
          <cell r="A884" t="str">
            <v>L401002-035</v>
          </cell>
          <cell r="B884" t="str">
            <v>Loan/adv- Grp Co.-DLF Recreat Fnd P L</v>
          </cell>
          <cell r="C884" t="str">
            <v>LIABILITIES</v>
          </cell>
          <cell r="D884" t="str">
            <v>BALANCE SHEET</v>
          </cell>
          <cell r="E884">
            <v>0</v>
          </cell>
          <cell r="F884">
            <v>0</v>
          </cell>
          <cell r="G884" t="str">
            <v>LOAN FUNDS</v>
          </cell>
          <cell r="H884" t="str">
            <v>UNSECURED LOANS</v>
          </cell>
          <cell r="I884" t="str">
            <v>UNSECURED LOANS</v>
          </cell>
        </row>
        <row r="885">
          <cell r="A885" t="str">
            <v>L401002-036</v>
          </cell>
          <cell r="B885" t="str">
            <v>Loan/adv- Grp Co-GALAXY MERCANTILES</v>
          </cell>
          <cell r="C885" t="str">
            <v>LIABILITIES</v>
          </cell>
          <cell r="D885" t="str">
            <v>BALANCE SHEET</v>
          </cell>
          <cell r="G885" t="str">
            <v>LOAN FUNDS</v>
          </cell>
          <cell r="H885" t="str">
            <v>UNSECURED LOANS</v>
          </cell>
          <cell r="I885" t="str">
            <v>UNSECURED LOANS</v>
          </cell>
        </row>
        <row r="886">
          <cell r="A886" t="str">
            <v>L401002-037</v>
          </cell>
          <cell r="B886" t="str">
            <v>Loan/adv- Grp Co-DLF CITY CENTRE</v>
          </cell>
          <cell r="C886" t="str">
            <v>LIABILITIES</v>
          </cell>
          <cell r="D886" t="str">
            <v>BALANCE SHEET</v>
          </cell>
          <cell r="E886">
            <v>0</v>
          </cell>
          <cell r="G886" t="str">
            <v>LOAN FUNDS</v>
          </cell>
          <cell r="H886" t="str">
            <v>UNSECURED LOANS</v>
          </cell>
          <cell r="I886" t="str">
            <v>UNSECURED LOANS</v>
          </cell>
        </row>
        <row r="887">
          <cell r="A887" t="str">
            <v>L401002-061</v>
          </cell>
          <cell r="B887" t="str">
            <v>Loan/adv- Grp Co-SHIVAJI MARG PROP</v>
          </cell>
          <cell r="C887" t="str">
            <v>LIABILITIES</v>
          </cell>
          <cell r="D887" t="str">
            <v>BALANCE SHEET</v>
          </cell>
          <cell r="G887" t="str">
            <v>LOAN FUNDS</v>
          </cell>
          <cell r="H887" t="str">
            <v>UNSECURED LOANS</v>
          </cell>
          <cell r="I887" t="str">
            <v>UNSECURED LOANS</v>
          </cell>
        </row>
        <row r="888">
          <cell r="A888" t="str">
            <v>L401002-075</v>
          </cell>
          <cell r="B888" t="str">
            <v>Loan/adv- Grp Co-DICD- CHD</v>
          </cell>
          <cell r="C888" t="str">
            <v>LIABILITIES</v>
          </cell>
          <cell r="D888" t="str">
            <v>BALANCE SHEET</v>
          </cell>
          <cell r="G888" t="str">
            <v>LOAN FUNDS</v>
          </cell>
          <cell r="H888" t="str">
            <v>UNSECURED LOANS</v>
          </cell>
          <cell r="I888" t="str">
            <v>UNSECURED LOANS</v>
          </cell>
        </row>
        <row r="889">
          <cell r="A889" t="str">
            <v>L401002-076</v>
          </cell>
          <cell r="B889" t="str">
            <v>Loan/adv- Grp Co.- DICD (Kolkata) Ltd</v>
          </cell>
          <cell r="C889" t="str">
            <v>LIABILITIES</v>
          </cell>
          <cell r="D889" t="str">
            <v>BALANCE SHEET</v>
          </cell>
          <cell r="E889">
            <v>0</v>
          </cell>
          <cell r="F889">
            <v>0</v>
          </cell>
          <cell r="G889" t="str">
            <v>LOAN FUNDS</v>
          </cell>
          <cell r="H889" t="str">
            <v>UNSECURED LOANS</v>
          </cell>
          <cell r="I889" t="str">
            <v>UNSECURED LOANS</v>
          </cell>
        </row>
        <row r="890">
          <cell r="A890" t="str">
            <v>L401002-096</v>
          </cell>
          <cell r="B890" t="str">
            <v>Loan/adv- Grp Co-DLF LAING O'ROURKE</v>
          </cell>
          <cell r="C890" t="str">
            <v>LIABILITIES</v>
          </cell>
          <cell r="D890" t="str">
            <v>BALANCE SHEET</v>
          </cell>
          <cell r="G890" t="str">
            <v>LOAN FUNDS</v>
          </cell>
          <cell r="H890" t="str">
            <v>UNSECURED LOANS</v>
          </cell>
          <cell r="I890" t="str">
            <v>UNSECURED LOANS</v>
          </cell>
        </row>
        <row r="891">
          <cell r="A891" t="str">
            <v>L401002-101</v>
          </cell>
          <cell r="B891" t="str">
            <v>Loan/adv- Grp Co.- DLF LTD</v>
          </cell>
          <cell r="C891" t="str">
            <v>LIABILITIES</v>
          </cell>
          <cell r="D891" t="str">
            <v>BALANCE SHEET</v>
          </cell>
          <cell r="E891">
            <v>0</v>
          </cell>
          <cell r="F891">
            <v>0</v>
          </cell>
          <cell r="G891" t="str">
            <v>LOAN FUNDS</v>
          </cell>
          <cell r="H891" t="str">
            <v>UNSECURED LOANS</v>
          </cell>
          <cell r="I891" t="str">
            <v>UNSECURED LOANS</v>
          </cell>
        </row>
        <row r="892">
          <cell r="A892" t="str">
            <v>L401002-108</v>
          </cell>
          <cell r="B892" t="str">
            <v>Loan/adv- Grp Co.-DUL Rent Div</v>
          </cell>
          <cell r="C892" t="str">
            <v>LIABILITIES</v>
          </cell>
          <cell r="D892" t="str">
            <v>BALANCE SHEET</v>
          </cell>
          <cell r="E892">
            <v>0</v>
          </cell>
          <cell r="F892">
            <v>0</v>
          </cell>
          <cell r="G892" t="str">
            <v>LOAN FUNDS</v>
          </cell>
          <cell r="H892" t="str">
            <v>UNSECURED LOANS</v>
          </cell>
          <cell r="I892" t="str">
            <v>UNSECURED LOANS</v>
          </cell>
        </row>
        <row r="893">
          <cell r="A893" t="str">
            <v>L401002-111</v>
          </cell>
          <cell r="B893" t="str">
            <v>Loan/adv- Grp Co.-Kavicon Prtnr Rent Div</v>
          </cell>
          <cell r="C893" t="str">
            <v>LIABILITIES</v>
          </cell>
          <cell r="D893" t="str">
            <v>BALANCE SHEET</v>
          </cell>
          <cell r="E893">
            <v>0</v>
          </cell>
          <cell r="F893">
            <v>0</v>
          </cell>
          <cell r="G893" t="str">
            <v>LOAN FUNDS</v>
          </cell>
          <cell r="H893" t="str">
            <v>UNSECURED LOANS</v>
          </cell>
          <cell r="I893" t="str">
            <v>UNSECURED LOANS</v>
          </cell>
        </row>
        <row r="894">
          <cell r="A894" t="str">
            <v>L401002-115</v>
          </cell>
          <cell r="B894" t="str">
            <v>Loan/adv- Grp Co.-DLF Cyber Rent Div</v>
          </cell>
          <cell r="C894" t="str">
            <v>LIABILITIES</v>
          </cell>
          <cell r="D894" t="str">
            <v>BALANCE SHEET</v>
          </cell>
          <cell r="E894">
            <v>0</v>
          </cell>
          <cell r="F894">
            <v>0</v>
          </cell>
          <cell r="G894" t="str">
            <v>LOAN FUNDS</v>
          </cell>
          <cell r="H894" t="str">
            <v>UNSECURED LOANS</v>
          </cell>
          <cell r="I894" t="str">
            <v>UNSECURED LOANS</v>
          </cell>
        </row>
        <row r="895">
          <cell r="A895" t="str">
            <v>L401002-211</v>
          </cell>
          <cell r="B895" t="str">
            <v>Loan/adv- Grp Co.-DLF Hous Contr L</v>
          </cell>
          <cell r="C895" t="str">
            <v>LIABILITIES</v>
          </cell>
          <cell r="D895" t="str">
            <v>BALANCE SHEET</v>
          </cell>
          <cell r="E895">
            <v>0</v>
          </cell>
          <cell r="F895">
            <v>0</v>
          </cell>
          <cell r="G895" t="str">
            <v>LOAN FUNDS</v>
          </cell>
          <cell r="H895" t="str">
            <v>UNSECURED LOANS</v>
          </cell>
          <cell r="I895" t="str">
            <v>UNSECURED LOANS</v>
          </cell>
        </row>
        <row r="896">
          <cell r="A896" t="str">
            <v>L401002-223</v>
          </cell>
          <cell r="B896" t="str">
            <v>Loan/adv- Grp Co.-Nilgiri Cultivation</v>
          </cell>
          <cell r="C896" t="str">
            <v>LIABILITIES</v>
          </cell>
          <cell r="D896" t="str">
            <v>BALANCE SHEET</v>
          </cell>
          <cell r="E896">
            <v>0</v>
          </cell>
          <cell r="F896">
            <v>0</v>
          </cell>
          <cell r="G896" t="str">
            <v>LOAN FUNDS</v>
          </cell>
          <cell r="H896" t="str">
            <v>UNSECURED LOANS</v>
          </cell>
          <cell r="I896" t="str">
            <v>UNSECURED LOANS</v>
          </cell>
        </row>
        <row r="897">
          <cell r="A897" t="str">
            <v>L401002-251</v>
          </cell>
          <cell r="B897" t="str">
            <v>Loan/adv- Grp Co.-Nilayam Bui &amp; Dev</v>
          </cell>
          <cell r="C897" t="str">
            <v>LIABILITIES</v>
          </cell>
          <cell r="D897" t="str">
            <v>BALANCE SHEET</v>
          </cell>
          <cell r="E897">
            <v>0</v>
          </cell>
          <cell r="F897">
            <v>0</v>
          </cell>
          <cell r="G897" t="str">
            <v>LOAN FUNDS</v>
          </cell>
          <cell r="H897" t="str">
            <v>UNSECURED LOANS</v>
          </cell>
          <cell r="I897" t="str">
            <v>UNSECURED LOANS</v>
          </cell>
        </row>
        <row r="898">
          <cell r="A898" t="str">
            <v>L401002-257</v>
          </cell>
          <cell r="B898" t="str">
            <v>Loan/adv- Grp Co.- UJAGAR ESTAT</v>
          </cell>
          <cell r="C898" t="str">
            <v>LIABILITIES</v>
          </cell>
          <cell r="D898" t="str">
            <v>BALANCE SHEET</v>
          </cell>
          <cell r="E898">
            <v>0</v>
          </cell>
          <cell r="F898">
            <v>0</v>
          </cell>
          <cell r="G898" t="str">
            <v>LOAN FUNDS</v>
          </cell>
          <cell r="H898" t="str">
            <v>UNSECURED LOANS</v>
          </cell>
          <cell r="I898" t="str">
            <v>UNSECURED LOANS</v>
          </cell>
        </row>
        <row r="899">
          <cell r="A899" t="str">
            <v>L401002-259</v>
          </cell>
          <cell r="B899" t="str">
            <v>Loan/adv- Grp Co.-Alankrit Est Ltd</v>
          </cell>
          <cell r="C899" t="str">
            <v>LIABILITIES</v>
          </cell>
          <cell r="D899" t="str">
            <v>BALANCE SHEET</v>
          </cell>
          <cell r="E899">
            <v>0</v>
          </cell>
          <cell r="F899">
            <v>0</v>
          </cell>
          <cell r="G899" t="str">
            <v>LOAN FUNDS</v>
          </cell>
          <cell r="H899" t="str">
            <v>UNSECURED LOANS</v>
          </cell>
          <cell r="I899" t="str">
            <v>UNSECURED LOANS</v>
          </cell>
        </row>
        <row r="900">
          <cell r="A900" t="str">
            <v>L401002-264</v>
          </cell>
          <cell r="B900" t="str">
            <v>Loan/adv- Grp Co-DLF OFFICE DEVP - CORP</v>
          </cell>
          <cell r="C900" t="str">
            <v>LIABILITIES</v>
          </cell>
          <cell r="D900" t="str">
            <v>BALANCE SHEET</v>
          </cell>
          <cell r="G900" t="str">
            <v>LOAN FUNDS</v>
          </cell>
          <cell r="H900" t="str">
            <v>UNSECURED LOANS</v>
          </cell>
          <cell r="I900" t="str">
            <v>UNSECURED LOANS</v>
          </cell>
        </row>
        <row r="901">
          <cell r="A901" t="str">
            <v>L401002-264</v>
          </cell>
          <cell r="B901" t="str">
            <v>Loan/adv- Grp Co-DLF OFFICE DEVELOPERS</v>
          </cell>
          <cell r="C901" t="str">
            <v>LIABILITIES</v>
          </cell>
          <cell r="D901" t="str">
            <v>BALANCE SHEET</v>
          </cell>
          <cell r="G901" t="str">
            <v>LOAN FUNDS</v>
          </cell>
          <cell r="H901" t="str">
            <v>UNSECURED LOANS</v>
          </cell>
          <cell r="I901" t="str">
            <v>UNSECURED LOANS</v>
          </cell>
        </row>
        <row r="902">
          <cell r="A902" t="str">
            <v>L401002-266</v>
          </cell>
          <cell r="B902" t="str">
            <v>Loan/adv- Grp Co-DLF HOME BUILDERS</v>
          </cell>
          <cell r="C902" t="str">
            <v>LIABILITIES</v>
          </cell>
          <cell r="D902" t="str">
            <v>BALANCE SHEET</v>
          </cell>
          <cell r="G902" t="str">
            <v>LOAN FUNDS</v>
          </cell>
          <cell r="H902" t="str">
            <v>UNSECURED LOANS</v>
          </cell>
          <cell r="I902" t="str">
            <v>UNSECURED LOANS</v>
          </cell>
        </row>
        <row r="903">
          <cell r="A903" t="str">
            <v>L401002-268</v>
          </cell>
          <cell r="B903" t="str">
            <v>Loan/adv- Grp Co-DLF GOLF HOLDINGS</v>
          </cell>
          <cell r="C903" t="str">
            <v>LIABILITIES</v>
          </cell>
          <cell r="D903" t="str">
            <v>BALANCE SHEET</v>
          </cell>
          <cell r="G903" t="str">
            <v>LOAN FUNDS</v>
          </cell>
          <cell r="H903" t="str">
            <v>UNSECURED LOANS</v>
          </cell>
          <cell r="I903" t="str">
            <v>UNSECURED LOANS</v>
          </cell>
        </row>
        <row r="904">
          <cell r="A904" t="str">
            <v>L401002-274</v>
          </cell>
          <cell r="B904" t="str">
            <v>Loan/adv- Grp Co.-DLF Retail Dev</v>
          </cell>
          <cell r="C904" t="str">
            <v>LIABILITIES</v>
          </cell>
          <cell r="D904" t="str">
            <v>BALANCE SHEET</v>
          </cell>
          <cell r="E904">
            <v>0</v>
          </cell>
          <cell r="F904">
            <v>0</v>
          </cell>
          <cell r="G904" t="str">
            <v>LOAN FUNDS</v>
          </cell>
          <cell r="H904" t="str">
            <v>UNSECURED LOANS</v>
          </cell>
          <cell r="I904" t="str">
            <v>UNSECURED LOANS</v>
          </cell>
        </row>
        <row r="905">
          <cell r="A905" t="str">
            <v>L401002-278</v>
          </cell>
          <cell r="B905" t="str">
            <v>Loan/adv- Grp Co.- DHDL</v>
          </cell>
          <cell r="C905" t="str">
            <v>LIABILITIES</v>
          </cell>
          <cell r="D905" t="str">
            <v>BALANCE SHEET</v>
          </cell>
          <cell r="E905">
            <v>0</v>
          </cell>
          <cell r="F905">
            <v>0</v>
          </cell>
          <cell r="G905" t="str">
            <v>LOAN FUNDS</v>
          </cell>
          <cell r="H905" t="str">
            <v>UNSECURED LOANS</v>
          </cell>
          <cell r="I905" t="str">
            <v>UNSECURED LOANS</v>
          </cell>
        </row>
        <row r="906">
          <cell r="A906" t="str">
            <v>L401002-279</v>
          </cell>
          <cell r="B906" t="str">
            <v>Loan/adv- Grp Co.- DCDL</v>
          </cell>
          <cell r="C906" t="str">
            <v>LIABILITIES</v>
          </cell>
          <cell r="D906" t="str">
            <v>BALANCE SHEET</v>
          </cell>
          <cell r="E906">
            <v>0</v>
          </cell>
          <cell r="F906">
            <v>0</v>
          </cell>
          <cell r="G906" t="str">
            <v>LOAN FUNDS</v>
          </cell>
          <cell r="H906" t="str">
            <v>UNSECURED LOANS</v>
          </cell>
          <cell r="I906" t="str">
            <v>UNSECURED LOANS</v>
          </cell>
        </row>
        <row r="907">
          <cell r="A907" t="str">
            <v>L401002-287</v>
          </cell>
          <cell r="B907" t="str">
            <v>Loan/adv- Grp Co.- WINDSOR COMPLEX PROPE</v>
          </cell>
          <cell r="C907" t="str">
            <v>LIABILITIES</v>
          </cell>
          <cell r="D907" t="str">
            <v>BALANCE SHEET</v>
          </cell>
          <cell r="E907">
            <v>0</v>
          </cell>
          <cell r="F907">
            <v>0</v>
          </cell>
          <cell r="G907" t="str">
            <v>LOAN FUNDS</v>
          </cell>
          <cell r="H907" t="str">
            <v>UNSECURED LOANS</v>
          </cell>
          <cell r="I907" t="str">
            <v>UNSECURED LOANS</v>
          </cell>
        </row>
        <row r="908">
          <cell r="A908" t="str">
            <v>L401002-288</v>
          </cell>
          <cell r="B908" t="str">
            <v>Loan/adv- Grp Co-DLF SOUTH POINT</v>
          </cell>
          <cell r="C908" t="str">
            <v>LIABILITIES</v>
          </cell>
          <cell r="D908" t="str">
            <v>BALANCE SHEET</v>
          </cell>
          <cell r="G908" t="str">
            <v>LOAN FUNDS</v>
          </cell>
          <cell r="H908" t="str">
            <v>UNSECURED LOANS</v>
          </cell>
          <cell r="I908" t="str">
            <v>UNSECURED LOANS</v>
          </cell>
        </row>
        <row r="909">
          <cell r="A909" t="str">
            <v>L401002-293</v>
          </cell>
          <cell r="B909" t="str">
            <v>Loan/adv- Grp Co-DLF COMM ENTERPRISES</v>
          </cell>
          <cell r="C909" t="str">
            <v>LIABILITIES</v>
          </cell>
          <cell r="D909" t="str">
            <v>BALANCE SHEET</v>
          </cell>
          <cell r="G909" t="str">
            <v>LOAN FUNDS</v>
          </cell>
          <cell r="H909" t="str">
            <v>UNSECURED LOANS</v>
          </cell>
          <cell r="I909" t="str">
            <v>UNSECURED LOANS</v>
          </cell>
        </row>
        <row r="910">
          <cell r="A910" t="str">
            <v>L401002-295</v>
          </cell>
          <cell r="B910" t="str">
            <v>Loan/adv- Grp Co-BEVERLY PARK MAINT</v>
          </cell>
          <cell r="C910" t="str">
            <v>LIABILITIES</v>
          </cell>
          <cell r="D910" t="str">
            <v>BALANCE SHEET</v>
          </cell>
          <cell r="G910" t="str">
            <v>LOAN FUNDS</v>
          </cell>
          <cell r="H910" t="str">
            <v>UNSECURED LOANS</v>
          </cell>
          <cell r="I910" t="str">
            <v>UNSECURED LOANS</v>
          </cell>
        </row>
        <row r="911">
          <cell r="A911" t="str">
            <v>L401002-296</v>
          </cell>
          <cell r="B911" t="str">
            <v>Loan/adv- Grp Co-GALLERIA PROP MAINT</v>
          </cell>
          <cell r="C911" t="str">
            <v>LIABILITIES</v>
          </cell>
          <cell r="D911" t="str">
            <v>BALANCE SHEET</v>
          </cell>
          <cell r="G911" t="str">
            <v>LOAN FUNDS</v>
          </cell>
          <cell r="H911" t="str">
            <v>UNSECURED LOANS</v>
          </cell>
          <cell r="I911" t="str">
            <v>UNSECURED LOANS</v>
          </cell>
        </row>
        <row r="912">
          <cell r="A912" t="str">
            <v>L401002-297</v>
          </cell>
          <cell r="B912" t="str">
            <v>Loan/adv- Grp Co-REGENCY PARK PROP</v>
          </cell>
          <cell r="C912" t="str">
            <v>LIABILITIES</v>
          </cell>
          <cell r="D912" t="str">
            <v>BALANCE SHEET</v>
          </cell>
          <cell r="G912" t="str">
            <v>LOAN FUNDS</v>
          </cell>
          <cell r="H912" t="str">
            <v>UNSECURED LOANS</v>
          </cell>
          <cell r="I912" t="str">
            <v>UNSECURED LOANS</v>
          </cell>
        </row>
        <row r="913">
          <cell r="A913" t="str">
            <v>L401002-298</v>
          </cell>
          <cell r="B913" t="str">
            <v>Loan/adv- Grp Co.- RICHMOND PARK PROP MA</v>
          </cell>
          <cell r="C913" t="str">
            <v>LIABILITIES</v>
          </cell>
          <cell r="D913" t="str">
            <v>BALANCE SHEET</v>
          </cell>
          <cell r="E913">
            <v>0</v>
          </cell>
          <cell r="F913">
            <v>0</v>
          </cell>
          <cell r="G913" t="str">
            <v>LOAN FUNDS</v>
          </cell>
          <cell r="H913" t="str">
            <v>UNSECURED LOANS</v>
          </cell>
          <cell r="I913" t="str">
            <v>UNSECURED LOANS</v>
          </cell>
        </row>
        <row r="914">
          <cell r="A914" t="str">
            <v>L401002-299</v>
          </cell>
          <cell r="B914" t="str">
            <v>Loan/adv- Grp Co.- DLF CYBER CITY</v>
          </cell>
          <cell r="C914" t="str">
            <v>LIABILITIES</v>
          </cell>
          <cell r="D914" t="str">
            <v>BALANCE SHEET</v>
          </cell>
          <cell r="E914">
            <v>0</v>
          </cell>
          <cell r="F914">
            <v>0</v>
          </cell>
          <cell r="G914" t="str">
            <v>LOAN FUNDS</v>
          </cell>
          <cell r="H914" t="str">
            <v>UNSECURED LOANS</v>
          </cell>
          <cell r="I914" t="str">
            <v>UNSECURED LOANS</v>
          </cell>
        </row>
        <row r="915">
          <cell r="A915" t="str">
            <v>L401002-300</v>
          </cell>
          <cell r="B915" t="str">
            <v>Loan/adv- Grp Co.- Paliwal Real Estate P</v>
          </cell>
          <cell r="C915" t="str">
            <v>LIABILITIES</v>
          </cell>
          <cell r="D915" t="str">
            <v>BALANCE SHEET</v>
          </cell>
          <cell r="E915">
            <v>0</v>
          </cell>
          <cell r="F915">
            <v>0</v>
          </cell>
          <cell r="G915" t="str">
            <v>LOAN FUNDS</v>
          </cell>
          <cell r="H915" t="str">
            <v>UNSECURED LOANS</v>
          </cell>
          <cell r="I915" t="str">
            <v>UNSECURED LOANS</v>
          </cell>
        </row>
        <row r="916">
          <cell r="A916" t="str">
            <v>L401002-301</v>
          </cell>
          <cell r="B916" t="str">
            <v>Loan/adv- Grp Co-PALIWAL DEVP</v>
          </cell>
          <cell r="C916" t="str">
            <v>LIABILITIES</v>
          </cell>
          <cell r="D916" t="str">
            <v>BALANCE SHEET</v>
          </cell>
          <cell r="G916" t="str">
            <v>LOAN FUNDS</v>
          </cell>
          <cell r="H916" t="str">
            <v>UNSECURED LOANS</v>
          </cell>
          <cell r="I916" t="str">
            <v>UNSECURED LOANS</v>
          </cell>
        </row>
        <row r="917">
          <cell r="A917" t="str">
            <v>L401002-302</v>
          </cell>
          <cell r="B917" t="str">
            <v>Loan/adv- Grp Co.- MAGNA REAL EST. DEV.</v>
          </cell>
          <cell r="C917" t="str">
            <v>LIABILITIES</v>
          </cell>
          <cell r="D917" t="str">
            <v>BALANCE SHEET</v>
          </cell>
          <cell r="E917">
            <v>0</v>
          </cell>
          <cell r="F917">
            <v>0</v>
          </cell>
          <cell r="G917" t="str">
            <v>LOAN FUNDS</v>
          </cell>
          <cell r="H917" t="str">
            <v>UNSECURED LOANS</v>
          </cell>
          <cell r="I917" t="str">
            <v>UNSECURED LOANS</v>
          </cell>
        </row>
        <row r="918">
          <cell r="A918" t="str">
            <v>L401002-309</v>
          </cell>
          <cell r="B918" t="str">
            <v>Loan/adv- Grp Co.- Kairav real est</v>
          </cell>
          <cell r="C918" t="str">
            <v>LIABILITIES</v>
          </cell>
          <cell r="D918" t="str">
            <v>BALANCE SHEET</v>
          </cell>
          <cell r="E918">
            <v>0</v>
          </cell>
          <cell r="F918">
            <v>0</v>
          </cell>
          <cell r="G918" t="str">
            <v>LOAN FUNDS</v>
          </cell>
          <cell r="H918" t="str">
            <v>UNSECURED LOANS</v>
          </cell>
          <cell r="I918" t="str">
            <v>UNSECURED LOANS</v>
          </cell>
        </row>
        <row r="919">
          <cell r="A919" t="str">
            <v>L401002-318</v>
          </cell>
          <cell r="B919" t="str">
            <v>Loan/adv- Grp Co-JAWALA REAL EST</v>
          </cell>
          <cell r="C919" t="str">
            <v>LIABILITIES</v>
          </cell>
          <cell r="D919" t="str">
            <v>BALANCE SHEET</v>
          </cell>
          <cell r="G919" t="str">
            <v>LOAN FUNDS</v>
          </cell>
          <cell r="H919" t="str">
            <v>UNSECURED LOANS</v>
          </cell>
          <cell r="I919" t="str">
            <v>UNSECURED LOANS</v>
          </cell>
        </row>
        <row r="920">
          <cell r="A920" t="str">
            <v>L401002-325</v>
          </cell>
          <cell r="B920" t="str">
            <v>Loan/adv- Grp Co.-Edward Keventer</v>
          </cell>
          <cell r="C920" t="str">
            <v>LIABILITIES</v>
          </cell>
          <cell r="D920" t="str">
            <v>BALANCE SHEET</v>
          </cell>
          <cell r="E920">
            <v>0</v>
          </cell>
          <cell r="F920">
            <v>0</v>
          </cell>
          <cell r="G920" t="str">
            <v>LOAN FUNDS</v>
          </cell>
          <cell r="H920" t="str">
            <v>UNSECURED LOANS</v>
          </cell>
          <cell r="I920" t="str">
            <v>UNSECURED LOANS</v>
          </cell>
        </row>
        <row r="921">
          <cell r="A921" t="str">
            <v>L401002-374</v>
          </cell>
          <cell r="B921" t="str">
            <v>Loan/adv- Grp Co.-Eila Buil &amp; Dev</v>
          </cell>
          <cell r="C921" t="str">
            <v>LIABILITIES</v>
          </cell>
          <cell r="D921" t="str">
            <v>BALANCE SHEET</v>
          </cell>
          <cell r="E921">
            <v>0</v>
          </cell>
          <cell r="F921">
            <v>0</v>
          </cell>
          <cell r="G921" t="str">
            <v>LOAN FUNDS</v>
          </cell>
          <cell r="H921" t="str">
            <v>UNSECURED LOANS</v>
          </cell>
          <cell r="I921" t="str">
            <v>UNSECURED LOANS</v>
          </cell>
        </row>
        <row r="922">
          <cell r="A922" t="str">
            <v>L401002-381</v>
          </cell>
          <cell r="B922" t="str">
            <v>Loan/adv- Grp Co-DLF CYBER CITY DEVP LTD</v>
          </cell>
          <cell r="C922" t="str">
            <v>LIABILITIES</v>
          </cell>
          <cell r="D922" t="str">
            <v>BALANCE SHEET</v>
          </cell>
          <cell r="G922" t="str">
            <v>LOAN FUNDS</v>
          </cell>
          <cell r="H922" t="str">
            <v>UNSECURED LOANS</v>
          </cell>
          <cell r="I922" t="str">
            <v>UNSECURED LOANS</v>
          </cell>
        </row>
        <row r="923">
          <cell r="A923" t="str">
            <v>L401002-418</v>
          </cell>
          <cell r="B923" t="str">
            <v>Loan/adv- Grp Co.-Catherine Buil &amp; Dev P</v>
          </cell>
          <cell r="C923" t="str">
            <v>LIABILITIES</v>
          </cell>
          <cell r="D923" t="str">
            <v>BALANCE SHEET</v>
          </cell>
          <cell r="E923">
            <v>0</v>
          </cell>
          <cell r="F923">
            <v>0</v>
          </cell>
          <cell r="G923" t="str">
            <v>LOAN FUNDS</v>
          </cell>
          <cell r="H923" t="str">
            <v>UNSECURED LOANS</v>
          </cell>
          <cell r="I923" t="str">
            <v>UNSECURED LOANS</v>
          </cell>
        </row>
        <row r="924">
          <cell r="A924" t="str">
            <v>L401002-428</v>
          </cell>
          <cell r="B924" t="str">
            <v>Loan/adv- Grp Co-DAPL</v>
          </cell>
          <cell r="C924" t="str">
            <v>LIABILITIES</v>
          </cell>
          <cell r="D924" t="str">
            <v>BALANCE SHEET</v>
          </cell>
          <cell r="G924" t="str">
            <v>LOAN FUNDS</v>
          </cell>
          <cell r="H924" t="str">
            <v>UNSECURED LOANS</v>
          </cell>
          <cell r="I924" t="str">
            <v>UNSECURED LOANS</v>
          </cell>
        </row>
        <row r="925">
          <cell r="A925" t="str">
            <v>L401002-431</v>
          </cell>
          <cell r="B925" t="str">
            <v>Loan/adv- Grp Co-DLL</v>
          </cell>
          <cell r="C925" t="str">
            <v>LIABILITIES</v>
          </cell>
          <cell r="D925" t="str">
            <v>BALANCE SHEET</v>
          </cell>
          <cell r="G925" t="str">
            <v>LOAN FUNDS</v>
          </cell>
          <cell r="H925" t="str">
            <v>UNSECURED LOANS</v>
          </cell>
          <cell r="I925" t="str">
            <v>UNSECURED LOANS</v>
          </cell>
        </row>
        <row r="926">
          <cell r="A926" t="str">
            <v>L401002-517</v>
          </cell>
          <cell r="B926" t="str">
            <v>Loan/adv- Grp Co-DLF SEZ DEVLOPERS</v>
          </cell>
          <cell r="C926" t="str">
            <v>LIABILITIES</v>
          </cell>
          <cell r="D926" t="str">
            <v>BALANCE SHEET</v>
          </cell>
          <cell r="E926">
            <v>0</v>
          </cell>
          <cell r="G926" t="str">
            <v>LOAN FUNDS</v>
          </cell>
          <cell r="H926" t="str">
            <v>UNSECURED LOANS</v>
          </cell>
          <cell r="I926" t="str">
            <v>UNSECURED LOANS</v>
          </cell>
        </row>
        <row r="927">
          <cell r="A927" t="str">
            <v>L401002-526</v>
          </cell>
          <cell r="B927" t="str">
            <v>Loan/adv- Grp Co-DT CINEMAS LTD</v>
          </cell>
          <cell r="C927" t="str">
            <v>LIABILITIES</v>
          </cell>
          <cell r="D927" t="str">
            <v>BALANCE SHEET</v>
          </cell>
          <cell r="G927" t="str">
            <v>LOAN FUNDS</v>
          </cell>
          <cell r="H927" t="str">
            <v>UNSECURED LOANS</v>
          </cell>
          <cell r="I927" t="str">
            <v>UNSECURED LOANS</v>
          </cell>
        </row>
        <row r="928">
          <cell r="A928" t="str">
            <v>L401002-527</v>
          </cell>
          <cell r="B928" t="str">
            <v>Loan/adv- Grp Co.- Caressa Buil &amp; Cnstr</v>
          </cell>
          <cell r="C928" t="str">
            <v>LIABILITIES</v>
          </cell>
          <cell r="D928" t="str">
            <v>BALANCE SHEET</v>
          </cell>
          <cell r="E928">
            <v>0</v>
          </cell>
          <cell r="F928">
            <v>0</v>
          </cell>
          <cell r="G928" t="str">
            <v>LOAN FUNDS</v>
          </cell>
          <cell r="H928" t="str">
            <v>UNSECURED LOANS</v>
          </cell>
          <cell r="I928" t="str">
            <v>UNSECURED LOANS</v>
          </cell>
        </row>
        <row r="929">
          <cell r="A929" t="str">
            <v>L401002-534</v>
          </cell>
          <cell r="B929" t="str">
            <v>Loan/adv- Grp Co.-DICD Kolkota Rent Div</v>
          </cell>
          <cell r="C929" t="str">
            <v>LIABILITIES</v>
          </cell>
          <cell r="D929" t="str">
            <v>BALANCE SHEET</v>
          </cell>
          <cell r="E929">
            <v>0</v>
          </cell>
          <cell r="F929">
            <v>0</v>
          </cell>
          <cell r="G929" t="str">
            <v>LOAN FUNDS</v>
          </cell>
          <cell r="H929" t="str">
            <v>UNSECURED LOANS</v>
          </cell>
          <cell r="I929" t="str">
            <v>UNSECURED LOANS</v>
          </cell>
        </row>
        <row r="930">
          <cell r="A930" t="str">
            <v>L401002-535</v>
          </cell>
          <cell r="B930" t="str">
            <v>Loan/adv- Grp Co.-DICD Kolkota Comm Div</v>
          </cell>
          <cell r="C930" t="str">
            <v>LIABILITIES</v>
          </cell>
          <cell r="D930" t="str">
            <v>BALANCE SHEET</v>
          </cell>
          <cell r="E930">
            <v>0</v>
          </cell>
          <cell r="F930">
            <v>0</v>
          </cell>
          <cell r="G930" t="str">
            <v>LOAN FUNDS</v>
          </cell>
          <cell r="H930" t="str">
            <v>UNSECURED LOANS</v>
          </cell>
          <cell r="I930" t="str">
            <v>UNSECURED LOANS</v>
          </cell>
        </row>
        <row r="931">
          <cell r="A931" t="str">
            <v>L401002-550</v>
          </cell>
          <cell r="B931" t="str">
            <v>Loan/adv- Grp Co-Delanco Real Est P L</v>
          </cell>
          <cell r="C931" t="str">
            <v>LIABILITIES</v>
          </cell>
          <cell r="D931" t="str">
            <v>BALANCE SHEET</v>
          </cell>
          <cell r="E931">
            <v>0</v>
          </cell>
          <cell r="F931">
            <v>0</v>
          </cell>
          <cell r="G931" t="str">
            <v>LOAN FUNDS</v>
          </cell>
          <cell r="H931" t="str">
            <v>UNSECURED LOANS</v>
          </cell>
          <cell r="I931" t="str">
            <v>UNSECURED LOANS</v>
          </cell>
        </row>
        <row r="932">
          <cell r="A932" t="str">
            <v>L401002-589</v>
          </cell>
          <cell r="B932" t="str">
            <v>Loan/adv- Grp Co-DICD-AHEMDABAD</v>
          </cell>
          <cell r="C932" t="str">
            <v>LIABILITIES</v>
          </cell>
          <cell r="D932" t="str">
            <v>BALANCE SHEET</v>
          </cell>
          <cell r="G932" t="str">
            <v>LOAN FUNDS</v>
          </cell>
          <cell r="H932" t="str">
            <v>UNSECURED LOANS</v>
          </cell>
          <cell r="I932" t="str">
            <v>UNSECURED LOANS</v>
          </cell>
        </row>
        <row r="933">
          <cell r="A933" t="str">
            <v>L401002-592</v>
          </cell>
          <cell r="B933" t="str">
            <v>Loan/adv- Grp Co-DLF SEZ DEVP (ASR) LTD</v>
          </cell>
          <cell r="C933" t="str">
            <v>LIABILITIES</v>
          </cell>
          <cell r="D933" t="str">
            <v>BALANCE SHEET</v>
          </cell>
          <cell r="G933" t="str">
            <v>LOAN FUNDS</v>
          </cell>
          <cell r="H933" t="str">
            <v>UNSECURED LOANS</v>
          </cell>
          <cell r="I933" t="str">
            <v>UNSECURED LOANS</v>
          </cell>
        </row>
        <row r="934">
          <cell r="A934" t="str">
            <v>L401002-593</v>
          </cell>
          <cell r="B934" t="str">
            <v>Loan/adv- Grp Co-DLF SEZ HOLDING</v>
          </cell>
          <cell r="C934" t="str">
            <v>LIABILITIES</v>
          </cell>
          <cell r="D934" t="str">
            <v>BALANCE SHEET</v>
          </cell>
          <cell r="G934" t="str">
            <v>LOAN FUNDS</v>
          </cell>
          <cell r="H934" t="str">
            <v>UNSECURED LOANS</v>
          </cell>
          <cell r="I934" t="str">
            <v>UNSECURED LOANS</v>
          </cell>
        </row>
        <row r="935">
          <cell r="A935" t="str">
            <v>L401002-602</v>
          </cell>
          <cell r="B935" t="str">
            <v>Loan/adv- Grp Co-DLF ASSETS I PVT LTD</v>
          </cell>
          <cell r="C935" t="str">
            <v>LIABILITIES</v>
          </cell>
          <cell r="D935" t="str">
            <v>BALANCE SHEET</v>
          </cell>
          <cell r="G935" t="str">
            <v>LOAN FUNDS</v>
          </cell>
          <cell r="H935" t="str">
            <v>UNSECURED LOANS</v>
          </cell>
          <cell r="I935" t="str">
            <v>UNSECURED LOANS</v>
          </cell>
        </row>
        <row r="936">
          <cell r="A936" t="str">
            <v>L401002-705</v>
          </cell>
          <cell r="B936" t="str">
            <v>Loan/adv- Grp Co-DLF POWER LIMITED</v>
          </cell>
          <cell r="C936" t="str">
            <v>LIABILITIES</v>
          </cell>
          <cell r="D936" t="str">
            <v>BALANCE SHEET</v>
          </cell>
          <cell r="G936" t="str">
            <v>LOAN FUNDS</v>
          </cell>
          <cell r="H936" t="str">
            <v>UNSECURED LOANS</v>
          </cell>
          <cell r="I936" t="str">
            <v>UNSECURED LOANS</v>
          </cell>
        </row>
        <row r="937">
          <cell r="A937" t="str">
            <v>L401002-706</v>
          </cell>
          <cell r="B937" t="str">
            <v>LOAN/ADV-GRPCO-DLF HOTEL HOLDINGS LTD.</v>
          </cell>
          <cell r="C937" t="str">
            <v>LIABILITIES</v>
          </cell>
          <cell r="D937" t="str">
            <v>BALANCE SHEET</v>
          </cell>
          <cell r="E937">
            <v>0</v>
          </cell>
          <cell r="F937">
            <v>0</v>
          </cell>
          <cell r="G937" t="str">
            <v>LOAN FUNDS</v>
          </cell>
          <cell r="H937" t="str">
            <v>UNSECURED LOANS</v>
          </cell>
          <cell r="I937" t="str">
            <v>UNSECURED LOANS</v>
          </cell>
        </row>
        <row r="938">
          <cell r="A938" t="str">
            <v>L401002-707</v>
          </cell>
          <cell r="B938" t="str">
            <v>Loan/adv- Grp Co.- DLF HOTEL &amp; RESORTS</v>
          </cell>
          <cell r="C938" t="str">
            <v>LIABILITIES</v>
          </cell>
          <cell r="D938" t="str">
            <v>BALANCE SHEET</v>
          </cell>
          <cell r="E938">
            <v>0</v>
          </cell>
          <cell r="F938">
            <v>0</v>
          </cell>
          <cell r="G938" t="str">
            <v>LOAN FUNDS</v>
          </cell>
          <cell r="H938" t="str">
            <v>UNSECURED LOANS</v>
          </cell>
          <cell r="I938" t="str">
            <v>UNSECURED LOANS</v>
          </cell>
        </row>
        <row r="939">
          <cell r="A939" t="str">
            <v>L401003-053</v>
          </cell>
          <cell r="B939" t="str">
            <v>Loan-Gr Co-Felicite Buil &amp; Cnstr Pvt Ltd</v>
          </cell>
          <cell r="C939" t="str">
            <v>LIABILITIES</v>
          </cell>
          <cell r="D939" t="str">
            <v>BALANCE SHEET</v>
          </cell>
          <cell r="E939">
            <v>0</v>
          </cell>
          <cell r="F939">
            <v>0</v>
          </cell>
          <cell r="G939" t="str">
            <v>LOAN FUNDS</v>
          </cell>
          <cell r="H939" t="str">
            <v>UNSECURED LOANS</v>
          </cell>
          <cell r="I939" t="str">
            <v>UNSECURED LOANS</v>
          </cell>
        </row>
        <row r="940">
          <cell r="A940" t="str">
            <v>L401006-001</v>
          </cell>
          <cell r="B940" t="str">
            <v>Loan/adv- DLF INDUSTRIES</v>
          </cell>
          <cell r="C940" t="str">
            <v>LIABILITIES</v>
          </cell>
          <cell r="D940" t="str">
            <v>BALANCE SHEET</v>
          </cell>
          <cell r="G940" t="str">
            <v>LOAN FUNDS</v>
          </cell>
          <cell r="H940" t="str">
            <v>UNSECURED LOANS</v>
          </cell>
          <cell r="I940" t="str">
            <v>UNSECURED LOANS</v>
          </cell>
        </row>
        <row r="941">
          <cell r="A941" t="str">
            <v>L401006-002</v>
          </cell>
          <cell r="B941" t="str">
            <v>Loan/adv- DLF ENERGY</v>
          </cell>
          <cell r="C941" t="str">
            <v>LIABILITIES</v>
          </cell>
          <cell r="D941" t="str">
            <v>BALANCE SHEET</v>
          </cell>
          <cell r="G941" t="str">
            <v>LOAN FUNDS</v>
          </cell>
          <cell r="H941" t="str">
            <v>UNSECURED LOANS</v>
          </cell>
          <cell r="I941" t="str">
            <v>UNSECURED LOANS</v>
          </cell>
        </row>
        <row r="942">
          <cell r="A942" t="str">
            <v>L401006-003</v>
          </cell>
          <cell r="B942" t="str">
            <v>Loan/adv- DLF PROP MGMT SERV P L</v>
          </cell>
          <cell r="C942" t="str">
            <v>LIABILITIES</v>
          </cell>
          <cell r="D942" t="str">
            <v>BALANCE SHEET</v>
          </cell>
          <cell r="G942" t="str">
            <v>LOAN FUNDS</v>
          </cell>
          <cell r="H942" t="str">
            <v>UNSECURED LOANS</v>
          </cell>
          <cell r="I942" t="str">
            <v>UNSECURED LOANS</v>
          </cell>
        </row>
        <row r="943">
          <cell r="A943" t="str">
            <v>L401006-004</v>
          </cell>
          <cell r="B943" t="str">
            <v>Loan/adv- DLF HARYANA SEZ(GGN)</v>
          </cell>
          <cell r="C943" t="str">
            <v>LIABILITIES</v>
          </cell>
          <cell r="D943" t="str">
            <v>BALANCE SHEET</v>
          </cell>
          <cell r="G943" t="str">
            <v>LOAN FUNDS</v>
          </cell>
          <cell r="H943" t="str">
            <v>UNSECURED LOANS</v>
          </cell>
          <cell r="I943" t="str">
            <v>UNSECURED LOANS</v>
          </cell>
        </row>
        <row r="944">
          <cell r="A944" t="str">
            <v>L401006-005</v>
          </cell>
          <cell r="B944" t="str">
            <v>Loan/adv- DLF HARYANA SEZ(AMBALA)</v>
          </cell>
          <cell r="C944" t="str">
            <v>LIABILITIES</v>
          </cell>
          <cell r="D944" t="str">
            <v>BALANCE SHEET</v>
          </cell>
          <cell r="G944" t="str">
            <v>LOAN FUNDS</v>
          </cell>
          <cell r="H944" t="str">
            <v>UNSECURED LOANS</v>
          </cell>
          <cell r="I944" t="str">
            <v>UNSECURED LOANS</v>
          </cell>
        </row>
        <row r="945">
          <cell r="A945" t="str">
            <v>L401006-006</v>
          </cell>
          <cell r="B945" t="str">
            <v>Loan/adv- DLF HILTON HOTEL LTD</v>
          </cell>
          <cell r="C945" t="str">
            <v>LIABILITIES</v>
          </cell>
          <cell r="D945" t="str">
            <v>BALANCE SHEET</v>
          </cell>
          <cell r="G945" t="str">
            <v>LOAN FUNDS</v>
          </cell>
          <cell r="H945" t="str">
            <v>UNSECURED LOANS</v>
          </cell>
          <cell r="I945" t="str">
            <v>UNSECURED LOANS</v>
          </cell>
        </row>
        <row r="946">
          <cell r="A946" t="str">
            <v>L401007</v>
          </cell>
          <cell r="B946" t="str">
            <v>AUE CONTROL A/C</v>
          </cell>
          <cell r="C946" t="str">
            <v>LIABILITIES</v>
          </cell>
          <cell r="D946" t="str">
            <v>BALANCE SHEET</v>
          </cell>
          <cell r="G946" t="str">
            <v>LOAN FUNDS</v>
          </cell>
          <cell r="H946" t="str">
            <v>UNSECURED LOANS</v>
          </cell>
          <cell r="I946" t="str">
            <v>UNSECURED LOANS</v>
          </cell>
        </row>
        <row r="947">
          <cell r="A947" t="str">
            <v>L401008</v>
          </cell>
          <cell r="B947" t="str">
            <v>CORPORATE DIV. CONTROL ACOUNT</v>
          </cell>
          <cell r="C947" t="str">
            <v>LIABILITIES</v>
          </cell>
          <cell r="D947" t="str">
            <v>BALANCE SHEET</v>
          </cell>
          <cell r="G947" t="str">
            <v>LOAN FUNDS</v>
          </cell>
          <cell r="H947" t="str">
            <v>UNSECURED LOANS</v>
          </cell>
          <cell r="I947" t="str">
            <v>UNSECURED LOANS</v>
          </cell>
        </row>
        <row r="948">
          <cell r="A948" t="str">
            <v>L401009-101-001</v>
          </cell>
          <cell r="B948" t="str">
            <v>Loan/adv- Grp Co-DLF LTD - POWER DIV.</v>
          </cell>
          <cell r="C948" t="str">
            <v>LIABILITIES</v>
          </cell>
          <cell r="D948" t="str">
            <v>BALANCE SHEET</v>
          </cell>
          <cell r="G948" t="str">
            <v>LOAN FUNDS</v>
          </cell>
          <cell r="H948" t="str">
            <v>UNSECURED LOANS</v>
          </cell>
          <cell r="I948" t="str">
            <v>UNSECURED LOANS</v>
          </cell>
        </row>
        <row r="949">
          <cell r="A949" t="str">
            <v>L401009-101-002</v>
          </cell>
          <cell r="B949" t="str">
            <v>Loan/adv- Grp Co-DUL - ESTATE OFFICE</v>
          </cell>
          <cell r="C949" t="str">
            <v>LIABILITIES</v>
          </cell>
          <cell r="D949" t="str">
            <v>BALANCE SHEET</v>
          </cell>
          <cell r="G949" t="str">
            <v>LOAN FUNDS</v>
          </cell>
          <cell r="H949" t="str">
            <v>UNSECURED LOANS</v>
          </cell>
          <cell r="I949" t="str">
            <v>UNSECURED LOANS</v>
          </cell>
        </row>
        <row r="950">
          <cell r="A950" t="str">
            <v>L401009-101-003</v>
          </cell>
          <cell r="B950" t="str">
            <v>Loan/adv- Grp Co-DLF HOSP DIV.</v>
          </cell>
          <cell r="C950" t="str">
            <v>LIABILITIES</v>
          </cell>
          <cell r="D950" t="str">
            <v>BALANCE SHEET</v>
          </cell>
          <cell r="G950" t="str">
            <v>LOAN FUNDS</v>
          </cell>
          <cell r="H950" t="str">
            <v>UNSECURED LOANS</v>
          </cell>
          <cell r="I950" t="str">
            <v>UNSECURED LOANS</v>
          </cell>
        </row>
        <row r="951">
          <cell r="A951" t="str">
            <v>L401009-279-001</v>
          </cell>
          <cell r="B951" t="str">
            <v>Loan/adv- Grp Co-DCDL-CORP</v>
          </cell>
          <cell r="C951" t="str">
            <v>LIABILITIES</v>
          </cell>
          <cell r="D951" t="str">
            <v>BALANCE SHEET</v>
          </cell>
          <cell r="G951" t="str">
            <v>LOAN FUNDS</v>
          </cell>
          <cell r="H951" t="str">
            <v>UNSECURED LOANS</v>
          </cell>
          <cell r="I951" t="str">
            <v>UNSECURED LOANS</v>
          </cell>
        </row>
        <row r="952">
          <cell r="A952" t="str">
            <v>L401009-279-002</v>
          </cell>
          <cell r="B952" t="str">
            <v>Loan/adv- Grp Co-DCDL- POWER</v>
          </cell>
          <cell r="C952" t="str">
            <v>LIABILITIES</v>
          </cell>
          <cell r="D952" t="str">
            <v>BALANCE SHEET</v>
          </cell>
          <cell r="G952" t="str">
            <v>LOAN FUNDS</v>
          </cell>
          <cell r="H952" t="str">
            <v>UNSECURED LOANS</v>
          </cell>
          <cell r="I952" t="str">
            <v>UNSECURED LOANS</v>
          </cell>
        </row>
        <row r="953">
          <cell r="A953" t="str">
            <v>L401009-279-003</v>
          </cell>
          <cell r="B953" t="str">
            <v>Loan/adv- Grp Co-DCDL-KOLKATA</v>
          </cell>
          <cell r="C953" t="str">
            <v>LIABILITIES</v>
          </cell>
          <cell r="D953" t="str">
            <v>BALANCE SHEET</v>
          </cell>
          <cell r="G953" t="str">
            <v>LOAN FUNDS</v>
          </cell>
          <cell r="H953" t="str">
            <v>UNSECURED LOANS</v>
          </cell>
          <cell r="I953" t="str">
            <v>UNSECURED LOANS</v>
          </cell>
        </row>
        <row r="954">
          <cell r="A954" t="str">
            <v>L401009-428-001</v>
          </cell>
          <cell r="B954" t="str">
            <v>Loan/adv- Grp Co-DAL MAINT DIV.</v>
          </cell>
          <cell r="C954" t="str">
            <v>LIABILITIES</v>
          </cell>
          <cell r="D954" t="str">
            <v>BALANCE SHEET</v>
          </cell>
          <cell r="G954" t="str">
            <v>LOAN FUNDS</v>
          </cell>
          <cell r="H954" t="str">
            <v>UNSECURED LOANS</v>
          </cell>
          <cell r="I954" t="str">
            <v>UNSECURED LOANS</v>
          </cell>
        </row>
        <row r="955">
          <cell r="A955" t="str">
            <v>L401009-428-001</v>
          </cell>
          <cell r="B955" t="str">
            <v>Loan/adv- Grp Co-DAPL-CONS DIV.</v>
          </cell>
          <cell r="C955" t="str">
            <v>LIABILITIES</v>
          </cell>
          <cell r="D955" t="str">
            <v>BALANCE SHEET</v>
          </cell>
          <cell r="G955" t="str">
            <v>LOAN FUNDS</v>
          </cell>
          <cell r="H955" t="str">
            <v>UNSECURED LOANS</v>
          </cell>
          <cell r="I955" t="str">
            <v>UNSECURED LOANS</v>
          </cell>
        </row>
        <row r="956">
          <cell r="A956" t="str">
            <v>L402001-000</v>
          </cell>
          <cell r="B956" t="str">
            <v>Unsecurd Loan(Oth)</v>
          </cell>
          <cell r="C956" t="str">
            <v>LIABILITIES</v>
          </cell>
          <cell r="D956" t="str">
            <v>BALANCE SHEET</v>
          </cell>
          <cell r="E956">
            <v>0</v>
          </cell>
          <cell r="F956">
            <v>0</v>
          </cell>
          <cell r="G956" t="str">
            <v>LOAN FUNDS</v>
          </cell>
          <cell r="H956" t="str">
            <v>UNSECURED LOANS</v>
          </cell>
          <cell r="I956" t="str">
            <v>UNSECURED LOANS</v>
          </cell>
        </row>
        <row r="957">
          <cell r="A957" t="str">
            <v>L402001-001</v>
          </cell>
          <cell r="B957" t="str">
            <v>Unsecurd Loan(Oth)- WB EIDCL</v>
          </cell>
          <cell r="C957" t="str">
            <v>LIABILITIES</v>
          </cell>
          <cell r="D957" t="str">
            <v>BALANCE SHEET</v>
          </cell>
          <cell r="E957">
            <v>0</v>
          </cell>
          <cell r="F957">
            <v>0</v>
          </cell>
          <cell r="G957" t="str">
            <v>LOAN FUNDS</v>
          </cell>
          <cell r="H957" t="str">
            <v>UNSECURED LOANS</v>
          </cell>
          <cell r="I957" t="str">
            <v>UNSECURED LOANS</v>
          </cell>
        </row>
        <row r="958">
          <cell r="A958" t="str">
            <v>L402001-002</v>
          </cell>
          <cell r="B958" t="str">
            <v>Unsecurd Loan(Oth)- CHNDIGRH ADMIN</v>
          </cell>
          <cell r="C958" t="str">
            <v>LIABILITIES</v>
          </cell>
          <cell r="D958" t="str">
            <v>BALANCE SHEET</v>
          </cell>
          <cell r="E958">
            <v>0</v>
          </cell>
          <cell r="F958">
            <v>0</v>
          </cell>
          <cell r="G958" t="str">
            <v>LOAN FUNDS</v>
          </cell>
          <cell r="H958" t="str">
            <v>UNSECURED LOANS</v>
          </cell>
          <cell r="I958" t="str">
            <v>UNSECURED LOANS</v>
          </cell>
        </row>
        <row r="959">
          <cell r="A959" t="str">
            <v>L402001-003</v>
          </cell>
          <cell r="B959" t="str">
            <v>Unsecurd Loan(Oth)-SHAPOORJI PALLONJI&amp;CO</v>
          </cell>
          <cell r="C959" t="str">
            <v>LIABILITIES</v>
          </cell>
          <cell r="D959" t="str">
            <v>BALANCE SHEET</v>
          </cell>
          <cell r="E959">
            <v>0</v>
          </cell>
          <cell r="F959">
            <v>0</v>
          </cell>
          <cell r="G959" t="str">
            <v>LOAN FUNDS</v>
          </cell>
          <cell r="H959" t="str">
            <v>UNSECURED LOANS</v>
          </cell>
          <cell r="I959" t="str">
            <v>UNSECURED LOANS</v>
          </cell>
        </row>
        <row r="960">
          <cell r="A960" t="str">
            <v>L402001-004</v>
          </cell>
          <cell r="B960" t="str">
            <v>Unsecurd Loan(Oth)-Prime Cellular Ltd</v>
          </cell>
          <cell r="C960" t="str">
            <v>LIABILITIES</v>
          </cell>
          <cell r="D960" t="str">
            <v>BALANCE SHEET</v>
          </cell>
          <cell r="E960">
            <v>0</v>
          </cell>
          <cell r="F960">
            <v>0</v>
          </cell>
          <cell r="G960" t="str">
            <v>LOAN FUNDS</v>
          </cell>
          <cell r="H960" t="str">
            <v>UNSECURED LOANS</v>
          </cell>
          <cell r="I960" t="str">
            <v>UNSECURED LOANS</v>
          </cell>
        </row>
        <row r="961">
          <cell r="A961" t="str">
            <v>L402001-005</v>
          </cell>
          <cell r="B961" t="str">
            <v>Unsecured Loans(Oth)-Udipti</v>
          </cell>
          <cell r="C961" t="str">
            <v>LIABILITIES</v>
          </cell>
          <cell r="D961" t="str">
            <v>BALANCE SHEET</v>
          </cell>
          <cell r="E961">
            <v>0</v>
          </cell>
          <cell r="F961">
            <v>0</v>
          </cell>
          <cell r="G961" t="str">
            <v>LOAN FUNDS</v>
          </cell>
          <cell r="H961" t="str">
            <v>UNSECURED LOANS</v>
          </cell>
          <cell r="I961" t="str">
            <v>UNSECURED LOANS</v>
          </cell>
        </row>
        <row r="962">
          <cell r="A962" t="str">
            <v>L402002-001</v>
          </cell>
          <cell r="B962" t="str">
            <v>Loan-JV-Bridget Buil &amp; Dev Pvt Ltd</v>
          </cell>
          <cell r="C962" t="str">
            <v>LIABILITIES</v>
          </cell>
          <cell r="D962" t="str">
            <v>BALANCE SHEET</v>
          </cell>
          <cell r="E962">
            <v>0</v>
          </cell>
          <cell r="F962">
            <v>0</v>
          </cell>
          <cell r="G962" t="str">
            <v>LOAN FUNDS</v>
          </cell>
          <cell r="H962" t="str">
            <v>UNSECURED LOANS</v>
          </cell>
          <cell r="I962" t="str">
            <v>UNSECURED LOANS</v>
          </cell>
        </row>
        <row r="963">
          <cell r="A963" t="str">
            <v>L403001</v>
          </cell>
          <cell r="B963" t="str">
            <v>Loans &amp; advances- Other Body Corporate</v>
          </cell>
          <cell r="C963" t="str">
            <v>LIABILITIES</v>
          </cell>
          <cell r="D963" t="str">
            <v>BALANCE SHEET</v>
          </cell>
          <cell r="E963">
            <v>0</v>
          </cell>
          <cell r="F963">
            <v>0</v>
          </cell>
          <cell r="G963" t="str">
            <v>LOAN FUNDS</v>
          </cell>
          <cell r="H963" t="str">
            <v>UNSECURED LOANS</v>
          </cell>
          <cell r="I963" t="str">
            <v>UNSECURED LOANS</v>
          </cell>
        </row>
        <row r="964">
          <cell r="A964" t="str">
            <v>L404001</v>
          </cell>
          <cell r="B964" t="str">
            <v>Debentures (Unsecured)</v>
          </cell>
          <cell r="C964" t="str">
            <v>LIABILITIES</v>
          </cell>
          <cell r="D964" t="str">
            <v>BALANCE SHEET</v>
          </cell>
          <cell r="E964">
            <v>0</v>
          </cell>
          <cell r="F964">
            <v>0</v>
          </cell>
          <cell r="G964" t="str">
            <v>LOAN FUNDS</v>
          </cell>
          <cell r="H964" t="str">
            <v>UNSECURED LOANS</v>
          </cell>
          <cell r="I964" t="str">
            <v>UNSECURED LOANS</v>
          </cell>
        </row>
        <row r="965">
          <cell r="A965" t="str">
            <v>L404002</v>
          </cell>
          <cell r="B965" t="str">
            <v>Deb. App. &amp; Call Money(Pending allotmnt)</v>
          </cell>
          <cell r="C965" t="str">
            <v>LIABILITIES</v>
          </cell>
          <cell r="D965" t="str">
            <v>BALANCE SHEET</v>
          </cell>
          <cell r="E965">
            <v>0</v>
          </cell>
          <cell r="F965">
            <v>0</v>
          </cell>
          <cell r="G965" t="str">
            <v>LOAN FUNDS</v>
          </cell>
          <cell r="H965" t="str">
            <v>UNSECURED LOANS</v>
          </cell>
          <cell r="I965" t="str">
            <v>UNSECURED LOANS</v>
          </cell>
        </row>
        <row r="966">
          <cell r="A966" t="str">
            <v>L405001</v>
          </cell>
          <cell r="B966" t="str">
            <v>Intt.accrued &amp; Due (STL /Deb.)</v>
          </cell>
          <cell r="C966" t="str">
            <v>LIABILITIES</v>
          </cell>
          <cell r="D966" t="str">
            <v>BALANCE SHEET</v>
          </cell>
          <cell r="E966">
            <v>0</v>
          </cell>
          <cell r="F966">
            <v>0</v>
          </cell>
          <cell r="G966" t="str">
            <v>LOAN FUNDS</v>
          </cell>
          <cell r="H966" t="str">
            <v>UNSECURED LOANS</v>
          </cell>
          <cell r="I966" t="str">
            <v>UNSECURED LOANS</v>
          </cell>
        </row>
        <row r="967">
          <cell r="A967" t="str">
            <v>L405002</v>
          </cell>
          <cell r="B967" t="str">
            <v>Interest Accrued and Due</v>
          </cell>
          <cell r="C967" t="str">
            <v>LIABILITIES</v>
          </cell>
          <cell r="D967" t="str">
            <v>BALANCE SHEET</v>
          </cell>
          <cell r="E967">
            <v>0</v>
          </cell>
          <cell r="F967">
            <v>0</v>
          </cell>
          <cell r="G967" t="str">
            <v>LOAN FUNDS</v>
          </cell>
          <cell r="H967" t="str">
            <v>UNSECURED LOANS</v>
          </cell>
          <cell r="I967" t="str">
            <v>UNSECURED LOANS</v>
          </cell>
        </row>
        <row r="968">
          <cell r="A968" t="str">
            <v>L406001</v>
          </cell>
          <cell r="B968" t="str">
            <v>Unsecured Loan - HSBC</v>
          </cell>
          <cell r="C968" t="str">
            <v>LIABILITIES</v>
          </cell>
          <cell r="D968" t="str">
            <v>BALANCE SHEET</v>
          </cell>
          <cell r="E968">
            <v>0</v>
          </cell>
          <cell r="F968">
            <v>0</v>
          </cell>
          <cell r="G968" t="str">
            <v>LOAN FUNDS</v>
          </cell>
          <cell r="H968" t="str">
            <v>UNSECURED LOANS</v>
          </cell>
          <cell r="I968" t="str">
            <v>UNSECURED LOANS</v>
          </cell>
        </row>
        <row r="969">
          <cell r="A969" t="str">
            <v>L406002</v>
          </cell>
          <cell r="B969" t="str">
            <v>Unsecured Loan - Kotak Mahindra</v>
          </cell>
          <cell r="C969" t="str">
            <v>LIABILITIES</v>
          </cell>
          <cell r="D969" t="str">
            <v>BALANCE SHEET</v>
          </cell>
          <cell r="E969">
            <v>0</v>
          </cell>
          <cell r="F969">
            <v>0</v>
          </cell>
          <cell r="G969" t="str">
            <v>LOAN FUNDS</v>
          </cell>
          <cell r="H969" t="str">
            <v>UNSECURED LOANS</v>
          </cell>
          <cell r="I969" t="str">
            <v>UNSECURED LOANS</v>
          </cell>
        </row>
        <row r="970">
          <cell r="A970" t="str">
            <v>L406003</v>
          </cell>
          <cell r="B970" t="str">
            <v>Unsecured Loan - DBS BANK LTD.</v>
          </cell>
          <cell r="C970" t="str">
            <v>LIABILITIES</v>
          </cell>
          <cell r="D970" t="str">
            <v>BALANCE SHEET</v>
          </cell>
          <cell r="E970">
            <v>0</v>
          </cell>
          <cell r="F970">
            <v>0</v>
          </cell>
          <cell r="G970" t="str">
            <v>LOAN FUNDS</v>
          </cell>
          <cell r="H970" t="str">
            <v>UNSECURED LOANS</v>
          </cell>
          <cell r="I970" t="str">
            <v>UNSECURED LOANS</v>
          </cell>
        </row>
        <row r="971">
          <cell r="A971" t="str">
            <v>L406003</v>
          </cell>
          <cell r="B971" t="str">
            <v>Unsecured Loan - DBS BANK</v>
          </cell>
          <cell r="C971" t="str">
            <v>LIABILITIES</v>
          </cell>
          <cell r="D971" t="str">
            <v>BALANCE SHEET</v>
          </cell>
          <cell r="G971" t="str">
            <v>LOAN FUNDS</v>
          </cell>
          <cell r="H971" t="str">
            <v>UNSECURED LOANS</v>
          </cell>
          <cell r="I971" t="str">
            <v>UNSECURED LOANS</v>
          </cell>
        </row>
        <row r="972">
          <cell r="A972" t="str">
            <v>L407001-010</v>
          </cell>
          <cell r="B972" t="str">
            <v>Unsecured Loan - DUL</v>
          </cell>
          <cell r="C972" t="str">
            <v>LIABILITIES</v>
          </cell>
          <cell r="D972" t="str">
            <v>BALANCE SHEET</v>
          </cell>
          <cell r="G972" t="str">
            <v>LOAN FUNDS</v>
          </cell>
          <cell r="H972" t="str">
            <v>UNSECURED LOANS</v>
          </cell>
          <cell r="I972" t="str">
            <v>UNSECURED LOANS</v>
          </cell>
        </row>
        <row r="973">
          <cell r="A973" t="str">
            <v>L407001-034</v>
          </cell>
          <cell r="B973" t="str">
            <v>Unsecured Loan - BHORUKA FIN SERV</v>
          </cell>
          <cell r="C973" t="str">
            <v>LIABILITIES</v>
          </cell>
          <cell r="D973" t="str">
            <v>BALANCE SHEET</v>
          </cell>
          <cell r="G973" t="str">
            <v>LOAN FUNDS</v>
          </cell>
          <cell r="H973" t="str">
            <v>UNSECURED LOANS</v>
          </cell>
          <cell r="I973" t="str">
            <v>UNSECURED LOANS</v>
          </cell>
        </row>
        <row r="974">
          <cell r="A974" t="str">
            <v>L407001-036</v>
          </cell>
          <cell r="B974" t="str">
            <v>Unsecured Loan - GALAXY MERCANTILE</v>
          </cell>
          <cell r="C974" t="str">
            <v>LIABILITIES</v>
          </cell>
          <cell r="D974" t="str">
            <v>BALANCE SHEET</v>
          </cell>
          <cell r="G974" t="str">
            <v>LOAN FUNDS</v>
          </cell>
          <cell r="H974" t="str">
            <v>UNSECURED LOANS</v>
          </cell>
          <cell r="I974" t="str">
            <v>UNSECURED LOANS</v>
          </cell>
        </row>
        <row r="975">
          <cell r="A975" t="str">
            <v>L407001-061</v>
          </cell>
          <cell r="B975" t="str">
            <v>Unsecured Loan - SHIVAJI MARG PROP</v>
          </cell>
          <cell r="C975" t="str">
            <v>LIABILITIES</v>
          </cell>
          <cell r="D975" t="str">
            <v>BALANCE SHEET</v>
          </cell>
          <cell r="G975" t="str">
            <v>LOAN FUNDS</v>
          </cell>
          <cell r="H975" t="str">
            <v>UNSECURED LOANS</v>
          </cell>
          <cell r="I975" t="str">
            <v>UNSECURED LOANS</v>
          </cell>
        </row>
        <row r="976">
          <cell r="A976" t="str">
            <v>L407001-274</v>
          </cell>
          <cell r="B976" t="str">
            <v>Unsecured Loan - DLF RETAIL DEVP LTD</v>
          </cell>
          <cell r="C976" t="str">
            <v>LIABILITIES</v>
          </cell>
          <cell r="D976" t="str">
            <v>BALANCE SHEET</v>
          </cell>
          <cell r="G976" t="str">
            <v>LOAN FUNDS</v>
          </cell>
          <cell r="H976" t="str">
            <v>UNSECURED LOANS</v>
          </cell>
          <cell r="I976" t="str">
            <v>UNSECURED LOANS</v>
          </cell>
        </row>
        <row r="977">
          <cell r="A977" t="str">
            <v>L407001-279</v>
          </cell>
          <cell r="B977" t="str">
            <v>Unsecured Loan - DCDL</v>
          </cell>
          <cell r="C977" t="str">
            <v>LIABILITIES</v>
          </cell>
          <cell r="D977" t="str">
            <v>BALANCE SHEET</v>
          </cell>
          <cell r="G977" t="str">
            <v>LOAN FUNDS</v>
          </cell>
          <cell r="H977" t="str">
            <v>UNSECURED LOANS</v>
          </cell>
          <cell r="I977" t="str">
            <v>UNSECURED LOANS</v>
          </cell>
        </row>
        <row r="978">
          <cell r="A978" t="str">
            <v>L407002</v>
          </cell>
          <cell r="B978" t="str">
            <v>Unsecured Loan - CHANDIGARH ADMIN.</v>
          </cell>
          <cell r="C978" t="str">
            <v>LIABILITIES</v>
          </cell>
          <cell r="D978" t="str">
            <v>BALANCE SHEET</v>
          </cell>
          <cell r="G978" t="str">
            <v>LOAN FUNDS</v>
          </cell>
          <cell r="H978" t="str">
            <v>UNSECURED LOANS</v>
          </cell>
          <cell r="I978" t="str">
            <v>UNSECURED LOANS</v>
          </cell>
        </row>
        <row r="979">
          <cell r="A979" t="str">
            <v>L407002-279-001</v>
          </cell>
          <cell r="B979" t="str">
            <v>Unsecured Loan - DCDL-CORP</v>
          </cell>
          <cell r="C979" t="str">
            <v>LIABILITIES</v>
          </cell>
          <cell r="D979" t="str">
            <v>BALANCE SHEET</v>
          </cell>
          <cell r="G979" t="str">
            <v>LOAN FUNDS</v>
          </cell>
          <cell r="H979" t="str">
            <v>UNSECURED LOANS</v>
          </cell>
          <cell r="I979" t="str">
            <v>UNSECURED LOANS</v>
          </cell>
        </row>
        <row r="980">
          <cell r="A980" t="str">
            <v>L407003</v>
          </cell>
          <cell r="B980" t="str">
            <v>Unsecured Loan - WB ELEC IND DEVP</v>
          </cell>
          <cell r="C980" t="str">
            <v>LIABILITIES</v>
          </cell>
          <cell r="D980" t="str">
            <v>BALANCE SHEET</v>
          </cell>
          <cell r="G980" t="str">
            <v>LOAN FUNDS</v>
          </cell>
          <cell r="H980" t="str">
            <v>UNSECURED LOANS</v>
          </cell>
          <cell r="I980" t="str">
            <v>UNSECURED LOANS</v>
          </cell>
        </row>
        <row r="981">
          <cell r="A981" t="str">
            <v>L407004</v>
          </cell>
          <cell r="B981" t="str">
            <v>Unsecured Loan - OTHERS</v>
          </cell>
          <cell r="C981" t="str">
            <v>LIABILITIES</v>
          </cell>
          <cell r="D981" t="str">
            <v>BALANCE SHEET</v>
          </cell>
          <cell r="G981" t="str">
            <v>LOAN FUNDS</v>
          </cell>
          <cell r="H981" t="str">
            <v>UNSECURED LOANS</v>
          </cell>
          <cell r="I981" t="str">
            <v>UNSECURED LOANS</v>
          </cell>
        </row>
        <row r="982">
          <cell r="A982" t="str">
            <v>L501001</v>
          </cell>
          <cell r="B982" t="str">
            <v>Sundry Creditor (Grp Co.)</v>
          </cell>
          <cell r="C982" t="str">
            <v>LIABILITIES</v>
          </cell>
          <cell r="D982" t="str">
            <v>BALANCE SHEET</v>
          </cell>
          <cell r="E982">
            <v>0</v>
          </cell>
          <cell r="F982">
            <v>0</v>
          </cell>
          <cell r="G982" t="str">
            <v>CURRENT LIABILITIES AND PROVISIONS</v>
          </cell>
          <cell r="H982" t="str">
            <v>CURRENT LIABILITIES</v>
          </cell>
          <cell r="I982" t="str">
            <v>SUNDRY CREDITORS</v>
          </cell>
        </row>
        <row r="983">
          <cell r="A983" t="str">
            <v>L502001</v>
          </cell>
          <cell r="B983" t="str">
            <v>Sundry Creditor(Thrd Prty)- Stamp In Hnd</v>
          </cell>
          <cell r="C983" t="str">
            <v>LIABILITIES</v>
          </cell>
          <cell r="D983" t="str">
            <v>BALANCE SHEET</v>
          </cell>
          <cell r="E983" t="str">
            <v>SUPPLIER PAYABLE A/C</v>
          </cell>
          <cell r="F983">
            <v>0</v>
          </cell>
          <cell r="G983" t="str">
            <v>CURRENT LIABILITIES AND PROVISIONS</v>
          </cell>
          <cell r="H983" t="str">
            <v>CURRENT LIABILITIES</v>
          </cell>
          <cell r="I983" t="str">
            <v>SUNDRY CREDITORS</v>
          </cell>
        </row>
        <row r="984">
          <cell r="A984" t="str">
            <v>L502002</v>
          </cell>
          <cell r="B984" t="str">
            <v>Sundry Creditor(Thrd Prty)- Broker</v>
          </cell>
          <cell r="C984" t="str">
            <v>LIABILITIES</v>
          </cell>
          <cell r="D984" t="str">
            <v>BALANCE SHEET</v>
          </cell>
          <cell r="E984" t="str">
            <v>SUPPLIER PAYABLE A/C</v>
          </cell>
          <cell r="F984">
            <v>0</v>
          </cell>
          <cell r="G984" t="str">
            <v>CURRENT LIABILITIES AND PROVISIONS</v>
          </cell>
          <cell r="H984" t="str">
            <v>CURRENT LIABILITIES</v>
          </cell>
          <cell r="I984" t="str">
            <v>SUNDRY CREDITORS</v>
          </cell>
        </row>
        <row r="985">
          <cell r="A985" t="str">
            <v>L502003</v>
          </cell>
          <cell r="B985" t="str">
            <v>Sundry Creditor(Thrd Prty)- Contractors</v>
          </cell>
          <cell r="C985" t="str">
            <v>LIABILITIES</v>
          </cell>
          <cell r="D985" t="str">
            <v>BALANCE SHEET</v>
          </cell>
          <cell r="E985" t="str">
            <v>SUPPLIER PAYABLE A/C</v>
          </cell>
          <cell r="F985">
            <v>0</v>
          </cell>
          <cell r="G985" t="str">
            <v>CURRENT LIABILITIES AND PROVISIONS</v>
          </cell>
          <cell r="H985" t="str">
            <v>CURRENT LIABILITIES</v>
          </cell>
          <cell r="I985" t="str">
            <v>SUNDRY CREDITORS</v>
          </cell>
        </row>
        <row r="986">
          <cell r="A986" t="str">
            <v>L502004</v>
          </cell>
          <cell r="B986" t="str">
            <v>Sundry Creditor(Thrd Prty)- (Prof &amp; RET)</v>
          </cell>
          <cell r="C986" t="str">
            <v>LIABILITIES</v>
          </cell>
          <cell r="D986" t="str">
            <v>BALANCE SHEET</v>
          </cell>
          <cell r="E986" t="str">
            <v>SUPPLIER PAYABLE A/C</v>
          </cell>
          <cell r="F986">
            <v>0</v>
          </cell>
          <cell r="G986" t="str">
            <v>CURRENT LIABILITIES AND PROVISIONS</v>
          </cell>
          <cell r="H986" t="str">
            <v>CURRENT LIABILITIES</v>
          </cell>
          <cell r="I986" t="str">
            <v>SUNDRY CREDITORS</v>
          </cell>
        </row>
        <row r="987">
          <cell r="A987" t="str">
            <v>L502005</v>
          </cell>
          <cell r="B987" t="str">
            <v>Sundry Creditor(Thrd Prty)- Capital Good</v>
          </cell>
          <cell r="C987" t="str">
            <v>LIABILITIES</v>
          </cell>
          <cell r="D987" t="str">
            <v>BALANCE SHEET</v>
          </cell>
          <cell r="E987" t="str">
            <v>SUPPLIER PAYABLE A/C</v>
          </cell>
          <cell r="F987">
            <v>0</v>
          </cell>
          <cell r="G987" t="str">
            <v>CURRENT LIABILITIES AND PROVISIONS</v>
          </cell>
          <cell r="H987" t="str">
            <v>CURRENT LIABILITIES</v>
          </cell>
          <cell r="I987" t="str">
            <v>SUNDRY CREDITORS</v>
          </cell>
        </row>
        <row r="988">
          <cell r="A988" t="str">
            <v>L502006</v>
          </cell>
          <cell r="B988" t="str">
            <v>Provision for exp/Outstandng Liabilities</v>
          </cell>
          <cell r="C988" t="str">
            <v>LIABILITIES</v>
          </cell>
          <cell r="D988" t="str">
            <v>BALANCE SHEET</v>
          </cell>
          <cell r="E988">
            <v>0</v>
          </cell>
          <cell r="F988">
            <v>0</v>
          </cell>
          <cell r="G988" t="str">
            <v>CURRENT LIABILITIES AND PROVISIONS</v>
          </cell>
          <cell r="H988" t="str">
            <v>CURRENT LIABILITIES</v>
          </cell>
          <cell r="I988" t="str">
            <v>SUNDRY CREDITORS</v>
          </cell>
        </row>
        <row r="989">
          <cell r="A989" t="str">
            <v>L502007</v>
          </cell>
          <cell r="B989" t="str">
            <v>Land Cost payable</v>
          </cell>
          <cell r="C989" t="str">
            <v>LIABILITIES</v>
          </cell>
          <cell r="D989" t="str">
            <v>BALANCE SHEET</v>
          </cell>
          <cell r="E989">
            <v>0</v>
          </cell>
          <cell r="F989">
            <v>0</v>
          </cell>
          <cell r="G989" t="str">
            <v>CURRENT LIABILITIES AND PROVISIONS</v>
          </cell>
          <cell r="H989" t="str">
            <v>CURRENT LIABILITIES</v>
          </cell>
          <cell r="I989" t="str">
            <v>SUNDRY CREDITORS</v>
          </cell>
        </row>
        <row r="990">
          <cell r="A990" t="str">
            <v>L502008</v>
          </cell>
          <cell r="B990" t="str">
            <v>Sundry Creditors-Works Contrac</v>
          </cell>
          <cell r="C990" t="str">
            <v>LIABILITIES</v>
          </cell>
          <cell r="D990" t="str">
            <v>BALANCE SHEET</v>
          </cell>
          <cell r="E990" t="str">
            <v>SUPPLIER PAYABLE A/C</v>
          </cell>
          <cell r="F990">
            <v>0</v>
          </cell>
          <cell r="G990" t="str">
            <v>CURRENT LIABILITIES AND PROVISIONS</v>
          </cell>
          <cell r="H990" t="str">
            <v>CURRENT LIABILITIES</v>
          </cell>
          <cell r="I990" t="str">
            <v>SUNDRY CREDITORS</v>
          </cell>
        </row>
        <row r="991">
          <cell r="A991" t="str">
            <v>L502009</v>
          </cell>
          <cell r="B991" t="str">
            <v>Sundry Creditors-Withheld Amt.</v>
          </cell>
          <cell r="C991" t="str">
            <v>LIABILITIES</v>
          </cell>
          <cell r="D991" t="str">
            <v>BALANCE SHEET</v>
          </cell>
          <cell r="E991" t="str">
            <v>SUPPLIER PAYABLE A/C</v>
          </cell>
          <cell r="F991">
            <v>0</v>
          </cell>
          <cell r="G991" t="str">
            <v>CURRENT LIABILITIES AND PROVISIONS</v>
          </cell>
          <cell r="H991" t="str">
            <v>CURRENT LIABILITIES</v>
          </cell>
          <cell r="I991" t="str">
            <v>SUNDRY CREDITORS</v>
          </cell>
        </row>
        <row r="992">
          <cell r="A992" t="str">
            <v>L502010</v>
          </cell>
          <cell r="B992" t="str">
            <v>Deferred Creditors</v>
          </cell>
          <cell r="C992" t="str">
            <v>LIABILITIES</v>
          </cell>
          <cell r="D992" t="str">
            <v>BALANCE SHEET</v>
          </cell>
          <cell r="E992">
            <v>0</v>
          </cell>
          <cell r="F992">
            <v>0</v>
          </cell>
          <cell r="G992" t="str">
            <v>CURRENT LIABILITIES AND PROVISIONS</v>
          </cell>
          <cell r="H992" t="str">
            <v>CURRENT LIABILITIES</v>
          </cell>
          <cell r="I992" t="str">
            <v>SUNDRY CREDITORS</v>
          </cell>
        </row>
        <row r="993">
          <cell r="A993" t="str">
            <v>L502011</v>
          </cell>
          <cell r="B993" t="str">
            <v>Retention Money-Supplier</v>
          </cell>
          <cell r="C993" t="str">
            <v>LIABILITIES</v>
          </cell>
          <cell r="D993" t="str">
            <v>BALANCE SHEET</v>
          </cell>
          <cell r="E993" t="str">
            <v>SUPPLIER PAYABLE A/C</v>
          </cell>
          <cell r="F993">
            <v>0</v>
          </cell>
          <cell r="G993" t="str">
            <v>CURRENT LIABILITIES AND PROVISIONS</v>
          </cell>
          <cell r="H993" t="str">
            <v>CURRENT LIABILITIES</v>
          </cell>
          <cell r="I993" t="str">
            <v>SUNDRY CREDITORS</v>
          </cell>
        </row>
        <row r="994">
          <cell r="A994" t="str">
            <v>L502012</v>
          </cell>
          <cell r="B994" t="str">
            <v>Retention Money-Contractor</v>
          </cell>
          <cell r="C994" t="str">
            <v>LIABILITIES</v>
          </cell>
          <cell r="D994" t="str">
            <v>BALANCE SHEET</v>
          </cell>
          <cell r="E994" t="str">
            <v>SUPPLIER PAYABLE A/C</v>
          </cell>
          <cell r="F994">
            <v>0</v>
          </cell>
          <cell r="G994" t="str">
            <v>CURRENT LIABILITIES AND PROVISIONS</v>
          </cell>
          <cell r="H994" t="str">
            <v>CURRENT LIABILITIES</v>
          </cell>
          <cell r="I994" t="str">
            <v>SUNDRY CREDITORS</v>
          </cell>
        </row>
        <row r="995">
          <cell r="A995" t="str">
            <v>L502013</v>
          </cell>
          <cell r="B995" t="str">
            <v>Creditor's Provisional Liability</v>
          </cell>
          <cell r="C995" t="str">
            <v>LIABILITIES</v>
          </cell>
          <cell r="D995" t="str">
            <v>BALANCE SHEET</v>
          </cell>
          <cell r="E995" t="str">
            <v>SUPPLIER PAYABLE A/C</v>
          </cell>
          <cell r="F995">
            <v>0</v>
          </cell>
          <cell r="G995" t="str">
            <v>CURRENT LIABILITIES AND PROVISIONS</v>
          </cell>
          <cell r="H995" t="str">
            <v>CURRENT LIABILITIES</v>
          </cell>
          <cell r="I995" t="str">
            <v>SUNDRY CREDITORS</v>
          </cell>
        </row>
        <row r="996">
          <cell r="A996" t="str">
            <v>L502014</v>
          </cell>
          <cell r="B996" t="str">
            <v>Sundry Creditor(Thrd Prty)- Supplier</v>
          </cell>
          <cell r="C996" t="str">
            <v>LIABILITIES</v>
          </cell>
          <cell r="D996" t="str">
            <v>BALANCE SHEET</v>
          </cell>
          <cell r="E996" t="str">
            <v>SUPPLIER PAYABLE A/C</v>
          </cell>
          <cell r="F996">
            <v>0</v>
          </cell>
          <cell r="G996" t="str">
            <v>CURRENT LIABILITIES AND PROVISIONS</v>
          </cell>
          <cell r="H996" t="str">
            <v>CURRENT LIABILITIES</v>
          </cell>
          <cell r="I996" t="str">
            <v>SUNDRY CREDITORS</v>
          </cell>
        </row>
        <row r="997">
          <cell r="A997" t="str">
            <v>L502015</v>
          </cell>
          <cell r="B997" t="str">
            <v>DEFERRED CREDITORS</v>
          </cell>
          <cell r="C997" t="str">
            <v>LIABILITIES</v>
          </cell>
          <cell r="D997" t="str">
            <v>BALANCE SHEET</v>
          </cell>
          <cell r="E997" t="str">
            <v>SUPPLIER PAYABLE A/C</v>
          </cell>
          <cell r="G997" t="str">
            <v>CURRENT LIABILITIES AND PROVISIONS</v>
          </cell>
          <cell r="H997" t="str">
            <v>CURRENT LIABILITIES</v>
          </cell>
          <cell r="I997" t="str">
            <v>SUNDRY CREDITORS</v>
          </cell>
        </row>
        <row r="998">
          <cell r="A998" t="str">
            <v>L502016</v>
          </cell>
          <cell r="B998" t="str">
            <v>ADVANCES-OTHERS</v>
          </cell>
          <cell r="C998" t="str">
            <v>LIABILITIES</v>
          </cell>
          <cell r="D998" t="str">
            <v>BALANCE SHEET</v>
          </cell>
          <cell r="E998" t="str">
            <v>SUPPLIER PAYABLE A/C</v>
          </cell>
          <cell r="G998" t="str">
            <v>CURRENT LIABILITIES AND PROVISIONS</v>
          </cell>
          <cell r="H998" t="str">
            <v>CURRENT LIABILITIES</v>
          </cell>
          <cell r="I998" t="str">
            <v>SUNDRY CREDITORS</v>
          </cell>
        </row>
        <row r="999">
          <cell r="A999" t="str">
            <v>L502999</v>
          </cell>
          <cell r="B999" t="str">
            <v>IB-Sundry Creditors</v>
          </cell>
          <cell r="C999" t="str">
            <v>LIABILITIES</v>
          </cell>
          <cell r="D999" t="str">
            <v>BALANCE SHEET</v>
          </cell>
          <cell r="E999">
            <v>0</v>
          </cell>
          <cell r="F999">
            <v>0</v>
          </cell>
          <cell r="G999" t="str">
            <v>CURRENT LIABILITIES AND PROVISIONS</v>
          </cell>
          <cell r="H999" t="str">
            <v>CURRENT LIABILITIES</v>
          </cell>
          <cell r="I999" t="str">
            <v>SUNDRY CREDITORS</v>
          </cell>
        </row>
        <row r="1000">
          <cell r="A1000" t="str">
            <v>L503001-000-001</v>
          </cell>
          <cell r="B1000" t="str">
            <v>Regis Chrgs recvd- ANKUR VIHAR</v>
          </cell>
          <cell r="C1000" t="str">
            <v>LIABILITIES</v>
          </cell>
          <cell r="D1000" t="str">
            <v>BALANCE SHEET</v>
          </cell>
          <cell r="E1000">
            <v>0</v>
          </cell>
          <cell r="F1000">
            <v>0</v>
          </cell>
          <cell r="G1000" t="str">
            <v>CURRENT LIABILITIES AND PROVISIONS</v>
          </cell>
          <cell r="H1000" t="str">
            <v>CURRENT LIABILITIES</v>
          </cell>
          <cell r="I1000" t="str">
            <v>SUNDRY CREDITORS</v>
          </cell>
        </row>
        <row r="1001">
          <cell r="A1001" t="str">
            <v>L503001-000-002</v>
          </cell>
          <cell r="B1001" t="str">
            <v>Regis Chrgs recvd- BEVERLY PARK I Prkn</v>
          </cell>
          <cell r="C1001" t="str">
            <v>LIABILITIES</v>
          </cell>
          <cell r="D1001" t="str">
            <v>BALANCE SHEET</v>
          </cell>
          <cell r="E1001">
            <v>0</v>
          </cell>
          <cell r="F1001">
            <v>0</v>
          </cell>
          <cell r="G1001" t="str">
            <v>CURRENT LIABILITIES AND PROVISIONS</v>
          </cell>
          <cell r="H1001" t="str">
            <v>CURRENT LIABILITIES</v>
          </cell>
          <cell r="I1001" t="str">
            <v>SUNDRY CREDITORS</v>
          </cell>
        </row>
        <row r="1002">
          <cell r="A1002" t="str">
            <v>L503001-000-003</v>
          </cell>
          <cell r="B1002" t="str">
            <v>Regis Chrgs recvd- BEVERLY PARK II Prkn</v>
          </cell>
          <cell r="C1002" t="str">
            <v>LIABILITIES</v>
          </cell>
          <cell r="D1002" t="str">
            <v>BALANCE SHEET</v>
          </cell>
          <cell r="E1002">
            <v>0</v>
          </cell>
          <cell r="F1002">
            <v>0</v>
          </cell>
          <cell r="G1002" t="str">
            <v>CURRENT LIABILITIES AND PROVISIONS</v>
          </cell>
          <cell r="H1002" t="str">
            <v>CURRENT LIABILITIES</v>
          </cell>
          <cell r="I1002" t="str">
            <v>SUNDRY CREDITORS</v>
          </cell>
        </row>
        <row r="1003">
          <cell r="A1003" t="str">
            <v>L503001-000-004</v>
          </cell>
          <cell r="B1003" t="str">
            <v>Regis Chrgs recvd- BEVERLY PARK I</v>
          </cell>
          <cell r="C1003" t="str">
            <v>LIABILITIES</v>
          </cell>
          <cell r="D1003" t="str">
            <v>BALANCE SHEET</v>
          </cell>
          <cell r="E1003">
            <v>0</v>
          </cell>
          <cell r="F1003">
            <v>0</v>
          </cell>
          <cell r="G1003" t="str">
            <v>CURRENT LIABILITIES AND PROVISIONS</v>
          </cell>
          <cell r="H1003" t="str">
            <v>CURRENT LIABILITIES</v>
          </cell>
          <cell r="I1003" t="str">
            <v>SUNDRY CREDITORS</v>
          </cell>
        </row>
        <row r="1004">
          <cell r="A1004" t="str">
            <v>L503001-000-005</v>
          </cell>
          <cell r="B1004" t="str">
            <v>Regis Chrgs recvd- BEVERLY PARK II</v>
          </cell>
          <cell r="C1004" t="str">
            <v>LIABILITIES</v>
          </cell>
          <cell r="D1004" t="str">
            <v>BALANCE SHEET</v>
          </cell>
          <cell r="E1004">
            <v>0</v>
          </cell>
          <cell r="F1004">
            <v>0</v>
          </cell>
          <cell r="G1004" t="str">
            <v>CURRENT LIABILITIES AND PROVISIONS</v>
          </cell>
          <cell r="H1004" t="str">
            <v>CURRENT LIABILITIES</v>
          </cell>
          <cell r="I1004" t="str">
            <v>SUNDRY CREDITORS</v>
          </cell>
        </row>
        <row r="1005">
          <cell r="A1005" t="str">
            <v>L503001-000-006</v>
          </cell>
          <cell r="B1005" t="str">
            <v>Regis Chrgs recvd- CENTRAL ARCADE</v>
          </cell>
          <cell r="C1005" t="str">
            <v>LIABILITIES</v>
          </cell>
          <cell r="D1005" t="str">
            <v>BALANCE SHEET</v>
          </cell>
          <cell r="E1005">
            <v>0</v>
          </cell>
          <cell r="F1005">
            <v>0</v>
          </cell>
          <cell r="G1005" t="str">
            <v>CURRENT LIABILITIES AND PROVISIONS</v>
          </cell>
          <cell r="H1005" t="str">
            <v>CURRENT LIABILITIES</v>
          </cell>
          <cell r="I1005" t="str">
            <v>SUNDRY CREDITORS</v>
          </cell>
        </row>
        <row r="1006">
          <cell r="A1006" t="str">
            <v>L503001-000-008</v>
          </cell>
          <cell r="B1006" t="str">
            <v>Regis Chrgs recvd- CORPORATE PARK</v>
          </cell>
          <cell r="C1006" t="str">
            <v>LIABILITIES</v>
          </cell>
          <cell r="D1006" t="str">
            <v>BALANCE SHEET</v>
          </cell>
          <cell r="E1006">
            <v>0</v>
          </cell>
          <cell r="F1006">
            <v>0</v>
          </cell>
          <cell r="G1006" t="str">
            <v>CURRENT LIABILITIES AND PROVISIONS</v>
          </cell>
          <cell r="H1006" t="str">
            <v>CURRENT LIABILITIES</v>
          </cell>
          <cell r="I1006" t="str">
            <v>SUNDRY CREDITORS</v>
          </cell>
        </row>
        <row r="1007">
          <cell r="A1007" t="str">
            <v>L503001-000-009</v>
          </cell>
          <cell r="B1007" t="str">
            <v>Regis Chrgs recvd- DILSHAD LOTTERY</v>
          </cell>
          <cell r="C1007" t="str">
            <v>LIABILITIES</v>
          </cell>
          <cell r="D1007" t="str">
            <v>BALANCE SHEET</v>
          </cell>
          <cell r="E1007">
            <v>0</v>
          </cell>
          <cell r="F1007">
            <v>0</v>
          </cell>
          <cell r="G1007" t="str">
            <v>CURRENT LIABILITIES AND PROVISIONS</v>
          </cell>
          <cell r="H1007" t="str">
            <v>CURRENT LIABILITIES</v>
          </cell>
          <cell r="I1007" t="str">
            <v>SUNDRY CREDITORS</v>
          </cell>
        </row>
        <row r="1008">
          <cell r="A1008" t="str">
            <v>L503001-000-010</v>
          </cell>
          <cell r="B1008" t="str">
            <v>Regis Chrgs recvd- DILSHAD PLAZA</v>
          </cell>
          <cell r="C1008" t="str">
            <v>LIABILITIES</v>
          </cell>
          <cell r="D1008" t="str">
            <v>BALANCE SHEET</v>
          </cell>
          <cell r="E1008">
            <v>0</v>
          </cell>
          <cell r="F1008">
            <v>0</v>
          </cell>
          <cell r="G1008" t="str">
            <v>CURRENT LIABILITIES AND PROVISIONS</v>
          </cell>
          <cell r="H1008" t="str">
            <v>CURRENT LIABILITIES</v>
          </cell>
          <cell r="I1008" t="str">
            <v>SUNDRY CREDITORS</v>
          </cell>
        </row>
        <row r="1009">
          <cell r="A1009" t="str">
            <v>L503001-000-011</v>
          </cell>
          <cell r="B1009" t="str">
            <v>Regis Chrgs recvd- EXECUTIVE HOME</v>
          </cell>
          <cell r="C1009" t="str">
            <v>LIABILITIES</v>
          </cell>
          <cell r="D1009" t="str">
            <v>BALANCE SHEET</v>
          </cell>
          <cell r="E1009">
            <v>0</v>
          </cell>
          <cell r="F1009">
            <v>0</v>
          </cell>
          <cell r="G1009" t="str">
            <v>CURRENT LIABILITIES AND PROVISIONS</v>
          </cell>
          <cell r="H1009" t="str">
            <v>CURRENT LIABILITIES</v>
          </cell>
          <cell r="I1009" t="str">
            <v>SUNDRY CREDITORS</v>
          </cell>
        </row>
        <row r="1010">
          <cell r="A1010" t="str">
            <v>L503001-000-012</v>
          </cell>
          <cell r="B1010" t="str">
            <v>Regis Chrgs recvd- HAMILTON COURT Prkn</v>
          </cell>
          <cell r="C1010" t="str">
            <v>LIABILITIES</v>
          </cell>
          <cell r="D1010" t="str">
            <v>BALANCE SHEET</v>
          </cell>
          <cell r="E1010">
            <v>0</v>
          </cell>
          <cell r="F1010">
            <v>0</v>
          </cell>
          <cell r="G1010" t="str">
            <v>CURRENT LIABILITIES AND PROVISIONS</v>
          </cell>
          <cell r="H1010" t="str">
            <v>CURRENT LIABILITIES</v>
          </cell>
          <cell r="I1010" t="str">
            <v>SUNDRY CREDITORS</v>
          </cell>
        </row>
        <row r="1011">
          <cell r="A1011" t="str">
            <v>L503001-000-013</v>
          </cell>
          <cell r="B1011" t="str">
            <v>Regis Chrgs recvd- HAMILTON COURT</v>
          </cell>
          <cell r="C1011" t="str">
            <v>LIABILITIES</v>
          </cell>
          <cell r="D1011" t="str">
            <v>BALANCE SHEET</v>
          </cell>
          <cell r="E1011">
            <v>0</v>
          </cell>
          <cell r="F1011">
            <v>0</v>
          </cell>
          <cell r="G1011" t="str">
            <v>CURRENT LIABILITIES AND PROVISIONS</v>
          </cell>
          <cell r="H1011" t="str">
            <v>CURRENT LIABILITIES</v>
          </cell>
          <cell r="I1011" t="str">
            <v>SUNDRY CREDITORS</v>
          </cell>
        </row>
        <row r="1012">
          <cell r="A1012" t="str">
            <v>L503001-000-014</v>
          </cell>
          <cell r="B1012" t="str">
            <v>Regis Chrgs recvd- NEW TOWN HOUSE</v>
          </cell>
          <cell r="C1012" t="str">
            <v>LIABILITIES</v>
          </cell>
          <cell r="D1012" t="str">
            <v>BALANCE SHEET</v>
          </cell>
          <cell r="E1012">
            <v>0</v>
          </cell>
          <cell r="F1012">
            <v>0</v>
          </cell>
          <cell r="G1012" t="str">
            <v>CURRENT LIABILITIES AND PROVISIONS</v>
          </cell>
          <cell r="H1012" t="str">
            <v>CURRENT LIABILITIES</v>
          </cell>
          <cell r="I1012" t="str">
            <v>SUNDRY CREDITORS</v>
          </cell>
        </row>
        <row r="1013">
          <cell r="A1013" t="str">
            <v>L503001-000-015</v>
          </cell>
          <cell r="B1013" t="str">
            <v>Regis Chrgs recvd- OLD TOWN HOUSE</v>
          </cell>
          <cell r="C1013" t="str">
            <v>LIABILITIES</v>
          </cell>
          <cell r="D1013" t="str">
            <v>BALANCE SHEET</v>
          </cell>
          <cell r="E1013">
            <v>0</v>
          </cell>
          <cell r="F1013">
            <v>0</v>
          </cell>
          <cell r="G1013" t="str">
            <v>CURRENT LIABILITIES AND PROVISIONS</v>
          </cell>
          <cell r="H1013" t="str">
            <v>CURRENT LIABILITIES</v>
          </cell>
          <cell r="I1013" t="str">
            <v>SUNDRY CREDITORS</v>
          </cell>
        </row>
        <row r="1014">
          <cell r="A1014" t="str">
            <v>L503001-000-017</v>
          </cell>
          <cell r="B1014" t="str">
            <v>Regis Chrgs recvd- QEC PHASE IV</v>
          </cell>
          <cell r="C1014" t="str">
            <v>LIABILITIES</v>
          </cell>
          <cell r="D1014" t="str">
            <v>BALANCE SHEET</v>
          </cell>
          <cell r="E1014">
            <v>0</v>
          </cell>
          <cell r="F1014">
            <v>0</v>
          </cell>
          <cell r="G1014" t="str">
            <v>CURRENT LIABILITIES AND PROVISIONS</v>
          </cell>
          <cell r="H1014" t="str">
            <v>CURRENT LIABILITIES</v>
          </cell>
          <cell r="I1014" t="str">
            <v>SUNDRY CREDITORS</v>
          </cell>
        </row>
        <row r="1015">
          <cell r="A1015" t="str">
            <v>L503001-000-018</v>
          </cell>
          <cell r="B1015" t="str">
            <v>Regis Chrgs recvd- QEC PHASE V</v>
          </cell>
          <cell r="C1015" t="str">
            <v>LIABILITIES</v>
          </cell>
          <cell r="D1015" t="str">
            <v>BALANCE SHEET</v>
          </cell>
          <cell r="E1015">
            <v>0</v>
          </cell>
          <cell r="F1015">
            <v>0</v>
          </cell>
          <cell r="G1015" t="str">
            <v>CURRENT LIABILITIES AND PROVISIONS</v>
          </cell>
          <cell r="H1015" t="str">
            <v>CURRENT LIABILITIES</v>
          </cell>
          <cell r="I1015" t="str">
            <v>SUNDRY CREDITORS</v>
          </cell>
        </row>
        <row r="1016">
          <cell r="A1016" t="str">
            <v>L503001-000-019</v>
          </cell>
          <cell r="B1016" t="str">
            <v>Regis Chrgs recvd- REGENCY PARK</v>
          </cell>
          <cell r="C1016" t="str">
            <v>LIABILITIES</v>
          </cell>
          <cell r="D1016" t="str">
            <v>BALANCE SHEET</v>
          </cell>
          <cell r="E1016">
            <v>0</v>
          </cell>
          <cell r="F1016">
            <v>0</v>
          </cell>
          <cell r="G1016" t="str">
            <v>CURRENT LIABILITIES AND PROVISIONS</v>
          </cell>
          <cell r="H1016" t="str">
            <v>CURRENT LIABILITIES</v>
          </cell>
          <cell r="I1016" t="str">
            <v>SUNDRY CREDITORS</v>
          </cell>
        </row>
        <row r="1017">
          <cell r="A1017" t="str">
            <v>L503001-000-020</v>
          </cell>
          <cell r="B1017" t="str">
            <v>Regis Chrgs recvd- REGENCY PARK(PARKING)</v>
          </cell>
          <cell r="C1017" t="str">
            <v>LIABILITIES</v>
          </cell>
          <cell r="D1017" t="str">
            <v>BALANCE SHEET</v>
          </cell>
          <cell r="E1017">
            <v>0</v>
          </cell>
          <cell r="F1017">
            <v>0</v>
          </cell>
          <cell r="G1017" t="str">
            <v>CURRENT LIABILITIES AND PROVISIONS</v>
          </cell>
          <cell r="H1017" t="str">
            <v>CURRENT LIABILITIES</v>
          </cell>
          <cell r="I1017" t="str">
            <v>SUNDRY CREDITORS</v>
          </cell>
        </row>
        <row r="1018">
          <cell r="A1018" t="str">
            <v>L503001-000-021</v>
          </cell>
          <cell r="B1018" t="str">
            <v>Regis Chrgs recvd- RICHMOND PARK Prkn</v>
          </cell>
          <cell r="C1018" t="str">
            <v>LIABILITIES</v>
          </cell>
          <cell r="D1018" t="str">
            <v>BALANCE SHEET</v>
          </cell>
          <cell r="E1018">
            <v>0</v>
          </cell>
          <cell r="F1018">
            <v>0</v>
          </cell>
          <cell r="G1018" t="str">
            <v>CURRENT LIABILITIES AND PROVISIONS</v>
          </cell>
          <cell r="H1018" t="str">
            <v>CURRENT LIABILITIES</v>
          </cell>
          <cell r="I1018" t="str">
            <v>SUNDRY CREDITORS</v>
          </cell>
        </row>
        <row r="1019">
          <cell r="A1019" t="str">
            <v>L503001-000-022</v>
          </cell>
          <cell r="B1019" t="str">
            <v>Regis Chrgs recvd- RICHMOND PARK</v>
          </cell>
          <cell r="C1019" t="str">
            <v>LIABILITIES</v>
          </cell>
          <cell r="D1019" t="str">
            <v>BALANCE SHEET</v>
          </cell>
          <cell r="E1019">
            <v>0</v>
          </cell>
          <cell r="F1019">
            <v>0</v>
          </cell>
          <cell r="G1019" t="str">
            <v>CURRENT LIABILITIES AND PROVISIONS</v>
          </cell>
          <cell r="H1019" t="str">
            <v>CURRENT LIABILITIES</v>
          </cell>
          <cell r="I1019" t="str">
            <v>SUNDRY CREDITORS</v>
          </cell>
        </row>
        <row r="1020">
          <cell r="A1020" t="str">
            <v>L503001-000-023</v>
          </cell>
          <cell r="B1020" t="str">
            <v>Regis Chrgs recvd- SUPER MART-II</v>
          </cell>
          <cell r="C1020" t="str">
            <v>LIABILITIES</v>
          </cell>
          <cell r="D1020" t="str">
            <v>BALANCE SHEET</v>
          </cell>
          <cell r="E1020">
            <v>0</v>
          </cell>
          <cell r="F1020">
            <v>0</v>
          </cell>
          <cell r="G1020" t="str">
            <v>CURRENT LIABILITIES AND PROVISIONS</v>
          </cell>
          <cell r="H1020" t="str">
            <v>CURRENT LIABILITIES</v>
          </cell>
          <cell r="I1020" t="str">
            <v>SUNDRY CREDITORS</v>
          </cell>
        </row>
        <row r="1021">
          <cell r="A1021" t="str">
            <v>L503001-000-024</v>
          </cell>
          <cell r="B1021" t="str">
            <v>Regis Chrgs recvd- SHOPPING MALL</v>
          </cell>
          <cell r="C1021" t="str">
            <v>LIABILITIES</v>
          </cell>
          <cell r="D1021" t="str">
            <v>BALANCE SHEET</v>
          </cell>
          <cell r="E1021">
            <v>0</v>
          </cell>
          <cell r="F1021">
            <v>0</v>
          </cell>
          <cell r="G1021" t="str">
            <v>CURRENT LIABILITIES AND PROVISIONS</v>
          </cell>
          <cell r="H1021" t="str">
            <v>CURRENT LIABILITIES</v>
          </cell>
          <cell r="I1021" t="str">
            <v>SUNDRY CREDITORS</v>
          </cell>
        </row>
        <row r="1022">
          <cell r="A1022" t="str">
            <v>L503001-000-027</v>
          </cell>
          <cell r="B1022" t="str">
            <v>Regis Chrgs recvd- STOP-N-SHOP</v>
          </cell>
          <cell r="C1022" t="str">
            <v>LIABILITIES</v>
          </cell>
          <cell r="D1022" t="str">
            <v>BALANCE SHEET</v>
          </cell>
          <cell r="E1022">
            <v>0</v>
          </cell>
          <cell r="F1022">
            <v>0</v>
          </cell>
          <cell r="G1022" t="str">
            <v>CURRENT LIABILITIES AND PROVISIONS</v>
          </cell>
          <cell r="H1022" t="str">
            <v>CURRENT LIABILITIES</v>
          </cell>
          <cell r="I1022" t="str">
            <v>SUNDRY CREDITORS</v>
          </cell>
        </row>
        <row r="1023">
          <cell r="A1023" t="str">
            <v>L503001-000-028</v>
          </cell>
          <cell r="B1023" t="str">
            <v>Regis Chrgs recvd- SLIVER OAKS</v>
          </cell>
          <cell r="C1023" t="str">
            <v>LIABILITIES</v>
          </cell>
          <cell r="D1023" t="str">
            <v>BALANCE SHEET</v>
          </cell>
          <cell r="E1023">
            <v>0</v>
          </cell>
          <cell r="F1023">
            <v>0</v>
          </cell>
          <cell r="G1023" t="str">
            <v>CURRENT LIABILITIES AND PROVISIONS</v>
          </cell>
          <cell r="H1023" t="str">
            <v>CURRENT LIABILITIES</v>
          </cell>
          <cell r="I1023" t="str">
            <v>SUNDRY CREDITORS</v>
          </cell>
        </row>
        <row r="1024">
          <cell r="A1024" t="str">
            <v>L503001-000-029</v>
          </cell>
          <cell r="B1024" t="str">
            <v>Regis Chrgs recvd- SLIVER OAKS(PARKING)</v>
          </cell>
          <cell r="C1024" t="str">
            <v>LIABILITIES</v>
          </cell>
          <cell r="D1024" t="str">
            <v>BALANCE SHEET</v>
          </cell>
          <cell r="E1024">
            <v>0</v>
          </cell>
          <cell r="F1024">
            <v>0</v>
          </cell>
          <cell r="G1024" t="str">
            <v>CURRENT LIABILITIES AND PROVISIONS</v>
          </cell>
          <cell r="H1024" t="str">
            <v>CURRENT LIABILITIES</v>
          </cell>
          <cell r="I1024" t="str">
            <v>SUNDRY CREDITORS</v>
          </cell>
        </row>
        <row r="1025">
          <cell r="A1025" t="str">
            <v>L503001-000-030</v>
          </cell>
          <cell r="B1025" t="str">
            <v>Regis Chrgs recvd- SPRING FIELD</v>
          </cell>
          <cell r="C1025" t="str">
            <v>LIABILITIES</v>
          </cell>
          <cell r="D1025" t="str">
            <v>BALANCE SHEET</v>
          </cell>
          <cell r="E1025">
            <v>0</v>
          </cell>
          <cell r="F1025">
            <v>0</v>
          </cell>
          <cell r="G1025" t="str">
            <v>CURRENT LIABILITIES AND PROVISIONS</v>
          </cell>
          <cell r="H1025" t="str">
            <v>CURRENT LIABILITIES</v>
          </cell>
          <cell r="I1025" t="str">
            <v>SUNDRY CREDITORS</v>
          </cell>
        </row>
        <row r="1026">
          <cell r="A1026" t="str">
            <v>L503001-000-032</v>
          </cell>
          <cell r="B1026" t="str">
            <v>Regis Chrgs recvd- VILLA PLOTS</v>
          </cell>
          <cell r="C1026" t="str">
            <v>LIABILITIES</v>
          </cell>
          <cell r="D1026" t="str">
            <v>BALANCE SHEET</v>
          </cell>
          <cell r="E1026">
            <v>0</v>
          </cell>
          <cell r="F1026">
            <v>0</v>
          </cell>
          <cell r="G1026" t="str">
            <v>CURRENT LIABILITIES AND PROVISIONS</v>
          </cell>
          <cell r="H1026" t="str">
            <v>CURRENT LIABILITIES</v>
          </cell>
          <cell r="I1026" t="str">
            <v>SUNDRY CREDITORS</v>
          </cell>
        </row>
        <row r="1027">
          <cell r="A1027" t="str">
            <v>L503001-000-033</v>
          </cell>
          <cell r="B1027" t="str">
            <v>Regis Chrgs recvd- WINDSOR COURT Prkn</v>
          </cell>
          <cell r="C1027" t="str">
            <v>LIABILITIES</v>
          </cell>
          <cell r="D1027" t="str">
            <v>BALANCE SHEET</v>
          </cell>
          <cell r="E1027">
            <v>0</v>
          </cell>
          <cell r="F1027">
            <v>0</v>
          </cell>
          <cell r="G1027" t="str">
            <v>CURRENT LIABILITIES AND PROVISIONS</v>
          </cell>
          <cell r="H1027" t="str">
            <v>CURRENT LIABILITIES</v>
          </cell>
          <cell r="I1027" t="str">
            <v>SUNDRY CREDITORS</v>
          </cell>
        </row>
        <row r="1028">
          <cell r="A1028" t="str">
            <v>L503001-000-034</v>
          </cell>
          <cell r="B1028" t="str">
            <v>Regis Chrgs recvd- WINDSOR COURT</v>
          </cell>
          <cell r="C1028" t="str">
            <v>LIABILITIES</v>
          </cell>
          <cell r="D1028" t="str">
            <v>BALANCE SHEET</v>
          </cell>
          <cell r="E1028">
            <v>0</v>
          </cell>
          <cell r="F1028">
            <v>0</v>
          </cell>
          <cell r="G1028" t="str">
            <v>CURRENT LIABILITIES AND PROVISIONS</v>
          </cell>
          <cell r="H1028" t="str">
            <v>CURRENT LIABILITIES</v>
          </cell>
          <cell r="I1028" t="str">
            <v>SUNDRY CREDITORS</v>
          </cell>
        </row>
        <row r="1029">
          <cell r="A1029" t="str">
            <v>L503001-000-036</v>
          </cell>
          <cell r="B1029" t="str">
            <v>Regis Chrgs recvd- QUTAB PLAZA</v>
          </cell>
          <cell r="C1029" t="str">
            <v>LIABILITIES</v>
          </cell>
          <cell r="D1029" t="str">
            <v>BALANCE SHEET</v>
          </cell>
          <cell r="E1029">
            <v>0</v>
          </cell>
          <cell r="F1029">
            <v>0</v>
          </cell>
          <cell r="G1029" t="str">
            <v>CURRENT LIABILITIES AND PROVISIONS</v>
          </cell>
          <cell r="H1029" t="str">
            <v>CURRENT LIABILITIES</v>
          </cell>
          <cell r="I1029" t="str">
            <v>SUNDRY CREDITORS</v>
          </cell>
        </row>
        <row r="1030">
          <cell r="A1030" t="str">
            <v>L503001-000-037</v>
          </cell>
          <cell r="B1030" t="str">
            <v>Regis Chrgs recvd- CENTRE POINT</v>
          </cell>
          <cell r="C1030" t="str">
            <v>LIABILITIES</v>
          </cell>
          <cell r="D1030" t="str">
            <v>BALANCE SHEET</v>
          </cell>
          <cell r="E1030">
            <v>0</v>
          </cell>
          <cell r="F1030">
            <v>0</v>
          </cell>
          <cell r="G1030" t="str">
            <v>CURRENT LIABILITIES AND PROVISIONS</v>
          </cell>
          <cell r="H1030" t="str">
            <v>CURRENT LIABILITIES</v>
          </cell>
          <cell r="I1030" t="str">
            <v>SUNDRY CREDITORS</v>
          </cell>
        </row>
        <row r="1031">
          <cell r="A1031" t="str">
            <v>L503001-000-038</v>
          </cell>
          <cell r="B1031" t="str">
            <v>Regis Chrgs recvd- FARIDABAD PLOTS</v>
          </cell>
          <cell r="C1031" t="str">
            <v>LIABILITIES</v>
          </cell>
          <cell r="D1031" t="str">
            <v>BALANCE SHEET</v>
          </cell>
          <cell r="E1031">
            <v>0</v>
          </cell>
          <cell r="F1031">
            <v>0</v>
          </cell>
          <cell r="G1031" t="str">
            <v>CURRENT LIABILITIES AND PROVISIONS</v>
          </cell>
          <cell r="H1031" t="str">
            <v>CURRENT LIABILITIES</v>
          </cell>
          <cell r="I1031" t="str">
            <v>SUNDRY CREDITORS</v>
          </cell>
        </row>
        <row r="1032">
          <cell r="A1032" t="str">
            <v>L503001-000-039</v>
          </cell>
          <cell r="B1032" t="str">
            <v>Regis Chrgs recvd- RIDGEWOOD ESTATE</v>
          </cell>
          <cell r="C1032" t="str">
            <v>LIABILITIES</v>
          </cell>
          <cell r="D1032" t="str">
            <v>BALANCE SHEET</v>
          </cell>
          <cell r="E1032">
            <v>0</v>
          </cell>
          <cell r="F1032">
            <v>0</v>
          </cell>
          <cell r="G1032" t="str">
            <v>CURRENT LIABILITIES AND PROVISIONS</v>
          </cell>
          <cell r="H1032" t="str">
            <v>CURRENT LIABILITIES</v>
          </cell>
          <cell r="I1032" t="str">
            <v>SUNDRY CREDITORS</v>
          </cell>
        </row>
        <row r="1033">
          <cell r="A1033" t="str">
            <v>L503001-000-040</v>
          </cell>
          <cell r="B1033" t="str">
            <v>Regis Chrgs recvd- OAKWOOD ESTATE</v>
          </cell>
          <cell r="C1033" t="str">
            <v>LIABILITIES</v>
          </cell>
          <cell r="D1033" t="str">
            <v>BALANCE SHEET</v>
          </cell>
          <cell r="E1033">
            <v>0</v>
          </cell>
          <cell r="F1033">
            <v>0</v>
          </cell>
          <cell r="G1033" t="str">
            <v>CURRENT LIABILITIES AND PROVISIONS</v>
          </cell>
          <cell r="H1033" t="str">
            <v>CURRENT LIABILITIES</v>
          </cell>
          <cell r="I1033" t="str">
            <v>SUNDRY CREDITORS</v>
          </cell>
        </row>
        <row r="1034">
          <cell r="A1034" t="str">
            <v>L503001-000-041</v>
          </cell>
          <cell r="B1034" t="str">
            <v>Regis Chrgs recvd- WELLINGTON ESTATE</v>
          </cell>
          <cell r="C1034" t="str">
            <v>LIABILITIES</v>
          </cell>
          <cell r="D1034" t="str">
            <v>BALANCE SHEET</v>
          </cell>
          <cell r="E1034">
            <v>0</v>
          </cell>
          <cell r="F1034">
            <v>0</v>
          </cell>
          <cell r="G1034" t="str">
            <v>CURRENT LIABILITIES AND PROVISIONS</v>
          </cell>
          <cell r="H1034" t="str">
            <v>CURRENT LIABILITIES</v>
          </cell>
          <cell r="I1034" t="str">
            <v>SUNDRY CREDITORS</v>
          </cell>
        </row>
        <row r="1035">
          <cell r="A1035" t="str">
            <v>L503001-000-042</v>
          </cell>
          <cell r="B1035" t="str">
            <v>Regis Chrgs recvd- PLOTS(PHASE-I,II,III)</v>
          </cell>
          <cell r="C1035" t="str">
            <v>LIABILITIES</v>
          </cell>
          <cell r="D1035" t="str">
            <v>BALANCE SHEET</v>
          </cell>
          <cell r="E1035">
            <v>0</v>
          </cell>
          <cell r="F1035">
            <v>0</v>
          </cell>
          <cell r="G1035" t="str">
            <v>CURRENT LIABILITIES AND PROVISIONS</v>
          </cell>
          <cell r="H1035" t="str">
            <v>CURRENT LIABILITIES</v>
          </cell>
          <cell r="I1035" t="str">
            <v>SUNDRY CREDITORS</v>
          </cell>
        </row>
        <row r="1036">
          <cell r="A1036" t="str">
            <v>L503001-000-043</v>
          </cell>
          <cell r="B1036" t="str">
            <v>Regis Chrgs recvd- PLOTS(PHASE-II)</v>
          </cell>
          <cell r="C1036" t="str">
            <v>LIABILITIES</v>
          </cell>
          <cell r="D1036" t="str">
            <v>BALANCE SHEET</v>
          </cell>
          <cell r="E1036">
            <v>0</v>
          </cell>
          <cell r="F1036">
            <v>0</v>
          </cell>
          <cell r="G1036" t="str">
            <v>CURRENT LIABILITIES AND PROVISIONS</v>
          </cell>
          <cell r="H1036" t="str">
            <v>CURRENT LIABILITIES</v>
          </cell>
          <cell r="I1036" t="str">
            <v>SUNDRY CREDITORS</v>
          </cell>
        </row>
        <row r="1037">
          <cell r="A1037" t="str">
            <v>L503001-000-044</v>
          </cell>
          <cell r="B1037" t="str">
            <v>Regis Chrgs recvd- PLOTS(PHASE-III)</v>
          </cell>
          <cell r="C1037" t="str">
            <v>LIABILITIES</v>
          </cell>
          <cell r="D1037" t="str">
            <v>BALANCE SHEET</v>
          </cell>
          <cell r="E1037">
            <v>0</v>
          </cell>
          <cell r="F1037">
            <v>0</v>
          </cell>
          <cell r="G1037" t="str">
            <v>CURRENT LIABILITIES AND PROVISIONS</v>
          </cell>
          <cell r="H1037" t="str">
            <v>CURRENT LIABILITIES</v>
          </cell>
          <cell r="I1037" t="str">
            <v>SUNDRY CREDITORS</v>
          </cell>
        </row>
        <row r="1038">
          <cell r="A1038" t="str">
            <v>L503001-000-046</v>
          </cell>
          <cell r="B1038" t="str">
            <v>Regis Chrgs recvd- PRINCETON ESTATE</v>
          </cell>
          <cell r="C1038" t="str">
            <v>LIABILITIES</v>
          </cell>
          <cell r="D1038" t="str">
            <v>BALANCE SHEET</v>
          </cell>
          <cell r="E1038">
            <v>0</v>
          </cell>
          <cell r="F1038">
            <v>0</v>
          </cell>
          <cell r="G1038" t="str">
            <v>CURRENT LIABILITIES AND PROVISIONS</v>
          </cell>
          <cell r="H1038" t="str">
            <v>CURRENT LIABILITIES</v>
          </cell>
          <cell r="I1038" t="str">
            <v>SUNDRY CREDITORS</v>
          </cell>
        </row>
        <row r="1039">
          <cell r="A1039" t="str">
            <v>L503001-000-048</v>
          </cell>
          <cell r="B1039" t="str">
            <v>Regis Chrgs recvd- INDEPENDENT HOUSE</v>
          </cell>
          <cell r="C1039" t="str">
            <v>LIABILITIES</v>
          </cell>
          <cell r="D1039" t="str">
            <v>BALANCE SHEET</v>
          </cell>
          <cell r="E1039">
            <v>0</v>
          </cell>
          <cell r="F1039">
            <v>0</v>
          </cell>
          <cell r="G1039" t="str">
            <v>CURRENT LIABILITIES AND PROVISIONS</v>
          </cell>
          <cell r="H1039" t="str">
            <v>CURRENT LIABILITIES</v>
          </cell>
          <cell r="I1039" t="str">
            <v>SUNDRY CREDITORS</v>
          </cell>
        </row>
        <row r="1040">
          <cell r="A1040" t="str">
            <v>L503001-000-049</v>
          </cell>
          <cell r="B1040" t="str">
            <v>Regis Chrgs recvd- REGENT HOUSE</v>
          </cell>
          <cell r="C1040" t="str">
            <v>LIABILITIES</v>
          </cell>
          <cell r="D1040" t="str">
            <v>BALANCE SHEET</v>
          </cell>
          <cell r="E1040">
            <v>0</v>
          </cell>
          <cell r="F1040">
            <v>0</v>
          </cell>
          <cell r="G1040" t="str">
            <v>CURRENT LIABILITIES AND PROVISIONS</v>
          </cell>
          <cell r="H1040" t="str">
            <v>CURRENT LIABILITIES</v>
          </cell>
          <cell r="I1040" t="str">
            <v>SUNDRY CREDITORS</v>
          </cell>
        </row>
        <row r="1041">
          <cell r="A1041" t="str">
            <v>L503001-000-050</v>
          </cell>
          <cell r="B1041" t="str">
            <v>Regis Chrgs recvd- CARLTON ESTATE</v>
          </cell>
          <cell r="C1041" t="str">
            <v>LIABILITIES</v>
          </cell>
          <cell r="D1041" t="str">
            <v>BALANCE SHEET</v>
          </cell>
          <cell r="E1041">
            <v>0</v>
          </cell>
          <cell r="F1041">
            <v>0</v>
          </cell>
          <cell r="G1041" t="str">
            <v>CURRENT LIABILITIES AND PROVISIONS</v>
          </cell>
          <cell r="H1041" t="str">
            <v>CURRENT LIABILITIES</v>
          </cell>
          <cell r="I1041" t="str">
            <v>SUNDRY CREDITORS</v>
          </cell>
        </row>
        <row r="1042">
          <cell r="A1042" t="str">
            <v>L503001-000-054</v>
          </cell>
          <cell r="B1042" t="str">
            <v>Regis Chrgs recvd- BELVEDERE PARK</v>
          </cell>
          <cell r="C1042" t="str">
            <v>LIABILITIES</v>
          </cell>
          <cell r="D1042" t="str">
            <v>BALANCE SHEET</v>
          </cell>
          <cell r="E1042">
            <v>0</v>
          </cell>
          <cell r="F1042">
            <v>0</v>
          </cell>
          <cell r="G1042" t="str">
            <v>CURRENT LIABILITIES AND PROVISIONS</v>
          </cell>
          <cell r="H1042" t="str">
            <v>CURRENT LIABILITIES</v>
          </cell>
          <cell r="I1042" t="str">
            <v>SUNDRY CREDITORS</v>
          </cell>
        </row>
        <row r="1043">
          <cell r="A1043" t="str">
            <v>L503001-000-055</v>
          </cell>
          <cell r="B1043" t="str">
            <v>Regis Chrgs recvd- BELVEDERE TOWERS</v>
          </cell>
          <cell r="C1043" t="str">
            <v>LIABILITIES</v>
          </cell>
          <cell r="D1043" t="str">
            <v>BALANCE SHEET</v>
          </cell>
          <cell r="E1043">
            <v>0</v>
          </cell>
          <cell r="F1043">
            <v>0</v>
          </cell>
          <cell r="G1043" t="str">
            <v>CURRENT LIABILITIES AND PROVISIONS</v>
          </cell>
          <cell r="H1043" t="str">
            <v>CURRENT LIABILITIES</v>
          </cell>
          <cell r="I1043" t="str">
            <v>SUNDRY CREDITORS</v>
          </cell>
        </row>
        <row r="1044">
          <cell r="A1044" t="str">
            <v>L503001-000-056</v>
          </cell>
          <cell r="B1044" t="str">
            <v>Regis Chrgs recvd- CITY CENTRE</v>
          </cell>
          <cell r="C1044" t="str">
            <v>LIABILITIES</v>
          </cell>
          <cell r="D1044" t="str">
            <v>BALANCE SHEET</v>
          </cell>
          <cell r="E1044">
            <v>0</v>
          </cell>
          <cell r="F1044">
            <v>0</v>
          </cell>
          <cell r="G1044" t="str">
            <v>CURRENT LIABILITIES AND PROVISIONS</v>
          </cell>
          <cell r="H1044" t="str">
            <v>CURRENT LIABILITIES</v>
          </cell>
          <cell r="I1044" t="str">
            <v>SUNDRY CREDITORS</v>
          </cell>
        </row>
        <row r="1045">
          <cell r="A1045" t="str">
            <v>L503001-000-058</v>
          </cell>
          <cell r="B1045" t="str">
            <v>Regis Chrgs recvd- EXCLUSIVE FLOORS</v>
          </cell>
          <cell r="C1045" t="str">
            <v>LIABILITIES</v>
          </cell>
          <cell r="D1045" t="str">
            <v>BALANCE SHEET</v>
          </cell>
          <cell r="E1045">
            <v>0</v>
          </cell>
          <cell r="F1045">
            <v>0</v>
          </cell>
          <cell r="G1045" t="str">
            <v>CURRENT LIABILITIES AND PROVISIONS</v>
          </cell>
          <cell r="H1045" t="str">
            <v>CURRENT LIABILITIES</v>
          </cell>
          <cell r="I1045" t="str">
            <v>SUNDRY CREDITORS</v>
          </cell>
        </row>
        <row r="1046">
          <cell r="A1046" t="str">
            <v>L503001-000-059</v>
          </cell>
          <cell r="B1046" t="str">
            <v>Regis Chrgs recvd- MOULSARI ARCADE</v>
          </cell>
          <cell r="C1046" t="str">
            <v>LIABILITIES</v>
          </cell>
          <cell r="D1046" t="str">
            <v>BALANCE SHEET</v>
          </cell>
          <cell r="E1046">
            <v>0</v>
          </cell>
          <cell r="F1046">
            <v>0</v>
          </cell>
          <cell r="G1046" t="str">
            <v>CURRENT LIABILITIES AND PROVISIONS</v>
          </cell>
          <cell r="H1046" t="str">
            <v>CURRENT LIABILITIES</v>
          </cell>
          <cell r="I1046" t="str">
            <v>SUNDRY CREDITORS</v>
          </cell>
        </row>
        <row r="1047">
          <cell r="A1047" t="str">
            <v>L503001-000-060</v>
          </cell>
          <cell r="B1047" t="str">
            <v>Regis Chrgs recvd- TRINITY TOWERS</v>
          </cell>
          <cell r="C1047" t="str">
            <v>LIABILITIES</v>
          </cell>
          <cell r="D1047" t="str">
            <v>BALANCE SHEET</v>
          </cell>
          <cell r="E1047">
            <v>0</v>
          </cell>
          <cell r="F1047">
            <v>0</v>
          </cell>
          <cell r="G1047" t="str">
            <v>CURRENT LIABILITIES AND PROVISIONS</v>
          </cell>
          <cell r="H1047" t="str">
            <v>CURRENT LIABILITIES</v>
          </cell>
          <cell r="I1047" t="str">
            <v>SUNDRY CREDITORS</v>
          </cell>
        </row>
        <row r="1048">
          <cell r="A1048" t="str">
            <v>L503001-000-061</v>
          </cell>
          <cell r="B1048" t="str">
            <v>Regis Chrgs recvd- GRAND MALL</v>
          </cell>
          <cell r="C1048" t="str">
            <v>LIABILITIES</v>
          </cell>
          <cell r="D1048" t="str">
            <v>BALANCE SHEET</v>
          </cell>
          <cell r="E1048">
            <v>0</v>
          </cell>
          <cell r="F1048">
            <v>0</v>
          </cell>
          <cell r="G1048" t="str">
            <v>CURRENT LIABILITIES AND PROVISIONS</v>
          </cell>
          <cell r="H1048" t="str">
            <v>CURRENT LIABILITIES</v>
          </cell>
          <cell r="I1048" t="str">
            <v>SUNDRY CREDITORS</v>
          </cell>
        </row>
        <row r="1049">
          <cell r="A1049" t="str">
            <v>L503001-000-062</v>
          </cell>
          <cell r="B1049" t="str">
            <v>Regis Chrgs recvd- THE ARALIAS</v>
          </cell>
          <cell r="C1049" t="str">
            <v>LIABILITIES</v>
          </cell>
          <cell r="D1049" t="str">
            <v>BALANCE SHEET</v>
          </cell>
          <cell r="E1049">
            <v>0</v>
          </cell>
          <cell r="F1049">
            <v>0</v>
          </cell>
          <cell r="G1049" t="str">
            <v>CURRENT LIABILITIES AND PROVISIONS</v>
          </cell>
          <cell r="H1049" t="str">
            <v>CURRENT LIABILITIES</v>
          </cell>
          <cell r="I1049" t="str">
            <v>SUNDRY CREDITORS</v>
          </cell>
        </row>
        <row r="1050">
          <cell r="A1050" t="str">
            <v>L503001-000-064</v>
          </cell>
          <cell r="B1050" t="str">
            <v>Regis Chrgs recvd- WESTEND HEIGHTS</v>
          </cell>
          <cell r="C1050" t="str">
            <v>LIABILITIES</v>
          </cell>
          <cell r="D1050" t="str">
            <v>BALANCE SHEET</v>
          </cell>
          <cell r="E1050">
            <v>0</v>
          </cell>
          <cell r="F1050">
            <v>0</v>
          </cell>
          <cell r="G1050" t="str">
            <v>CURRENT LIABILITIES AND PROVISIONS</v>
          </cell>
          <cell r="H1050" t="str">
            <v>CURRENT LIABILITIES</v>
          </cell>
          <cell r="I1050" t="str">
            <v>SUNDRY CREDITORS</v>
          </cell>
        </row>
        <row r="1051">
          <cell r="A1051" t="str">
            <v>L503001-000-068</v>
          </cell>
          <cell r="B1051" t="str">
            <v>Regis Chrgs recvd- DT CITY CENTRE</v>
          </cell>
          <cell r="C1051" t="str">
            <v>LIABILITIES</v>
          </cell>
          <cell r="D1051" t="str">
            <v>BALANCE SHEET</v>
          </cell>
          <cell r="E1051">
            <v>0</v>
          </cell>
          <cell r="F1051">
            <v>0</v>
          </cell>
          <cell r="G1051" t="str">
            <v>CURRENT LIABILITIES AND PROVISIONS</v>
          </cell>
          <cell r="H1051" t="str">
            <v>CURRENT LIABILITIES</v>
          </cell>
          <cell r="I1051" t="str">
            <v>SUNDRY CREDITORS</v>
          </cell>
        </row>
        <row r="1052">
          <cell r="A1052" t="str">
            <v>L503001-000-069</v>
          </cell>
          <cell r="B1052" t="str">
            <v>Regis Chrgs recvd- THE PINNACLE</v>
          </cell>
          <cell r="C1052" t="str">
            <v>LIABILITIES</v>
          </cell>
          <cell r="D1052" t="str">
            <v>BALANCE SHEET</v>
          </cell>
          <cell r="E1052">
            <v>0</v>
          </cell>
          <cell r="F1052">
            <v>0</v>
          </cell>
          <cell r="G1052" t="str">
            <v>CURRENT LIABILITIES AND PROVISIONS</v>
          </cell>
          <cell r="H1052" t="str">
            <v>CURRENT LIABILITIES</v>
          </cell>
          <cell r="I1052" t="str">
            <v>SUNDRY CREDITORS</v>
          </cell>
        </row>
        <row r="1053">
          <cell r="A1053" t="str">
            <v>L503001-000-070</v>
          </cell>
          <cell r="B1053" t="str">
            <v>Regis Chrgs recvd- ROYALTON TOWR</v>
          </cell>
          <cell r="C1053" t="str">
            <v>LIABILITIES</v>
          </cell>
          <cell r="D1053" t="str">
            <v>BALANCE SHEET</v>
          </cell>
          <cell r="E1053">
            <v>0</v>
          </cell>
          <cell r="F1053">
            <v>0</v>
          </cell>
          <cell r="G1053" t="str">
            <v>CURRENT LIABILITIES AND PROVISIONS</v>
          </cell>
          <cell r="H1053" t="str">
            <v>CURRENT LIABILITIES</v>
          </cell>
          <cell r="I1053" t="str">
            <v>SUNDRY CREDITORS</v>
          </cell>
        </row>
        <row r="1054">
          <cell r="A1054" t="str">
            <v>L503001-000-071</v>
          </cell>
          <cell r="B1054" t="str">
            <v>Regis Chrgs recvd- THE ICON</v>
          </cell>
          <cell r="C1054" t="str">
            <v>LIABILITIES</v>
          </cell>
          <cell r="D1054" t="str">
            <v>BALANCE SHEET</v>
          </cell>
          <cell r="E1054">
            <v>0</v>
          </cell>
          <cell r="F1054">
            <v>0</v>
          </cell>
          <cell r="G1054" t="str">
            <v>CURRENT LIABILITIES AND PROVISIONS</v>
          </cell>
          <cell r="H1054" t="str">
            <v>CURRENT LIABILITIES</v>
          </cell>
          <cell r="I1054" t="str">
            <v>SUNDRY CREDITORS</v>
          </cell>
        </row>
        <row r="1055">
          <cell r="A1055" t="str">
            <v>L503001-000-075</v>
          </cell>
          <cell r="B1055" t="str">
            <v>Regis Chrgs recvd- THE SUMMIT</v>
          </cell>
          <cell r="C1055" t="str">
            <v>LIABILITIES</v>
          </cell>
          <cell r="D1055" t="str">
            <v>BALANCE SHEET</v>
          </cell>
          <cell r="E1055">
            <v>0</v>
          </cell>
          <cell r="F1055">
            <v>0</v>
          </cell>
          <cell r="G1055" t="str">
            <v>CURRENT LIABILITIES AND PROVISIONS</v>
          </cell>
          <cell r="H1055" t="str">
            <v>CURRENT LIABILITIES</v>
          </cell>
          <cell r="I1055" t="str">
            <v>SUNDRY CREDITORS</v>
          </cell>
        </row>
        <row r="1056">
          <cell r="A1056" t="str">
            <v>L503001-000-080</v>
          </cell>
          <cell r="B1056" t="str">
            <v>Regis Chrgs recvd- THE MAGNOLIAS</v>
          </cell>
          <cell r="C1056" t="str">
            <v>LIABILITIES</v>
          </cell>
          <cell r="D1056" t="str">
            <v>BALANCE SHEET</v>
          </cell>
          <cell r="E1056">
            <v>0</v>
          </cell>
          <cell r="F1056">
            <v>0</v>
          </cell>
          <cell r="G1056" t="str">
            <v>CURRENT LIABILITIES AND PROVISIONS</v>
          </cell>
          <cell r="H1056" t="str">
            <v>CURRENT LIABILITIES</v>
          </cell>
          <cell r="I1056" t="str">
            <v>SUNDRY CREDITORS</v>
          </cell>
        </row>
        <row r="1057">
          <cell r="A1057" t="str">
            <v>L503001-000-085</v>
          </cell>
          <cell r="B1057" t="str">
            <v>Regis Chrgs recvd- DLF CITY COURT-(SIKEN</v>
          </cell>
          <cell r="C1057" t="str">
            <v>LIABILITIES</v>
          </cell>
          <cell r="D1057" t="str">
            <v>BALANCE SHEET</v>
          </cell>
          <cell r="E1057">
            <v>0</v>
          </cell>
          <cell r="F1057">
            <v>0</v>
          </cell>
          <cell r="G1057" t="str">
            <v>CURRENT LIABILITIES AND PROVISIONS</v>
          </cell>
          <cell r="H1057" t="str">
            <v>CURRENT LIABILITIES</v>
          </cell>
          <cell r="I1057" t="str">
            <v>SUNDRY CREDITORS</v>
          </cell>
        </row>
        <row r="1058">
          <cell r="A1058" t="str">
            <v>L503001-000-101</v>
          </cell>
          <cell r="B1058" t="str">
            <v>Regis Chrgs recvd- LIG/EWS</v>
          </cell>
          <cell r="C1058" t="str">
            <v>LIABILITIES</v>
          </cell>
          <cell r="D1058" t="str">
            <v>BALANCE SHEET</v>
          </cell>
          <cell r="E1058">
            <v>0</v>
          </cell>
          <cell r="F1058">
            <v>0</v>
          </cell>
          <cell r="G1058" t="str">
            <v>CURRENT LIABILITIES AND PROVISIONS</v>
          </cell>
          <cell r="H1058" t="str">
            <v>CURRENT LIABILITIES</v>
          </cell>
          <cell r="I1058" t="str">
            <v>SUNDRY CREDITORS</v>
          </cell>
        </row>
        <row r="1059">
          <cell r="A1059" t="str">
            <v>L503001-000-102</v>
          </cell>
          <cell r="B1059" t="str">
            <v>Regis Chrgs recvd-QE 1,2,3</v>
          </cell>
          <cell r="C1059" t="str">
            <v>LIABILITIES</v>
          </cell>
          <cell r="D1059" t="str">
            <v>BALANCE SHEET</v>
          </cell>
          <cell r="E1059">
            <v>0</v>
          </cell>
          <cell r="F1059">
            <v>0</v>
          </cell>
          <cell r="G1059" t="str">
            <v>CURRENT LIABILITIES AND PROVISIONS</v>
          </cell>
          <cell r="H1059" t="str">
            <v>CURRENT LIABILITIES</v>
          </cell>
          <cell r="I1059" t="str">
            <v>SUNDRY CREDITORS</v>
          </cell>
        </row>
        <row r="1060">
          <cell r="A1060" t="str">
            <v>L503999</v>
          </cell>
          <cell r="B1060" t="str">
            <v>Supplier Suspense</v>
          </cell>
          <cell r="C1060" t="str">
            <v>LIABILITIES</v>
          </cell>
          <cell r="D1060" t="str">
            <v>BALANCE SHEET</v>
          </cell>
          <cell r="E1060">
            <v>0</v>
          </cell>
          <cell r="F1060" t="str">
            <v>SUPPLIER SUSPENSE</v>
          </cell>
          <cell r="G1060" t="str">
            <v>CURRENT LIABILITIES AND PROVISIONS</v>
          </cell>
          <cell r="H1060" t="str">
            <v>CURRENT LIABILITIES</v>
          </cell>
          <cell r="I1060" t="str">
            <v>SUNDRY CREDITORS</v>
          </cell>
        </row>
        <row r="1061">
          <cell r="A1061" t="str">
            <v>L504001-000-000</v>
          </cell>
          <cell r="B1061" t="str">
            <v>Rebate</v>
          </cell>
          <cell r="C1061" t="str">
            <v>LIABILITIES</v>
          </cell>
          <cell r="D1061" t="str">
            <v>BALANCE SHEET</v>
          </cell>
          <cell r="E1061">
            <v>0</v>
          </cell>
          <cell r="F1061">
            <v>0</v>
          </cell>
          <cell r="G1061" t="str">
            <v>CURRENT LIABILITIES AND PROVISIONS</v>
          </cell>
          <cell r="H1061" t="str">
            <v>CURRENT LIABILITIES</v>
          </cell>
          <cell r="I1061" t="str">
            <v>REALISATION UNDER AGREEMENT TO SELL</v>
          </cell>
        </row>
        <row r="1062">
          <cell r="A1062" t="str">
            <v>L504001-000-011</v>
          </cell>
          <cell r="B1062" t="str">
            <v>Rebate-EXECUTIVE HOME</v>
          </cell>
          <cell r="C1062" t="str">
            <v>LIABILITIES</v>
          </cell>
          <cell r="D1062" t="str">
            <v>BALANCE SHEET</v>
          </cell>
          <cell r="E1062">
            <v>0</v>
          </cell>
          <cell r="F1062">
            <v>0</v>
          </cell>
          <cell r="G1062" t="str">
            <v>CURRENT LIABILITIES AND PROVISIONS</v>
          </cell>
          <cell r="H1062" t="str">
            <v>CURRENT LIABILITIES</v>
          </cell>
          <cell r="I1062" t="str">
            <v>REALISATION UNDER AGREEMENT TO SELL</v>
          </cell>
        </row>
        <row r="1063">
          <cell r="A1063" t="str">
            <v>L504001-000-012</v>
          </cell>
          <cell r="B1063" t="str">
            <v>Rebate-HAMILTON COURT PRKG</v>
          </cell>
          <cell r="C1063" t="str">
            <v>LIABILITIES</v>
          </cell>
          <cell r="D1063" t="str">
            <v>BALANCE SHEET</v>
          </cell>
          <cell r="E1063">
            <v>0</v>
          </cell>
          <cell r="F1063">
            <v>0</v>
          </cell>
          <cell r="G1063" t="str">
            <v>CURRENT LIABILITIES AND PROVISIONS</v>
          </cell>
          <cell r="H1063" t="str">
            <v>CURRENT LIABILITIES</v>
          </cell>
          <cell r="I1063" t="str">
            <v>REALISATION UNDER AGREEMENT TO SELL</v>
          </cell>
        </row>
        <row r="1064">
          <cell r="A1064" t="str">
            <v>L504001-000-013</v>
          </cell>
          <cell r="B1064" t="str">
            <v>Rebate-HAMILTON COURT</v>
          </cell>
          <cell r="C1064" t="str">
            <v>LIABILITIES</v>
          </cell>
          <cell r="D1064" t="str">
            <v>BALANCE SHEET</v>
          </cell>
          <cell r="E1064">
            <v>0</v>
          </cell>
          <cell r="F1064">
            <v>0</v>
          </cell>
          <cell r="G1064" t="str">
            <v>CURRENT LIABILITIES AND PROVISIONS</v>
          </cell>
          <cell r="H1064" t="str">
            <v>CURRENT LIABILITIES</v>
          </cell>
          <cell r="I1064" t="str">
            <v>REALISATION UNDER AGREEMENT TO SELL</v>
          </cell>
        </row>
        <row r="1065">
          <cell r="A1065" t="str">
            <v>L504001-000-016</v>
          </cell>
          <cell r="B1065" t="str">
            <v>Rebate-PARK-N-SHOP</v>
          </cell>
          <cell r="C1065" t="str">
            <v>LIABILITIES</v>
          </cell>
          <cell r="D1065" t="str">
            <v>BALANCE SHEET</v>
          </cell>
          <cell r="E1065">
            <v>0</v>
          </cell>
          <cell r="F1065">
            <v>0</v>
          </cell>
          <cell r="G1065" t="str">
            <v>CURRENT LIABILITIES AND PROVISIONS</v>
          </cell>
          <cell r="H1065" t="str">
            <v>CURRENT LIABILITIES</v>
          </cell>
          <cell r="I1065" t="str">
            <v>REALISATION UNDER AGREEMENT TO SELL</v>
          </cell>
        </row>
        <row r="1066">
          <cell r="A1066" t="str">
            <v>L504001-000-019</v>
          </cell>
          <cell r="B1066" t="str">
            <v>Rebate-REGENCY PARK</v>
          </cell>
          <cell r="C1066" t="str">
            <v>LIABILITIES</v>
          </cell>
          <cell r="D1066" t="str">
            <v>BALANCE SHEET</v>
          </cell>
          <cell r="E1066">
            <v>0</v>
          </cell>
          <cell r="F1066">
            <v>0</v>
          </cell>
          <cell r="G1066" t="str">
            <v>CURRENT LIABILITIES AND PROVISIONS</v>
          </cell>
          <cell r="H1066" t="str">
            <v>CURRENT LIABILITIES</v>
          </cell>
          <cell r="I1066" t="str">
            <v>REALISATION UNDER AGREEMENT TO SELL</v>
          </cell>
        </row>
        <row r="1067">
          <cell r="A1067" t="str">
            <v>L504001-000-020</v>
          </cell>
          <cell r="B1067" t="str">
            <v>Rebate-REGENCY PARK-PARKING</v>
          </cell>
          <cell r="C1067" t="str">
            <v>LIABILITIES</v>
          </cell>
          <cell r="D1067" t="str">
            <v>BALANCE SHEET</v>
          </cell>
          <cell r="E1067">
            <v>0</v>
          </cell>
          <cell r="F1067">
            <v>0</v>
          </cell>
          <cell r="G1067" t="str">
            <v>CURRENT LIABILITIES AND PROVISIONS</v>
          </cell>
          <cell r="H1067" t="str">
            <v>CURRENT LIABILITIES</v>
          </cell>
          <cell r="I1067" t="str">
            <v>REALISATION UNDER AGREEMENT TO SELL</v>
          </cell>
        </row>
        <row r="1068">
          <cell r="A1068" t="str">
            <v>L504001-000-022</v>
          </cell>
          <cell r="B1068" t="str">
            <v>Rebate-RICHMOND PARK</v>
          </cell>
          <cell r="C1068" t="str">
            <v>LIABILITIES</v>
          </cell>
          <cell r="D1068" t="str">
            <v>BALANCE SHEET</v>
          </cell>
          <cell r="E1068">
            <v>0</v>
          </cell>
          <cell r="F1068">
            <v>0</v>
          </cell>
          <cell r="G1068" t="str">
            <v>CURRENT LIABILITIES AND PROVISIONS</v>
          </cell>
          <cell r="H1068" t="str">
            <v>CURRENT LIABILITIES</v>
          </cell>
          <cell r="I1068" t="str">
            <v>REALISATION UNDER AGREEMENT TO SELL</v>
          </cell>
        </row>
        <row r="1069">
          <cell r="A1069" t="str">
            <v>L504001-000-028</v>
          </cell>
          <cell r="B1069" t="str">
            <v>Rebate-SILVER OAKS</v>
          </cell>
          <cell r="C1069" t="str">
            <v>LIABILITIES</v>
          </cell>
          <cell r="D1069" t="str">
            <v>BALANCE SHEET</v>
          </cell>
          <cell r="E1069">
            <v>0</v>
          </cell>
          <cell r="F1069">
            <v>0</v>
          </cell>
          <cell r="G1069" t="str">
            <v>CURRENT LIABILITIES AND PROVISIONS</v>
          </cell>
          <cell r="H1069" t="str">
            <v>CURRENT LIABILITIES</v>
          </cell>
          <cell r="I1069" t="str">
            <v>REALISATION UNDER AGREEMENT TO SELL</v>
          </cell>
        </row>
        <row r="1070">
          <cell r="A1070" t="str">
            <v>L504001-000-083</v>
          </cell>
          <cell r="B1070" t="str">
            <v>Rebate - King's Court</v>
          </cell>
          <cell r="C1070" t="str">
            <v>LIABILITIES</v>
          </cell>
          <cell r="D1070" t="str">
            <v>BALANCE SHEET</v>
          </cell>
          <cell r="E1070">
            <v>0</v>
          </cell>
          <cell r="F1070">
            <v>0</v>
          </cell>
          <cell r="G1070" t="str">
            <v>CURRENT LIABILITIES AND PROVISIONS</v>
          </cell>
          <cell r="H1070" t="str">
            <v>CURRENT LIABILITIES</v>
          </cell>
          <cell r="I1070" t="str">
            <v>REALISATION UNDER AGREEMENT TO SELL</v>
          </cell>
        </row>
        <row r="1071">
          <cell r="A1071" t="str">
            <v>L504001-000-092</v>
          </cell>
          <cell r="B1071" t="str">
            <v>Rebate - Queens Court</v>
          </cell>
          <cell r="C1071" t="str">
            <v>LIABILITIES</v>
          </cell>
          <cell r="D1071" t="str">
            <v>BALANCE SHEET</v>
          </cell>
          <cell r="E1071">
            <v>0</v>
          </cell>
          <cell r="F1071">
            <v>0</v>
          </cell>
          <cell r="G1071" t="str">
            <v>CURRENT LIABILITIES AND PROVISIONS</v>
          </cell>
          <cell r="H1071" t="str">
            <v>CURRENT LIABILITIES</v>
          </cell>
          <cell r="I1071" t="str">
            <v>REALISATION UNDER AGREEMENT TO SELL</v>
          </cell>
        </row>
        <row r="1072">
          <cell r="A1072" t="str">
            <v>L505001-000-000</v>
          </cell>
          <cell r="B1072" t="str">
            <v>Cable Tv Conn.Charge</v>
          </cell>
          <cell r="C1072" t="str">
            <v>LIABILITIES</v>
          </cell>
          <cell r="D1072" t="str">
            <v>BALANCE SHEET</v>
          </cell>
          <cell r="E1072">
            <v>0</v>
          </cell>
          <cell r="F1072">
            <v>0</v>
          </cell>
          <cell r="G1072" t="str">
            <v>CURRENT LIABILITIES AND PROVISIONS</v>
          </cell>
          <cell r="H1072" t="str">
            <v>CURRENT LIABILITIES</v>
          </cell>
          <cell r="I1072" t="str">
            <v>REALISATION UNDER AGREEMENT TO SELL</v>
          </cell>
        </row>
        <row r="1073">
          <cell r="A1073" t="str">
            <v>L505001-000-028</v>
          </cell>
          <cell r="B1073" t="str">
            <v>Cable Tv Conn.Charge-Silver Oaks</v>
          </cell>
          <cell r="C1073" t="str">
            <v>LIABILITIES</v>
          </cell>
          <cell r="D1073" t="str">
            <v>BALANCE SHEET</v>
          </cell>
          <cell r="E1073">
            <v>0</v>
          </cell>
          <cell r="F1073">
            <v>0</v>
          </cell>
          <cell r="G1073" t="str">
            <v>CURRENT LIABILITIES AND PROVISIONS</v>
          </cell>
          <cell r="H1073" t="str">
            <v>CURRENT LIABILITIES</v>
          </cell>
          <cell r="I1073" t="str">
            <v>REALISATION UNDER AGREEMENT TO SELL</v>
          </cell>
        </row>
        <row r="1074">
          <cell r="A1074" t="str">
            <v>L505002-000-000</v>
          </cell>
          <cell r="B1074" t="str">
            <v>Electric Service Con</v>
          </cell>
          <cell r="C1074" t="str">
            <v>LIABILITIES</v>
          </cell>
          <cell r="D1074" t="str">
            <v>BALANCE SHEET</v>
          </cell>
          <cell r="E1074">
            <v>0</v>
          </cell>
          <cell r="F1074">
            <v>0</v>
          </cell>
          <cell r="G1074" t="str">
            <v>CURRENT LIABILITIES AND PROVISIONS</v>
          </cell>
          <cell r="H1074" t="str">
            <v>CURRENT LIABILITIES</v>
          </cell>
          <cell r="I1074" t="str">
            <v>REALISATION UNDER AGREEMENT TO SELL</v>
          </cell>
        </row>
        <row r="1075">
          <cell r="A1075" t="str">
            <v>L505002-000-019</v>
          </cell>
          <cell r="B1075" t="str">
            <v>Electric Service Con-Regency Park</v>
          </cell>
          <cell r="C1075" t="str">
            <v>LIABILITIES</v>
          </cell>
          <cell r="D1075" t="str">
            <v>BALANCE SHEET</v>
          </cell>
          <cell r="E1075">
            <v>0</v>
          </cell>
          <cell r="F1075">
            <v>0</v>
          </cell>
          <cell r="G1075" t="str">
            <v>CURRENT LIABILITIES AND PROVISIONS</v>
          </cell>
          <cell r="H1075" t="str">
            <v>CURRENT LIABILITIES</v>
          </cell>
          <cell r="I1075" t="str">
            <v>REALISATION UNDER AGREEMENT TO SELL</v>
          </cell>
        </row>
        <row r="1076">
          <cell r="A1076" t="str">
            <v>L505002-000-023</v>
          </cell>
          <cell r="B1076" t="str">
            <v>Electric Service Con-Super Mart II</v>
          </cell>
          <cell r="C1076" t="str">
            <v>LIABILITIES</v>
          </cell>
          <cell r="D1076" t="str">
            <v>BALANCE SHEET</v>
          </cell>
          <cell r="E1076">
            <v>0</v>
          </cell>
          <cell r="F1076">
            <v>0</v>
          </cell>
          <cell r="G1076" t="str">
            <v>CURRENT LIABILITIES AND PROVISIONS</v>
          </cell>
          <cell r="H1076" t="str">
            <v>CURRENT LIABILITIES</v>
          </cell>
          <cell r="I1076" t="str">
            <v>REALISATION UNDER AGREEMENT TO SELL</v>
          </cell>
        </row>
        <row r="1077">
          <cell r="A1077" t="str">
            <v>L505002-000-028</v>
          </cell>
          <cell r="B1077" t="str">
            <v>Electric Service Con-Silver Oaks</v>
          </cell>
          <cell r="C1077" t="str">
            <v>LIABILITIES</v>
          </cell>
          <cell r="D1077" t="str">
            <v>BALANCE SHEET</v>
          </cell>
          <cell r="E1077">
            <v>0</v>
          </cell>
          <cell r="F1077">
            <v>0</v>
          </cell>
          <cell r="G1077" t="str">
            <v>CURRENT LIABILITIES AND PROVISIONS</v>
          </cell>
          <cell r="H1077" t="str">
            <v>CURRENT LIABILITIES</v>
          </cell>
          <cell r="I1077" t="str">
            <v>REALISATION UNDER AGREEMENT TO SELL</v>
          </cell>
        </row>
        <row r="1078">
          <cell r="A1078" t="str">
            <v>L505003</v>
          </cell>
          <cell r="B1078" t="str">
            <v>Realis under Agrmt for sale of dev right</v>
          </cell>
          <cell r="C1078" t="str">
            <v>LIABILITIES</v>
          </cell>
          <cell r="D1078" t="str">
            <v>BALANCE SHEET</v>
          </cell>
          <cell r="E1078">
            <v>0</v>
          </cell>
          <cell r="F1078">
            <v>0</v>
          </cell>
          <cell r="G1078" t="str">
            <v>CURRENT LIABILITIES AND PROVISIONS</v>
          </cell>
          <cell r="H1078" t="str">
            <v>CURRENT LIABILITIES</v>
          </cell>
          <cell r="I1078" t="str">
            <v>REALISATION UNDER AGREEMENT TO SELL</v>
          </cell>
        </row>
        <row r="1079">
          <cell r="A1079" t="str">
            <v>L505004</v>
          </cell>
          <cell r="B1079" t="str">
            <v>Realisation thru factoring of receivabls</v>
          </cell>
          <cell r="C1079" t="str">
            <v>LIABILITIES</v>
          </cell>
          <cell r="D1079" t="str">
            <v>BALANCE SHEET</v>
          </cell>
          <cell r="E1079">
            <v>0</v>
          </cell>
          <cell r="F1079">
            <v>0</v>
          </cell>
          <cell r="G1079" t="str">
            <v>CURRENT LIABILITIES AND PROVISIONS</v>
          </cell>
          <cell r="H1079" t="str">
            <v>CURRENT LIABILITIES</v>
          </cell>
          <cell r="I1079" t="str">
            <v>REALISATION UNDER AGREEMENT TO SELL</v>
          </cell>
        </row>
        <row r="1080">
          <cell r="A1080" t="str">
            <v>L505005</v>
          </cell>
          <cell r="B1080" t="str">
            <v>Advance agst sale of Plots</v>
          </cell>
          <cell r="C1080" t="str">
            <v>LIABILITIES</v>
          </cell>
          <cell r="D1080" t="str">
            <v>BALANCE SHEET</v>
          </cell>
          <cell r="E1080">
            <v>0</v>
          </cell>
          <cell r="F1080">
            <v>0</v>
          </cell>
          <cell r="G1080" t="str">
            <v>CURRENT LIABILITIES AND PROVISIONS</v>
          </cell>
          <cell r="H1080" t="str">
            <v>CURRENT LIABILITIES</v>
          </cell>
          <cell r="I1080" t="str">
            <v>REALISATION UNDER AGREEMENT TO SELL</v>
          </cell>
        </row>
        <row r="1081">
          <cell r="A1081" t="str">
            <v>L505010</v>
          </cell>
          <cell r="B1081" t="str">
            <v>Group Company- Allotment A/C</v>
          </cell>
          <cell r="C1081" t="str">
            <v>LIABILITIES</v>
          </cell>
          <cell r="D1081" t="str">
            <v>BALANCE SHEET</v>
          </cell>
          <cell r="E1081">
            <v>0</v>
          </cell>
          <cell r="F1081">
            <v>0</v>
          </cell>
          <cell r="G1081" t="str">
            <v>CURRENT LIABILITIES AND PROVISIONS</v>
          </cell>
          <cell r="H1081" t="str">
            <v>CURRENT LIABILITIES</v>
          </cell>
          <cell r="I1081" t="str">
            <v>REALISATION UNDER AGREEMENT TO SELL</v>
          </cell>
        </row>
        <row r="1082">
          <cell r="A1082" t="str">
            <v>L505011</v>
          </cell>
          <cell r="B1082" t="str">
            <v>Group Company- Rebate On Instalment</v>
          </cell>
          <cell r="C1082" t="str">
            <v>LIABILITIES</v>
          </cell>
          <cell r="D1082" t="str">
            <v>BALANCE SHEET</v>
          </cell>
          <cell r="E1082">
            <v>0</v>
          </cell>
          <cell r="F1082">
            <v>0</v>
          </cell>
          <cell r="G1082" t="str">
            <v>CURRENT LIABILITIES AND PROVISIONS</v>
          </cell>
          <cell r="H1082" t="str">
            <v>CURRENT LIABILITIES</v>
          </cell>
          <cell r="I1082" t="str">
            <v>REALISATION UNDER AGREEMENT TO SELL</v>
          </cell>
        </row>
        <row r="1083">
          <cell r="A1083" t="str">
            <v>L505012</v>
          </cell>
          <cell r="B1083" t="str">
            <v>Group Company- Generator Charges</v>
          </cell>
          <cell r="C1083" t="str">
            <v>LIABILITIES</v>
          </cell>
          <cell r="D1083" t="str">
            <v>BALANCE SHEET</v>
          </cell>
          <cell r="E1083">
            <v>0</v>
          </cell>
          <cell r="F1083">
            <v>0</v>
          </cell>
          <cell r="G1083" t="str">
            <v>CURRENT LIABILITIES AND PROVISIONS</v>
          </cell>
          <cell r="H1083" t="str">
            <v>CURRENT LIABILITIES</v>
          </cell>
          <cell r="I1083" t="str">
            <v>REALISATION UNDER AGREEMENT TO SELL</v>
          </cell>
        </row>
        <row r="1084">
          <cell r="A1084" t="str">
            <v>L505013</v>
          </cell>
          <cell r="B1084" t="str">
            <v>Group Company- External Light Fitting</v>
          </cell>
          <cell r="C1084" t="str">
            <v>LIABILITIES</v>
          </cell>
          <cell r="D1084" t="str">
            <v>BALANCE SHEET</v>
          </cell>
          <cell r="E1084">
            <v>0</v>
          </cell>
          <cell r="F1084">
            <v>0</v>
          </cell>
          <cell r="G1084" t="str">
            <v>CURRENT LIABILITIES AND PROVISIONS</v>
          </cell>
          <cell r="H1084" t="str">
            <v>CURRENT LIABILITIES</v>
          </cell>
          <cell r="I1084" t="str">
            <v>REALISATION UNDER AGREEMENT TO SELL</v>
          </cell>
        </row>
        <row r="1085">
          <cell r="A1085" t="str">
            <v>L505014</v>
          </cell>
          <cell r="B1085" t="str">
            <v>Group Company-  Fire Fighting</v>
          </cell>
          <cell r="C1085" t="str">
            <v>LIABILITIES</v>
          </cell>
          <cell r="D1085" t="str">
            <v>BALANCE SHEET</v>
          </cell>
          <cell r="E1085">
            <v>0</v>
          </cell>
          <cell r="F1085">
            <v>0</v>
          </cell>
          <cell r="G1085" t="str">
            <v>CURRENT LIABILITIES AND PROVISIONS</v>
          </cell>
          <cell r="H1085" t="str">
            <v>CURRENT LIABILITIES</v>
          </cell>
          <cell r="I1085" t="str">
            <v>REALISATION UNDER AGREEMENT TO SELL</v>
          </cell>
        </row>
        <row r="1086">
          <cell r="A1086" t="str">
            <v>L505015</v>
          </cell>
          <cell r="B1086" t="str">
            <v>Group Company- EDC</v>
          </cell>
          <cell r="C1086" t="str">
            <v>LIABILITIES</v>
          </cell>
          <cell r="D1086" t="str">
            <v>BALANCE SHEET</v>
          </cell>
          <cell r="E1086">
            <v>0</v>
          </cell>
          <cell r="F1086">
            <v>0</v>
          </cell>
          <cell r="G1086" t="str">
            <v>CURRENT LIABILITIES AND PROVISIONS</v>
          </cell>
          <cell r="H1086" t="str">
            <v>CURRENT LIABILITIES</v>
          </cell>
          <cell r="I1086" t="str">
            <v>REALISATION UNDER AGREEMENT TO SELL</v>
          </cell>
        </row>
        <row r="1087">
          <cell r="A1087" t="str">
            <v>L505101-000-001</v>
          </cell>
          <cell r="B1087" t="str">
            <v>Third Party- Allot. A/C- ANKUR VIHAR</v>
          </cell>
          <cell r="C1087" t="str">
            <v>LIABILITIES</v>
          </cell>
          <cell r="D1087" t="str">
            <v>BALANCE SHEET</v>
          </cell>
          <cell r="E1087">
            <v>0</v>
          </cell>
          <cell r="F1087">
            <v>0</v>
          </cell>
          <cell r="G1087" t="str">
            <v>CURRENT LIABILITIES AND PROVISIONS</v>
          </cell>
          <cell r="H1087" t="str">
            <v>CURRENT LIABILITIES</v>
          </cell>
          <cell r="I1087" t="str">
            <v>REALISATION UNDER AGREEMENT TO SELL</v>
          </cell>
        </row>
        <row r="1088">
          <cell r="A1088" t="str">
            <v>L505101-000-004</v>
          </cell>
          <cell r="B1088" t="str">
            <v>Third Party- Allot. A/C- BEVERLY PARK-I</v>
          </cell>
          <cell r="C1088" t="str">
            <v>LIABILITIES</v>
          </cell>
          <cell r="D1088" t="str">
            <v>BALANCE SHEET</v>
          </cell>
          <cell r="E1088">
            <v>0</v>
          </cell>
          <cell r="F1088">
            <v>0</v>
          </cell>
          <cell r="G1088" t="str">
            <v>CURRENT LIABILITIES AND PROVISIONS</v>
          </cell>
          <cell r="H1088" t="str">
            <v>CURRENT LIABILITIES</v>
          </cell>
          <cell r="I1088" t="str">
            <v>REALISATION UNDER AGREEMENT TO SELL</v>
          </cell>
        </row>
        <row r="1089">
          <cell r="A1089" t="str">
            <v>L505101-000-005</v>
          </cell>
          <cell r="B1089" t="str">
            <v>Third Party- Allot. A/C- BEVERLY PARK-II</v>
          </cell>
          <cell r="C1089" t="str">
            <v>LIABILITIES</v>
          </cell>
          <cell r="D1089" t="str">
            <v>BALANCE SHEET</v>
          </cell>
          <cell r="E1089">
            <v>0</v>
          </cell>
          <cell r="F1089">
            <v>0</v>
          </cell>
          <cell r="G1089" t="str">
            <v>CURRENT LIABILITIES AND PROVISIONS</v>
          </cell>
          <cell r="H1089" t="str">
            <v>CURRENT LIABILITIES</v>
          </cell>
          <cell r="I1089" t="str">
            <v>REALISATION UNDER AGREEMENT TO SELL</v>
          </cell>
        </row>
        <row r="1090">
          <cell r="A1090" t="str">
            <v>L505101-000-006</v>
          </cell>
          <cell r="B1090" t="str">
            <v>Third Party- Allot. A/C- CENTRAL ARCADE</v>
          </cell>
          <cell r="C1090" t="str">
            <v>LIABILITIES</v>
          </cell>
          <cell r="D1090" t="str">
            <v>BALANCE SHEET</v>
          </cell>
          <cell r="E1090">
            <v>0</v>
          </cell>
          <cell r="F1090">
            <v>0</v>
          </cell>
          <cell r="G1090" t="str">
            <v>CURRENT LIABILITIES AND PROVISIONS</v>
          </cell>
          <cell r="H1090" t="str">
            <v>CURRENT LIABILITIES</v>
          </cell>
          <cell r="I1090" t="str">
            <v>REALISATION UNDER AGREEMENT TO SELL</v>
          </cell>
        </row>
        <row r="1091">
          <cell r="A1091" t="str">
            <v>L505101-000-008</v>
          </cell>
          <cell r="B1091" t="str">
            <v>Third Party- Allot. A/C- CORPORATE PARK</v>
          </cell>
          <cell r="C1091" t="str">
            <v>LIABILITIES</v>
          </cell>
          <cell r="D1091" t="str">
            <v>BALANCE SHEET</v>
          </cell>
          <cell r="E1091">
            <v>0</v>
          </cell>
          <cell r="F1091">
            <v>0</v>
          </cell>
          <cell r="G1091" t="str">
            <v>CURRENT LIABILITIES AND PROVISIONS</v>
          </cell>
          <cell r="H1091" t="str">
            <v>CURRENT LIABILITIES</v>
          </cell>
          <cell r="I1091" t="str">
            <v>REALISATION UNDER AGREEMENT TO SELL</v>
          </cell>
        </row>
        <row r="1092">
          <cell r="A1092" t="str">
            <v>L505101-000-009</v>
          </cell>
          <cell r="B1092" t="str">
            <v>Third Party- Allot. A/C- DILSHAD LOTTERY</v>
          </cell>
          <cell r="C1092" t="str">
            <v>LIABILITIES</v>
          </cell>
          <cell r="D1092" t="str">
            <v>BALANCE SHEET</v>
          </cell>
          <cell r="E1092">
            <v>0</v>
          </cell>
          <cell r="F1092">
            <v>0</v>
          </cell>
          <cell r="G1092" t="str">
            <v>CURRENT LIABILITIES AND PROVISIONS</v>
          </cell>
          <cell r="H1092" t="str">
            <v>CURRENT LIABILITIES</v>
          </cell>
          <cell r="I1092" t="str">
            <v>REALISATION UNDER AGREEMENT TO SELL</v>
          </cell>
        </row>
        <row r="1093">
          <cell r="A1093" t="str">
            <v>L505101-000-010</v>
          </cell>
          <cell r="B1093" t="str">
            <v>Third Party- Allot. A/C- DILSHAD PLAZA</v>
          </cell>
          <cell r="C1093" t="str">
            <v>LIABILITIES</v>
          </cell>
          <cell r="D1093" t="str">
            <v>BALANCE SHEET</v>
          </cell>
          <cell r="E1093">
            <v>0</v>
          </cell>
          <cell r="F1093">
            <v>0</v>
          </cell>
          <cell r="G1093" t="str">
            <v>CURRENT LIABILITIES AND PROVISIONS</v>
          </cell>
          <cell r="H1093" t="str">
            <v>CURRENT LIABILITIES</v>
          </cell>
          <cell r="I1093" t="str">
            <v>REALISATION UNDER AGREEMENT TO SELL</v>
          </cell>
        </row>
        <row r="1094">
          <cell r="A1094" t="str">
            <v>L505101-000-011</v>
          </cell>
          <cell r="B1094" t="str">
            <v>Third Party- Allot. A/C- EXCUTIVE HOME</v>
          </cell>
          <cell r="C1094" t="str">
            <v>LIABILITIES</v>
          </cell>
          <cell r="D1094" t="str">
            <v>BALANCE SHEET</v>
          </cell>
          <cell r="E1094">
            <v>0</v>
          </cell>
          <cell r="F1094">
            <v>0</v>
          </cell>
          <cell r="G1094" t="str">
            <v>CURRENT LIABILITIES AND PROVISIONS</v>
          </cell>
          <cell r="H1094" t="str">
            <v>CURRENT LIABILITIES</v>
          </cell>
          <cell r="I1094" t="str">
            <v>REALISATION UNDER AGREEMENT TO SELL</v>
          </cell>
        </row>
        <row r="1095">
          <cell r="A1095" t="str">
            <v>L505101-000-012</v>
          </cell>
          <cell r="B1095" t="str">
            <v>Third Party- Allot. A/C- HAMILTON CR PKG</v>
          </cell>
          <cell r="C1095" t="str">
            <v>LIABILITIES</v>
          </cell>
          <cell r="D1095" t="str">
            <v>BALANCE SHEET</v>
          </cell>
          <cell r="E1095">
            <v>0</v>
          </cell>
          <cell r="F1095">
            <v>0</v>
          </cell>
          <cell r="G1095" t="str">
            <v>CURRENT LIABILITIES AND PROVISIONS</v>
          </cell>
          <cell r="H1095" t="str">
            <v>CURRENT LIABILITIES</v>
          </cell>
          <cell r="I1095" t="str">
            <v>REALISATION UNDER AGREEMENT TO SELL</v>
          </cell>
        </row>
        <row r="1096">
          <cell r="A1096" t="str">
            <v>L505101-000-013</v>
          </cell>
          <cell r="B1096" t="str">
            <v>Third Party- Allot. A/C- HAMILTON COURT</v>
          </cell>
          <cell r="C1096" t="str">
            <v>LIABILITIES</v>
          </cell>
          <cell r="D1096" t="str">
            <v>BALANCE SHEET</v>
          </cell>
          <cell r="E1096">
            <v>0</v>
          </cell>
          <cell r="F1096">
            <v>0</v>
          </cell>
          <cell r="G1096" t="str">
            <v>CURRENT LIABILITIES AND PROVISIONS</v>
          </cell>
          <cell r="H1096" t="str">
            <v>CURRENT LIABILITIES</v>
          </cell>
          <cell r="I1096" t="str">
            <v>REALISATION UNDER AGREEMENT TO SELL</v>
          </cell>
        </row>
        <row r="1097">
          <cell r="A1097" t="str">
            <v>L505101-000-014</v>
          </cell>
          <cell r="B1097" t="str">
            <v>Third Party- Allot. A/C- NEW TOWN HOUSE</v>
          </cell>
          <cell r="C1097" t="str">
            <v>LIABILITIES</v>
          </cell>
          <cell r="D1097" t="str">
            <v>BALANCE SHEET</v>
          </cell>
          <cell r="E1097">
            <v>0</v>
          </cell>
          <cell r="F1097">
            <v>0</v>
          </cell>
          <cell r="G1097" t="str">
            <v>CURRENT LIABILITIES AND PROVISIONS</v>
          </cell>
          <cell r="H1097" t="str">
            <v>CURRENT LIABILITIES</v>
          </cell>
          <cell r="I1097" t="str">
            <v>REALISATION UNDER AGREEMENT TO SELL</v>
          </cell>
        </row>
        <row r="1098">
          <cell r="A1098" t="str">
            <v>L505101-000-015</v>
          </cell>
          <cell r="B1098" t="str">
            <v>Third Party- Allot. A/C- OLD TOWN HOUSE</v>
          </cell>
          <cell r="C1098" t="str">
            <v>LIABILITIES</v>
          </cell>
          <cell r="D1098" t="str">
            <v>BALANCE SHEET</v>
          </cell>
          <cell r="E1098">
            <v>0</v>
          </cell>
          <cell r="F1098">
            <v>0</v>
          </cell>
          <cell r="G1098" t="str">
            <v>CURRENT LIABILITIES AND PROVISIONS</v>
          </cell>
          <cell r="H1098" t="str">
            <v>CURRENT LIABILITIES</v>
          </cell>
          <cell r="I1098" t="str">
            <v>REALISATION UNDER AGREEMENT TO SELL</v>
          </cell>
        </row>
        <row r="1099">
          <cell r="A1099" t="str">
            <v>L505101-000-016</v>
          </cell>
          <cell r="B1099" t="str">
            <v>Third Party- Allot. A/C- PARK-N-SHOP</v>
          </cell>
          <cell r="C1099" t="str">
            <v>LIABILITIES</v>
          </cell>
          <cell r="D1099" t="str">
            <v>BALANCE SHEET</v>
          </cell>
          <cell r="E1099">
            <v>0</v>
          </cell>
          <cell r="F1099">
            <v>0</v>
          </cell>
          <cell r="G1099" t="str">
            <v>CURRENT LIABILITIES AND PROVISIONS</v>
          </cell>
          <cell r="H1099" t="str">
            <v>CURRENT LIABILITIES</v>
          </cell>
          <cell r="I1099" t="str">
            <v>REALISATION UNDER AGREEMENT TO SELL</v>
          </cell>
        </row>
        <row r="1100">
          <cell r="A1100" t="str">
            <v>L505101-000-017</v>
          </cell>
          <cell r="B1100" t="str">
            <v>Third Party- Allot. A/C- QEC PHASE-IV</v>
          </cell>
          <cell r="C1100" t="str">
            <v>LIABILITIES</v>
          </cell>
          <cell r="D1100" t="str">
            <v>BALANCE SHEET</v>
          </cell>
          <cell r="E1100">
            <v>0</v>
          </cell>
          <cell r="F1100">
            <v>0</v>
          </cell>
          <cell r="G1100" t="str">
            <v>CURRENT LIABILITIES AND PROVISIONS</v>
          </cell>
          <cell r="H1100" t="str">
            <v>CURRENT LIABILITIES</v>
          </cell>
          <cell r="I1100" t="str">
            <v>REALISATION UNDER AGREEMENT TO SELL</v>
          </cell>
        </row>
        <row r="1101">
          <cell r="A1101" t="str">
            <v>L505101-000-018</v>
          </cell>
          <cell r="B1101" t="str">
            <v>Third Party- Allot. A/C- QEC PHASE-V</v>
          </cell>
          <cell r="C1101" t="str">
            <v>LIABILITIES</v>
          </cell>
          <cell r="D1101" t="str">
            <v>BALANCE SHEET</v>
          </cell>
          <cell r="E1101">
            <v>0</v>
          </cell>
          <cell r="F1101">
            <v>0</v>
          </cell>
          <cell r="G1101" t="str">
            <v>CURRENT LIABILITIES AND PROVISIONS</v>
          </cell>
          <cell r="H1101" t="str">
            <v>CURRENT LIABILITIES</v>
          </cell>
          <cell r="I1101" t="str">
            <v>REALISATION UNDER AGREEMENT TO SELL</v>
          </cell>
        </row>
        <row r="1102">
          <cell r="A1102" t="str">
            <v>L505101-000-019</v>
          </cell>
          <cell r="B1102" t="str">
            <v>Third Party- Allot. A/C- REGENCY PARK</v>
          </cell>
          <cell r="C1102" t="str">
            <v>LIABILITIES</v>
          </cell>
          <cell r="D1102" t="str">
            <v>BALANCE SHEET</v>
          </cell>
          <cell r="E1102">
            <v>0</v>
          </cell>
          <cell r="F1102">
            <v>0</v>
          </cell>
          <cell r="G1102" t="str">
            <v>CURRENT LIABILITIES AND PROVISIONS</v>
          </cell>
          <cell r="H1102" t="str">
            <v>CURRENT LIABILITIES</v>
          </cell>
          <cell r="I1102" t="str">
            <v>REALISATION UNDER AGREEMENT TO SELL</v>
          </cell>
        </row>
        <row r="1103">
          <cell r="A1103" t="str">
            <v>L505101-000-020</v>
          </cell>
          <cell r="B1103" t="str">
            <v>Third Party- Allot. A/C- REGENCY PK PKG</v>
          </cell>
          <cell r="C1103" t="str">
            <v>LIABILITIES</v>
          </cell>
          <cell r="D1103" t="str">
            <v>BALANCE SHEET</v>
          </cell>
          <cell r="E1103">
            <v>0</v>
          </cell>
          <cell r="F1103">
            <v>0</v>
          </cell>
          <cell r="G1103" t="str">
            <v>CURRENT LIABILITIES AND PROVISIONS</v>
          </cell>
          <cell r="H1103" t="str">
            <v>CURRENT LIABILITIES</v>
          </cell>
          <cell r="I1103" t="str">
            <v>REALISATION UNDER AGREEMENT TO SELL</v>
          </cell>
        </row>
        <row r="1104">
          <cell r="A1104" t="str">
            <v>L505101-000-021</v>
          </cell>
          <cell r="B1104" t="str">
            <v>Third Party- Allot. A/C- RICHMOND PK PKG</v>
          </cell>
          <cell r="C1104" t="str">
            <v>LIABILITIES</v>
          </cell>
          <cell r="D1104" t="str">
            <v>BALANCE SHEET</v>
          </cell>
          <cell r="E1104">
            <v>0</v>
          </cell>
          <cell r="F1104">
            <v>0</v>
          </cell>
          <cell r="G1104" t="str">
            <v>CURRENT LIABILITIES AND PROVISIONS</v>
          </cell>
          <cell r="H1104" t="str">
            <v>CURRENT LIABILITIES</v>
          </cell>
          <cell r="I1104" t="str">
            <v>REALISATION UNDER AGREEMENT TO SELL</v>
          </cell>
        </row>
        <row r="1105">
          <cell r="A1105" t="str">
            <v>L505101-000-022</v>
          </cell>
          <cell r="B1105" t="str">
            <v>Third Party- Allot. A/C- RICHMOND PARK</v>
          </cell>
          <cell r="C1105" t="str">
            <v>LIABILITIES</v>
          </cell>
          <cell r="D1105" t="str">
            <v>BALANCE SHEET</v>
          </cell>
          <cell r="E1105">
            <v>0</v>
          </cell>
          <cell r="F1105">
            <v>0</v>
          </cell>
          <cell r="G1105" t="str">
            <v>CURRENT LIABILITIES AND PROVISIONS</v>
          </cell>
          <cell r="H1105" t="str">
            <v>CURRENT LIABILITIES</v>
          </cell>
          <cell r="I1105" t="str">
            <v>REALISATION UNDER AGREEMENT TO SELL</v>
          </cell>
        </row>
        <row r="1106">
          <cell r="A1106" t="str">
            <v>L505101-000-023</v>
          </cell>
          <cell r="B1106" t="str">
            <v>Third Party- Allot. A/C- SUPER MART-II</v>
          </cell>
          <cell r="C1106" t="str">
            <v>LIABILITIES</v>
          </cell>
          <cell r="D1106" t="str">
            <v>BALANCE SHEET</v>
          </cell>
          <cell r="E1106">
            <v>0</v>
          </cell>
          <cell r="F1106">
            <v>0</v>
          </cell>
          <cell r="G1106" t="str">
            <v>CURRENT LIABILITIES AND PROVISIONS</v>
          </cell>
          <cell r="H1106" t="str">
            <v>CURRENT LIABILITIES</v>
          </cell>
          <cell r="I1106" t="str">
            <v>REALISATION UNDER AGREEMENT TO SELL</v>
          </cell>
        </row>
        <row r="1107">
          <cell r="A1107" t="str">
            <v>L505101-000-024</v>
          </cell>
          <cell r="B1107" t="str">
            <v>Third Party- Allot. A/C- SHOPPING MALL</v>
          </cell>
          <cell r="C1107" t="str">
            <v>LIABILITIES</v>
          </cell>
          <cell r="D1107" t="str">
            <v>BALANCE SHEET</v>
          </cell>
          <cell r="E1107">
            <v>0</v>
          </cell>
          <cell r="F1107">
            <v>0</v>
          </cell>
          <cell r="G1107" t="str">
            <v>CURRENT LIABILITIES AND PROVISIONS</v>
          </cell>
          <cell r="H1107" t="str">
            <v>CURRENT LIABILITIES</v>
          </cell>
          <cell r="I1107" t="str">
            <v>REALISATION UNDER AGREEMENT TO SELL</v>
          </cell>
        </row>
        <row r="1108">
          <cell r="A1108" t="str">
            <v>L505101-000-027</v>
          </cell>
          <cell r="B1108" t="str">
            <v>Third Party- Allot. A/C- STOP-N-SHOP</v>
          </cell>
          <cell r="C1108" t="str">
            <v>LIABILITIES</v>
          </cell>
          <cell r="D1108" t="str">
            <v>BALANCE SHEET</v>
          </cell>
          <cell r="E1108">
            <v>0</v>
          </cell>
          <cell r="F1108">
            <v>0</v>
          </cell>
          <cell r="G1108" t="str">
            <v>CURRENT LIABILITIES AND PROVISIONS</v>
          </cell>
          <cell r="H1108" t="str">
            <v>CURRENT LIABILITIES</v>
          </cell>
          <cell r="I1108" t="str">
            <v>REALISATION UNDER AGREEMENT TO SELL</v>
          </cell>
        </row>
        <row r="1109">
          <cell r="A1109" t="str">
            <v>L505101-000-028</v>
          </cell>
          <cell r="B1109" t="str">
            <v>Third Party- Allot. A/C- SILVER OAKS</v>
          </cell>
          <cell r="C1109" t="str">
            <v>LIABILITIES</v>
          </cell>
          <cell r="D1109" t="str">
            <v>BALANCE SHEET</v>
          </cell>
          <cell r="E1109">
            <v>0</v>
          </cell>
          <cell r="F1109">
            <v>0</v>
          </cell>
          <cell r="G1109" t="str">
            <v>CURRENT LIABILITIES AND PROVISIONS</v>
          </cell>
          <cell r="H1109" t="str">
            <v>CURRENT LIABILITIES</v>
          </cell>
          <cell r="I1109" t="str">
            <v>REALISATION UNDER AGREEMENT TO SELL</v>
          </cell>
        </row>
        <row r="1110">
          <cell r="A1110" t="str">
            <v>L505101-000-029</v>
          </cell>
          <cell r="B1110" t="str">
            <v>Third Party- Allot. A/C- SILVER OAK PKNG</v>
          </cell>
          <cell r="C1110" t="str">
            <v>LIABILITIES</v>
          </cell>
          <cell r="D1110" t="str">
            <v>BALANCE SHEET</v>
          </cell>
          <cell r="E1110">
            <v>0</v>
          </cell>
          <cell r="F1110">
            <v>0</v>
          </cell>
          <cell r="G1110" t="str">
            <v>CURRENT LIABILITIES AND PROVISIONS</v>
          </cell>
          <cell r="H1110" t="str">
            <v>CURRENT LIABILITIES</v>
          </cell>
          <cell r="I1110" t="str">
            <v>REALISATION UNDER AGREEMENT TO SELL</v>
          </cell>
        </row>
        <row r="1111">
          <cell r="A1111" t="str">
            <v>L505101-000-030</v>
          </cell>
          <cell r="B1111" t="str">
            <v>Third Party- Allot. A/C- SPRING FIELD</v>
          </cell>
          <cell r="C1111" t="str">
            <v>LIABILITIES</v>
          </cell>
          <cell r="D1111" t="str">
            <v>BALANCE SHEET</v>
          </cell>
          <cell r="E1111">
            <v>0</v>
          </cell>
          <cell r="F1111">
            <v>0</v>
          </cell>
          <cell r="G1111" t="str">
            <v>CURRENT LIABILITIES AND PROVISIONS</v>
          </cell>
          <cell r="H1111" t="str">
            <v>CURRENT LIABILITIES</v>
          </cell>
          <cell r="I1111" t="str">
            <v>REALISATION UNDER AGREEMENT TO SELL</v>
          </cell>
        </row>
        <row r="1112">
          <cell r="A1112" t="str">
            <v>L505101-000-032</v>
          </cell>
          <cell r="B1112" t="str">
            <v>Third Party- Allot. A/C- VILLA PLOTS</v>
          </cell>
          <cell r="C1112" t="str">
            <v>LIABILITIES</v>
          </cell>
          <cell r="D1112" t="str">
            <v>BALANCE SHEET</v>
          </cell>
          <cell r="E1112">
            <v>0</v>
          </cell>
          <cell r="F1112">
            <v>0</v>
          </cell>
          <cell r="G1112" t="str">
            <v>CURRENT LIABILITIES AND PROVISIONS</v>
          </cell>
          <cell r="H1112" t="str">
            <v>CURRENT LIABILITIES</v>
          </cell>
          <cell r="I1112" t="str">
            <v>REALISATION UNDER AGREEMENT TO SELL</v>
          </cell>
        </row>
        <row r="1113">
          <cell r="A1113" t="str">
            <v>L505101-000-033</v>
          </cell>
          <cell r="B1113" t="str">
            <v>Third Party- Allot. A/C- WINDSOR CRT PKG</v>
          </cell>
          <cell r="C1113" t="str">
            <v>LIABILITIES</v>
          </cell>
          <cell r="D1113" t="str">
            <v>BALANCE SHEET</v>
          </cell>
          <cell r="E1113">
            <v>0</v>
          </cell>
          <cell r="F1113">
            <v>0</v>
          </cell>
          <cell r="G1113" t="str">
            <v>CURRENT LIABILITIES AND PROVISIONS</v>
          </cell>
          <cell r="H1113" t="str">
            <v>CURRENT LIABILITIES</v>
          </cell>
          <cell r="I1113" t="str">
            <v>REALISATION UNDER AGREEMENT TO SELL</v>
          </cell>
        </row>
        <row r="1114">
          <cell r="A1114" t="str">
            <v>L505101-000-034</v>
          </cell>
          <cell r="B1114" t="str">
            <v>Third Party- Allot. A/C- WINDSOR COURT</v>
          </cell>
          <cell r="C1114" t="str">
            <v>LIABILITIES</v>
          </cell>
          <cell r="D1114" t="str">
            <v>BALANCE SHEET</v>
          </cell>
          <cell r="E1114">
            <v>0</v>
          </cell>
          <cell r="F1114">
            <v>0</v>
          </cell>
          <cell r="G1114" t="str">
            <v>CURRENT LIABILITIES AND PROVISIONS</v>
          </cell>
          <cell r="H1114" t="str">
            <v>CURRENT LIABILITIES</v>
          </cell>
          <cell r="I1114" t="str">
            <v>REALISATION UNDER AGREEMENT TO SELL</v>
          </cell>
        </row>
        <row r="1115">
          <cell r="A1115" t="str">
            <v>L505101-000-037</v>
          </cell>
          <cell r="B1115" t="str">
            <v>Third Party- Allot. A/C- CENTRE POINT</v>
          </cell>
          <cell r="C1115" t="str">
            <v>LIABILITIES</v>
          </cell>
          <cell r="D1115" t="str">
            <v>BALANCE SHEET</v>
          </cell>
          <cell r="E1115">
            <v>0</v>
          </cell>
          <cell r="F1115">
            <v>0</v>
          </cell>
          <cell r="G1115" t="str">
            <v>CURRENT LIABILITIES AND PROVISIONS</v>
          </cell>
          <cell r="H1115" t="str">
            <v>CURRENT LIABILITIES</v>
          </cell>
          <cell r="I1115" t="str">
            <v>REALISATION UNDER AGREEMENT TO SELL</v>
          </cell>
        </row>
        <row r="1116">
          <cell r="A1116" t="str">
            <v>L505101-000-038</v>
          </cell>
          <cell r="B1116" t="str">
            <v>Third Party- Allot. A/C- FARIDABAD PLOTS</v>
          </cell>
          <cell r="C1116" t="str">
            <v>LIABILITIES</v>
          </cell>
          <cell r="D1116" t="str">
            <v>BALANCE SHEET</v>
          </cell>
          <cell r="E1116">
            <v>0</v>
          </cell>
          <cell r="F1116">
            <v>0</v>
          </cell>
          <cell r="G1116" t="str">
            <v>CURRENT LIABILITIES AND PROVISIONS</v>
          </cell>
          <cell r="H1116" t="str">
            <v>CURRENT LIABILITIES</v>
          </cell>
          <cell r="I1116" t="str">
            <v>REALISATION UNDER AGREEMENT TO SELL</v>
          </cell>
        </row>
        <row r="1117">
          <cell r="A1117" t="str">
            <v>L505101-000-039</v>
          </cell>
          <cell r="B1117" t="str">
            <v>Third Party- Allot. A/C- RIDGEWOOD ESTAT</v>
          </cell>
          <cell r="C1117" t="str">
            <v>LIABILITIES</v>
          </cell>
          <cell r="D1117" t="str">
            <v>BALANCE SHEET</v>
          </cell>
          <cell r="E1117">
            <v>0</v>
          </cell>
          <cell r="F1117">
            <v>0</v>
          </cell>
          <cell r="G1117" t="str">
            <v>CURRENT LIABILITIES AND PROVISIONS</v>
          </cell>
          <cell r="H1117" t="str">
            <v>CURRENT LIABILITIES</v>
          </cell>
          <cell r="I1117" t="str">
            <v>REALISATION UNDER AGREEMENT TO SELL</v>
          </cell>
        </row>
        <row r="1118">
          <cell r="A1118" t="str">
            <v>L505101-000-040</v>
          </cell>
          <cell r="B1118" t="str">
            <v>Third Party- Allot. A/C- OAKWOOD ESTATE</v>
          </cell>
          <cell r="C1118" t="str">
            <v>LIABILITIES</v>
          </cell>
          <cell r="D1118" t="str">
            <v>BALANCE SHEET</v>
          </cell>
          <cell r="E1118">
            <v>0</v>
          </cell>
          <cell r="F1118">
            <v>0</v>
          </cell>
          <cell r="G1118" t="str">
            <v>CURRENT LIABILITIES AND PROVISIONS</v>
          </cell>
          <cell r="H1118" t="str">
            <v>CURRENT LIABILITIES</v>
          </cell>
          <cell r="I1118" t="str">
            <v>REALISATION UNDER AGREEMENT TO SELL</v>
          </cell>
        </row>
        <row r="1119">
          <cell r="A1119" t="str">
            <v>L505101-000-041</v>
          </cell>
          <cell r="B1119" t="str">
            <v>Third Party- Allot. A/C- WELLINGTON EST.</v>
          </cell>
          <cell r="C1119" t="str">
            <v>LIABILITIES</v>
          </cell>
          <cell r="D1119" t="str">
            <v>BALANCE SHEET</v>
          </cell>
          <cell r="E1119">
            <v>0</v>
          </cell>
          <cell r="F1119">
            <v>0</v>
          </cell>
          <cell r="G1119" t="str">
            <v>CURRENT LIABILITIES AND PROVISIONS</v>
          </cell>
          <cell r="H1119" t="str">
            <v>CURRENT LIABILITIES</v>
          </cell>
          <cell r="I1119" t="str">
            <v>REALISATION UNDER AGREEMENT TO SELL</v>
          </cell>
        </row>
        <row r="1120">
          <cell r="A1120" t="str">
            <v>L505101-000-042</v>
          </cell>
          <cell r="B1120" t="str">
            <v>Third Party- Allot. A/C- PLOTS PH-1,2,3</v>
          </cell>
          <cell r="C1120" t="str">
            <v>LIABILITIES</v>
          </cell>
          <cell r="D1120" t="str">
            <v>BALANCE SHEET</v>
          </cell>
          <cell r="E1120">
            <v>0</v>
          </cell>
          <cell r="F1120">
            <v>0</v>
          </cell>
          <cell r="G1120" t="str">
            <v>CURRENT LIABILITIES AND PROVISIONS</v>
          </cell>
          <cell r="H1120" t="str">
            <v>CURRENT LIABILITIES</v>
          </cell>
          <cell r="I1120" t="str">
            <v>REALISATION UNDER AGREEMENT TO SELL</v>
          </cell>
        </row>
        <row r="1121">
          <cell r="A1121" t="str">
            <v>L505101-000-046</v>
          </cell>
          <cell r="B1121" t="str">
            <v>Third Party- Allot. A/C- PRINCETON ESTAT</v>
          </cell>
          <cell r="C1121" t="str">
            <v>LIABILITIES</v>
          </cell>
          <cell r="D1121" t="str">
            <v>BALANCE SHEET</v>
          </cell>
          <cell r="E1121">
            <v>0</v>
          </cell>
          <cell r="F1121">
            <v>0</v>
          </cell>
          <cell r="G1121" t="str">
            <v>CURRENT LIABILITIES AND PROVISIONS</v>
          </cell>
          <cell r="H1121" t="str">
            <v>CURRENT LIABILITIES</v>
          </cell>
          <cell r="I1121" t="str">
            <v>REALISATION UNDER AGREEMENT TO SELL</v>
          </cell>
        </row>
        <row r="1122">
          <cell r="A1122" t="str">
            <v>L505101-000-048</v>
          </cell>
          <cell r="B1122" t="str">
            <v>Third Party-  Allot. A/C- INDEPENDNT HSE</v>
          </cell>
          <cell r="C1122" t="str">
            <v>LIABILITIES</v>
          </cell>
          <cell r="D1122" t="str">
            <v>BALANCE SHEET</v>
          </cell>
          <cell r="E1122">
            <v>0</v>
          </cell>
          <cell r="F1122">
            <v>0</v>
          </cell>
          <cell r="G1122" t="str">
            <v>CURRENT LIABILITIES AND PROVISIONS</v>
          </cell>
          <cell r="H1122" t="str">
            <v>CURRENT LIABILITIES</v>
          </cell>
          <cell r="I1122" t="str">
            <v>REALISATION UNDER AGREEMENT TO SELL</v>
          </cell>
        </row>
        <row r="1123">
          <cell r="A1123" t="str">
            <v>L505101-000-049</v>
          </cell>
          <cell r="B1123" t="str">
            <v>Third Party- Allot. A/C- REGENT HOUSE</v>
          </cell>
          <cell r="C1123" t="str">
            <v>LIABILITIES</v>
          </cell>
          <cell r="D1123" t="str">
            <v>BALANCE SHEET</v>
          </cell>
          <cell r="E1123">
            <v>0</v>
          </cell>
          <cell r="F1123">
            <v>0</v>
          </cell>
          <cell r="G1123" t="str">
            <v>CURRENT LIABILITIES AND PROVISIONS</v>
          </cell>
          <cell r="H1123" t="str">
            <v>CURRENT LIABILITIES</v>
          </cell>
          <cell r="I1123" t="str">
            <v>REALISATION UNDER AGREEMENT TO SELL</v>
          </cell>
        </row>
        <row r="1124">
          <cell r="A1124" t="str">
            <v>L505101-000-050</v>
          </cell>
          <cell r="B1124" t="str">
            <v>Third Party- Allot. A/C- CARLTON ESTATE</v>
          </cell>
          <cell r="C1124" t="str">
            <v>LIABILITIES</v>
          </cell>
          <cell r="D1124" t="str">
            <v>BALANCE SHEET</v>
          </cell>
          <cell r="E1124">
            <v>0</v>
          </cell>
          <cell r="F1124">
            <v>0</v>
          </cell>
          <cell r="G1124" t="str">
            <v>CURRENT LIABILITIES AND PROVISIONS</v>
          </cell>
          <cell r="H1124" t="str">
            <v>CURRENT LIABILITIES</v>
          </cell>
          <cell r="I1124" t="str">
            <v>REALISATION UNDER AGREEMENT TO SELL</v>
          </cell>
        </row>
        <row r="1125">
          <cell r="A1125" t="str">
            <v>L505101-000-054</v>
          </cell>
          <cell r="B1125" t="str">
            <v>Third Party- Allot. A/C- BELVEDERE PARK</v>
          </cell>
          <cell r="C1125" t="str">
            <v>LIABILITIES</v>
          </cell>
          <cell r="D1125" t="str">
            <v>BALANCE SHEET</v>
          </cell>
          <cell r="E1125">
            <v>0</v>
          </cell>
          <cell r="F1125">
            <v>0</v>
          </cell>
          <cell r="G1125" t="str">
            <v>CURRENT LIABILITIES AND PROVISIONS</v>
          </cell>
          <cell r="H1125" t="str">
            <v>CURRENT LIABILITIES</v>
          </cell>
          <cell r="I1125" t="str">
            <v>REALISATION UNDER AGREEMENT TO SELL</v>
          </cell>
        </row>
        <row r="1126">
          <cell r="A1126" t="str">
            <v>L505101-000-055</v>
          </cell>
          <cell r="B1126" t="str">
            <v>Third Party- Allot. A/C- BELVEDERE TOWER</v>
          </cell>
          <cell r="C1126" t="str">
            <v>LIABILITIES</v>
          </cell>
          <cell r="D1126" t="str">
            <v>BALANCE SHEET</v>
          </cell>
          <cell r="E1126">
            <v>0</v>
          </cell>
          <cell r="F1126">
            <v>0</v>
          </cell>
          <cell r="G1126" t="str">
            <v>CURRENT LIABILITIES AND PROVISIONS</v>
          </cell>
          <cell r="H1126" t="str">
            <v>CURRENT LIABILITIES</v>
          </cell>
          <cell r="I1126" t="str">
            <v>REALISATION UNDER AGREEMENT TO SELL</v>
          </cell>
        </row>
        <row r="1127">
          <cell r="A1127" t="str">
            <v>L505101-000-056</v>
          </cell>
          <cell r="B1127" t="str">
            <v>Third Party- Allot. A/C- CITY CENTRE</v>
          </cell>
          <cell r="C1127" t="str">
            <v>LIABILITIES</v>
          </cell>
          <cell r="D1127" t="str">
            <v>BALANCE SHEET</v>
          </cell>
          <cell r="E1127">
            <v>0</v>
          </cell>
          <cell r="F1127">
            <v>0</v>
          </cell>
          <cell r="G1127" t="str">
            <v>CURRENT LIABILITIES AND PROVISIONS</v>
          </cell>
          <cell r="H1127" t="str">
            <v>CURRENT LIABILITIES</v>
          </cell>
          <cell r="I1127" t="str">
            <v>REALISATION UNDER AGREEMENT TO SELL</v>
          </cell>
        </row>
        <row r="1128">
          <cell r="A1128" t="str">
            <v>L505101-000-058</v>
          </cell>
          <cell r="B1128" t="str">
            <v>Third Party- Allot. A/C- EXCLUSIVE FLOOR</v>
          </cell>
          <cell r="C1128" t="str">
            <v>LIABILITIES</v>
          </cell>
          <cell r="D1128" t="str">
            <v>BALANCE SHEET</v>
          </cell>
          <cell r="E1128">
            <v>0</v>
          </cell>
          <cell r="F1128">
            <v>0</v>
          </cell>
          <cell r="G1128" t="str">
            <v>CURRENT LIABILITIES AND PROVISIONS</v>
          </cell>
          <cell r="H1128" t="str">
            <v>CURRENT LIABILITIES</v>
          </cell>
          <cell r="I1128" t="str">
            <v>REALISATION UNDER AGREEMENT TO SELL</v>
          </cell>
        </row>
        <row r="1129">
          <cell r="A1129" t="str">
            <v>L505101-000-059</v>
          </cell>
          <cell r="B1129" t="str">
            <v>Third Party- Allot. A/C- MOULSARI ARCADE</v>
          </cell>
          <cell r="C1129" t="str">
            <v>LIABILITIES</v>
          </cell>
          <cell r="D1129" t="str">
            <v>BALANCE SHEET</v>
          </cell>
          <cell r="E1129">
            <v>0</v>
          </cell>
          <cell r="F1129">
            <v>0</v>
          </cell>
          <cell r="G1129" t="str">
            <v>CURRENT LIABILITIES AND PROVISIONS</v>
          </cell>
          <cell r="H1129" t="str">
            <v>CURRENT LIABILITIES</v>
          </cell>
          <cell r="I1129" t="str">
            <v>REALISATION UNDER AGREEMENT TO SELL</v>
          </cell>
        </row>
        <row r="1130">
          <cell r="A1130" t="str">
            <v>L505101-000-060</v>
          </cell>
          <cell r="B1130" t="str">
            <v>Third Party- Allot. A/C- TRINITY TOWERS</v>
          </cell>
          <cell r="C1130" t="str">
            <v>LIABILITIES</v>
          </cell>
          <cell r="D1130" t="str">
            <v>BALANCE SHEET</v>
          </cell>
          <cell r="E1130">
            <v>0</v>
          </cell>
          <cell r="F1130">
            <v>0</v>
          </cell>
          <cell r="G1130" t="str">
            <v>CURRENT LIABILITIES AND PROVISIONS</v>
          </cell>
          <cell r="H1130" t="str">
            <v>CURRENT LIABILITIES</v>
          </cell>
          <cell r="I1130" t="str">
            <v>REALISATION UNDER AGREEMENT TO SELL</v>
          </cell>
        </row>
        <row r="1131">
          <cell r="A1131" t="str">
            <v>L505101-000-061</v>
          </cell>
          <cell r="B1131" t="str">
            <v>Third Party- Allot. A/C- GRAND MALL</v>
          </cell>
          <cell r="C1131" t="str">
            <v>LIABILITIES</v>
          </cell>
          <cell r="D1131" t="str">
            <v>BALANCE SHEET</v>
          </cell>
          <cell r="E1131">
            <v>0</v>
          </cell>
          <cell r="F1131">
            <v>0</v>
          </cell>
          <cell r="G1131" t="str">
            <v>CURRENT LIABILITIES AND PROVISIONS</v>
          </cell>
          <cell r="H1131" t="str">
            <v>CURRENT LIABILITIES</v>
          </cell>
          <cell r="I1131" t="str">
            <v>REALISATION UNDER AGREEMENT TO SELL</v>
          </cell>
        </row>
        <row r="1132">
          <cell r="A1132" t="str">
            <v>L505101-000-062</v>
          </cell>
          <cell r="B1132" t="str">
            <v>Third Party- Allot. A/C- THE ARALIAS</v>
          </cell>
          <cell r="C1132" t="str">
            <v>LIABILITIES</v>
          </cell>
          <cell r="D1132" t="str">
            <v>BALANCE SHEET</v>
          </cell>
          <cell r="E1132">
            <v>0</v>
          </cell>
          <cell r="F1132">
            <v>0</v>
          </cell>
          <cell r="G1132" t="str">
            <v>CURRENT LIABILITIES AND PROVISIONS</v>
          </cell>
          <cell r="H1132" t="str">
            <v>CURRENT LIABILITIES</v>
          </cell>
          <cell r="I1132" t="str">
            <v>REALISATION UNDER AGREEMENT TO SELL</v>
          </cell>
        </row>
        <row r="1133">
          <cell r="A1133" t="str">
            <v>L505101-000-064</v>
          </cell>
          <cell r="B1133" t="str">
            <v>Third Party- Allot. A/C- WESTEND HEIGHTS</v>
          </cell>
          <cell r="C1133" t="str">
            <v>LIABILITIES</v>
          </cell>
          <cell r="D1133" t="str">
            <v>BALANCE SHEET</v>
          </cell>
          <cell r="E1133">
            <v>0</v>
          </cell>
          <cell r="F1133">
            <v>0</v>
          </cell>
          <cell r="G1133" t="str">
            <v>CURRENT LIABILITIES AND PROVISIONS</v>
          </cell>
          <cell r="H1133" t="str">
            <v>CURRENT LIABILITIES</v>
          </cell>
          <cell r="I1133" t="str">
            <v>REALISATION UNDER AGREEMENT TO SELL</v>
          </cell>
        </row>
        <row r="1134">
          <cell r="A1134" t="str">
            <v>L505101-000-069</v>
          </cell>
          <cell r="B1134" t="str">
            <v>Third Party- Allot. A/C- THE PINNACLE</v>
          </cell>
          <cell r="C1134" t="str">
            <v>LIABILITIES</v>
          </cell>
          <cell r="D1134" t="str">
            <v>BALANCE SHEET</v>
          </cell>
          <cell r="E1134">
            <v>0</v>
          </cell>
          <cell r="F1134">
            <v>0</v>
          </cell>
          <cell r="G1134" t="str">
            <v>CURRENT LIABILITIES AND PROVISIONS</v>
          </cell>
          <cell r="H1134" t="str">
            <v>CURRENT LIABILITIES</v>
          </cell>
          <cell r="I1134" t="str">
            <v>REALISATION UNDER AGREEMENT TO SELL</v>
          </cell>
        </row>
        <row r="1135">
          <cell r="A1135" t="str">
            <v>L505101-000-070</v>
          </cell>
          <cell r="B1135" t="str">
            <v>Third Party- Allot. A/C- ROYALTON TOWER</v>
          </cell>
          <cell r="C1135" t="str">
            <v>LIABILITIES</v>
          </cell>
          <cell r="D1135" t="str">
            <v>BALANCE SHEET</v>
          </cell>
          <cell r="E1135">
            <v>0</v>
          </cell>
          <cell r="F1135">
            <v>0</v>
          </cell>
          <cell r="G1135" t="str">
            <v>CURRENT LIABILITIES AND PROVISIONS</v>
          </cell>
          <cell r="H1135" t="str">
            <v>CURRENT LIABILITIES</v>
          </cell>
          <cell r="I1135" t="str">
            <v>REALISATION UNDER AGREEMENT TO SELL</v>
          </cell>
        </row>
        <row r="1136">
          <cell r="A1136" t="str">
            <v>L505101-000-071</v>
          </cell>
          <cell r="B1136" t="str">
            <v>Third Party- Allot. A/C- THE ICON</v>
          </cell>
          <cell r="C1136" t="str">
            <v>LIABILITIES</v>
          </cell>
          <cell r="D1136" t="str">
            <v>BALANCE SHEET</v>
          </cell>
          <cell r="E1136">
            <v>0</v>
          </cell>
          <cell r="F1136">
            <v>0</v>
          </cell>
          <cell r="G1136" t="str">
            <v>CURRENT LIABILITIES AND PROVISIONS</v>
          </cell>
          <cell r="H1136" t="str">
            <v>CURRENT LIABILITIES</v>
          </cell>
          <cell r="I1136" t="str">
            <v>REALISATION UNDER AGREEMENT TO SELL</v>
          </cell>
        </row>
        <row r="1137">
          <cell r="A1137" t="str">
            <v>L505101-000-075</v>
          </cell>
          <cell r="B1137" t="str">
            <v>Third Party- Allot. A/C- THE SUMMIT</v>
          </cell>
          <cell r="C1137" t="str">
            <v>LIABILITIES</v>
          </cell>
          <cell r="D1137" t="str">
            <v>BALANCE SHEET</v>
          </cell>
          <cell r="E1137">
            <v>0</v>
          </cell>
          <cell r="F1137">
            <v>0</v>
          </cell>
          <cell r="G1137" t="str">
            <v>CURRENT LIABILITIES AND PROVISIONS</v>
          </cell>
          <cell r="H1137" t="str">
            <v>CURRENT LIABILITIES</v>
          </cell>
          <cell r="I1137" t="str">
            <v>REALISATION UNDER AGREEMENT TO SELL</v>
          </cell>
        </row>
        <row r="1138">
          <cell r="A1138" t="str">
            <v>L505101-000-076</v>
          </cell>
          <cell r="B1138" t="str">
            <v>Third Party- Allot. A/C- THE COURTYARD</v>
          </cell>
          <cell r="C1138" t="str">
            <v>LIABILITIES</v>
          </cell>
          <cell r="D1138" t="str">
            <v>BALANCE SHEET</v>
          </cell>
          <cell r="E1138">
            <v>0</v>
          </cell>
          <cell r="F1138">
            <v>0</v>
          </cell>
          <cell r="G1138" t="str">
            <v>CURRENT LIABILITIES AND PROVISIONS</v>
          </cell>
          <cell r="H1138" t="str">
            <v>CURRENT LIABILITIES</v>
          </cell>
          <cell r="I1138" t="str">
            <v>REALISATION UNDER AGREEMENT TO SELL</v>
          </cell>
        </row>
        <row r="1139">
          <cell r="A1139" t="str">
            <v>L505101-000-080</v>
          </cell>
          <cell r="B1139" t="str">
            <v>Third Party- Allot. A/C- THE MAGNOLIAS</v>
          </cell>
          <cell r="C1139" t="str">
            <v>LIABILITIES</v>
          </cell>
          <cell r="D1139" t="str">
            <v>BALANCE SHEET</v>
          </cell>
          <cell r="E1139">
            <v>0</v>
          </cell>
          <cell r="F1139">
            <v>0</v>
          </cell>
          <cell r="G1139" t="str">
            <v>CURRENT LIABILITIES AND PROVISIONS</v>
          </cell>
          <cell r="H1139" t="str">
            <v>CURRENT LIABILITIES</v>
          </cell>
          <cell r="I1139" t="str">
            <v>REALISATION UNDER AGREEMENT TO SELL</v>
          </cell>
        </row>
        <row r="1140">
          <cell r="A1140" t="str">
            <v>L505101-000-083</v>
          </cell>
          <cell r="B1140" t="str">
            <v>Third Party- Allot. A/C- KING'S COURT</v>
          </cell>
          <cell r="C1140" t="str">
            <v>LIABILITIES</v>
          </cell>
          <cell r="D1140" t="str">
            <v>BALANCE SHEET</v>
          </cell>
          <cell r="E1140">
            <v>0</v>
          </cell>
          <cell r="F1140">
            <v>0</v>
          </cell>
          <cell r="G1140" t="str">
            <v>CURRENT LIABILITIES AND PROVISIONS</v>
          </cell>
          <cell r="H1140" t="str">
            <v>CURRENT LIABILITIES</v>
          </cell>
          <cell r="I1140" t="str">
            <v>REALISATION UNDER AGREEMENT TO SELL</v>
          </cell>
        </row>
        <row r="1141">
          <cell r="A1141" t="str">
            <v>L505101-000-085</v>
          </cell>
          <cell r="B1141" t="str">
            <v>Third Party- Allot. A/C- DLF CITY COURT</v>
          </cell>
          <cell r="C1141" t="str">
            <v>LIABILITIES</v>
          </cell>
          <cell r="D1141" t="str">
            <v>BALANCE SHEET</v>
          </cell>
          <cell r="E1141">
            <v>0</v>
          </cell>
          <cell r="F1141">
            <v>0</v>
          </cell>
          <cell r="G1141" t="str">
            <v>CURRENT LIABILITIES AND PROVISIONS</v>
          </cell>
          <cell r="H1141" t="str">
            <v>CURRENT LIABILITIES</v>
          </cell>
          <cell r="I1141" t="str">
            <v>REALISATION UNDER AGREEMENT TO SELL</v>
          </cell>
        </row>
        <row r="1142">
          <cell r="A1142" t="str">
            <v>L505101-000-086</v>
          </cell>
          <cell r="B1142" t="str">
            <v>Third Party- Allot. A/C- JALANDHAR MALL</v>
          </cell>
          <cell r="C1142" t="str">
            <v>LIABILITIES</v>
          </cell>
          <cell r="D1142" t="str">
            <v>BALANCE SHEET</v>
          </cell>
          <cell r="E1142">
            <v>0</v>
          </cell>
          <cell r="F1142">
            <v>0</v>
          </cell>
          <cell r="G1142" t="str">
            <v>CURRENT LIABILITIES AND PROVISIONS</v>
          </cell>
          <cell r="H1142" t="str">
            <v>CURRENT LIABILITIES</v>
          </cell>
          <cell r="I1142" t="str">
            <v>REALISATION UNDER AGREEMENT TO SELL</v>
          </cell>
        </row>
        <row r="1143">
          <cell r="A1143" t="str">
            <v>L505101-000-088</v>
          </cell>
          <cell r="B1143" t="str">
            <v>Third Party- Allot. A/C- THE BELARIE</v>
          </cell>
          <cell r="C1143" t="str">
            <v>LIABILITIES</v>
          </cell>
          <cell r="D1143" t="str">
            <v>BALANCE SHEET</v>
          </cell>
          <cell r="E1143">
            <v>0</v>
          </cell>
          <cell r="F1143">
            <v>0</v>
          </cell>
          <cell r="G1143" t="str">
            <v>CURRENT LIABILITIES AND PROVISIONS</v>
          </cell>
          <cell r="H1143" t="str">
            <v>CURRENT LIABILITIES</v>
          </cell>
          <cell r="I1143" t="str">
            <v>REALISATION UNDER AGREEMENT TO SELL</v>
          </cell>
        </row>
        <row r="1144">
          <cell r="A1144" t="str">
            <v>L505101-000-089</v>
          </cell>
          <cell r="B1144" t="str">
            <v>Third Party- Allot. A/C- DLF PARK PLACE</v>
          </cell>
          <cell r="C1144" t="str">
            <v>LIABILITIES</v>
          </cell>
          <cell r="D1144" t="str">
            <v>BALANCE SHEET</v>
          </cell>
          <cell r="E1144">
            <v>0</v>
          </cell>
          <cell r="F1144">
            <v>0</v>
          </cell>
          <cell r="G1144" t="str">
            <v>CURRENT LIABILITIES AND PROVISIONS</v>
          </cell>
          <cell r="H1144" t="str">
            <v>CURRENT LIABILITIES</v>
          </cell>
          <cell r="I1144" t="str">
            <v>REALISATION UNDER AGREEMENT TO SELL</v>
          </cell>
        </row>
        <row r="1145">
          <cell r="A1145" t="str">
            <v>L505101-000-092</v>
          </cell>
          <cell r="B1145" t="str">
            <v>Third Party- Allot. A/C- QUEENS COURT</v>
          </cell>
          <cell r="C1145" t="str">
            <v>LIABILITIES</v>
          </cell>
          <cell r="D1145" t="str">
            <v>BALANCE SHEET</v>
          </cell>
          <cell r="E1145">
            <v>0</v>
          </cell>
          <cell r="F1145">
            <v>0</v>
          </cell>
          <cell r="G1145" t="str">
            <v>CURRENT LIABILITIES AND PROVISIONS</v>
          </cell>
          <cell r="H1145" t="str">
            <v>CURRENT LIABILITIES</v>
          </cell>
          <cell r="I1145" t="str">
            <v>REALISATION UNDER AGREEMENT TO SELL</v>
          </cell>
        </row>
        <row r="1146">
          <cell r="A1146" t="str">
            <v>L505101-000-101</v>
          </cell>
          <cell r="B1146" t="str">
            <v>Third Party- Allot. A/C- LIG/EWS</v>
          </cell>
          <cell r="C1146" t="str">
            <v>LIABILITIES</v>
          </cell>
          <cell r="D1146" t="str">
            <v>BALANCE SHEET</v>
          </cell>
          <cell r="E1146">
            <v>0</v>
          </cell>
          <cell r="F1146">
            <v>0</v>
          </cell>
          <cell r="G1146" t="str">
            <v>CURRENT LIABILITIES AND PROVISIONS</v>
          </cell>
          <cell r="H1146" t="str">
            <v>CURRENT LIABILITIES</v>
          </cell>
          <cell r="I1146" t="str">
            <v>REALISATION UNDER AGREEMENT TO SELL</v>
          </cell>
        </row>
        <row r="1147">
          <cell r="A1147" t="str">
            <v>L505101-000-102</v>
          </cell>
          <cell r="B1147" t="str">
            <v>Third Party- Allot. A/C- QEC 1,2,3</v>
          </cell>
          <cell r="C1147" t="str">
            <v>LIABILITIES</v>
          </cell>
          <cell r="D1147" t="str">
            <v>BALANCE SHEET</v>
          </cell>
          <cell r="E1147">
            <v>0</v>
          </cell>
          <cell r="F1147">
            <v>0</v>
          </cell>
          <cell r="G1147" t="str">
            <v>CURRENT LIABILITIES AND PROVISIONS</v>
          </cell>
          <cell r="H1147" t="str">
            <v>CURRENT LIABILITIES</v>
          </cell>
          <cell r="I1147" t="str">
            <v>REALISATION UNDER AGREEMENT TO SELL</v>
          </cell>
        </row>
        <row r="1148">
          <cell r="A1148" t="str">
            <v>L505101-000-103</v>
          </cell>
          <cell r="B1148" t="str">
            <v>Third Party- Allot. A/C- ADJ. CONST.</v>
          </cell>
          <cell r="C1148" t="str">
            <v>LIABILITIES</v>
          </cell>
          <cell r="D1148" t="str">
            <v>BALANCE SHEET</v>
          </cell>
          <cell r="E1148">
            <v>0</v>
          </cell>
          <cell r="F1148">
            <v>0</v>
          </cell>
          <cell r="G1148" t="str">
            <v>CURRENT LIABILITIES AND PROVISIONS</v>
          </cell>
          <cell r="H1148" t="str">
            <v>CURRENT LIABILITIES</v>
          </cell>
          <cell r="I1148" t="str">
            <v>REALISATION UNDER AGREEMENT TO SELL</v>
          </cell>
        </row>
        <row r="1149">
          <cell r="A1149" t="str">
            <v>L505101-000-104</v>
          </cell>
          <cell r="B1149" t="str">
            <v>Third Party- Allot. A/C- ADJ. LAND</v>
          </cell>
          <cell r="C1149" t="str">
            <v>LIABILITIES</v>
          </cell>
          <cell r="D1149" t="str">
            <v>BALANCE SHEET</v>
          </cell>
          <cell r="E1149">
            <v>0</v>
          </cell>
          <cell r="F1149">
            <v>0</v>
          </cell>
          <cell r="G1149" t="str">
            <v>CURRENT LIABILITIES AND PROVISIONS</v>
          </cell>
          <cell r="H1149" t="str">
            <v>CURRENT LIABILITIES</v>
          </cell>
          <cell r="I1149" t="str">
            <v>REALISATION UNDER AGREEMENT TO SELL</v>
          </cell>
        </row>
        <row r="1150">
          <cell r="A1150" t="str">
            <v>L505101-000-301</v>
          </cell>
          <cell r="B1150" t="str">
            <v>Third Party- Allot. A/C- NOIDA MALL</v>
          </cell>
          <cell r="C1150" t="str">
            <v>LIABILITIES</v>
          </cell>
          <cell r="D1150" t="str">
            <v>BALANCE SHEET</v>
          </cell>
          <cell r="E1150">
            <v>0</v>
          </cell>
          <cell r="F1150">
            <v>0</v>
          </cell>
          <cell r="G1150" t="str">
            <v>CURRENT LIABILITIES AND PROVISIONS</v>
          </cell>
          <cell r="H1150" t="str">
            <v>CURRENT LIABILITIES</v>
          </cell>
          <cell r="I1150" t="str">
            <v>REALISATION UNDER AGREEMENT TO SELL</v>
          </cell>
        </row>
        <row r="1151">
          <cell r="A1151" t="str">
            <v>L505102-000-000</v>
          </cell>
          <cell r="B1151" t="str">
            <v>Third Party- Inst. Reb.</v>
          </cell>
          <cell r="C1151" t="str">
            <v>LIABILITIES</v>
          </cell>
          <cell r="D1151" t="str">
            <v>BALANCE SHEET</v>
          </cell>
          <cell r="E1151">
            <v>0</v>
          </cell>
          <cell r="F1151">
            <v>0</v>
          </cell>
          <cell r="G1151" t="str">
            <v>CURRENT LIABILITIES AND PROVISIONS</v>
          </cell>
          <cell r="H1151" t="str">
            <v>CURRENT LIABILITIES</v>
          </cell>
          <cell r="I1151" t="str">
            <v>REALISATION UNDER AGREEMENT TO SELL</v>
          </cell>
        </row>
        <row r="1152">
          <cell r="A1152" t="str">
            <v>L505102-000-001</v>
          </cell>
          <cell r="B1152" t="str">
            <v>Third Party- Inst. Reb.- ANKUR VIHAR</v>
          </cell>
          <cell r="C1152" t="str">
            <v>LIABILITIES</v>
          </cell>
          <cell r="D1152" t="str">
            <v>BALANCE SHEET</v>
          </cell>
          <cell r="E1152">
            <v>0</v>
          </cell>
          <cell r="F1152">
            <v>0</v>
          </cell>
          <cell r="G1152" t="str">
            <v>CURRENT LIABILITIES AND PROVISIONS</v>
          </cell>
          <cell r="H1152" t="str">
            <v>CURRENT LIABILITIES</v>
          </cell>
          <cell r="I1152" t="str">
            <v>REALISATION UNDER AGREEMENT TO SELL</v>
          </cell>
        </row>
        <row r="1153">
          <cell r="A1153" t="str">
            <v>L505102-000-002</v>
          </cell>
          <cell r="B1153" t="str">
            <v>Third Party- Inst. Reb.- BEVERLY PK1 PKG</v>
          </cell>
          <cell r="C1153" t="str">
            <v>LIABILITIES</v>
          </cell>
          <cell r="D1153" t="str">
            <v>BALANCE SHEET</v>
          </cell>
          <cell r="E1153">
            <v>0</v>
          </cell>
          <cell r="F1153">
            <v>0</v>
          </cell>
          <cell r="G1153" t="str">
            <v>CURRENT LIABILITIES AND PROVISIONS</v>
          </cell>
          <cell r="H1153" t="str">
            <v>CURRENT LIABILITIES</v>
          </cell>
          <cell r="I1153" t="str">
            <v>REALISATION UNDER AGREEMENT TO SELL</v>
          </cell>
        </row>
        <row r="1154">
          <cell r="A1154" t="str">
            <v>L505102-000-003</v>
          </cell>
          <cell r="B1154" t="str">
            <v>Third Party- Inst. Reb.- BEVERLY PK2 PKG</v>
          </cell>
          <cell r="C1154" t="str">
            <v>LIABILITIES</v>
          </cell>
          <cell r="D1154" t="str">
            <v>BALANCE SHEET</v>
          </cell>
          <cell r="E1154">
            <v>0</v>
          </cell>
          <cell r="F1154">
            <v>0</v>
          </cell>
          <cell r="G1154" t="str">
            <v>CURRENT LIABILITIES AND PROVISIONS</v>
          </cell>
          <cell r="H1154" t="str">
            <v>CURRENT LIABILITIES</v>
          </cell>
          <cell r="I1154" t="str">
            <v>REALISATION UNDER AGREEMENT TO SELL</v>
          </cell>
        </row>
        <row r="1155">
          <cell r="A1155" t="str">
            <v>L505102-000-004</v>
          </cell>
          <cell r="B1155" t="str">
            <v>Third Party- Inst. Reb.- BEVERLY PRK 1</v>
          </cell>
          <cell r="C1155" t="str">
            <v>LIABILITIES</v>
          </cell>
          <cell r="D1155" t="str">
            <v>BALANCE SHEET</v>
          </cell>
          <cell r="E1155">
            <v>0</v>
          </cell>
          <cell r="F1155">
            <v>0</v>
          </cell>
          <cell r="G1155" t="str">
            <v>CURRENT LIABILITIES AND PROVISIONS</v>
          </cell>
          <cell r="H1155" t="str">
            <v>CURRENT LIABILITIES</v>
          </cell>
          <cell r="I1155" t="str">
            <v>REALISATION UNDER AGREEMENT TO SELL</v>
          </cell>
        </row>
        <row r="1156">
          <cell r="A1156" t="str">
            <v>L505102-000-005</v>
          </cell>
          <cell r="B1156" t="str">
            <v>Third Party- Inst. Reb.- BEVERLY PRK 2</v>
          </cell>
          <cell r="C1156" t="str">
            <v>LIABILITIES</v>
          </cell>
          <cell r="D1156" t="str">
            <v>BALANCE SHEET</v>
          </cell>
          <cell r="E1156">
            <v>0</v>
          </cell>
          <cell r="F1156">
            <v>0</v>
          </cell>
          <cell r="G1156" t="str">
            <v>CURRENT LIABILITIES AND PROVISIONS</v>
          </cell>
          <cell r="H1156" t="str">
            <v>CURRENT LIABILITIES</v>
          </cell>
          <cell r="I1156" t="str">
            <v>REALISATION UNDER AGREEMENT TO SELL</v>
          </cell>
        </row>
        <row r="1157">
          <cell r="A1157" t="str">
            <v>L505102-000-007</v>
          </cell>
          <cell r="B1157" t="str">
            <v>Third Party- Inst. Reb.- Cntrl Arcde Prk</v>
          </cell>
          <cell r="C1157" t="str">
            <v>LIABILITIES</v>
          </cell>
          <cell r="D1157" t="str">
            <v>BALANCE SHEET</v>
          </cell>
          <cell r="E1157">
            <v>0</v>
          </cell>
          <cell r="F1157">
            <v>0</v>
          </cell>
          <cell r="G1157" t="str">
            <v>CURRENT LIABILITIES AND PROVISIONS</v>
          </cell>
          <cell r="H1157" t="str">
            <v>CURRENT LIABILITIES</v>
          </cell>
          <cell r="I1157" t="str">
            <v>REALISATION UNDER AGREEMENT TO SELL</v>
          </cell>
        </row>
        <row r="1158">
          <cell r="A1158" t="str">
            <v>L505102-000-010</v>
          </cell>
          <cell r="B1158" t="str">
            <v>Third Party- Inst. Reb.- DILSHAD PLAZA</v>
          </cell>
          <cell r="C1158" t="str">
            <v>LIABILITIES</v>
          </cell>
          <cell r="D1158" t="str">
            <v>BALANCE SHEET</v>
          </cell>
          <cell r="E1158">
            <v>0</v>
          </cell>
          <cell r="F1158">
            <v>0</v>
          </cell>
          <cell r="G1158" t="str">
            <v>CURRENT LIABILITIES AND PROVISIONS</v>
          </cell>
          <cell r="H1158" t="str">
            <v>CURRENT LIABILITIES</v>
          </cell>
          <cell r="I1158" t="str">
            <v>REALISATION UNDER AGREEMENT TO SELL</v>
          </cell>
        </row>
        <row r="1159">
          <cell r="A1159" t="str">
            <v>L505102-000-011</v>
          </cell>
          <cell r="B1159" t="str">
            <v>Third Party- Inst. Reb.- EXECUTIVE Hme</v>
          </cell>
          <cell r="C1159" t="str">
            <v>LIABILITIES</v>
          </cell>
          <cell r="D1159" t="str">
            <v>BALANCE SHEET</v>
          </cell>
          <cell r="E1159">
            <v>0</v>
          </cell>
          <cell r="F1159">
            <v>0</v>
          </cell>
          <cell r="G1159" t="str">
            <v>CURRENT LIABILITIES AND PROVISIONS</v>
          </cell>
          <cell r="H1159" t="str">
            <v>CURRENT LIABILITIES</v>
          </cell>
          <cell r="I1159" t="str">
            <v>REALISATION UNDER AGREEMENT TO SELL</v>
          </cell>
        </row>
        <row r="1160">
          <cell r="A1160" t="str">
            <v>L505102-000-012</v>
          </cell>
          <cell r="B1160" t="str">
            <v>Third Party- Inst. Reb.- HAMILTON Prkn</v>
          </cell>
          <cell r="C1160" t="str">
            <v>LIABILITIES</v>
          </cell>
          <cell r="D1160" t="str">
            <v>BALANCE SHEET</v>
          </cell>
          <cell r="E1160">
            <v>0</v>
          </cell>
          <cell r="F1160">
            <v>0</v>
          </cell>
          <cell r="G1160" t="str">
            <v>CURRENT LIABILITIES AND PROVISIONS</v>
          </cell>
          <cell r="H1160" t="str">
            <v>CURRENT LIABILITIES</v>
          </cell>
          <cell r="I1160" t="str">
            <v>REALISATION UNDER AGREEMENT TO SELL</v>
          </cell>
        </row>
        <row r="1161">
          <cell r="A1161" t="str">
            <v>L505102-000-013</v>
          </cell>
          <cell r="B1161" t="str">
            <v>Third Party- Inst. Reb.- HAMILTON COUR</v>
          </cell>
          <cell r="C1161" t="str">
            <v>LIABILITIES</v>
          </cell>
          <cell r="D1161" t="str">
            <v>BALANCE SHEET</v>
          </cell>
          <cell r="E1161">
            <v>0</v>
          </cell>
          <cell r="F1161">
            <v>0</v>
          </cell>
          <cell r="G1161" t="str">
            <v>CURRENT LIABILITIES AND PROVISIONS</v>
          </cell>
          <cell r="H1161" t="str">
            <v>CURRENT LIABILITIES</v>
          </cell>
          <cell r="I1161" t="str">
            <v>REALISATION UNDER AGREEMENT TO SELL</v>
          </cell>
        </row>
        <row r="1162">
          <cell r="A1162" t="str">
            <v>L505102-000-014</v>
          </cell>
          <cell r="B1162" t="str">
            <v>Third Party- Inst. Reb.- NEW TOWN Hse</v>
          </cell>
          <cell r="C1162" t="str">
            <v>LIABILITIES</v>
          </cell>
          <cell r="D1162" t="str">
            <v>BALANCE SHEET</v>
          </cell>
          <cell r="E1162">
            <v>0</v>
          </cell>
          <cell r="F1162">
            <v>0</v>
          </cell>
          <cell r="G1162" t="str">
            <v>CURRENT LIABILITIES AND PROVISIONS</v>
          </cell>
          <cell r="H1162" t="str">
            <v>CURRENT LIABILITIES</v>
          </cell>
          <cell r="I1162" t="str">
            <v>REALISATION UNDER AGREEMENT TO SELL</v>
          </cell>
        </row>
        <row r="1163">
          <cell r="A1163" t="str">
            <v>L505102-000-015</v>
          </cell>
          <cell r="B1163" t="str">
            <v>Third Party- Inst. Reb.- TOWN HSE</v>
          </cell>
          <cell r="C1163" t="str">
            <v>LIABILITIES</v>
          </cell>
          <cell r="D1163" t="str">
            <v>BALANCE SHEET</v>
          </cell>
          <cell r="E1163">
            <v>0</v>
          </cell>
          <cell r="F1163">
            <v>0</v>
          </cell>
          <cell r="G1163" t="str">
            <v>CURRENT LIABILITIES AND PROVISIONS</v>
          </cell>
          <cell r="H1163" t="str">
            <v>CURRENT LIABILITIES</v>
          </cell>
          <cell r="I1163" t="str">
            <v>REALISATION UNDER AGREEMENT TO SELL</v>
          </cell>
        </row>
        <row r="1164">
          <cell r="A1164" t="str">
            <v>L505102-000-017</v>
          </cell>
          <cell r="B1164" t="str">
            <v>Third Party- Inst. Reb.- QEC PHASE-IV</v>
          </cell>
          <cell r="C1164" t="str">
            <v>LIABILITIES</v>
          </cell>
          <cell r="D1164" t="str">
            <v>BALANCE SHEET</v>
          </cell>
          <cell r="E1164">
            <v>0</v>
          </cell>
          <cell r="F1164">
            <v>0</v>
          </cell>
          <cell r="G1164" t="str">
            <v>CURRENT LIABILITIES AND PROVISIONS</v>
          </cell>
          <cell r="H1164" t="str">
            <v>CURRENT LIABILITIES</v>
          </cell>
          <cell r="I1164" t="str">
            <v>REALISATION UNDER AGREEMENT TO SELL</v>
          </cell>
        </row>
        <row r="1165">
          <cell r="A1165" t="str">
            <v>L505102-000-018</v>
          </cell>
          <cell r="B1165" t="str">
            <v>Third Party- Inst. Reb.- QEC PHASE-V</v>
          </cell>
          <cell r="C1165" t="str">
            <v>LIABILITIES</v>
          </cell>
          <cell r="D1165" t="str">
            <v>BALANCE SHEET</v>
          </cell>
          <cell r="E1165">
            <v>0</v>
          </cell>
          <cell r="F1165">
            <v>0</v>
          </cell>
          <cell r="G1165" t="str">
            <v>CURRENT LIABILITIES AND PROVISIONS</v>
          </cell>
          <cell r="H1165" t="str">
            <v>CURRENT LIABILITIES</v>
          </cell>
          <cell r="I1165" t="str">
            <v>REALISATION UNDER AGREEMENT TO SELL</v>
          </cell>
        </row>
        <row r="1166">
          <cell r="A1166" t="str">
            <v>L505102-000-019</v>
          </cell>
          <cell r="B1166" t="str">
            <v>Third Party- Inst. Reb.- REGENCY PARK</v>
          </cell>
          <cell r="C1166" t="str">
            <v>LIABILITIES</v>
          </cell>
          <cell r="D1166" t="str">
            <v>BALANCE SHEET</v>
          </cell>
          <cell r="E1166">
            <v>0</v>
          </cell>
          <cell r="F1166">
            <v>0</v>
          </cell>
          <cell r="G1166" t="str">
            <v>CURRENT LIABILITIES AND PROVISIONS</v>
          </cell>
          <cell r="H1166" t="str">
            <v>CURRENT LIABILITIES</v>
          </cell>
          <cell r="I1166" t="str">
            <v>REALISATION UNDER AGREEMENT TO SELL</v>
          </cell>
        </row>
        <row r="1167">
          <cell r="A1167" t="str">
            <v>L505102-000-020</v>
          </cell>
          <cell r="B1167" t="str">
            <v>Third Party- Inst. Reb.- REGENCY Prkn</v>
          </cell>
          <cell r="C1167" t="str">
            <v>LIABILITIES</v>
          </cell>
          <cell r="D1167" t="str">
            <v>BALANCE SHEET</v>
          </cell>
          <cell r="E1167">
            <v>0</v>
          </cell>
          <cell r="F1167">
            <v>0</v>
          </cell>
          <cell r="G1167" t="str">
            <v>CURRENT LIABILITIES AND PROVISIONS</v>
          </cell>
          <cell r="H1167" t="str">
            <v>CURRENT LIABILITIES</v>
          </cell>
          <cell r="I1167" t="str">
            <v>REALISATION UNDER AGREEMENT TO SELL</v>
          </cell>
        </row>
        <row r="1168">
          <cell r="A1168" t="str">
            <v>L505102-000-021</v>
          </cell>
          <cell r="B1168" t="str">
            <v>Third Party- Inst. Reb.- RICHMOND Prkn</v>
          </cell>
          <cell r="C1168" t="str">
            <v>LIABILITIES</v>
          </cell>
          <cell r="D1168" t="str">
            <v>BALANCE SHEET</v>
          </cell>
          <cell r="E1168">
            <v>0</v>
          </cell>
          <cell r="F1168">
            <v>0</v>
          </cell>
          <cell r="G1168" t="str">
            <v>CURRENT LIABILITIES AND PROVISIONS</v>
          </cell>
          <cell r="H1168" t="str">
            <v>CURRENT LIABILITIES</v>
          </cell>
          <cell r="I1168" t="str">
            <v>REALISATION UNDER AGREEMENT TO SELL</v>
          </cell>
        </row>
        <row r="1169">
          <cell r="A1169" t="str">
            <v>L505102-000-022</v>
          </cell>
          <cell r="B1169" t="str">
            <v>Third Party- Inst. Reb.- RICHMOND PARK</v>
          </cell>
          <cell r="C1169" t="str">
            <v>LIABILITIES</v>
          </cell>
          <cell r="D1169" t="str">
            <v>BALANCE SHEET</v>
          </cell>
          <cell r="E1169">
            <v>0</v>
          </cell>
          <cell r="F1169">
            <v>0</v>
          </cell>
          <cell r="G1169" t="str">
            <v>CURRENT LIABILITIES AND PROVISIONS</v>
          </cell>
          <cell r="H1169" t="str">
            <v>CURRENT LIABILITIES</v>
          </cell>
          <cell r="I1169" t="str">
            <v>REALISATION UNDER AGREEMENT TO SELL</v>
          </cell>
        </row>
        <row r="1170">
          <cell r="A1170" t="str">
            <v>L505102-000-023</v>
          </cell>
          <cell r="B1170" t="str">
            <v>Third Party- Inst. Reb.- SUPER MART-II</v>
          </cell>
          <cell r="C1170" t="str">
            <v>LIABILITIES</v>
          </cell>
          <cell r="D1170" t="str">
            <v>BALANCE SHEET</v>
          </cell>
          <cell r="E1170">
            <v>0</v>
          </cell>
          <cell r="F1170">
            <v>0</v>
          </cell>
          <cell r="G1170" t="str">
            <v>CURRENT LIABILITIES AND PROVISIONS</v>
          </cell>
          <cell r="H1170" t="str">
            <v>CURRENT LIABILITIES</v>
          </cell>
          <cell r="I1170" t="str">
            <v>REALISATION UNDER AGREEMENT TO SELL</v>
          </cell>
        </row>
        <row r="1171">
          <cell r="A1171" t="str">
            <v>L505102-000-024</v>
          </cell>
          <cell r="B1171" t="str">
            <v>Third Party- Inst. Reb.- SHOPPING MALL</v>
          </cell>
          <cell r="C1171" t="str">
            <v>LIABILITIES</v>
          </cell>
          <cell r="D1171" t="str">
            <v>BALANCE SHEET</v>
          </cell>
          <cell r="E1171">
            <v>0</v>
          </cell>
          <cell r="F1171">
            <v>0</v>
          </cell>
          <cell r="G1171" t="str">
            <v>CURRENT LIABILITIES AND PROVISIONS</v>
          </cell>
          <cell r="H1171" t="str">
            <v>CURRENT LIABILITIES</v>
          </cell>
          <cell r="I1171" t="str">
            <v>REALISATION UNDER AGREEMENT TO SELL</v>
          </cell>
        </row>
        <row r="1172">
          <cell r="A1172" t="str">
            <v>L505102-000-027</v>
          </cell>
          <cell r="B1172" t="str">
            <v>Third Party- Inst. Reb.- STOP-N-SHOP</v>
          </cell>
          <cell r="C1172" t="str">
            <v>LIABILITIES</v>
          </cell>
          <cell r="D1172" t="str">
            <v>BALANCE SHEET</v>
          </cell>
          <cell r="E1172">
            <v>0</v>
          </cell>
          <cell r="F1172">
            <v>0</v>
          </cell>
          <cell r="G1172" t="str">
            <v>CURRENT LIABILITIES AND PROVISIONS</v>
          </cell>
          <cell r="H1172" t="str">
            <v>CURRENT LIABILITIES</v>
          </cell>
          <cell r="I1172" t="str">
            <v>REALISATION UNDER AGREEMENT TO SELL</v>
          </cell>
        </row>
        <row r="1173">
          <cell r="A1173" t="str">
            <v>L505102-000-028</v>
          </cell>
          <cell r="B1173" t="str">
            <v>Third Party- Inst. Reb.- SILVER OAKS</v>
          </cell>
          <cell r="C1173" t="str">
            <v>LIABILITIES</v>
          </cell>
          <cell r="D1173" t="str">
            <v>BALANCE SHEET</v>
          </cell>
          <cell r="E1173">
            <v>0</v>
          </cell>
          <cell r="F1173">
            <v>0</v>
          </cell>
          <cell r="G1173" t="str">
            <v>CURRENT LIABILITIES AND PROVISIONS</v>
          </cell>
          <cell r="H1173" t="str">
            <v>CURRENT LIABILITIES</v>
          </cell>
          <cell r="I1173" t="str">
            <v>REALISATION UNDER AGREEMENT TO SELL</v>
          </cell>
        </row>
        <row r="1174">
          <cell r="A1174" t="str">
            <v>L505102-000-029</v>
          </cell>
          <cell r="B1174" t="str">
            <v>Third Party- Inst. Reb.- SILVER OAKS PKG</v>
          </cell>
          <cell r="C1174" t="str">
            <v>LIABILITIES</v>
          </cell>
          <cell r="D1174" t="str">
            <v>BALANCE SHEET</v>
          </cell>
          <cell r="E1174">
            <v>0</v>
          </cell>
          <cell r="F1174">
            <v>0</v>
          </cell>
          <cell r="G1174" t="str">
            <v>CURRENT LIABILITIES AND PROVISIONS</v>
          </cell>
          <cell r="H1174" t="str">
            <v>CURRENT LIABILITIES</v>
          </cell>
          <cell r="I1174" t="str">
            <v>REALISATION UNDER AGREEMENT TO SELL</v>
          </cell>
        </row>
        <row r="1175">
          <cell r="A1175" t="str">
            <v>L505102-000-032</v>
          </cell>
          <cell r="B1175" t="str">
            <v>Third Party- Inst. Reb.- VILLA PLOTS</v>
          </cell>
          <cell r="C1175" t="str">
            <v>LIABILITIES</v>
          </cell>
          <cell r="D1175" t="str">
            <v>BALANCE SHEET</v>
          </cell>
          <cell r="E1175">
            <v>0</v>
          </cell>
          <cell r="F1175">
            <v>0</v>
          </cell>
          <cell r="G1175" t="str">
            <v>CURRENT LIABILITIES AND PROVISIONS</v>
          </cell>
          <cell r="H1175" t="str">
            <v>CURRENT LIABILITIES</v>
          </cell>
          <cell r="I1175" t="str">
            <v>REALISATION UNDER AGREEMENT TO SELL</v>
          </cell>
        </row>
        <row r="1176">
          <cell r="A1176" t="str">
            <v>L505102-000-033</v>
          </cell>
          <cell r="B1176" t="str">
            <v>Third Party- Inst. Reb.- WINDSOR Prkn</v>
          </cell>
          <cell r="C1176" t="str">
            <v>LIABILITIES</v>
          </cell>
          <cell r="D1176" t="str">
            <v>BALANCE SHEET</v>
          </cell>
          <cell r="E1176">
            <v>0</v>
          </cell>
          <cell r="F1176">
            <v>0</v>
          </cell>
          <cell r="G1176" t="str">
            <v>CURRENT LIABILITIES AND PROVISIONS</v>
          </cell>
          <cell r="H1176" t="str">
            <v>CURRENT LIABILITIES</v>
          </cell>
          <cell r="I1176" t="str">
            <v>REALISATION UNDER AGREEMENT TO SELL</v>
          </cell>
        </row>
        <row r="1177">
          <cell r="A1177" t="str">
            <v>L505102-000-034</v>
          </cell>
          <cell r="B1177" t="str">
            <v>Third Party- Inst. Reb.- WINDSOR COURT</v>
          </cell>
          <cell r="C1177" t="str">
            <v>LIABILITIES</v>
          </cell>
          <cell r="D1177" t="str">
            <v>BALANCE SHEET</v>
          </cell>
          <cell r="E1177">
            <v>0</v>
          </cell>
          <cell r="F1177">
            <v>0</v>
          </cell>
          <cell r="G1177" t="str">
            <v>CURRENT LIABILITIES AND PROVISIONS</v>
          </cell>
          <cell r="H1177" t="str">
            <v>CURRENT LIABILITIES</v>
          </cell>
          <cell r="I1177" t="str">
            <v>REALISATION UNDER AGREEMENT TO SELL</v>
          </cell>
        </row>
        <row r="1178">
          <cell r="A1178" t="str">
            <v>L505102-000-035</v>
          </cell>
          <cell r="B1178" t="str">
            <v>Third Party- Inst. Reb.- GALLERIA</v>
          </cell>
          <cell r="C1178" t="str">
            <v>LIABILITIES</v>
          </cell>
          <cell r="D1178" t="str">
            <v>BALANCE SHEET</v>
          </cell>
          <cell r="E1178">
            <v>0</v>
          </cell>
          <cell r="F1178">
            <v>0</v>
          </cell>
          <cell r="G1178" t="str">
            <v>CURRENT LIABILITIES AND PROVISIONS</v>
          </cell>
          <cell r="H1178" t="str">
            <v>CURRENT LIABILITIES</v>
          </cell>
          <cell r="I1178" t="str">
            <v>REALISATION UNDER AGREEMENT TO SELL</v>
          </cell>
        </row>
        <row r="1179">
          <cell r="A1179" t="str">
            <v>L505102-000-037</v>
          </cell>
          <cell r="B1179" t="str">
            <v>Third Party- Inst. Reb.- CENTRE POINT</v>
          </cell>
          <cell r="C1179" t="str">
            <v>LIABILITIES</v>
          </cell>
          <cell r="D1179" t="str">
            <v>BALANCE SHEET</v>
          </cell>
          <cell r="E1179">
            <v>0</v>
          </cell>
          <cell r="F1179">
            <v>0</v>
          </cell>
          <cell r="G1179" t="str">
            <v>CURRENT LIABILITIES AND PROVISIONS</v>
          </cell>
          <cell r="H1179" t="str">
            <v>CURRENT LIABILITIES</v>
          </cell>
          <cell r="I1179" t="str">
            <v>REALISATION UNDER AGREEMENT TO SELL</v>
          </cell>
        </row>
        <row r="1180">
          <cell r="A1180" t="str">
            <v>L505102-000-038</v>
          </cell>
          <cell r="B1180" t="str">
            <v>Third Party- Inst. Reb.- FARIDABAD PLO</v>
          </cell>
          <cell r="C1180" t="str">
            <v>LIABILITIES</v>
          </cell>
          <cell r="D1180" t="str">
            <v>BALANCE SHEET</v>
          </cell>
          <cell r="E1180">
            <v>0</v>
          </cell>
          <cell r="F1180">
            <v>0</v>
          </cell>
          <cell r="G1180" t="str">
            <v>CURRENT LIABILITIES AND PROVISIONS</v>
          </cell>
          <cell r="H1180" t="str">
            <v>CURRENT LIABILITIES</v>
          </cell>
          <cell r="I1180" t="str">
            <v>REALISATION UNDER AGREEMENT TO SELL</v>
          </cell>
        </row>
        <row r="1181">
          <cell r="A1181" t="str">
            <v>L505102-000-039</v>
          </cell>
          <cell r="B1181" t="str">
            <v>Third Party- Inst. Reb.- RIDGWOOD EST.</v>
          </cell>
          <cell r="C1181" t="str">
            <v>LIABILITIES</v>
          </cell>
          <cell r="D1181" t="str">
            <v>BALANCE SHEET</v>
          </cell>
          <cell r="E1181">
            <v>0</v>
          </cell>
          <cell r="F1181">
            <v>0</v>
          </cell>
          <cell r="G1181" t="str">
            <v>CURRENT LIABILITIES AND PROVISIONS</v>
          </cell>
          <cell r="H1181" t="str">
            <v>CURRENT LIABILITIES</v>
          </cell>
          <cell r="I1181" t="str">
            <v>REALISATION UNDER AGREEMENT TO SELL</v>
          </cell>
        </row>
        <row r="1182">
          <cell r="A1182" t="str">
            <v>L505102-000-040</v>
          </cell>
          <cell r="B1182" t="str">
            <v>Third Party- Inst. Reb.- OAKWOOD EST.</v>
          </cell>
          <cell r="C1182" t="str">
            <v>LIABILITIES</v>
          </cell>
          <cell r="D1182" t="str">
            <v>BALANCE SHEET</v>
          </cell>
          <cell r="E1182">
            <v>0</v>
          </cell>
          <cell r="F1182">
            <v>0</v>
          </cell>
          <cell r="G1182" t="str">
            <v>CURRENT LIABILITIES AND PROVISIONS</v>
          </cell>
          <cell r="H1182" t="str">
            <v>CURRENT LIABILITIES</v>
          </cell>
          <cell r="I1182" t="str">
            <v>REALISATION UNDER AGREEMENT TO SELL</v>
          </cell>
        </row>
        <row r="1183">
          <cell r="A1183" t="str">
            <v>L505102-000-041</v>
          </cell>
          <cell r="B1183" t="str">
            <v>Third Party- Inst. Reb.- WELLINGTON EST</v>
          </cell>
          <cell r="C1183" t="str">
            <v>LIABILITIES</v>
          </cell>
          <cell r="D1183" t="str">
            <v>BALANCE SHEET</v>
          </cell>
          <cell r="E1183">
            <v>0</v>
          </cell>
          <cell r="F1183">
            <v>0</v>
          </cell>
          <cell r="G1183" t="str">
            <v>CURRENT LIABILITIES AND PROVISIONS</v>
          </cell>
          <cell r="H1183" t="str">
            <v>CURRENT LIABILITIES</v>
          </cell>
          <cell r="I1183" t="str">
            <v>REALISATION UNDER AGREEMENT TO SELL</v>
          </cell>
        </row>
        <row r="1184">
          <cell r="A1184" t="str">
            <v>L505102-000-042</v>
          </cell>
          <cell r="B1184" t="str">
            <v>Third Party- Inst. Reb.- PLOTS PH1</v>
          </cell>
          <cell r="C1184" t="str">
            <v>LIABILITIES</v>
          </cell>
          <cell r="D1184" t="str">
            <v>BALANCE SHEET</v>
          </cell>
          <cell r="E1184">
            <v>0</v>
          </cell>
          <cell r="F1184">
            <v>0</v>
          </cell>
          <cell r="G1184" t="str">
            <v>CURRENT LIABILITIES AND PROVISIONS</v>
          </cell>
          <cell r="H1184" t="str">
            <v>CURRENT LIABILITIES</v>
          </cell>
          <cell r="I1184" t="str">
            <v>REALISATION UNDER AGREEMENT TO SELL</v>
          </cell>
        </row>
        <row r="1185">
          <cell r="A1185" t="str">
            <v>L505102-000-043</v>
          </cell>
          <cell r="B1185" t="str">
            <v>Third Party- Inst. Reb.- PLOTS PH II</v>
          </cell>
          <cell r="C1185" t="str">
            <v>LIABILITIES</v>
          </cell>
          <cell r="D1185" t="str">
            <v>BALANCE SHEET</v>
          </cell>
          <cell r="E1185">
            <v>0</v>
          </cell>
          <cell r="F1185">
            <v>0</v>
          </cell>
          <cell r="G1185" t="str">
            <v>CURRENT LIABILITIES AND PROVISIONS</v>
          </cell>
          <cell r="H1185" t="str">
            <v>CURRENT LIABILITIES</v>
          </cell>
          <cell r="I1185" t="str">
            <v>REALISATION UNDER AGREEMENT TO SELL</v>
          </cell>
        </row>
        <row r="1186">
          <cell r="A1186" t="str">
            <v>L505102-000-046</v>
          </cell>
          <cell r="B1186" t="str">
            <v>Third Party- Inst. Reb.- PRINCETON Est</v>
          </cell>
          <cell r="C1186" t="str">
            <v>LIABILITIES</v>
          </cell>
          <cell r="D1186" t="str">
            <v>BALANCE SHEET</v>
          </cell>
          <cell r="E1186">
            <v>0</v>
          </cell>
          <cell r="F1186">
            <v>0</v>
          </cell>
          <cell r="G1186" t="str">
            <v>CURRENT LIABILITIES AND PROVISIONS</v>
          </cell>
          <cell r="H1186" t="str">
            <v>CURRENT LIABILITIES</v>
          </cell>
          <cell r="I1186" t="str">
            <v>REALISATION UNDER AGREEMENT TO SELL</v>
          </cell>
        </row>
        <row r="1187">
          <cell r="A1187" t="str">
            <v>L505102-000-048</v>
          </cell>
          <cell r="B1187" t="str">
            <v>Third Party- Inst. Reb.- Indpndnt Hse</v>
          </cell>
          <cell r="C1187" t="str">
            <v>LIABILITIES</v>
          </cell>
          <cell r="D1187" t="str">
            <v>BALANCE SHEET</v>
          </cell>
          <cell r="E1187">
            <v>0</v>
          </cell>
          <cell r="F1187">
            <v>0</v>
          </cell>
          <cell r="G1187" t="str">
            <v>CURRENT LIABILITIES AND PROVISIONS</v>
          </cell>
          <cell r="H1187" t="str">
            <v>CURRENT LIABILITIES</v>
          </cell>
          <cell r="I1187" t="str">
            <v>REALISATION UNDER AGREEMENT TO SELL</v>
          </cell>
        </row>
        <row r="1188">
          <cell r="A1188" t="str">
            <v>L505102-000-049</v>
          </cell>
          <cell r="B1188" t="str">
            <v>Third Party- Inst. Reb.- REGENT HOUSES</v>
          </cell>
          <cell r="C1188" t="str">
            <v>LIABILITIES</v>
          </cell>
          <cell r="D1188" t="str">
            <v>BALANCE SHEET</v>
          </cell>
          <cell r="E1188">
            <v>0</v>
          </cell>
          <cell r="F1188">
            <v>0</v>
          </cell>
          <cell r="G1188" t="str">
            <v>CURRENT LIABILITIES AND PROVISIONS</v>
          </cell>
          <cell r="H1188" t="str">
            <v>CURRENT LIABILITIES</v>
          </cell>
          <cell r="I1188" t="str">
            <v>REALISATION UNDER AGREEMENT TO SELL</v>
          </cell>
        </row>
        <row r="1189">
          <cell r="A1189" t="str">
            <v>L505102-000-050</v>
          </cell>
          <cell r="B1189" t="str">
            <v>Third Party- Inst. Reb.- CARLTON EST.</v>
          </cell>
          <cell r="C1189" t="str">
            <v>LIABILITIES</v>
          </cell>
          <cell r="D1189" t="str">
            <v>BALANCE SHEET</v>
          </cell>
          <cell r="E1189">
            <v>0</v>
          </cell>
          <cell r="F1189">
            <v>0</v>
          </cell>
          <cell r="G1189" t="str">
            <v>CURRENT LIABILITIES AND PROVISIONS</v>
          </cell>
          <cell r="H1189" t="str">
            <v>CURRENT LIABILITIES</v>
          </cell>
          <cell r="I1189" t="str">
            <v>REALISATION UNDER AGREEMENT TO SELL</v>
          </cell>
        </row>
        <row r="1190">
          <cell r="A1190" t="str">
            <v>L505102-000-051</v>
          </cell>
          <cell r="B1190" t="str">
            <v>Third Party- Inst. Reb.- GARDEN VILLAS</v>
          </cell>
          <cell r="C1190" t="str">
            <v>LIABILITIES</v>
          </cell>
          <cell r="D1190" t="str">
            <v>BALANCE SHEET</v>
          </cell>
          <cell r="E1190">
            <v>0</v>
          </cell>
          <cell r="F1190">
            <v>0</v>
          </cell>
          <cell r="G1190" t="str">
            <v>CURRENT LIABILITIES AND PROVISIONS</v>
          </cell>
          <cell r="H1190" t="str">
            <v>CURRENT LIABILITIES</v>
          </cell>
          <cell r="I1190" t="str">
            <v>REALISATION UNDER AGREEMENT TO SELL</v>
          </cell>
        </row>
        <row r="1191">
          <cell r="A1191" t="str">
            <v>L505102-000-054</v>
          </cell>
          <cell r="B1191" t="str">
            <v>Third Party- Inst. Reb.- BELVEDERE PRK</v>
          </cell>
          <cell r="C1191" t="str">
            <v>LIABILITIES</v>
          </cell>
          <cell r="D1191" t="str">
            <v>BALANCE SHEET</v>
          </cell>
          <cell r="E1191">
            <v>0</v>
          </cell>
          <cell r="F1191">
            <v>0</v>
          </cell>
          <cell r="G1191" t="str">
            <v>CURRENT LIABILITIES AND PROVISIONS</v>
          </cell>
          <cell r="H1191" t="str">
            <v>CURRENT LIABILITIES</v>
          </cell>
          <cell r="I1191" t="str">
            <v>REALISATION UNDER AGREEMENT TO SELL</v>
          </cell>
        </row>
        <row r="1192">
          <cell r="A1192" t="str">
            <v>L505102-000-055</v>
          </cell>
          <cell r="B1192" t="str">
            <v>Third Party- Inst. Reb.- BELVEDERE TOW</v>
          </cell>
          <cell r="C1192" t="str">
            <v>LIABILITIES</v>
          </cell>
          <cell r="D1192" t="str">
            <v>BALANCE SHEET</v>
          </cell>
          <cell r="E1192">
            <v>0</v>
          </cell>
          <cell r="F1192">
            <v>0</v>
          </cell>
          <cell r="G1192" t="str">
            <v>CURRENT LIABILITIES AND PROVISIONS</v>
          </cell>
          <cell r="H1192" t="str">
            <v>CURRENT LIABILITIES</v>
          </cell>
          <cell r="I1192" t="str">
            <v>REALISATION UNDER AGREEMENT TO SELL</v>
          </cell>
        </row>
        <row r="1193">
          <cell r="A1193" t="str">
            <v>L505102-000-056</v>
          </cell>
          <cell r="B1193" t="str">
            <v>Third Party- Inst. Reb.- DLF CITY CENT</v>
          </cell>
          <cell r="C1193" t="str">
            <v>LIABILITIES</v>
          </cell>
          <cell r="D1193" t="str">
            <v>BALANCE SHEET</v>
          </cell>
          <cell r="E1193">
            <v>0</v>
          </cell>
          <cell r="F1193">
            <v>0</v>
          </cell>
          <cell r="G1193" t="str">
            <v>CURRENT LIABILITIES AND PROVISIONS</v>
          </cell>
          <cell r="H1193" t="str">
            <v>CURRENT LIABILITIES</v>
          </cell>
          <cell r="I1193" t="str">
            <v>REALISATION UNDER AGREEMENT TO SELL</v>
          </cell>
        </row>
        <row r="1194">
          <cell r="A1194" t="str">
            <v>L505102-000-058</v>
          </cell>
          <cell r="B1194" t="str">
            <v>Third Party- Inst. Reb.- DLF Excl Flrs</v>
          </cell>
          <cell r="C1194" t="str">
            <v>LIABILITIES</v>
          </cell>
          <cell r="D1194" t="str">
            <v>BALANCE SHEET</v>
          </cell>
          <cell r="E1194">
            <v>0</v>
          </cell>
          <cell r="F1194">
            <v>0</v>
          </cell>
          <cell r="G1194" t="str">
            <v>CURRENT LIABILITIES AND PROVISIONS</v>
          </cell>
          <cell r="H1194" t="str">
            <v>CURRENT LIABILITIES</v>
          </cell>
          <cell r="I1194" t="str">
            <v>REALISATION UNDER AGREEMENT TO SELL</v>
          </cell>
        </row>
        <row r="1195">
          <cell r="A1195" t="str">
            <v>L505102-000-059</v>
          </cell>
          <cell r="B1195" t="str">
            <v>Third Party- Inst. Reb.- DLF MOULSARI AR</v>
          </cell>
          <cell r="C1195" t="str">
            <v>LIABILITIES</v>
          </cell>
          <cell r="D1195" t="str">
            <v>BALANCE SHEET</v>
          </cell>
          <cell r="E1195">
            <v>0</v>
          </cell>
          <cell r="F1195">
            <v>0</v>
          </cell>
          <cell r="G1195" t="str">
            <v>CURRENT LIABILITIES AND PROVISIONS</v>
          </cell>
          <cell r="H1195" t="str">
            <v>CURRENT LIABILITIES</v>
          </cell>
          <cell r="I1195" t="str">
            <v>REALISATION UNDER AGREEMENT TO SELL</v>
          </cell>
        </row>
        <row r="1196">
          <cell r="A1196" t="str">
            <v>L505102-000-060</v>
          </cell>
          <cell r="B1196" t="str">
            <v>Third Party- Inst. Reb.- TRINITY TOWER</v>
          </cell>
          <cell r="C1196" t="str">
            <v>LIABILITIES</v>
          </cell>
          <cell r="D1196" t="str">
            <v>BALANCE SHEET</v>
          </cell>
          <cell r="E1196">
            <v>0</v>
          </cell>
          <cell r="F1196">
            <v>0</v>
          </cell>
          <cell r="G1196" t="str">
            <v>CURRENT LIABILITIES AND PROVISIONS</v>
          </cell>
          <cell r="H1196" t="str">
            <v>CURRENT LIABILITIES</v>
          </cell>
          <cell r="I1196" t="str">
            <v>REALISATION UNDER AGREEMENT TO SELL</v>
          </cell>
        </row>
        <row r="1197">
          <cell r="A1197" t="str">
            <v>L505102-000-061</v>
          </cell>
          <cell r="B1197" t="str">
            <v>Third Party- Inst. Reb.- DLF GRAND MAL</v>
          </cell>
          <cell r="C1197" t="str">
            <v>LIABILITIES</v>
          </cell>
          <cell r="D1197" t="str">
            <v>BALANCE SHEET</v>
          </cell>
          <cell r="E1197">
            <v>0</v>
          </cell>
          <cell r="F1197">
            <v>0</v>
          </cell>
          <cell r="G1197" t="str">
            <v>CURRENT LIABILITIES AND PROVISIONS</v>
          </cell>
          <cell r="H1197" t="str">
            <v>CURRENT LIABILITIES</v>
          </cell>
          <cell r="I1197" t="str">
            <v>REALISATION UNDER AGREEMENT TO SELL</v>
          </cell>
        </row>
        <row r="1198">
          <cell r="A1198" t="str">
            <v>L505102-000-062</v>
          </cell>
          <cell r="B1198" t="str">
            <v>Third Party- Inst. Reb.- THE ARALIAS</v>
          </cell>
          <cell r="C1198" t="str">
            <v>LIABILITIES</v>
          </cell>
          <cell r="D1198" t="str">
            <v>BALANCE SHEET</v>
          </cell>
          <cell r="E1198">
            <v>0</v>
          </cell>
          <cell r="F1198">
            <v>0</v>
          </cell>
          <cell r="G1198" t="str">
            <v>CURRENT LIABILITIES AND PROVISIONS</v>
          </cell>
          <cell r="H1198" t="str">
            <v>CURRENT LIABILITIES</v>
          </cell>
          <cell r="I1198" t="str">
            <v>REALISATION UNDER AGREEMENT TO SELL</v>
          </cell>
        </row>
        <row r="1199">
          <cell r="A1199" t="str">
            <v>L505102-000-064</v>
          </cell>
          <cell r="B1199" t="str">
            <v>Third Party- Inst. Reb.- WESTEND Hghts</v>
          </cell>
          <cell r="C1199" t="str">
            <v>LIABILITIES</v>
          </cell>
          <cell r="D1199" t="str">
            <v>BALANCE SHEET</v>
          </cell>
          <cell r="E1199">
            <v>0</v>
          </cell>
          <cell r="F1199">
            <v>0</v>
          </cell>
          <cell r="G1199" t="str">
            <v>CURRENT LIABILITIES AND PROVISIONS</v>
          </cell>
          <cell r="H1199" t="str">
            <v>CURRENT LIABILITIES</v>
          </cell>
          <cell r="I1199" t="str">
            <v>REALISATION UNDER AGREEMENT TO SELL</v>
          </cell>
        </row>
        <row r="1200">
          <cell r="A1200" t="str">
            <v>L505102-000-069</v>
          </cell>
          <cell r="B1200" t="str">
            <v>Third Party- Inst. Reb.- THE PINNACLE</v>
          </cell>
          <cell r="C1200" t="str">
            <v>LIABILITIES</v>
          </cell>
          <cell r="D1200" t="str">
            <v>BALANCE SHEET</v>
          </cell>
          <cell r="E1200">
            <v>0</v>
          </cell>
          <cell r="F1200">
            <v>0</v>
          </cell>
          <cell r="G1200" t="str">
            <v>CURRENT LIABILITIES AND PROVISIONS</v>
          </cell>
          <cell r="H1200" t="str">
            <v>CURRENT LIABILITIES</v>
          </cell>
          <cell r="I1200" t="str">
            <v>REALISATION UNDER AGREEMENT TO SELL</v>
          </cell>
        </row>
        <row r="1201">
          <cell r="A1201" t="str">
            <v>L505102-000-070</v>
          </cell>
          <cell r="B1201" t="str">
            <v>Third Party- Inst. Reb.- ROYALTON TOWE</v>
          </cell>
          <cell r="C1201" t="str">
            <v>LIABILITIES</v>
          </cell>
          <cell r="D1201" t="str">
            <v>BALANCE SHEET</v>
          </cell>
          <cell r="E1201">
            <v>0</v>
          </cell>
          <cell r="F1201">
            <v>0</v>
          </cell>
          <cell r="G1201" t="str">
            <v>CURRENT LIABILITIES AND PROVISIONS</v>
          </cell>
          <cell r="H1201" t="str">
            <v>CURRENT LIABILITIES</v>
          </cell>
          <cell r="I1201" t="str">
            <v>REALISATION UNDER AGREEMENT TO SELL</v>
          </cell>
        </row>
        <row r="1202">
          <cell r="A1202" t="str">
            <v>L505102-000-071</v>
          </cell>
          <cell r="B1202" t="str">
            <v>Third Party- Inst. Reb.- THE ICON</v>
          </cell>
          <cell r="C1202" t="str">
            <v>LIABILITIES</v>
          </cell>
          <cell r="D1202" t="str">
            <v>BALANCE SHEET</v>
          </cell>
          <cell r="E1202">
            <v>0</v>
          </cell>
          <cell r="F1202">
            <v>0</v>
          </cell>
          <cell r="G1202" t="str">
            <v>CURRENT LIABILITIES AND PROVISIONS</v>
          </cell>
          <cell r="H1202" t="str">
            <v>CURRENT LIABILITIES</v>
          </cell>
          <cell r="I1202" t="str">
            <v>REALISATION UNDER AGREEMENT TO SELL</v>
          </cell>
        </row>
        <row r="1203">
          <cell r="A1203" t="str">
            <v>L505102-000-075</v>
          </cell>
          <cell r="B1203" t="str">
            <v>Third Party- Inst. Reb.- SUMMIT</v>
          </cell>
          <cell r="C1203" t="str">
            <v>LIABILITIES</v>
          </cell>
          <cell r="D1203" t="str">
            <v>BALANCE SHEET</v>
          </cell>
          <cell r="E1203">
            <v>0</v>
          </cell>
          <cell r="F1203">
            <v>0</v>
          </cell>
          <cell r="G1203" t="str">
            <v>CURRENT LIABILITIES AND PROVISIONS</v>
          </cell>
          <cell r="H1203" t="str">
            <v>CURRENT LIABILITIES</v>
          </cell>
          <cell r="I1203" t="str">
            <v>REALISATION UNDER AGREEMENT TO SELL</v>
          </cell>
        </row>
        <row r="1204">
          <cell r="A1204" t="str">
            <v>L505102-000-076</v>
          </cell>
          <cell r="B1204" t="str">
            <v>Third Party- Inst. Reb.- THE COURTYARD</v>
          </cell>
          <cell r="C1204" t="str">
            <v>LIABILITIES</v>
          </cell>
          <cell r="D1204" t="str">
            <v>BALANCE SHEET</v>
          </cell>
          <cell r="E1204">
            <v>0</v>
          </cell>
          <cell r="F1204">
            <v>0</v>
          </cell>
          <cell r="G1204" t="str">
            <v>CURRENT LIABILITIES AND PROVISIONS</v>
          </cell>
          <cell r="H1204" t="str">
            <v>CURRENT LIABILITIES</v>
          </cell>
          <cell r="I1204" t="str">
            <v>REALISATION UNDER AGREEMENT TO SELL</v>
          </cell>
        </row>
        <row r="1205">
          <cell r="A1205" t="str">
            <v>L505102-000-080</v>
          </cell>
          <cell r="B1205" t="str">
            <v>Third Party- Inst. Reb.- THE MAGNOLIAS</v>
          </cell>
          <cell r="C1205" t="str">
            <v>LIABILITIES</v>
          </cell>
          <cell r="D1205" t="str">
            <v>BALANCE SHEET</v>
          </cell>
          <cell r="E1205">
            <v>0</v>
          </cell>
          <cell r="F1205">
            <v>0</v>
          </cell>
          <cell r="G1205" t="str">
            <v>CURRENT LIABILITIES AND PROVISIONS</v>
          </cell>
          <cell r="H1205" t="str">
            <v>CURRENT LIABILITIES</v>
          </cell>
          <cell r="I1205" t="str">
            <v>REALISATION UNDER AGREEMENT TO SELL</v>
          </cell>
        </row>
        <row r="1206">
          <cell r="A1206" t="str">
            <v>L505102-000-085</v>
          </cell>
          <cell r="B1206" t="str">
            <v>Third Party- Inst. Reb.- DLF CITY COUR</v>
          </cell>
          <cell r="C1206" t="str">
            <v>LIABILITIES</v>
          </cell>
          <cell r="D1206" t="str">
            <v>BALANCE SHEET</v>
          </cell>
          <cell r="E1206">
            <v>0</v>
          </cell>
          <cell r="F1206">
            <v>0</v>
          </cell>
          <cell r="G1206" t="str">
            <v>CURRENT LIABILITIES AND PROVISIONS</v>
          </cell>
          <cell r="H1206" t="str">
            <v>CURRENT LIABILITIES</v>
          </cell>
          <cell r="I1206" t="str">
            <v>REALISATION UNDER AGREEMENT TO SELL</v>
          </cell>
        </row>
        <row r="1207">
          <cell r="A1207" t="str">
            <v>L505102-000-088</v>
          </cell>
          <cell r="B1207" t="str">
            <v>Third Party- Inst. Reb.- THE BELAIRE</v>
          </cell>
          <cell r="C1207" t="str">
            <v>LIABILITIES</v>
          </cell>
          <cell r="D1207" t="str">
            <v>BALANCE SHEET</v>
          </cell>
          <cell r="E1207">
            <v>0</v>
          </cell>
          <cell r="F1207">
            <v>0</v>
          </cell>
          <cell r="G1207" t="str">
            <v>CURRENT LIABILITIES AND PROVISIONS</v>
          </cell>
          <cell r="H1207" t="str">
            <v>CURRENT LIABILITIES</v>
          </cell>
          <cell r="I1207" t="str">
            <v>REALISATION UNDER AGREEMENT TO SELL</v>
          </cell>
        </row>
        <row r="1208">
          <cell r="A1208" t="str">
            <v>L505103-000-012</v>
          </cell>
          <cell r="B1208" t="str">
            <v>Third Party- Gen Chrges- HAMILTON  Prkn</v>
          </cell>
          <cell r="C1208" t="str">
            <v>LIABILITIES</v>
          </cell>
          <cell r="D1208" t="str">
            <v>BALANCE SHEET</v>
          </cell>
          <cell r="E1208">
            <v>0</v>
          </cell>
          <cell r="F1208">
            <v>0</v>
          </cell>
          <cell r="G1208" t="str">
            <v>CURRENT LIABILITIES AND PROVISIONS</v>
          </cell>
          <cell r="H1208" t="str">
            <v>CURRENT LIABILITIES</v>
          </cell>
          <cell r="I1208" t="str">
            <v>REALISATION UNDER AGREEMENT TO SELL</v>
          </cell>
        </row>
        <row r="1209">
          <cell r="A1209" t="str">
            <v>L505103-000-013</v>
          </cell>
          <cell r="B1209" t="str">
            <v>Third Party- Gen Chrges- HAMILTON COURT</v>
          </cell>
          <cell r="C1209" t="str">
            <v>LIABILITIES</v>
          </cell>
          <cell r="D1209" t="str">
            <v>BALANCE SHEET</v>
          </cell>
          <cell r="E1209">
            <v>0</v>
          </cell>
          <cell r="F1209">
            <v>0</v>
          </cell>
          <cell r="G1209" t="str">
            <v>CURRENT LIABILITIES AND PROVISIONS</v>
          </cell>
          <cell r="H1209" t="str">
            <v>CURRENT LIABILITIES</v>
          </cell>
          <cell r="I1209" t="str">
            <v>REALISATION UNDER AGREEMENT TO SELL</v>
          </cell>
        </row>
        <row r="1210">
          <cell r="A1210" t="str">
            <v>L505103-000-019</v>
          </cell>
          <cell r="B1210" t="str">
            <v>Third Party- Gen Chrges- REGENCY PARK</v>
          </cell>
          <cell r="C1210" t="str">
            <v>LIABILITIES</v>
          </cell>
          <cell r="D1210" t="str">
            <v>BALANCE SHEET</v>
          </cell>
          <cell r="E1210">
            <v>0</v>
          </cell>
          <cell r="F1210">
            <v>0</v>
          </cell>
          <cell r="G1210" t="str">
            <v>CURRENT LIABILITIES AND PROVISIONS</v>
          </cell>
          <cell r="H1210" t="str">
            <v>CURRENT LIABILITIES</v>
          </cell>
          <cell r="I1210" t="str">
            <v>REALISATION UNDER AGREEMENT TO SELL</v>
          </cell>
        </row>
        <row r="1211">
          <cell r="A1211" t="str">
            <v>L505103-000-020</v>
          </cell>
          <cell r="B1211" t="str">
            <v>Third Party- Gen Chrges- REGENCY PRK PKG</v>
          </cell>
          <cell r="C1211" t="str">
            <v>LIABILITIES</v>
          </cell>
          <cell r="D1211" t="str">
            <v>BALANCE SHEET</v>
          </cell>
          <cell r="E1211">
            <v>0</v>
          </cell>
          <cell r="F1211">
            <v>0</v>
          </cell>
          <cell r="G1211" t="str">
            <v>CURRENT LIABILITIES AND PROVISIONS</v>
          </cell>
          <cell r="H1211" t="str">
            <v>CURRENT LIABILITIES</v>
          </cell>
          <cell r="I1211" t="str">
            <v>REALISATION UNDER AGREEMENT TO SELL</v>
          </cell>
        </row>
        <row r="1212">
          <cell r="A1212" t="str">
            <v>L505103-000-022</v>
          </cell>
          <cell r="B1212" t="str">
            <v>Third Party- Gen Chrges- RICHMOND PARK</v>
          </cell>
          <cell r="C1212" t="str">
            <v>LIABILITIES</v>
          </cell>
          <cell r="D1212" t="str">
            <v>BALANCE SHEET</v>
          </cell>
          <cell r="E1212">
            <v>0</v>
          </cell>
          <cell r="F1212">
            <v>0</v>
          </cell>
          <cell r="G1212" t="str">
            <v>CURRENT LIABILITIES AND PROVISIONS</v>
          </cell>
          <cell r="H1212" t="str">
            <v>CURRENT LIABILITIES</v>
          </cell>
          <cell r="I1212" t="str">
            <v>REALISATION UNDER AGREEMENT TO SELL</v>
          </cell>
        </row>
        <row r="1213">
          <cell r="A1213" t="str">
            <v>L505103-000-034</v>
          </cell>
          <cell r="B1213" t="str">
            <v>Third Party- Gen Chrges- WINDSOR COURT</v>
          </cell>
          <cell r="C1213" t="str">
            <v>LIABILITIES</v>
          </cell>
          <cell r="D1213" t="str">
            <v>BALANCE SHEET</v>
          </cell>
          <cell r="E1213">
            <v>0</v>
          </cell>
          <cell r="F1213">
            <v>0</v>
          </cell>
          <cell r="G1213" t="str">
            <v>CURRENT LIABILITIES AND PROVISIONS</v>
          </cell>
          <cell r="H1213" t="str">
            <v>CURRENT LIABILITIES</v>
          </cell>
          <cell r="I1213" t="str">
            <v>REALISATION UNDER AGREEMENT TO SELL</v>
          </cell>
        </row>
        <row r="1214">
          <cell r="A1214" t="str">
            <v>L505104-000-000</v>
          </cell>
          <cell r="B1214" t="str">
            <v>Third Party- Ext Light Fitting</v>
          </cell>
          <cell r="C1214" t="str">
            <v>LIABILITIES</v>
          </cell>
          <cell r="D1214" t="str">
            <v>BALANCE SHEET</v>
          </cell>
          <cell r="E1214">
            <v>0</v>
          </cell>
          <cell r="F1214">
            <v>0</v>
          </cell>
          <cell r="G1214" t="str">
            <v>CURRENT LIABILITIES AND PROVISIONS</v>
          </cell>
          <cell r="H1214" t="str">
            <v>CURRENT LIABILITIES</v>
          </cell>
          <cell r="I1214" t="str">
            <v>REALISATION UNDER AGREEMENT TO SELL</v>
          </cell>
        </row>
        <row r="1215">
          <cell r="A1215" t="str">
            <v>L505104-000-001</v>
          </cell>
          <cell r="B1215" t="str">
            <v>Third Party- Ext Light Fit- ANKUR VI</v>
          </cell>
          <cell r="C1215" t="str">
            <v>LIABILITIES</v>
          </cell>
          <cell r="D1215" t="str">
            <v>BALANCE SHEET</v>
          </cell>
          <cell r="E1215">
            <v>0</v>
          </cell>
          <cell r="F1215">
            <v>0</v>
          </cell>
          <cell r="G1215" t="str">
            <v>CURRENT LIABILITIES AND PROVISIONS</v>
          </cell>
          <cell r="H1215" t="str">
            <v>CURRENT LIABILITIES</v>
          </cell>
          <cell r="I1215" t="str">
            <v>REALISATION UNDER AGREEMENT TO SELL</v>
          </cell>
        </row>
        <row r="1216">
          <cell r="A1216" t="str">
            <v>L505104-000-006</v>
          </cell>
          <cell r="B1216" t="str">
            <v>Third Party- Ext Light Fit- CEN. ARC.</v>
          </cell>
          <cell r="C1216" t="str">
            <v>LIABILITIES</v>
          </cell>
          <cell r="D1216" t="str">
            <v>BALANCE SHEET</v>
          </cell>
          <cell r="E1216">
            <v>0</v>
          </cell>
          <cell r="F1216">
            <v>0</v>
          </cell>
          <cell r="G1216" t="str">
            <v>CURRENT LIABILITIES AND PROVISIONS</v>
          </cell>
          <cell r="H1216" t="str">
            <v>CURRENT LIABILITIES</v>
          </cell>
          <cell r="I1216" t="str">
            <v>REALISATION UNDER AGREEMENT TO SELL</v>
          </cell>
        </row>
        <row r="1217">
          <cell r="A1217" t="str">
            <v>L505104-000-009</v>
          </cell>
          <cell r="B1217" t="str">
            <v>Third Party- Ext Light Fit- DILS. LOT</v>
          </cell>
          <cell r="C1217" t="str">
            <v>LIABILITIES</v>
          </cell>
          <cell r="D1217" t="str">
            <v>BALANCE SHEET</v>
          </cell>
          <cell r="E1217">
            <v>0</v>
          </cell>
          <cell r="F1217">
            <v>0</v>
          </cell>
          <cell r="G1217" t="str">
            <v>CURRENT LIABILITIES AND PROVISIONS</v>
          </cell>
          <cell r="H1217" t="str">
            <v>CURRENT LIABILITIES</v>
          </cell>
          <cell r="I1217" t="str">
            <v>REALISATION UNDER AGREEMENT TO SELL</v>
          </cell>
        </row>
        <row r="1218">
          <cell r="A1218" t="str">
            <v>L505104-000-010</v>
          </cell>
          <cell r="B1218" t="str">
            <v>Third Party- Ext Light Fit-DILS. PLZ</v>
          </cell>
          <cell r="C1218" t="str">
            <v>LIABILITIES</v>
          </cell>
          <cell r="D1218" t="str">
            <v>BALANCE SHEET</v>
          </cell>
          <cell r="E1218">
            <v>0</v>
          </cell>
          <cell r="F1218">
            <v>0</v>
          </cell>
          <cell r="G1218" t="str">
            <v>CURRENT LIABILITIES AND PROVISIONS</v>
          </cell>
          <cell r="H1218" t="str">
            <v>CURRENT LIABILITIES</v>
          </cell>
          <cell r="I1218" t="str">
            <v>REALISATION UNDER AGREEMENT TO SELL</v>
          </cell>
        </row>
        <row r="1219">
          <cell r="A1219" t="str">
            <v>L505104-000-012</v>
          </cell>
          <cell r="B1219" t="str">
            <v>Third Party- Ext Light Fit- HAMILTON PKG</v>
          </cell>
          <cell r="C1219" t="str">
            <v>LIABILITIES</v>
          </cell>
          <cell r="D1219" t="str">
            <v>BALANCE SHEET</v>
          </cell>
          <cell r="E1219">
            <v>0</v>
          </cell>
          <cell r="F1219">
            <v>0</v>
          </cell>
          <cell r="G1219" t="str">
            <v>CURRENT LIABILITIES AND PROVISIONS</v>
          </cell>
          <cell r="H1219" t="str">
            <v>CURRENT LIABILITIES</v>
          </cell>
          <cell r="I1219" t="str">
            <v>REALISATION UNDER AGREEMENT TO SELL</v>
          </cell>
        </row>
        <row r="1220">
          <cell r="A1220" t="str">
            <v>L505104-000-014</v>
          </cell>
          <cell r="B1220" t="str">
            <v>Third Party- Ext Light Fit- NEW TOWN</v>
          </cell>
          <cell r="C1220" t="str">
            <v>LIABILITIES</v>
          </cell>
          <cell r="D1220" t="str">
            <v>BALANCE SHEET</v>
          </cell>
          <cell r="E1220">
            <v>0</v>
          </cell>
          <cell r="F1220">
            <v>0</v>
          </cell>
          <cell r="G1220" t="str">
            <v>CURRENT LIABILITIES AND PROVISIONS</v>
          </cell>
          <cell r="H1220" t="str">
            <v>CURRENT LIABILITIES</v>
          </cell>
          <cell r="I1220" t="str">
            <v>REALISATION UNDER AGREEMENT TO SELL</v>
          </cell>
        </row>
        <row r="1221">
          <cell r="A1221" t="str">
            <v>L505104-000-017</v>
          </cell>
          <cell r="B1221" t="str">
            <v>Third Party- Ext Light Fit- QEC Ph4</v>
          </cell>
          <cell r="C1221" t="str">
            <v>LIABILITIES</v>
          </cell>
          <cell r="D1221" t="str">
            <v>BALANCE SHEET</v>
          </cell>
          <cell r="E1221">
            <v>0</v>
          </cell>
          <cell r="F1221">
            <v>0</v>
          </cell>
          <cell r="G1221" t="str">
            <v>CURRENT LIABILITIES AND PROVISIONS</v>
          </cell>
          <cell r="H1221" t="str">
            <v>CURRENT LIABILITIES</v>
          </cell>
          <cell r="I1221" t="str">
            <v>REALISATION UNDER AGREEMENT TO SELL</v>
          </cell>
        </row>
        <row r="1222">
          <cell r="A1222" t="str">
            <v>L505104-000-019</v>
          </cell>
          <cell r="B1222" t="str">
            <v>Third Party- Ext Light Fit- REGENCY</v>
          </cell>
          <cell r="C1222" t="str">
            <v>LIABILITIES</v>
          </cell>
          <cell r="D1222" t="str">
            <v>BALANCE SHEET</v>
          </cell>
          <cell r="E1222">
            <v>0</v>
          </cell>
          <cell r="F1222">
            <v>0</v>
          </cell>
          <cell r="G1222" t="str">
            <v>CURRENT LIABILITIES AND PROVISIONS</v>
          </cell>
          <cell r="H1222" t="str">
            <v>CURRENT LIABILITIES</v>
          </cell>
          <cell r="I1222" t="str">
            <v>REALISATION UNDER AGREEMENT TO SELL</v>
          </cell>
        </row>
        <row r="1223">
          <cell r="A1223" t="str">
            <v>L505104-000-020</v>
          </cell>
          <cell r="B1223" t="str">
            <v>Third Party- Ext Light Fit- REG. PKG</v>
          </cell>
          <cell r="C1223" t="str">
            <v>LIABILITIES</v>
          </cell>
          <cell r="D1223" t="str">
            <v>BALANCE SHEET</v>
          </cell>
          <cell r="E1223">
            <v>0</v>
          </cell>
          <cell r="F1223">
            <v>0</v>
          </cell>
          <cell r="G1223" t="str">
            <v>CURRENT LIABILITIES AND PROVISIONS</v>
          </cell>
          <cell r="H1223" t="str">
            <v>CURRENT LIABILITIES</v>
          </cell>
          <cell r="I1223" t="str">
            <v>REALISATION UNDER AGREEMENT TO SELL</v>
          </cell>
        </row>
        <row r="1224">
          <cell r="A1224" t="str">
            <v>L505104-000-023</v>
          </cell>
          <cell r="B1224" t="str">
            <v>Third Party- Ext Light Fit- SUPER MART-2</v>
          </cell>
          <cell r="C1224" t="str">
            <v>LIABILITIES</v>
          </cell>
          <cell r="D1224" t="str">
            <v>BALANCE SHEET</v>
          </cell>
          <cell r="E1224">
            <v>0</v>
          </cell>
          <cell r="F1224">
            <v>0</v>
          </cell>
          <cell r="G1224" t="str">
            <v>CURRENT LIABILITIES AND PROVISIONS</v>
          </cell>
          <cell r="H1224" t="str">
            <v>CURRENT LIABILITIES</v>
          </cell>
          <cell r="I1224" t="str">
            <v>REALISATION UNDER AGREEMENT TO SELL</v>
          </cell>
        </row>
        <row r="1225">
          <cell r="A1225" t="str">
            <v>L505104-000-028</v>
          </cell>
          <cell r="B1225" t="str">
            <v>Third Party- Ext Light Fit- SILVER O</v>
          </cell>
          <cell r="C1225" t="str">
            <v>LIABILITIES</v>
          </cell>
          <cell r="D1225" t="str">
            <v>BALANCE SHEET</v>
          </cell>
          <cell r="E1225">
            <v>0</v>
          </cell>
          <cell r="F1225">
            <v>0</v>
          </cell>
          <cell r="G1225" t="str">
            <v>CURRENT LIABILITIES AND PROVISIONS</v>
          </cell>
          <cell r="H1225" t="str">
            <v>CURRENT LIABILITIES</v>
          </cell>
          <cell r="I1225" t="str">
            <v>REALISATION UNDER AGREEMENT TO SELL</v>
          </cell>
        </row>
        <row r="1226">
          <cell r="A1226" t="str">
            <v>L505104-000-029</v>
          </cell>
          <cell r="B1226" t="str">
            <v>Third Party- Ext Light Fit- SILV OAK PKG</v>
          </cell>
          <cell r="C1226" t="str">
            <v>LIABILITIES</v>
          </cell>
          <cell r="D1226" t="str">
            <v>BALANCE SHEET</v>
          </cell>
          <cell r="E1226">
            <v>0</v>
          </cell>
          <cell r="F1226">
            <v>0</v>
          </cell>
          <cell r="G1226" t="str">
            <v>CURRENT LIABILITIES AND PROVISIONS</v>
          </cell>
          <cell r="H1226" t="str">
            <v>CURRENT LIABILITIES</v>
          </cell>
          <cell r="I1226" t="str">
            <v>REALISATION UNDER AGREEMENT TO SELL</v>
          </cell>
        </row>
        <row r="1227">
          <cell r="A1227" t="str">
            <v>L505104-000-036</v>
          </cell>
          <cell r="B1227" t="str">
            <v>Third Party- Ext Light Fit- QUTB PLA</v>
          </cell>
          <cell r="C1227" t="str">
            <v>LIABILITIES</v>
          </cell>
          <cell r="D1227" t="str">
            <v>BALANCE SHEET</v>
          </cell>
          <cell r="E1227">
            <v>0</v>
          </cell>
          <cell r="F1227">
            <v>0</v>
          </cell>
          <cell r="G1227" t="str">
            <v>CURRENT LIABILITIES AND PROVISIONS</v>
          </cell>
          <cell r="H1227" t="str">
            <v>CURRENT LIABILITIES</v>
          </cell>
          <cell r="I1227" t="str">
            <v>REALISATION UNDER AGREEMENT TO SELL</v>
          </cell>
        </row>
        <row r="1228">
          <cell r="A1228" t="str">
            <v>L505104-000-037</v>
          </cell>
          <cell r="B1228" t="str">
            <v>Third Party- Ext Light Fit- CENTR PT</v>
          </cell>
          <cell r="C1228" t="str">
            <v>LIABILITIES</v>
          </cell>
          <cell r="D1228" t="str">
            <v>BALANCE SHEET</v>
          </cell>
          <cell r="E1228">
            <v>0</v>
          </cell>
          <cell r="F1228">
            <v>0</v>
          </cell>
          <cell r="G1228" t="str">
            <v>CURRENT LIABILITIES AND PROVISIONS</v>
          </cell>
          <cell r="H1228" t="str">
            <v>CURRENT LIABILITIES</v>
          </cell>
          <cell r="I1228" t="str">
            <v>REALISATION UNDER AGREEMENT TO SELL</v>
          </cell>
        </row>
        <row r="1229">
          <cell r="A1229" t="str">
            <v>L505104-000-042</v>
          </cell>
          <cell r="B1229" t="str">
            <v>Third Party- Ext Light Fit- QEC I</v>
          </cell>
          <cell r="C1229" t="str">
            <v>LIABILITIES</v>
          </cell>
          <cell r="D1229" t="str">
            <v>BALANCE SHEET</v>
          </cell>
          <cell r="E1229">
            <v>0</v>
          </cell>
          <cell r="F1229">
            <v>0</v>
          </cell>
          <cell r="G1229" t="str">
            <v>CURRENT LIABILITIES AND PROVISIONS</v>
          </cell>
          <cell r="H1229" t="str">
            <v>CURRENT LIABILITIES</v>
          </cell>
          <cell r="I1229" t="str">
            <v>REALISATION UNDER AGREEMENT TO SELL</v>
          </cell>
        </row>
        <row r="1230">
          <cell r="A1230" t="str">
            <v>L505104-000-043</v>
          </cell>
          <cell r="B1230" t="str">
            <v>Third Party- Ext Light Fit- QEC II</v>
          </cell>
          <cell r="C1230" t="str">
            <v>LIABILITIES</v>
          </cell>
          <cell r="D1230" t="str">
            <v>BALANCE SHEET</v>
          </cell>
          <cell r="E1230">
            <v>0</v>
          </cell>
          <cell r="F1230">
            <v>0</v>
          </cell>
          <cell r="G1230" t="str">
            <v>CURRENT LIABILITIES AND PROVISIONS</v>
          </cell>
          <cell r="H1230" t="str">
            <v>CURRENT LIABILITIES</v>
          </cell>
          <cell r="I1230" t="str">
            <v>REALISATION UNDER AGREEMENT TO SELL</v>
          </cell>
        </row>
        <row r="1231">
          <cell r="A1231" t="str">
            <v>L505104-000-044</v>
          </cell>
          <cell r="B1231" t="str">
            <v>Third Party- Ext Light Fit- QEC III</v>
          </cell>
          <cell r="C1231" t="str">
            <v>LIABILITIES</v>
          </cell>
          <cell r="D1231" t="str">
            <v>BALANCE SHEET</v>
          </cell>
          <cell r="E1231">
            <v>0</v>
          </cell>
          <cell r="F1231">
            <v>0</v>
          </cell>
          <cell r="G1231" t="str">
            <v>CURRENT LIABILITIES AND PROVISIONS</v>
          </cell>
          <cell r="H1231" t="str">
            <v>CURRENT LIABILITIES</v>
          </cell>
          <cell r="I1231" t="str">
            <v>REALISATION UNDER AGREEMENT TO SELL</v>
          </cell>
        </row>
        <row r="1232">
          <cell r="A1232" t="str">
            <v>L505105-000-000</v>
          </cell>
          <cell r="B1232" t="str">
            <v>Third Party- Fire Fighting</v>
          </cell>
          <cell r="C1232" t="str">
            <v>LIABILITIES</v>
          </cell>
          <cell r="D1232" t="str">
            <v>BALANCE SHEET</v>
          </cell>
          <cell r="E1232">
            <v>0</v>
          </cell>
          <cell r="F1232">
            <v>0</v>
          </cell>
          <cell r="G1232" t="str">
            <v>CURRENT LIABILITIES AND PROVISIONS</v>
          </cell>
          <cell r="H1232" t="str">
            <v>CURRENT LIABILITIES</v>
          </cell>
          <cell r="I1232" t="str">
            <v>REALISATION UNDER AGREEMENT TO SELL</v>
          </cell>
        </row>
        <row r="1233">
          <cell r="A1233" t="str">
            <v>L505105-000-005</v>
          </cell>
          <cell r="B1233" t="str">
            <v>Third Party- Fire Fighting- BEVERLY PRK2</v>
          </cell>
          <cell r="C1233" t="str">
            <v>LIABILITIES</v>
          </cell>
          <cell r="D1233" t="str">
            <v>BALANCE SHEET</v>
          </cell>
          <cell r="E1233">
            <v>0</v>
          </cell>
          <cell r="F1233">
            <v>0</v>
          </cell>
          <cell r="G1233" t="str">
            <v>CURRENT LIABILITIES AND PROVISIONS</v>
          </cell>
          <cell r="H1233" t="str">
            <v>CURRENT LIABILITIES</v>
          </cell>
          <cell r="I1233" t="str">
            <v>REALISATION UNDER AGREEMENT TO SELL</v>
          </cell>
        </row>
        <row r="1234">
          <cell r="A1234" t="str">
            <v>L505105-000-010</v>
          </cell>
          <cell r="B1234" t="str">
            <v>Third Party- Fire Fighting- DILSHAD PLAZ</v>
          </cell>
          <cell r="C1234" t="str">
            <v>LIABILITIES</v>
          </cell>
          <cell r="D1234" t="str">
            <v>BALANCE SHEET</v>
          </cell>
          <cell r="E1234">
            <v>0</v>
          </cell>
          <cell r="F1234">
            <v>0</v>
          </cell>
          <cell r="G1234" t="str">
            <v>CURRENT LIABILITIES AND PROVISIONS</v>
          </cell>
          <cell r="H1234" t="str">
            <v>CURRENT LIABILITIES</v>
          </cell>
          <cell r="I1234" t="str">
            <v>REALISATION UNDER AGREEMENT TO SELL</v>
          </cell>
        </row>
        <row r="1235">
          <cell r="A1235" t="str">
            <v>L505105-000-013</v>
          </cell>
          <cell r="B1235" t="str">
            <v>Third Party- Fire Fighting- HAMILTON CRT</v>
          </cell>
          <cell r="C1235" t="str">
            <v>LIABILITIES</v>
          </cell>
          <cell r="D1235" t="str">
            <v>BALANCE SHEET</v>
          </cell>
          <cell r="E1235">
            <v>0</v>
          </cell>
          <cell r="F1235">
            <v>0</v>
          </cell>
          <cell r="G1235" t="str">
            <v>CURRENT LIABILITIES AND PROVISIONS</v>
          </cell>
          <cell r="H1235" t="str">
            <v>CURRENT LIABILITIES</v>
          </cell>
          <cell r="I1235" t="str">
            <v>REALISATION UNDER AGREEMENT TO SELL</v>
          </cell>
        </row>
        <row r="1236">
          <cell r="A1236" t="str">
            <v>L505105-000-019</v>
          </cell>
          <cell r="B1236" t="str">
            <v>Third Party- Fire Fighting- REGENCY PARK</v>
          </cell>
          <cell r="C1236" t="str">
            <v>LIABILITIES</v>
          </cell>
          <cell r="D1236" t="str">
            <v>BALANCE SHEET</v>
          </cell>
          <cell r="E1236">
            <v>0</v>
          </cell>
          <cell r="F1236">
            <v>0</v>
          </cell>
          <cell r="G1236" t="str">
            <v>CURRENT LIABILITIES AND PROVISIONS</v>
          </cell>
          <cell r="H1236" t="str">
            <v>CURRENT LIABILITIES</v>
          </cell>
          <cell r="I1236" t="str">
            <v>REALISATION UNDER AGREEMENT TO SELL</v>
          </cell>
        </row>
        <row r="1237">
          <cell r="A1237" t="str">
            <v>L505105-000-020</v>
          </cell>
          <cell r="B1237" t="str">
            <v>Third Party- Fire Fighting- REGENCY Prkn</v>
          </cell>
          <cell r="C1237" t="str">
            <v>LIABILITIES</v>
          </cell>
          <cell r="D1237" t="str">
            <v>BALANCE SHEET</v>
          </cell>
          <cell r="E1237">
            <v>0</v>
          </cell>
          <cell r="F1237">
            <v>0</v>
          </cell>
          <cell r="G1237" t="str">
            <v>CURRENT LIABILITIES AND PROVISIONS</v>
          </cell>
          <cell r="H1237" t="str">
            <v>CURRENT LIABILITIES</v>
          </cell>
          <cell r="I1237" t="str">
            <v>REALISATION UNDER AGREEMENT TO SELL</v>
          </cell>
        </row>
        <row r="1238">
          <cell r="A1238" t="str">
            <v>L505105-000-022</v>
          </cell>
          <cell r="B1238" t="str">
            <v>Third Party- Fire Fighting- RICHMOND PRK</v>
          </cell>
          <cell r="C1238" t="str">
            <v>LIABILITIES</v>
          </cell>
          <cell r="D1238" t="str">
            <v>BALANCE SHEET</v>
          </cell>
          <cell r="E1238">
            <v>0</v>
          </cell>
          <cell r="F1238">
            <v>0</v>
          </cell>
          <cell r="G1238" t="str">
            <v>CURRENT LIABILITIES AND PROVISIONS</v>
          </cell>
          <cell r="H1238" t="str">
            <v>CURRENT LIABILITIES</v>
          </cell>
          <cell r="I1238" t="str">
            <v>REALISATION UNDER AGREEMENT TO SELL</v>
          </cell>
        </row>
        <row r="1239">
          <cell r="A1239" t="str">
            <v>L505105-000-028</v>
          </cell>
          <cell r="B1239" t="str">
            <v>Third Party- Fire Fighting- SILVER OAKS</v>
          </cell>
          <cell r="C1239" t="str">
            <v>LIABILITIES</v>
          </cell>
          <cell r="D1239" t="str">
            <v>BALANCE SHEET</v>
          </cell>
          <cell r="E1239">
            <v>0</v>
          </cell>
          <cell r="F1239">
            <v>0</v>
          </cell>
          <cell r="G1239" t="str">
            <v>CURRENT LIABILITIES AND PROVISIONS</v>
          </cell>
          <cell r="H1239" t="str">
            <v>CURRENT LIABILITIES</v>
          </cell>
          <cell r="I1239" t="str">
            <v>REALISATION UNDER AGREEMENT TO SELL</v>
          </cell>
        </row>
        <row r="1240">
          <cell r="A1240" t="str">
            <v>L505105-000-034</v>
          </cell>
          <cell r="B1240" t="str">
            <v>Third Party- Fire Fighting- WINDSOR CRT</v>
          </cell>
          <cell r="C1240" t="str">
            <v>LIABILITIES</v>
          </cell>
          <cell r="D1240" t="str">
            <v>BALANCE SHEET</v>
          </cell>
          <cell r="E1240">
            <v>0</v>
          </cell>
          <cell r="F1240">
            <v>0</v>
          </cell>
          <cell r="G1240" t="str">
            <v>CURRENT LIABILITIES AND PROVISIONS</v>
          </cell>
          <cell r="H1240" t="str">
            <v>CURRENT LIABILITIES</v>
          </cell>
          <cell r="I1240" t="str">
            <v>REALISATION UNDER AGREEMENT TO SELL</v>
          </cell>
        </row>
        <row r="1241">
          <cell r="A1241" t="str">
            <v>L505106-000-015</v>
          </cell>
          <cell r="B1241" t="str">
            <v>Third Party- EDC- Old Town House</v>
          </cell>
          <cell r="C1241" t="str">
            <v>LIABILITIES</v>
          </cell>
          <cell r="D1241" t="str">
            <v>BALANCE SHEET</v>
          </cell>
          <cell r="E1241">
            <v>0</v>
          </cell>
          <cell r="F1241">
            <v>0</v>
          </cell>
          <cell r="G1241" t="str">
            <v>CURRENT LIABILITIES AND PROVISIONS</v>
          </cell>
          <cell r="H1241" t="str">
            <v>CURRENT LIABILITIES</v>
          </cell>
          <cell r="I1241" t="str">
            <v>REALISATION UNDER AGREEMENT TO SELL</v>
          </cell>
        </row>
        <row r="1242">
          <cell r="A1242" t="str">
            <v>L505106-000-017</v>
          </cell>
          <cell r="B1242" t="str">
            <v>Third Party- EDC- QEC PH-IV</v>
          </cell>
          <cell r="C1242" t="str">
            <v>LIABILITIES</v>
          </cell>
          <cell r="D1242" t="str">
            <v>BALANCE SHEET</v>
          </cell>
          <cell r="E1242">
            <v>0</v>
          </cell>
          <cell r="F1242">
            <v>0</v>
          </cell>
          <cell r="G1242" t="str">
            <v>CURRENT LIABILITIES AND PROVISIONS</v>
          </cell>
          <cell r="H1242" t="str">
            <v>CURRENT LIABILITIES</v>
          </cell>
          <cell r="I1242" t="str">
            <v>REALISATION UNDER AGREEMENT TO SELL</v>
          </cell>
        </row>
        <row r="1243">
          <cell r="A1243" t="str">
            <v>L505106-000-018</v>
          </cell>
          <cell r="B1243" t="str">
            <v>Third Party- EDC- QEC PH-V</v>
          </cell>
          <cell r="C1243" t="str">
            <v>LIABILITIES</v>
          </cell>
          <cell r="D1243" t="str">
            <v>BALANCE SHEET</v>
          </cell>
          <cell r="E1243">
            <v>0</v>
          </cell>
          <cell r="F1243">
            <v>0</v>
          </cell>
          <cell r="G1243" t="str">
            <v>CURRENT LIABILITIES AND PROVISIONS</v>
          </cell>
          <cell r="H1243" t="str">
            <v>CURRENT LIABILITIES</v>
          </cell>
          <cell r="I1243" t="str">
            <v>REALISATION UNDER AGREEMENT TO SELL</v>
          </cell>
        </row>
        <row r="1244">
          <cell r="A1244" t="str">
            <v>L505106-000-024</v>
          </cell>
          <cell r="B1244" t="str">
            <v>Third Party- EDC- Shopping Mall</v>
          </cell>
          <cell r="C1244" t="str">
            <v>LIABILITIES</v>
          </cell>
          <cell r="D1244" t="str">
            <v>BALANCE SHEET</v>
          </cell>
          <cell r="E1244">
            <v>0</v>
          </cell>
          <cell r="F1244">
            <v>0</v>
          </cell>
          <cell r="G1244" t="str">
            <v>CURRENT LIABILITIES AND PROVISIONS</v>
          </cell>
          <cell r="H1244" t="str">
            <v>CURRENT LIABILITIES</v>
          </cell>
          <cell r="I1244" t="str">
            <v>REALISATION UNDER AGREEMENT TO SELL</v>
          </cell>
        </row>
        <row r="1245">
          <cell r="A1245" t="str">
            <v>L505106-000-028</v>
          </cell>
          <cell r="B1245" t="str">
            <v>Third Party-  EDC- Silver Oaks</v>
          </cell>
          <cell r="C1245" t="str">
            <v>LIABILITIES</v>
          </cell>
          <cell r="D1245" t="str">
            <v>BALANCE SHEET</v>
          </cell>
          <cell r="E1245">
            <v>0</v>
          </cell>
          <cell r="F1245">
            <v>0</v>
          </cell>
          <cell r="G1245" t="str">
            <v>CURRENT LIABILITIES AND PROVISIONS</v>
          </cell>
          <cell r="H1245" t="str">
            <v>CURRENT LIABILITIES</v>
          </cell>
          <cell r="I1245" t="str">
            <v>REALISATION UNDER AGREEMENT TO SELL</v>
          </cell>
        </row>
        <row r="1246">
          <cell r="A1246" t="str">
            <v>L505106-000-042</v>
          </cell>
          <cell r="B1246" t="str">
            <v>Third Party-  EDC- Plots Ph-I, II, III</v>
          </cell>
          <cell r="C1246" t="str">
            <v>LIABILITIES</v>
          </cell>
          <cell r="D1246" t="str">
            <v>BALANCE SHEET</v>
          </cell>
          <cell r="E1246">
            <v>0</v>
          </cell>
          <cell r="F1246">
            <v>0</v>
          </cell>
          <cell r="G1246" t="str">
            <v>CURRENT LIABILITIES AND PROVISIONS</v>
          </cell>
          <cell r="H1246" t="str">
            <v>CURRENT LIABILITIES</v>
          </cell>
          <cell r="I1246" t="str">
            <v>REALISATION UNDER AGREEMENT TO SELL</v>
          </cell>
        </row>
        <row r="1247">
          <cell r="A1247" t="str">
            <v>L505106-000-102</v>
          </cell>
          <cell r="B1247" t="str">
            <v>Third Party-EDC-QEC 1,2,3</v>
          </cell>
          <cell r="C1247" t="str">
            <v>LIABILITIES</v>
          </cell>
          <cell r="D1247" t="str">
            <v>BALANCE SHEET</v>
          </cell>
          <cell r="E1247">
            <v>0</v>
          </cell>
          <cell r="F1247">
            <v>0</v>
          </cell>
          <cell r="G1247" t="str">
            <v>CURRENT LIABILITIES AND PROVISIONS</v>
          </cell>
          <cell r="H1247" t="str">
            <v>CURRENT LIABILITIES</v>
          </cell>
          <cell r="I1247" t="str">
            <v>REALISATION UNDER AGREEMENT TO SELL</v>
          </cell>
        </row>
        <row r="1248">
          <cell r="A1248" t="str">
            <v>L506001-000-004</v>
          </cell>
          <cell r="B1248" t="str">
            <v>Contigency Deposit- BEVERLY PARK I</v>
          </cell>
          <cell r="C1248" t="str">
            <v>LIABILITIES</v>
          </cell>
          <cell r="D1248" t="str">
            <v>BALANCE SHEET</v>
          </cell>
          <cell r="E1248">
            <v>0</v>
          </cell>
          <cell r="F1248">
            <v>0</v>
          </cell>
          <cell r="G1248" t="str">
            <v>CURRENT LIABILITIES AND PROVISIONS</v>
          </cell>
          <cell r="H1248" t="str">
            <v>CURRENT LIABILITIES</v>
          </cell>
          <cell r="I1248" t="str">
            <v>OTHER LIABILITIES</v>
          </cell>
        </row>
        <row r="1249">
          <cell r="A1249" t="str">
            <v>L506001-000-005</v>
          </cell>
          <cell r="B1249" t="str">
            <v>Contigency Deposit- BEVERLY PARK II</v>
          </cell>
          <cell r="C1249" t="str">
            <v>LIABILITIES</v>
          </cell>
          <cell r="D1249" t="str">
            <v>BALANCE SHEET</v>
          </cell>
          <cell r="E1249">
            <v>0</v>
          </cell>
          <cell r="F1249">
            <v>0</v>
          </cell>
          <cell r="G1249" t="str">
            <v>CURRENT LIABILITIES AND PROVISIONS</v>
          </cell>
          <cell r="H1249" t="str">
            <v>CURRENT LIABILITIES</v>
          </cell>
          <cell r="I1249" t="str">
            <v>OTHER LIABILITIES</v>
          </cell>
        </row>
        <row r="1250">
          <cell r="A1250" t="str">
            <v>L506001-000-006</v>
          </cell>
          <cell r="B1250" t="str">
            <v>Contigency Deposit- CENTRAL ARCADE</v>
          </cell>
          <cell r="C1250" t="str">
            <v>LIABILITIES</v>
          </cell>
          <cell r="D1250" t="str">
            <v>BALANCE SHEET</v>
          </cell>
          <cell r="E1250">
            <v>0</v>
          </cell>
          <cell r="F1250">
            <v>0</v>
          </cell>
          <cell r="G1250" t="str">
            <v>CURRENT LIABILITIES AND PROVISIONS</v>
          </cell>
          <cell r="H1250" t="str">
            <v>CURRENT LIABILITIES</v>
          </cell>
          <cell r="I1250" t="str">
            <v>OTHER LIABILITIES</v>
          </cell>
        </row>
        <row r="1251">
          <cell r="A1251" t="str">
            <v>L506001-000-011</v>
          </cell>
          <cell r="B1251" t="str">
            <v>Contigency Deposit- EXECUTIVE HOME</v>
          </cell>
          <cell r="C1251" t="str">
            <v>LIABILITIES</v>
          </cell>
          <cell r="D1251" t="str">
            <v>BALANCE SHEET</v>
          </cell>
          <cell r="E1251">
            <v>0</v>
          </cell>
          <cell r="F1251">
            <v>0</v>
          </cell>
          <cell r="G1251" t="str">
            <v>CURRENT LIABILITIES AND PROVISIONS</v>
          </cell>
          <cell r="H1251" t="str">
            <v>CURRENT LIABILITIES</v>
          </cell>
          <cell r="I1251" t="str">
            <v>OTHER LIABILITIES</v>
          </cell>
        </row>
        <row r="1252">
          <cell r="A1252" t="str">
            <v>L506001-000-013</v>
          </cell>
          <cell r="B1252" t="str">
            <v>Contigency Deposit- HAMILTON COURT</v>
          </cell>
          <cell r="C1252" t="str">
            <v>LIABILITIES</v>
          </cell>
          <cell r="D1252" t="str">
            <v>BALANCE SHEET</v>
          </cell>
          <cell r="E1252">
            <v>0</v>
          </cell>
          <cell r="F1252">
            <v>0</v>
          </cell>
          <cell r="G1252" t="str">
            <v>CURRENT LIABILITIES AND PROVISIONS</v>
          </cell>
          <cell r="H1252" t="str">
            <v>CURRENT LIABILITIES</v>
          </cell>
          <cell r="I1252" t="str">
            <v>OTHER LIABILITIES</v>
          </cell>
        </row>
        <row r="1253">
          <cell r="A1253" t="str">
            <v>L506001-000-014</v>
          </cell>
          <cell r="B1253" t="str">
            <v>Contigency Deposit- NEW TOWN HOUSE</v>
          </cell>
          <cell r="C1253" t="str">
            <v>LIABILITIES</v>
          </cell>
          <cell r="D1253" t="str">
            <v>BALANCE SHEET</v>
          </cell>
          <cell r="E1253">
            <v>0</v>
          </cell>
          <cell r="F1253">
            <v>0</v>
          </cell>
          <cell r="G1253" t="str">
            <v>CURRENT LIABILITIES AND PROVISIONS</v>
          </cell>
          <cell r="H1253" t="str">
            <v>CURRENT LIABILITIES</v>
          </cell>
          <cell r="I1253" t="str">
            <v>OTHER LIABILITIES</v>
          </cell>
        </row>
        <row r="1254">
          <cell r="A1254" t="str">
            <v>L506001-000-015</v>
          </cell>
          <cell r="B1254" t="str">
            <v>Contigency Deposit- OLD TOWN HOUSE</v>
          </cell>
          <cell r="C1254" t="str">
            <v>LIABILITIES</v>
          </cell>
          <cell r="D1254" t="str">
            <v>BALANCE SHEET</v>
          </cell>
          <cell r="E1254">
            <v>0</v>
          </cell>
          <cell r="F1254">
            <v>0</v>
          </cell>
          <cell r="G1254" t="str">
            <v>CURRENT LIABILITIES AND PROVISIONS</v>
          </cell>
          <cell r="H1254" t="str">
            <v>CURRENT LIABILITIES</v>
          </cell>
          <cell r="I1254" t="str">
            <v>OTHER LIABILITIES</v>
          </cell>
        </row>
        <row r="1255">
          <cell r="A1255" t="str">
            <v>L506001-000-016</v>
          </cell>
          <cell r="B1255" t="str">
            <v>Contigency Deposit- PARK-N-SHOP</v>
          </cell>
          <cell r="C1255" t="str">
            <v>LIABILITIES</v>
          </cell>
          <cell r="D1255" t="str">
            <v>BALANCE SHEET</v>
          </cell>
          <cell r="E1255">
            <v>0</v>
          </cell>
          <cell r="F1255">
            <v>0</v>
          </cell>
          <cell r="G1255" t="str">
            <v>CURRENT LIABILITIES AND PROVISIONS</v>
          </cell>
          <cell r="H1255" t="str">
            <v>CURRENT LIABILITIES</v>
          </cell>
          <cell r="I1255" t="str">
            <v>OTHER LIABILITIES</v>
          </cell>
        </row>
        <row r="1256">
          <cell r="A1256" t="str">
            <v>L506001-000-017</v>
          </cell>
          <cell r="B1256" t="str">
            <v>Contigency Deposit- QEC PHASE-IV</v>
          </cell>
          <cell r="C1256" t="str">
            <v>LIABILITIES</v>
          </cell>
          <cell r="D1256" t="str">
            <v>BALANCE SHEET</v>
          </cell>
          <cell r="E1256">
            <v>0</v>
          </cell>
          <cell r="F1256">
            <v>0</v>
          </cell>
          <cell r="G1256" t="str">
            <v>CURRENT LIABILITIES AND PROVISIONS</v>
          </cell>
          <cell r="H1256" t="str">
            <v>CURRENT LIABILITIES</v>
          </cell>
          <cell r="I1256" t="str">
            <v>OTHER LIABILITIES</v>
          </cell>
        </row>
        <row r="1257">
          <cell r="A1257" t="str">
            <v>L506001-000-018</v>
          </cell>
          <cell r="B1257" t="str">
            <v>Contigency Deposit- QEC PHASE-V</v>
          </cell>
          <cell r="C1257" t="str">
            <v>LIABILITIES</v>
          </cell>
          <cell r="D1257" t="str">
            <v>BALANCE SHEET</v>
          </cell>
          <cell r="E1257">
            <v>0</v>
          </cell>
          <cell r="F1257">
            <v>0</v>
          </cell>
          <cell r="G1257" t="str">
            <v>CURRENT LIABILITIES AND PROVISIONS</v>
          </cell>
          <cell r="H1257" t="str">
            <v>CURRENT LIABILITIES</v>
          </cell>
          <cell r="I1257" t="str">
            <v>OTHER LIABILITIES</v>
          </cell>
        </row>
        <row r="1258">
          <cell r="A1258" t="str">
            <v>L506001-000-019</v>
          </cell>
          <cell r="B1258" t="str">
            <v>Contigency Deposit- REGENCY PARK</v>
          </cell>
          <cell r="C1258" t="str">
            <v>LIABILITIES</v>
          </cell>
          <cell r="D1258" t="str">
            <v>BALANCE SHEET</v>
          </cell>
          <cell r="E1258">
            <v>0</v>
          </cell>
          <cell r="F1258">
            <v>0</v>
          </cell>
          <cell r="G1258" t="str">
            <v>CURRENT LIABILITIES AND PROVISIONS</v>
          </cell>
          <cell r="H1258" t="str">
            <v>CURRENT LIABILITIES</v>
          </cell>
          <cell r="I1258" t="str">
            <v>OTHER LIABILITIES</v>
          </cell>
        </row>
        <row r="1259">
          <cell r="A1259" t="str">
            <v>L506001-000-022</v>
          </cell>
          <cell r="B1259" t="str">
            <v>Contigency Deposit- RICHMOND PARK</v>
          </cell>
          <cell r="C1259" t="str">
            <v>LIABILITIES</v>
          </cell>
          <cell r="D1259" t="str">
            <v>BALANCE SHEET</v>
          </cell>
          <cell r="E1259">
            <v>0</v>
          </cell>
          <cell r="F1259">
            <v>0</v>
          </cell>
          <cell r="G1259" t="str">
            <v>CURRENT LIABILITIES AND PROVISIONS</v>
          </cell>
          <cell r="H1259" t="str">
            <v>CURRENT LIABILITIES</v>
          </cell>
          <cell r="I1259" t="str">
            <v>OTHER LIABILITIES</v>
          </cell>
        </row>
        <row r="1260">
          <cell r="A1260" t="str">
            <v>L506001-000-024</v>
          </cell>
          <cell r="B1260" t="str">
            <v>Contigency Deposit- SHOPPING MALL</v>
          </cell>
          <cell r="C1260" t="str">
            <v>LIABILITIES</v>
          </cell>
          <cell r="D1260" t="str">
            <v>BALANCE SHEET</v>
          </cell>
          <cell r="E1260">
            <v>0</v>
          </cell>
          <cell r="F1260">
            <v>0</v>
          </cell>
          <cell r="G1260" t="str">
            <v>CURRENT LIABILITIES AND PROVISIONS</v>
          </cell>
          <cell r="H1260" t="str">
            <v>CURRENT LIABILITIES</v>
          </cell>
          <cell r="I1260" t="str">
            <v>OTHER LIABILITIES</v>
          </cell>
        </row>
        <row r="1261">
          <cell r="A1261" t="str">
            <v>L506001-000-027</v>
          </cell>
          <cell r="B1261" t="str">
            <v>Contigency Deposit- STOP-N-SHOP</v>
          </cell>
          <cell r="C1261" t="str">
            <v>LIABILITIES</v>
          </cell>
          <cell r="D1261" t="str">
            <v>BALANCE SHEET</v>
          </cell>
          <cell r="E1261">
            <v>0</v>
          </cell>
          <cell r="F1261">
            <v>0</v>
          </cell>
          <cell r="G1261" t="str">
            <v>CURRENT LIABILITIES AND PROVISIONS</v>
          </cell>
          <cell r="H1261" t="str">
            <v>CURRENT LIABILITIES</v>
          </cell>
          <cell r="I1261" t="str">
            <v>OTHER LIABILITIES</v>
          </cell>
        </row>
        <row r="1262">
          <cell r="A1262" t="str">
            <v>L506001-000-028</v>
          </cell>
          <cell r="B1262" t="str">
            <v>Contigency Deposit- SILVER OAKS</v>
          </cell>
          <cell r="C1262" t="str">
            <v>LIABILITIES</v>
          </cell>
          <cell r="D1262" t="str">
            <v>BALANCE SHEET</v>
          </cell>
          <cell r="E1262">
            <v>0</v>
          </cell>
          <cell r="F1262">
            <v>0</v>
          </cell>
          <cell r="G1262" t="str">
            <v>CURRENT LIABILITIES AND PROVISIONS</v>
          </cell>
          <cell r="H1262" t="str">
            <v>CURRENT LIABILITIES</v>
          </cell>
          <cell r="I1262" t="str">
            <v>OTHER LIABILITIES</v>
          </cell>
        </row>
        <row r="1263">
          <cell r="A1263" t="str">
            <v>L506001-000-031</v>
          </cell>
          <cell r="B1263" t="str">
            <v>Contigency Deposit- VILLA</v>
          </cell>
          <cell r="C1263" t="str">
            <v>LIABILITIES</v>
          </cell>
          <cell r="D1263" t="str">
            <v>BALANCE SHEET</v>
          </cell>
          <cell r="E1263">
            <v>0</v>
          </cell>
          <cell r="F1263">
            <v>0</v>
          </cell>
          <cell r="G1263" t="str">
            <v>CURRENT LIABILITIES AND PROVISIONS</v>
          </cell>
          <cell r="H1263" t="str">
            <v>CURRENT LIABILITIES</v>
          </cell>
          <cell r="I1263" t="str">
            <v>OTHER LIABILITIES</v>
          </cell>
        </row>
        <row r="1264">
          <cell r="A1264" t="str">
            <v>L506001-000-034</v>
          </cell>
          <cell r="B1264" t="str">
            <v>Contigency Deposit- WINDSOR COURT</v>
          </cell>
          <cell r="C1264" t="str">
            <v>LIABILITIES</v>
          </cell>
          <cell r="D1264" t="str">
            <v>BALANCE SHEET</v>
          </cell>
          <cell r="E1264">
            <v>0</v>
          </cell>
          <cell r="F1264">
            <v>0</v>
          </cell>
          <cell r="G1264" t="str">
            <v>CURRENT LIABILITIES AND PROVISIONS</v>
          </cell>
          <cell r="H1264" t="str">
            <v>CURRENT LIABILITIES</v>
          </cell>
          <cell r="I1264" t="str">
            <v>OTHER LIABILITIES</v>
          </cell>
        </row>
        <row r="1265">
          <cell r="A1265" t="str">
            <v>L506001-000-036</v>
          </cell>
          <cell r="B1265" t="str">
            <v>Contigency Deposit-Qutab Plaza</v>
          </cell>
          <cell r="C1265" t="str">
            <v>LIABILITIES</v>
          </cell>
          <cell r="D1265" t="str">
            <v>BALANCE SHEET</v>
          </cell>
          <cell r="E1265">
            <v>0</v>
          </cell>
          <cell r="F1265">
            <v>0</v>
          </cell>
          <cell r="G1265" t="str">
            <v>CURRENT LIABILITIES AND PROVISIONS</v>
          </cell>
          <cell r="H1265" t="str">
            <v>CURRENT LIABILITIES</v>
          </cell>
          <cell r="I1265" t="str">
            <v>OTHER LIABILITIES</v>
          </cell>
        </row>
        <row r="1266">
          <cell r="A1266" t="str">
            <v>L506001-000-037</v>
          </cell>
          <cell r="B1266" t="str">
            <v>Contigency Deposit- CENTRE POINT</v>
          </cell>
          <cell r="C1266" t="str">
            <v>LIABILITIES</v>
          </cell>
          <cell r="D1266" t="str">
            <v>BALANCE SHEET</v>
          </cell>
          <cell r="E1266">
            <v>0</v>
          </cell>
          <cell r="F1266">
            <v>0</v>
          </cell>
          <cell r="G1266" t="str">
            <v>CURRENT LIABILITIES AND PROVISIONS</v>
          </cell>
          <cell r="H1266" t="str">
            <v>CURRENT LIABILITIES</v>
          </cell>
          <cell r="I1266" t="str">
            <v>OTHER LIABILITIES</v>
          </cell>
        </row>
        <row r="1267">
          <cell r="A1267" t="str">
            <v>L506001-000-042</v>
          </cell>
          <cell r="B1267" t="str">
            <v>Contigency Deposit- PLOTS(PH-I,II,III)</v>
          </cell>
          <cell r="C1267" t="str">
            <v>LIABILITIES</v>
          </cell>
          <cell r="D1267" t="str">
            <v>BALANCE SHEET</v>
          </cell>
          <cell r="E1267">
            <v>0</v>
          </cell>
          <cell r="F1267">
            <v>0</v>
          </cell>
          <cell r="G1267" t="str">
            <v>CURRENT LIABILITIES AND PROVISIONS</v>
          </cell>
          <cell r="H1267" t="str">
            <v>CURRENT LIABILITIES</v>
          </cell>
          <cell r="I1267" t="str">
            <v>OTHER LIABILITIES</v>
          </cell>
        </row>
        <row r="1268">
          <cell r="A1268" t="str">
            <v>L506001-000-047</v>
          </cell>
          <cell r="B1268" t="str">
            <v>Contigency Deposit- GROUP HOUSING</v>
          </cell>
          <cell r="C1268" t="str">
            <v>LIABILITIES</v>
          </cell>
          <cell r="D1268" t="str">
            <v>BALANCE SHEET</v>
          </cell>
          <cell r="E1268">
            <v>0</v>
          </cell>
          <cell r="F1268">
            <v>0</v>
          </cell>
          <cell r="G1268" t="str">
            <v>CURRENT LIABILITIES AND PROVISIONS</v>
          </cell>
          <cell r="H1268" t="str">
            <v>CURRENT LIABILITIES</v>
          </cell>
          <cell r="I1268" t="str">
            <v>OTHER LIABILITIES</v>
          </cell>
        </row>
        <row r="1269">
          <cell r="A1269" t="str">
            <v>L506001-000-048</v>
          </cell>
          <cell r="B1269" t="str">
            <v>Contigency Deposit- INDEPENDENT HOUSE</v>
          </cell>
          <cell r="C1269" t="str">
            <v>LIABILITIES</v>
          </cell>
          <cell r="D1269" t="str">
            <v>BALANCE SHEET</v>
          </cell>
          <cell r="E1269">
            <v>0</v>
          </cell>
          <cell r="F1269">
            <v>0</v>
          </cell>
          <cell r="G1269" t="str">
            <v>CURRENT LIABILITIES AND PROVISIONS</v>
          </cell>
          <cell r="H1269" t="str">
            <v>CURRENT LIABILITIES</v>
          </cell>
          <cell r="I1269" t="str">
            <v>OTHER LIABILITIES</v>
          </cell>
        </row>
        <row r="1270">
          <cell r="A1270" t="str">
            <v>L506001-000-102</v>
          </cell>
          <cell r="B1270" t="str">
            <v>Contigency Deposit-QEC 1,2,3</v>
          </cell>
          <cell r="C1270" t="str">
            <v>LIABILITIES</v>
          </cell>
          <cell r="D1270" t="str">
            <v>BALANCE SHEET</v>
          </cell>
          <cell r="E1270">
            <v>0</v>
          </cell>
          <cell r="F1270">
            <v>0</v>
          </cell>
          <cell r="G1270" t="str">
            <v>CURRENT LIABILITIES AND PROVISIONS</v>
          </cell>
          <cell r="H1270" t="str">
            <v>CURRENT LIABILITIES</v>
          </cell>
          <cell r="I1270" t="str">
            <v>OTHER LIABILITIES</v>
          </cell>
        </row>
        <row r="1271">
          <cell r="A1271" t="str">
            <v>L506001-000-105</v>
          </cell>
          <cell r="B1271" t="str">
            <v>Contigency Deposit- NILGIRI CONTGENCY</v>
          </cell>
          <cell r="C1271" t="str">
            <v>LIABILITIES</v>
          </cell>
          <cell r="D1271" t="str">
            <v>BALANCE SHEET</v>
          </cell>
          <cell r="E1271">
            <v>0</v>
          </cell>
          <cell r="F1271">
            <v>0</v>
          </cell>
          <cell r="G1271" t="str">
            <v>CURRENT LIABILITIES AND PROVISIONS</v>
          </cell>
          <cell r="H1271" t="str">
            <v>CURRENT LIABILITIES</v>
          </cell>
          <cell r="I1271" t="str">
            <v>OTHER LIABILITIES</v>
          </cell>
        </row>
        <row r="1272">
          <cell r="A1272" t="str">
            <v>L506001-000-934</v>
          </cell>
          <cell r="B1272" t="str">
            <v>Contigency Deposit-QEC PLOTS</v>
          </cell>
          <cell r="C1272" t="str">
            <v>LIABILITIES</v>
          </cell>
          <cell r="D1272" t="str">
            <v>BALANCE SHEET</v>
          </cell>
          <cell r="E1272">
            <v>0</v>
          </cell>
          <cell r="F1272">
            <v>0</v>
          </cell>
          <cell r="G1272" t="str">
            <v>CURRENT LIABILITIES AND PROVISIONS</v>
          </cell>
          <cell r="H1272" t="str">
            <v>CURRENT LIABILITIES</v>
          </cell>
          <cell r="I1272" t="str">
            <v>OTHER LIABILITIES</v>
          </cell>
        </row>
        <row r="1273">
          <cell r="A1273" t="str">
            <v>L506002-000-000</v>
          </cell>
          <cell r="B1273" t="str">
            <v>Ifms(Security)</v>
          </cell>
          <cell r="C1273" t="str">
            <v>LIABILITIES</v>
          </cell>
          <cell r="D1273" t="str">
            <v>BALANCE SHEET</v>
          </cell>
          <cell r="E1273">
            <v>0</v>
          </cell>
          <cell r="F1273">
            <v>0</v>
          </cell>
          <cell r="G1273" t="str">
            <v>CURRENT LIABILITIES AND PROVISIONS</v>
          </cell>
          <cell r="H1273" t="str">
            <v>CURRENT LIABILITIES</v>
          </cell>
          <cell r="I1273" t="str">
            <v>OTHER LIABILITIES</v>
          </cell>
        </row>
        <row r="1274">
          <cell r="A1274" t="str">
            <v>L506002-000-001</v>
          </cell>
          <cell r="B1274" t="str">
            <v>Ifms(Security)- ANKUR VIHAR</v>
          </cell>
          <cell r="C1274" t="str">
            <v>LIABILITIES</v>
          </cell>
          <cell r="D1274" t="str">
            <v>BALANCE SHEET</v>
          </cell>
          <cell r="E1274">
            <v>0</v>
          </cell>
          <cell r="F1274">
            <v>0</v>
          </cell>
          <cell r="G1274" t="str">
            <v>CURRENT LIABILITIES AND PROVISIONS</v>
          </cell>
          <cell r="H1274" t="str">
            <v>CURRENT LIABILITIES</v>
          </cell>
          <cell r="I1274" t="str">
            <v>OTHER LIABILITIES</v>
          </cell>
        </row>
        <row r="1275">
          <cell r="A1275" t="str">
            <v>L506002-000-004</v>
          </cell>
          <cell r="B1275" t="str">
            <v>Ifms(Security)- BEVERLY PARK-I</v>
          </cell>
          <cell r="C1275" t="str">
            <v>LIABILITIES</v>
          </cell>
          <cell r="D1275" t="str">
            <v>BALANCE SHEET</v>
          </cell>
          <cell r="E1275">
            <v>0</v>
          </cell>
          <cell r="F1275">
            <v>0</v>
          </cell>
          <cell r="G1275" t="str">
            <v>CURRENT LIABILITIES AND PROVISIONS</v>
          </cell>
          <cell r="H1275" t="str">
            <v>CURRENT LIABILITIES</v>
          </cell>
          <cell r="I1275" t="str">
            <v>OTHER LIABILITIES</v>
          </cell>
        </row>
        <row r="1276">
          <cell r="A1276" t="str">
            <v>L506002-000-005</v>
          </cell>
          <cell r="B1276" t="str">
            <v>Ifms(Security)- BEVERLY PARK-II</v>
          </cell>
          <cell r="C1276" t="str">
            <v>LIABILITIES</v>
          </cell>
          <cell r="D1276" t="str">
            <v>BALANCE SHEET</v>
          </cell>
          <cell r="E1276">
            <v>0</v>
          </cell>
          <cell r="F1276">
            <v>0</v>
          </cell>
          <cell r="G1276" t="str">
            <v>CURRENT LIABILITIES AND PROVISIONS</v>
          </cell>
          <cell r="H1276" t="str">
            <v>CURRENT LIABILITIES</v>
          </cell>
          <cell r="I1276" t="str">
            <v>OTHER LIABILITIES</v>
          </cell>
        </row>
        <row r="1277">
          <cell r="A1277" t="str">
            <v>L506002-000-006</v>
          </cell>
          <cell r="B1277" t="str">
            <v>Ifms(Security)- CENTRAL ARCADE</v>
          </cell>
          <cell r="C1277" t="str">
            <v>LIABILITIES</v>
          </cell>
          <cell r="D1277" t="str">
            <v>BALANCE SHEET</v>
          </cell>
          <cell r="E1277">
            <v>0</v>
          </cell>
          <cell r="F1277">
            <v>0</v>
          </cell>
          <cell r="G1277" t="str">
            <v>CURRENT LIABILITIES AND PROVISIONS</v>
          </cell>
          <cell r="H1277" t="str">
            <v>CURRENT LIABILITIES</v>
          </cell>
          <cell r="I1277" t="str">
            <v>OTHER LIABILITIES</v>
          </cell>
        </row>
        <row r="1278">
          <cell r="A1278" t="str">
            <v>L506002-000-008</v>
          </cell>
          <cell r="B1278" t="str">
            <v>Ifms(Security)- CORPORATE PARK</v>
          </cell>
          <cell r="C1278" t="str">
            <v>LIABILITIES</v>
          </cell>
          <cell r="D1278" t="str">
            <v>BALANCE SHEET</v>
          </cell>
          <cell r="E1278">
            <v>0</v>
          </cell>
          <cell r="F1278">
            <v>0</v>
          </cell>
          <cell r="G1278" t="str">
            <v>CURRENT LIABILITIES AND PROVISIONS</v>
          </cell>
          <cell r="H1278" t="str">
            <v>CURRENT LIABILITIES</v>
          </cell>
          <cell r="I1278" t="str">
            <v>OTHER LIABILITIES</v>
          </cell>
        </row>
        <row r="1279">
          <cell r="A1279" t="str">
            <v>L506002-000-010</v>
          </cell>
          <cell r="B1279" t="str">
            <v>Ifms(Security)- DILSHAD PLAZA</v>
          </cell>
          <cell r="C1279" t="str">
            <v>LIABILITIES</v>
          </cell>
          <cell r="D1279" t="str">
            <v>BALANCE SHEET</v>
          </cell>
          <cell r="E1279">
            <v>0</v>
          </cell>
          <cell r="F1279">
            <v>0</v>
          </cell>
          <cell r="G1279" t="str">
            <v>CURRENT LIABILITIES AND PROVISIONS</v>
          </cell>
          <cell r="H1279" t="str">
            <v>CURRENT LIABILITIES</v>
          </cell>
          <cell r="I1279" t="str">
            <v>OTHER LIABILITIES</v>
          </cell>
        </row>
        <row r="1280">
          <cell r="A1280" t="str">
            <v>L506002-000-011</v>
          </cell>
          <cell r="B1280" t="str">
            <v>Ifms(Security)- EXECUTIVE HOME</v>
          </cell>
          <cell r="C1280" t="str">
            <v>LIABILITIES</v>
          </cell>
          <cell r="D1280" t="str">
            <v>BALANCE SHEET</v>
          </cell>
          <cell r="E1280">
            <v>0</v>
          </cell>
          <cell r="F1280">
            <v>0</v>
          </cell>
          <cell r="G1280" t="str">
            <v>CURRENT LIABILITIES AND PROVISIONS</v>
          </cell>
          <cell r="H1280" t="str">
            <v>CURRENT LIABILITIES</v>
          </cell>
          <cell r="I1280" t="str">
            <v>OTHER LIABILITIES</v>
          </cell>
        </row>
        <row r="1281">
          <cell r="A1281" t="str">
            <v>L506002-000-014</v>
          </cell>
          <cell r="B1281" t="str">
            <v>Ifms(Security)- NEW TOWN HOUSE</v>
          </cell>
          <cell r="C1281" t="str">
            <v>LIABILITIES</v>
          </cell>
          <cell r="D1281" t="str">
            <v>BALANCE SHEET</v>
          </cell>
          <cell r="E1281">
            <v>0</v>
          </cell>
          <cell r="F1281">
            <v>0</v>
          </cell>
          <cell r="G1281" t="str">
            <v>CURRENT LIABILITIES AND PROVISIONS</v>
          </cell>
          <cell r="H1281" t="str">
            <v>CURRENT LIABILITIES</v>
          </cell>
          <cell r="I1281" t="str">
            <v>OTHER LIABILITIES</v>
          </cell>
        </row>
        <row r="1282">
          <cell r="A1282" t="str">
            <v>L506002-000-015</v>
          </cell>
          <cell r="B1282" t="str">
            <v>Ifms(Security)- OLD TOWN HOUSE</v>
          </cell>
          <cell r="C1282" t="str">
            <v>LIABILITIES</v>
          </cell>
          <cell r="D1282" t="str">
            <v>BALANCE SHEET</v>
          </cell>
          <cell r="E1282">
            <v>0</v>
          </cell>
          <cell r="F1282">
            <v>0</v>
          </cell>
          <cell r="G1282" t="str">
            <v>CURRENT LIABILITIES AND PROVISIONS</v>
          </cell>
          <cell r="H1282" t="str">
            <v>CURRENT LIABILITIES</v>
          </cell>
          <cell r="I1282" t="str">
            <v>OTHER LIABILITIES</v>
          </cell>
        </row>
        <row r="1283">
          <cell r="A1283" t="str">
            <v>L506002-000-016</v>
          </cell>
          <cell r="B1283" t="str">
            <v>Ifms(Security)- PARK-N-SHOP</v>
          </cell>
          <cell r="C1283" t="str">
            <v>LIABILITIES</v>
          </cell>
          <cell r="D1283" t="str">
            <v>BALANCE SHEET</v>
          </cell>
          <cell r="E1283">
            <v>0</v>
          </cell>
          <cell r="F1283">
            <v>0</v>
          </cell>
          <cell r="G1283" t="str">
            <v>CURRENT LIABILITIES AND PROVISIONS</v>
          </cell>
          <cell r="H1283" t="str">
            <v>CURRENT LIABILITIES</v>
          </cell>
          <cell r="I1283" t="str">
            <v>OTHER LIABILITIES</v>
          </cell>
        </row>
        <row r="1284">
          <cell r="A1284" t="str">
            <v>L506002-000-017</v>
          </cell>
          <cell r="B1284" t="str">
            <v>Ifms(Security)- QEC PHASE-IV</v>
          </cell>
          <cell r="C1284" t="str">
            <v>LIABILITIES</v>
          </cell>
          <cell r="D1284" t="str">
            <v>BALANCE SHEET</v>
          </cell>
          <cell r="E1284">
            <v>0</v>
          </cell>
          <cell r="F1284">
            <v>0</v>
          </cell>
          <cell r="G1284" t="str">
            <v>CURRENT LIABILITIES AND PROVISIONS</v>
          </cell>
          <cell r="H1284" t="str">
            <v>CURRENT LIABILITIES</v>
          </cell>
          <cell r="I1284" t="str">
            <v>OTHER LIABILITIES</v>
          </cell>
        </row>
        <row r="1285">
          <cell r="A1285" t="str">
            <v>L506002-000-018</v>
          </cell>
          <cell r="B1285" t="str">
            <v>Ifms(Security)- QEC PHASE-V</v>
          </cell>
          <cell r="C1285" t="str">
            <v>LIABILITIES</v>
          </cell>
          <cell r="D1285" t="str">
            <v>BALANCE SHEET</v>
          </cell>
          <cell r="E1285">
            <v>0</v>
          </cell>
          <cell r="F1285">
            <v>0</v>
          </cell>
          <cell r="G1285" t="str">
            <v>CURRENT LIABILITIES AND PROVISIONS</v>
          </cell>
          <cell r="H1285" t="str">
            <v>CURRENT LIABILITIES</v>
          </cell>
          <cell r="I1285" t="str">
            <v>OTHER LIABILITIES</v>
          </cell>
        </row>
        <row r="1286">
          <cell r="A1286" t="str">
            <v>L506002-000-024</v>
          </cell>
          <cell r="B1286" t="str">
            <v>Ifms(Security)- SHOPPING MALL</v>
          </cell>
          <cell r="C1286" t="str">
            <v>LIABILITIES</v>
          </cell>
          <cell r="D1286" t="str">
            <v>BALANCE SHEET</v>
          </cell>
          <cell r="E1286">
            <v>0</v>
          </cell>
          <cell r="F1286">
            <v>0</v>
          </cell>
          <cell r="G1286" t="str">
            <v>CURRENT LIABILITIES AND PROVISIONS</v>
          </cell>
          <cell r="H1286" t="str">
            <v>CURRENT LIABILITIES</v>
          </cell>
          <cell r="I1286" t="str">
            <v>OTHER LIABILITIES</v>
          </cell>
        </row>
        <row r="1287">
          <cell r="A1287" t="str">
            <v>L506002-000-027</v>
          </cell>
          <cell r="B1287" t="str">
            <v>Ifms(Security)- STOP-N-SHOP</v>
          </cell>
          <cell r="C1287" t="str">
            <v>LIABILITIES</v>
          </cell>
          <cell r="D1287" t="str">
            <v>BALANCE SHEET</v>
          </cell>
          <cell r="E1287">
            <v>0</v>
          </cell>
          <cell r="F1287">
            <v>0</v>
          </cell>
          <cell r="G1287" t="str">
            <v>CURRENT LIABILITIES AND PROVISIONS</v>
          </cell>
          <cell r="H1287" t="str">
            <v>CURRENT LIABILITIES</v>
          </cell>
          <cell r="I1287" t="str">
            <v>OTHER LIABILITIES</v>
          </cell>
        </row>
        <row r="1288">
          <cell r="A1288" t="str">
            <v>L506002-000-028</v>
          </cell>
          <cell r="B1288" t="str">
            <v>Ifms(Security)- SILVER OAKS</v>
          </cell>
          <cell r="C1288" t="str">
            <v>LIABILITIES</v>
          </cell>
          <cell r="D1288" t="str">
            <v>BALANCE SHEET</v>
          </cell>
          <cell r="E1288">
            <v>0</v>
          </cell>
          <cell r="F1288">
            <v>0</v>
          </cell>
          <cell r="G1288" t="str">
            <v>CURRENT LIABILITIES AND PROVISIONS</v>
          </cell>
          <cell r="H1288" t="str">
            <v>CURRENT LIABILITIES</v>
          </cell>
          <cell r="I1288" t="str">
            <v>OTHER LIABILITIES</v>
          </cell>
        </row>
        <row r="1289">
          <cell r="A1289" t="str">
            <v>L506002-000-030</v>
          </cell>
          <cell r="B1289" t="str">
            <v>Ifms(Security)- SPRING FIELD</v>
          </cell>
          <cell r="C1289" t="str">
            <v>LIABILITIES</v>
          </cell>
          <cell r="D1289" t="str">
            <v>BALANCE SHEET</v>
          </cell>
          <cell r="E1289">
            <v>0</v>
          </cell>
          <cell r="F1289">
            <v>0</v>
          </cell>
          <cell r="G1289" t="str">
            <v>CURRENT LIABILITIES AND PROVISIONS</v>
          </cell>
          <cell r="H1289" t="str">
            <v>CURRENT LIABILITIES</v>
          </cell>
          <cell r="I1289" t="str">
            <v>OTHER LIABILITIES</v>
          </cell>
        </row>
        <row r="1290">
          <cell r="A1290" t="str">
            <v>L506002-000-031</v>
          </cell>
          <cell r="B1290" t="str">
            <v>Ifms(Security)- VILLA</v>
          </cell>
          <cell r="C1290" t="str">
            <v>LIABILITIES</v>
          </cell>
          <cell r="D1290" t="str">
            <v>BALANCE SHEET</v>
          </cell>
          <cell r="E1290">
            <v>0</v>
          </cell>
          <cell r="F1290">
            <v>0</v>
          </cell>
          <cell r="G1290" t="str">
            <v>CURRENT LIABILITIES AND PROVISIONS</v>
          </cell>
          <cell r="H1290" t="str">
            <v>CURRENT LIABILITIES</v>
          </cell>
          <cell r="I1290" t="str">
            <v>OTHER LIABILITIES</v>
          </cell>
        </row>
        <row r="1291">
          <cell r="A1291" t="str">
            <v>L506002-000-038</v>
          </cell>
          <cell r="B1291" t="str">
            <v>Ifms(Security)- FARIDABAD PLOTS</v>
          </cell>
          <cell r="C1291" t="str">
            <v>LIABILITIES</v>
          </cell>
          <cell r="D1291" t="str">
            <v>BALANCE SHEET</v>
          </cell>
          <cell r="E1291">
            <v>0</v>
          </cell>
          <cell r="F1291">
            <v>0</v>
          </cell>
          <cell r="G1291" t="str">
            <v>CURRENT LIABILITIES AND PROVISIONS</v>
          </cell>
          <cell r="H1291" t="str">
            <v>CURRENT LIABILITIES</v>
          </cell>
          <cell r="I1291" t="str">
            <v>OTHER LIABILITIES</v>
          </cell>
        </row>
        <row r="1292">
          <cell r="A1292" t="str">
            <v>L506002-000-042</v>
          </cell>
          <cell r="B1292" t="str">
            <v>Ifms(Security)- PLOTS(PHASE-I,II,III)</v>
          </cell>
          <cell r="C1292" t="str">
            <v>LIABILITIES</v>
          </cell>
          <cell r="D1292" t="str">
            <v>BALANCE SHEET</v>
          </cell>
          <cell r="E1292">
            <v>0</v>
          </cell>
          <cell r="F1292">
            <v>0</v>
          </cell>
          <cell r="G1292" t="str">
            <v>CURRENT LIABILITIES AND PROVISIONS</v>
          </cell>
          <cell r="H1292" t="str">
            <v>CURRENT LIABILITIES</v>
          </cell>
          <cell r="I1292" t="str">
            <v>OTHER LIABILITIES</v>
          </cell>
        </row>
        <row r="1293">
          <cell r="A1293" t="str">
            <v>L506002-000-047</v>
          </cell>
          <cell r="B1293" t="str">
            <v>Ifms(Security)- GROUP HOUSING</v>
          </cell>
          <cell r="C1293" t="str">
            <v>LIABILITIES</v>
          </cell>
          <cell r="D1293" t="str">
            <v>BALANCE SHEET</v>
          </cell>
          <cell r="E1293">
            <v>0</v>
          </cell>
          <cell r="F1293">
            <v>0</v>
          </cell>
          <cell r="G1293" t="str">
            <v>CURRENT LIABILITIES AND PROVISIONS</v>
          </cell>
          <cell r="H1293" t="str">
            <v>CURRENT LIABILITIES</v>
          </cell>
          <cell r="I1293" t="str">
            <v>OTHER LIABILITIES</v>
          </cell>
        </row>
        <row r="1294">
          <cell r="A1294" t="str">
            <v>L506002-000-048</v>
          </cell>
          <cell r="B1294" t="str">
            <v>Ifms(Security)- INDEPENDENT HOUSE</v>
          </cell>
          <cell r="C1294" t="str">
            <v>LIABILITIES</v>
          </cell>
          <cell r="D1294" t="str">
            <v>BALANCE SHEET</v>
          </cell>
          <cell r="E1294">
            <v>0</v>
          </cell>
          <cell r="F1294">
            <v>0</v>
          </cell>
          <cell r="G1294" t="str">
            <v>CURRENT LIABILITIES AND PROVISIONS</v>
          </cell>
          <cell r="H1294" t="str">
            <v>CURRENT LIABILITIES</v>
          </cell>
          <cell r="I1294" t="str">
            <v>OTHER LIABILITIES</v>
          </cell>
        </row>
        <row r="1295">
          <cell r="A1295" t="str">
            <v>L506002-000-058</v>
          </cell>
          <cell r="B1295" t="str">
            <v>Ifms(Security)- EXECLUSIVE FLOORS</v>
          </cell>
          <cell r="C1295" t="str">
            <v>LIABILITIES</v>
          </cell>
          <cell r="D1295" t="str">
            <v>BALANCE SHEET</v>
          </cell>
          <cell r="E1295">
            <v>0</v>
          </cell>
          <cell r="F1295">
            <v>0</v>
          </cell>
          <cell r="G1295" t="str">
            <v>CURRENT LIABILITIES AND PROVISIONS</v>
          </cell>
          <cell r="H1295" t="str">
            <v>CURRENT LIABILITIES</v>
          </cell>
          <cell r="I1295" t="str">
            <v>OTHER LIABILITIES</v>
          </cell>
        </row>
        <row r="1296">
          <cell r="A1296" t="str">
            <v>L506002-000-099</v>
          </cell>
          <cell r="B1296" t="str">
            <v>Ifms(Security)- INSTITUTIONAL SITES</v>
          </cell>
          <cell r="C1296" t="str">
            <v>LIABILITIES</v>
          </cell>
          <cell r="D1296" t="str">
            <v>BALANCE SHEET</v>
          </cell>
          <cell r="E1296">
            <v>0</v>
          </cell>
          <cell r="F1296">
            <v>0</v>
          </cell>
          <cell r="G1296" t="str">
            <v>CURRENT LIABILITIES AND PROVISIONS</v>
          </cell>
          <cell r="H1296" t="str">
            <v>CURRENT LIABILITIES</v>
          </cell>
          <cell r="I1296" t="str">
            <v>OTHER LIABILITIES</v>
          </cell>
        </row>
        <row r="1297">
          <cell r="A1297" t="str">
            <v>L506002-000-101</v>
          </cell>
          <cell r="B1297" t="str">
            <v>Ifms(Security)- LIG/EWS</v>
          </cell>
          <cell r="C1297" t="str">
            <v>LIABILITIES</v>
          </cell>
          <cell r="D1297" t="str">
            <v>BALANCE SHEET</v>
          </cell>
          <cell r="E1297">
            <v>0</v>
          </cell>
          <cell r="F1297">
            <v>0</v>
          </cell>
          <cell r="G1297" t="str">
            <v>CURRENT LIABILITIES AND PROVISIONS</v>
          </cell>
          <cell r="H1297" t="str">
            <v>CURRENT LIABILITIES</v>
          </cell>
          <cell r="I1297" t="str">
            <v>OTHER LIABILITIES</v>
          </cell>
        </row>
        <row r="1298">
          <cell r="A1298" t="str">
            <v>L506002-000-106</v>
          </cell>
          <cell r="B1298" t="str">
            <v>Ifms(Security)- MARUTI HOUSING SECURITY</v>
          </cell>
          <cell r="C1298" t="str">
            <v>LIABILITIES</v>
          </cell>
          <cell r="D1298" t="str">
            <v>BALANCE SHEET</v>
          </cell>
          <cell r="E1298">
            <v>0</v>
          </cell>
          <cell r="F1298">
            <v>0</v>
          </cell>
          <cell r="G1298" t="str">
            <v>CURRENT LIABILITIES AND PROVISIONS</v>
          </cell>
          <cell r="H1298" t="str">
            <v>CURRENT LIABILITIES</v>
          </cell>
          <cell r="I1298" t="str">
            <v>OTHER LIABILITIES</v>
          </cell>
        </row>
        <row r="1299">
          <cell r="A1299" t="str">
            <v>L506003-000-000</v>
          </cell>
          <cell r="B1299" t="str">
            <v>IBMS</v>
          </cell>
          <cell r="C1299" t="str">
            <v>LIABILITIES</v>
          </cell>
          <cell r="D1299" t="str">
            <v>BALANCE SHEET</v>
          </cell>
          <cell r="E1299">
            <v>0</v>
          </cell>
          <cell r="F1299">
            <v>0</v>
          </cell>
          <cell r="G1299" t="str">
            <v>CURRENT LIABILITIES AND PROVISIONS</v>
          </cell>
          <cell r="H1299" t="str">
            <v>CURRENT LIABILITIES</v>
          </cell>
          <cell r="I1299" t="str">
            <v>OTHER LIABILITIES</v>
          </cell>
        </row>
        <row r="1300">
          <cell r="A1300" t="str">
            <v>L506003-000-037</v>
          </cell>
          <cell r="B1300" t="str">
            <v>IBMS- CENTRE POINT</v>
          </cell>
          <cell r="C1300" t="str">
            <v>LIABILITIES</v>
          </cell>
          <cell r="D1300" t="str">
            <v>BALANCE SHEET</v>
          </cell>
          <cell r="E1300">
            <v>0</v>
          </cell>
          <cell r="F1300">
            <v>0</v>
          </cell>
          <cell r="G1300" t="str">
            <v>CURRENT LIABILITIES AND PROVISIONS</v>
          </cell>
          <cell r="H1300" t="str">
            <v>CURRENT LIABILITIES</v>
          </cell>
          <cell r="I1300" t="str">
            <v>OTHER LIABILITIES</v>
          </cell>
        </row>
        <row r="1301">
          <cell r="A1301" t="str">
            <v>L506003-000-050</v>
          </cell>
          <cell r="B1301" t="str">
            <v>IBMS- Carlton Estate</v>
          </cell>
          <cell r="C1301" t="str">
            <v>LIABILITIES</v>
          </cell>
          <cell r="D1301" t="str">
            <v>BALANCE SHEET</v>
          </cell>
          <cell r="E1301">
            <v>0</v>
          </cell>
          <cell r="F1301">
            <v>0</v>
          </cell>
          <cell r="G1301" t="str">
            <v>CURRENT LIABILITIES AND PROVISIONS</v>
          </cell>
          <cell r="H1301" t="str">
            <v>CURRENT LIABILITIES</v>
          </cell>
          <cell r="I1301" t="str">
            <v>OTHER LIABILITIES</v>
          </cell>
        </row>
        <row r="1302">
          <cell r="A1302" t="str">
            <v>L506003-000-055</v>
          </cell>
          <cell r="B1302" t="str">
            <v>IBMS- BELVEDERE TOWERS</v>
          </cell>
          <cell r="C1302" t="str">
            <v>LIABILITIES</v>
          </cell>
          <cell r="D1302" t="str">
            <v>BALANCE SHEET</v>
          </cell>
          <cell r="E1302">
            <v>0</v>
          </cell>
          <cell r="F1302">
            <v>0</v>
          </cell>
          <cell r="G1302" t="str">
            <v>CURRENT LIABILITIES AND PROVISIONS</v>
          </cell>
          <cell r="H1302" t="str">
            <v>CURRENT LIABILITIES</v>
          </cell>
          <cell r="I1302" t="str">
            <v>OTHER LIABILITIES</v>
          </cell>
        </row>
        <row r="1303">
          <cell r="A1303" t="str">
            <v>L506003-000-060</v>
          </cell>
          <cell r="B1303" t="str">
            <v>IBMS- TRINITY TOWERS</v>
          </cell>
          <cell r="C1303" t="str">
            <v>LIABILITIES</v>
          </cell>
          <cell r="D1303" t="str">
            <v>BALANCE SHEET</v>
          </cell>
          <cell r="E1303">
            <v>0</v>
          </cell>
          <cell r="F1303">
            <v>0</v>
          </cell>
          <cell r="G1303" t="str">
            <v>CURRENT LIABILITIES AND PROVISIONS</v>
          </cell>
          <cell r="H1303" t="str">
            <v>CURRENT LIABILITIES</v>
          </cell>
          <cell r="I1303" t="str">
            <v>OTHER LIABILITIES</v>
          </cell>
        </row>
        <row r="1304">
          <cell r="A1304" t="str">
            <v>L506004</v>
          </cell>
          <cell r="B1304" t="str">
            <v>Security Deposits</v>
          </cell>
          <cell r="C1304" t="str">
            <v>LIABILITIES</v>
          </cell>
          <cell r="D1304" t="str">
            <v>BALANCE SHEET</v>
          </cell>
          <cell r="E1304">
            <v>0</v>
          </cell>
          <cell r="F1304">
            <v>0</v>
          </cell>
          <cell r="G1304" t="str">
            <v>CURRENT LIABILITIES AND PROVISIONS</v>
          </cell>
          <cell r="H1304" t="str">
            <v>CURRENT LIABILITIES</v>
          </cell>
          <cell r="I1304" t="str">
            <v>OTHER LIABILITIES</v>
          </cell>
        </row>
        <row r="1305">
          <cell r="A1305" t="str">
            <v>L506005</v>
          </cell>
          <cell r="B1305" t="str">
            <v>Security Deposits (Rent)- Int. Bearing</v>
          </cell>
          <cell r="C1305" t="str">
            <v>LIABILITIES</v>
          </cell>
          <cell r="D1305" t="str">
            <v>BALANCE SHEET</v>
          </cell>
          <cell r="E1305">
            <v>0</v>
          </cell>
          <cell r="F1305">
            <v>0</v>
          </cell>
          <cell r="G1305" t="str">
            <v>CURRENT LIABILITIES AND PROVISIONS</v>
          </cell>
          <cell r="H1305" t="str">
            <v>CURRENT LIABILITIES</v>
          </cell>
          <cell r="I1305" t="str">
            <v>OTHER LIABILITIES</v>
          </cell>
        </row>
        <row r="1306">
          <cell r="A1306" t="str">
            <v>L506006</v>
          </cell>
          <cell r="B1306" t="str">
            <v>Security Deposits (Rent)- Interest Free</v>
          </cell>
          <cell r="C1306" t="str">
            <v>LIABILITIES</v>
          </cell>
          <cell r="D1306" t="str">
            <v>BALANCE SHEET</v>
          </cell>
          <cell r="E1306">
            <v>0</v>
          </cell>
          <cell r="F1306">
            <v>0</v>
          </cell>
          <cell r="G1306" t="str">
            <v>CURRENT LIABILITIES AND PROVISIONS</v>
          </cell>
          <cell r="H1306" t="str">
            <v>CURRENT LIABILITIES</v>
          </cell>
          <cell r="I1306" t="str">
            <v>OTHER LIABILITIES</v>
          </cell>
        </row>
        <row r="1307">
          <cell r="A1307" t="str">
            <v>L506007</v>
          </cell>
          <cell r="B1307" t="str">
            <v>Security Deposits (Cust)- Refundable</v>
          </cell>
          <cell r="C1307" t="str">
            <v>LIABILITIES</v>
          </cell>
          <cell r="D1307" t="str">
            <v>BALANCE SHEET</v>
          </cell>
          <cell r="E1307" t="str">
            <v>CUSTOMER DEPOSIT A/C</v>
          </cell>
          <cell r="F1307">
            <v>0</v>
          </cell>
          <cell r="G1307" t="str">
            <v>CURRENT LIABILITIES AND PROVISIONS</v>
          </cell>
          <cell r="H1307" t="str">
            <v>CURRENT LIABILITIES</v>
          </cell>
          <cell r="I1307" t="str">
            <v>OTHER LIABILITIES</v>
          </cell>
        </row>
        <row r="1308">
          <cell r="A1308" t="str">
            <v>L506008</v>
          </cell>
          <cell r="B1308" t="str">
            <v>Security Deposits (Cust)- Meter</v>
          </cell>
          <cell r="C1308" t="str">
            <v>LIABILITIES</v>
          </cell>
          <cell r="D1308" t="str">
            <v>BALANCE SHEET</v>
          </cell>
          <cell r="E1308" t="str">
            <v>CUSTOMER DEPOSIT A/C</v>
          </cell>
          <cell r="F1308">
            <v>0</v>
          </cell>
          <cell r="G1308" t="str">
            <v>CURRENT LIABILITIES AND PROVISIONS</v>
          </cell>
          <cell r="H1308" t="str">
            <v>CURRENT LIABILITIES</v>
          </cell>
          <cell r="I1308" t="str">
            <v>OTHER LIABILITIES</v>
          </cell>
        </row>
        <row r="1309">
          <cell r="A1309" t="str">
            <v>L506009</v>
          </cell>
          <cell r="B1309" t="str">
            <v>Security Deposits (Cust)- Security Depos</v>
          </cell>
          <cell r="C1309" t="str">
            <v>LIABILITIES</v>
          </cell>
          <cell r="D1309" t="str">
            <v>BALANCE SHEET</v>
          </cell>
          <cell r="E1309" t="str">
            <v>CUSTOMER DEPOSIT A/C</v>
          </cell>
          <cell r="F1309">
            <v>0</v>
          </cell>
          <cell r="G1309" t="str">
            <v>CURRENT LIABILITIES AND PROVISIONS</v>
          </cell>
          <cell r="H1309" t="str">
            <v>CURRENT LIABILITIES</v>
          </cell>
          <cell r="I1309" t="str">
            <v>OTHER LIABILITIES</v>
          </cell>
        </row>
        <row r="1310">
          <cell r="A1310" t="str">
            <v>L506010</v>
          </cell>
          <cell r="B1310" t="str">
            <v>Security Deposits (Cust)- Glof Membershp</v>
          </cell>
          <cell r="C1310" t="str">
            <v>LIABILITIES</v>
          </cell>
          <cell r="D1310" t="str">
            <v>BALANCE SHEET</v>
          </cell>
          <cell r="E1310" t="str">
            <v>CUSTOMER DEPOSIT A/C</v>
          </cell>
          <cell r="F1310">
            <v>0</v>
          </cell>
          <cell r="G1310" t="str">
            <v>CURRENT LIABILITIES AND PROVISIONS</v>
          </cell>
          <cell r="H1310" t="str">
            <v>CURRENT LIABILITIES</v>
          </cell>
          <cell r="I1310" t="str">
            <v>OTHER LIABILITIES</v>
          </cell>
        </row>
        <row r="1311">
          <cell r="A1311" t="str">
            <v>L506011</v>
          </cell>
          <cell r="B1311" t="str">
            <v>Security Deposits (Cust)- Water</v>
          </cell>
          <cell r="C1311" t="str">
            <v>LIABILITIES</v>
          </cell>
          <cell r="D1311" t="str">
            <v>BALANCE SHEET</v>
          </cell>
          <cell r="E1311" t="str">
            <v>CUSTOMER DEPOSIT A/C</v>
          </cell>
          <cell r="F1311">
            <v>0</v>
          </cell>
          <cell r="G1311" t="str">
            <v>CURRENT LIABILITIES AND PROVISIONS</v>
          </cell>
          <cell r="H1311" t="str">
            <v>CURRENT LIABILITIES</v>
          </cell>
          <cell r="I1311" t="str">
            <v>OTHER LIABILITIES</v>
          </cell>
        </row>
        <row r="1312">
          <cell r="A1312" t="str">
            <v>L506012</v>
          </cell>
          <cell r="B1312" t="str">
            <v>Security Deposits (Cust)- Security Sewer</v>
          </cell>
          <cell r="C1312" t="str">
            <v>LIABILITIES</v>
          </cell>
          <cell r="D1312" t="str">
            <v>BALANCE SHEET</v>
          </cell>
          <cell r="E1312" t="str">
            <v>CUSTOMER DEPOSIT A/C</v>
          </cell>
          <cell r="F1312">
            <v>0</v>
          </cell>
          <cell r="G1312" t="str">
            <v>CURRENT LIABILITIES AND PROVISIONS</v>
          </cell>
          <cell r="H1312" t="str">
            <v>CURRENT LIABILITIES</v>
          </cell>
          <cell r="I1312" t="str">
            <v>OTHER LIABILITIES</v>
          </cell>
        </row>
        <row r="1313">
          <cell r="A1313" t="str">
            <v>L506013</v>
          </cell>
          <cell r="B1313" t="str">
            <v>Security Deposits (Cust)- Acd Refundable</v>
          </cell>
          <cell r="C1313" t="str">
            <v>LIABILITIES</v>
          </cell>
          <cell r="D1313" t="str">
            <v>BALANCE SHEET</v>
          </cell>
          <cell r="E1313" t="str">
            <v>CUSTOMER DEPOSIT A/C</v>
          </cell>
          <cell r="F1313">
            <v>0</v>
          </cell>
          <cell r="G1313" t="str">
            <v>CURRENT LIABILITIES AND PROVISIONS</v>
          </cell>
          <cell r="H1313" t="str">
            <v>CURRENT LIABILITIES</v>
          </cell>
          <cell r="I1313" t="str">
            <v>OTHER LIABILITIES</v>
          </cell>
        </row>
        <row r="1314">
          <cell r="A1314" t="str">
            <v>L506014</v>
          </cell>
          <cell r="B1314" t="str">
            <v>Refundble lng trm sec dep (Golf Course)</v>
          </cell>
          <cell r="C1314" t="str">
            <v>LIABILITIES</v>
          </cell>
          <cell r="D1314" t="str">
            <v>BALANCE SHEET</v>
          </cell>
          <cell r="E1314">
            <v>0</v>
          </cell>
          <cell r="F1314">
            <v>0</v>
          </cell>
          <cell r="G1314" t="str">
            <v>CURRENT LIABILITIES AND PROVISIONS</v>
          </cell>
          <cell r="H1314" t="str">
            <v>CURRENT LIABILITIES</v>
          </cell>
          <cell r="I1314" t="str">
            <v>OTHER LIABILITIES</v>
          </cell>
        </row>
        <row r="1315">
          <cell r="A1315" t="str">
            <v>L506015</v>
          </cell>
          <cell r="B1315" t="str">
            <v>Security Deposits (Others)</v>
          </cell>
          <cell r="C1315" t="str">
            <v>LIABILITIES</v>
          </cell>
          <cell r="D1315" t="str">
            <v>BALANCE SHEET</v>
          </cell>
          <cell r="E1315">
            <v>0</v>
          </cell>
          <cell r="F1315">
            <v>0</v>
          </cell>
          <cell r="G1315" t="str">
            <v>CURRENT LIABILITIES AND PROVISIONS</v>
          </cell>
          <cell r="H1315" t="str">
            <v>CURRENT LIABILITIES</v>
          </cell>
          <cell r="I1315" t="str">
            <v>OTHER LIABILITIES</v>
          </cell>
        </row>
        <row r="1316">
          <cell r="A1316" t="str">
            <v>L506016</v>
          </cell>
          <cell r="B1316" t="str">
            <v>Security From Contractors</v>
          </cell>
          <cell r="C1316" t="str">
            <v>LIABILITIES</v>
          </cell>
          <cell r="D1316" t="str">
            <v>BALANCE SHEET</v>
          </cell>
          <cell r="E1316">
            <v>0</v>
          </cell>
          <cell r="F1316">
            <v>0</v>
          </cell>
          <cell r="G1316" t="str">
            <v>CURRENT LIABILITIES AND PROVISIONS</v>
          </cell>
          <cell r="H1316" t="str">
            <v>CURRENT LIABILITIES</v>
          </cell>
          <cell r="I1316" t="str">
            <v>OTHER LIABILITIES</v>
          </cell>
        </row>
        <row r="1317">
          <cell r="A1317" t="str">
            <v>L506017</v>
          </cell>
          <cell r="B1317" t="str">
            <v>Security - Nitrogen Gas Cylinder</v>
          </cell>
          <cell r="C1317" t="str">
            <v>LIABILITIES</v>
          </cell>
          <cell r="D1317" t="str">
            <v>BALANCE SHEET</v>
          </cell>
          <cell r="E1317">
            <v>0</v>
          </cell>
          <cell r="F1317">
            <v>0</v>
          </cell>
          <cell r="G1317" t="str">
            <v>CURRENT LIABILITIES AND PROVISIONS</v>
          </cell>
          <cell r="H1317" t="str">
            <v>CURRENT LIABILITIES</v>
          </cell>
          <cell r="I1317" t="str">
            <v>OTHER LIABILITIES</v>
          </cell>
        </row>
        <row r="1318">
          <cell r="A1318" t="str">
            <v>L506018</v>
          </cell>
          <cell r="B1318" t="str">
            <v>Security Deposit - A C D</v>
          </cell>
          <cell r="C1318" t="str">
            <v>LIABILITIES</v>
          </cell>
          <cell r="D1318" t="str">
            <v>BALANCE SHEET</v>
          </cell>
          <cell r="E1318">
            <v>0</v>
          </cell>
          <cell r="F1318">
            <v>0</v>
          </cell>
          <cell r="G1318" t="str">
            <v>CURRENT LIABILITIES AND PROVISIONS</v>
          </cell>
          <cell r="H1318" t="str">
            <v>CURRENT LIABILITIES</v>
          </cell>
          <cell r="I1318" t="str">
            <v>OTHER LIABILITIES</v>
          </cell>
        </row>
        <row r="1319">
          <cell r="A1319" t="str">
            <v>L506019-015</v>
          </cell>
          <cell r="B1319" t="str">
            <v>Security-Town House</v>
          </cell>
          <cell r="C1319" t="str">
            <v>LIABILITIES</v>
          </cell>
          <cell r="D1319" t="str">
            <v>BALANCE SHEET</v>
          </cell>
          <cell r="E1319">
            <v>0</v>
          </cell>
          <cell r="F1319">
            <v>0</v>
          </cell>
          <cell r="G1319" t="str">
            <v>CURRENT LIABILITIES AND PROVISIONS</v>
          </cell>
          <cell r="H1319" t="str">
            <v>CURRENT LIABILITIES</v>
          </cell>
          <cell r="I1319" t="str">
            <v>OTHER LIABILITIES</v>
          </cell>
        </row>
        <row r="1320">
          <cell r="A1320" t="str">
            <v>L506019-031</v>
          </cell>
          <cell r="B1320" t="str">
            <v>Security-Villa</v>
          </cell>
          <cell r="C1320" t="str">
            <v>LIABILITIES</v>
          </cell>
          <cell r="D1320" t="str">
            <v>BALANCE SHEET</v>
          </cell>
          <cell r="E1320">
            <v>0</v>
          </cell>
          <cell r="F1320">
            <v>0</v>
          </cell>
          <cell r="G1320" t="str">
            <v>CURRENT LIABILITIES AND PROVISIONS</v>
          </cell>
          <cell r="H1320" t="str">
            <v>CURRENT LIABILITIES</v>
          </cell>
          <cell r="I1320" t="str">
            <v>OTHER LIABILITIES</v>
          </cell>
        </row>
        <row r="1321">
          <cell r="A1321" t="str">
            <v>L506019-102</v>
          </cell>
          <cell r="B1321" t="str">
            <v>Security-QEC 1,2,3</v>
          </cell>
          <cell r="C1321" t="str">
            <v>LIABILITIES</v>
          </cell>
          <cell r="D1321" t="str">
            <v>BALANCE SHEET</v>
          </cell>
          <cell r="E1321">
            <v>0</v>
          </cell>
          <cell r="F1321">
            <v>0</v>
          </cell>
          <cell r="G1321" t="str">
            <v>CURRENT LIABILITIES AND PROVISIONS</v>
          </cell>
          <cell r="H1321" t="str">
            <v>CURRENT LIABILITIES</v>
          </cell>
          <cell r="I1321" t="str">
            <v>OTHER LIABILITIES</v>
          </cell>
        </row>
        <row r="1322">
          <cell r="A1322" t="str">
            <v>L506020</v>
          </cell>
          <cell r="B1322" t="str">
            <v>Security Deposits (DSA)</v>
          </cell>
          <cell r="C1322" t="str">
            <v>LIABILITIES</v>
          </cell>
          <cell r="D1322" t="str">
            <v>BALANCE SHEET</v>
          </cell>
          <cell r="E1322" t="str">
            <v>CUSTOMER DEPOSIT A/C</v>
          </cell>
          <cell r="F1322">
            <v>0</v>
          </cell>
          <cell r="G1322" t="str">
            <v>CURRENT LIABILITIES AND PROVISIONS</v>
          </cell>
          <cell r="H1322" t="str">
            <v>CURRENT LIABILITIES</v>
          </cell>
          <cell r="I1322" t="str">
            <v>OTHER LIABILITIES</v>
          </cell>
        </row>
        <row r="1323">
          <cell r="A1323" t="str">
            <v>L506101</v>
          </cell>
          <cell r="B1323" t="str">
            <v>Advance (deposits from members)</v>
          </cell>
          <cell r="C1323" t="str">
            <v>LIABILITIES</v>
          </cell>
          <cell r="D1323" t="str">
            <v>BALANCE SHEET</v>
          </cell>
          <cell r="E1323">
            <v>0</v>
          </cell>
          <cell r="F1323">
            <v>0</v>
          </cell>
          <cell r="G1323" t="str">
            <v>CURRENT LIABILITIES AND PROVISIONS</v>
          </cell>
          <cell r="H1323" t="str">
            <v>CURRENT LIABILITIES</v>
          </cell>
          <cell r="I1323" t="str">
            <v>OTHER LIABILITIES</v>
          </cell>
        </row>
        <row r="1324">
          <cell r="A1324" t="str">
            <v>L506102</v>
          </cell>
          <cell r="B1324" t="str">
            <v>Advance from Customers</v>
          </cell>
          <cell r="C1324" t="str">
            <v>LIABILITIES</v>
          </cell>
          <cell r="D1324" t="str">
            <v>BALANCE SHEET</v>
          </cell>
          <cell r="E1324" t="str">
            <v>CUSTOMER PREPAYMENT A/C</v>
          </cell>
          <cell r="F1324">
            <v>0</v>
          </cell>
          <cell r="G1324" t="str">
            <v>CURRENT LIABILITIES AND PROVISIONS</v>
          </cell>
          <cell r="H1324" t="str">
            <v>CURRENT LIABILITIES</v>
          </cell>
          <cell r="I1324" t="str">
            <v>OTHER LIABILITIES</v>
          </cell>
        </row>
        <row r="1325">
          <cell r="A1325" t="str">
            <v>L506103</v>
          </cell>
          <cell r="B1325" t="str">
            <v>Advance Maint Charges Received</v>
          </cell>
          <cell r="C1325" t="str">
            <v>LIABILITIES</v>
          </cell>
          <cell r="D1325" t="str">
            <v>BALANCE SHEET</v>
          </cell>
          <cell r="E1325" t="str">
            <v>CUSTOMER PREPAYMENT A/C</v>
          </cell>
          <cell r="F1325">
            <v>0</v>
          </cell>
          <cell r="G1325" t="str">
            <v>CURRENT LIABILITIES AND PROVISIONS</v>
          </cell>
          <cell r="H1325" t="str">
            <v>CURRENT LIABILITIES</v>
          </cell>
          <cell r="I1325" t="str">
            <v>OTHER LIABILITIES</v>
          </cell>
        </row>
        <row r="1326">
          <cell r="A1326" t="str">
            <v>L506104</v>
          </cell>
          <cell r="B1326" t="str">
            <v>Advance From Employees</v>
          </cell>
          <cell r="C1326" t="str">
            <v>LIABILITIES</v>
          </cell>
          <cell r="D1326" t="str">
            <v>BALANCE SHEET</v>
          </cell>
          <cell r="E1326">
            <v>0</v>
          </cell>
          <cell r="F1326">
            <v>0</v>
          </cell>
          <cell r="G1326" t="str">
            <v>CURRENT LIABILITIES AND PROVISIONS</v>
          </cell>
          <cell r="H1326" t="str">
            <v>CURRENT LIABILITIES</v>
          </cell>
          <cell r="I1326" t="str">
            <v>OTHER LIABILITIES</v>
          </cell>
        </row>
        <row r="1327">
          <cell r="A1327" t="str">
            <v>L506105</v>
          </cell>
          <cell r="B1327" t="str">
            <v>Fee Recd For Electric Connection</v>
          </cell>
          <cell r="C1327" t="str">
            <v>LIABILITIES</v>
          </cell>
          <cell r="D1327" t="str">
            <v>BALANCE SHEET</v>
          </cell>
          <cell r="E1327">
            <v>0</v>
          </cell>
          <cell r="F1327">
            <v>0</v>
          </cell>
          <cell r="G1327" t="str">
            <v>CURRENT LIABILITIES AND PROVISIONS</v>
          </cell>
          <cell r="H1327" t="str">
            <v>CURRENT LIABILITIES</v>
          </cell>
          <cell r="I1327" t="str">
            <v>OTHER LIABILITIES</v>
          </cell>
        </row>
        <row r="1328">
          <cell r="A1328" t="str">
            <v>L506106</v>
          </cell>
          <cell r="B1328" t="str">
            <v>Int Payable on Customer's Deposits</v>
          </cell>
          <cell r="C1328" t="str">
            <v>LIABILITIES</v>
          </cell>
          <cell r="D1328" t="str">
            <v>BALANCE SHEET</v>
          </cell>
          <cell r="E1328">
            <v>0</v>
          </cell>
          <cell r="F1328">
            <v>0</v>
          </cell>
          <cell r="G1328" t="str">
            <v>CURRENT LIABILITIES AND PROVISIONS</v>
          </cell>
          <cell r="H1328" t="str">
            <v>CURRENT LIABILITIES</v>
          </cell>
          <cell r="I1328" t="str">
            <v>OTHER LIABILITIES</v>
          </cell>
        </row>
        <row r="1329">
          <cell r="A1329" t="str">
            <v>L506107</v>
          </cell>
          <cell r="B1329" t="str">
            <v>Advance Rent Received (Customers)</v>
          </cell>
          <cell r="C1329" t="str">
            <v>LIABILITIES</v>
          </cell>
          <cell r="D1329" t="str">
            <v>BALANCE SHEET</v>
          </cell>
          <cell r="E1329" t="str">
            <v>CUSTOMER PREPAYMENT A/C</v>
          </cell>
          <cell r="F1329">
            <v>0</v>
          </cell>
          <cell r="G1329" t="str">
            <v>CURRENT LIABILITIES AND PROVISIONS</v>
          </cell>
          <cell r="H1329" t="str">
            <v>CURRENT LIABILITIES</v>
          </cell>
          <cell r="I1329" t="str">
            <v>OTHER LIABILITIES</v>
          </cell>
        </row>
        <row r="1330">
          <cell r="A1330" t="str">
            <v>L506199</v>
          </cell>
          <cell r="B1330" t="str">
            <v>IB-CUSTOMERS</v>
          </cell>
          <cell r="C1330" t="str">
            <v>LIABILITIES</v>
          </cell>
          <cell r="D1330" t="str">
            <v>BALANCE SHEET</v>
          </cell>
          <cell r="E1330">
            <v>0</v>
          </cell>
          <cell r="F1330">
            <v>0</v>
          </cell>
          <cell r="G1330" t="str">
            <v>CURRENT LIABILITIES AND PROVISIONS</v>
          </cell>
          <cell r="H1330" t="str">
            <v>CURRENT LIABILITIES</v>
          </cell>
          <cell r="I1330" t="str">
            <v>OTHER LIABILITIES</v>
          </cell>
        </row>
        <row r="1331">
          <cell r="A1331" t="str">
            <v>L506201</v>
          </cell>
          <cell r="B1331" t="str">
            <v>Interest Payable (Oth)</v>
          </cell>
          <cell r="C1331" t="str">
            <v>LIABILITIES</v>
          </cell>
          <cell r="D1331" t="str">
            <v>BALANCE SHEET</v>
          </cell>
          <cell r="E1331">
            <v>0</v>
          </cell>
          <cell r="F1331">
            <v>0</v>
          </cell>
          <cell r="G1331" t="str">
            <v>CURRENT LIABILITIES AND PROVISIONS</v>
          </cell>
          <cell r="H1331" t="str">
            <v>CURRENT LIABILITIES</v>
          </cell>
          <cell r="I1331" t="str">
            <v>OTHER LIABILITIES</v>
          </cell>
        </row>
        <row r="1332">
          <cell r="A1332" t="str">
            <v>L506202</v>
          </cell>
          <cell r="B1332" t="str">
            <v>Amount Payable (Group Companies)</v>
          </cell>
          <cell r="C1332" t="str">
            <v>LIABILITIES</v>
          </cell>
          <cell r="D1332" t="str">
            <v>BALANCE SHEET</v>
          </cell>
          <cell r="E1332">
            <v>0</v>
          </cell>
          <cell r="F1332">
            <v>0</v>
          </cell>
          <cell r="G1332" t="str">
            <v>CURRENT LIABILITIES AND PROVISIONS</v>
          </cell>
          <cell r="H1332" t="str">
            <v>CURRENT LIABILITIES</v>
          </cell>
          <cell r="I1332" t="str">
            <v>OTHER LIABILITIES</v>
          </cell>
        </row>
        <row r="1333">
          <cell r="A1333" t="str">
            <v>L506203</v>
          </cell>
          <cell r="B1333" t="str">
            <v>Amount Payable (Firms)</v>
          </cell>
          <cell r="C1333" t="str">
            <v>LIABILITIES</v>
          </cell>
          <cell r="D1333" t="str">
            <v>BALANCE SHEET</v>
          </cell>
          <cell r="E1333">
            <v>0</v>
          </cell>
          <cell r="F1333">
            <v>0</v>
          </cell>
          <cell r="G1333" t="str">
            <v>CURRENT LIABILITIES AND PROVISIONS</v>
          </cell>
          <cell r="H1333" t="str">
            <v>CURRENT LIABILITIES</v>
          </cell>
          <cell r="I1333" t="str">
            <v>OTHER LIABILITIES</v>
          </cell>
        </row>
        <row r="1334">
          <cell r="A1334" t="str">
            <v>L506204</v>
          </cell>
          <cell r="B1334" t="str">
            <v>Amount Payable (JVs)</v>
          </cell>
          <cell r="C1334" t="str">
            <v>LIABILITIES</v>
          </cell>
          <cell r="D1334" t="str">
            <v>BALANCE SHEET</v>
          </cell>
          <cell r="E1334">
            <v>0</v>
          </cell>
          <cell r="F1334">
            <v>0</v>
          </cell>
          <cell r="G1334" t="str">
            <v>CURRENT LIABILITIES AND PROVISIONS</v>
          </cell>
          <cell r="H1334" t="str">
            <v>CURRENT LIABILITIES</v>
          </cell>
          <cell r="I1334" t="str">
            <v>OTHER LIABILITIES</v>
          </cell>
        </row>
        <row r="1335">
          <cell r="A1335" t="str">
            <v>L506205</v>
          </cell>
          <cell r="B1335" t="str">
            <v>Sundry Creditors (Emp)- Unpaid Salaries</v>
          </cell>
          <cell r="C1335" t="str">
            <v>LIABILITIES</v>
          </cell>
          <cell r="D1335" t="str">
            <v>BALANCE SHEET</v>
          </cell>
          <cell r="E1335">
            <v>0</v>
          </cell>
          <cell r="F1335">
            <v>0</v>
          </cell>
          <cell r="G1335" t="str">
            <v>CURRENT LIABILITIES AND PROVISIONS</v>
          </cell>
          <cell r="H1335" t="str">
            <v>CURRENT LIABILITIES</v>
          </cell>
          <cell r="I1335" t="str">
            <v>OTHER LIABILITIES</v>
          </cell>
        </row>
        <row r="1336">
          <cell r="A1336" t="str">
            <v>L506206</v>
          </cell>
          <cell r="B1336" t="str">
            <v>Sundry Creditors (Emp)- Unpaid Bonus</v>
          </cell>
          <cell r="C1336" t="str">
            <v>LIABILITIES</v>
          </cell>
          <cell r="D1336" t="str">
            <v>BALANCE SHEET</v>
          </cell>
          <cell r="E1336">
            <v>0</v>
          </cell>
          <cell r="F1336">
            <v>0</v>
          </cell>
          <cell r="G1336" t="str">
            <v>CURRENT LIABILITIES AND PROVISIONS</v>
          </cell>
          <cell r="H1336" t="str">
            <v>CURRENT LIABILITIES</v>
          </cell>
          <cell r="I1336" t="str">
            <v>OTHER LIABILITIES</v>
          </cell>
        </row>
        <row r="1337">
          <cell r="A1337" t="str">
            <v>L506207</v>
          </cell>
          <cell r="B1337" t="str">
            <v>Sundry Creditors (Directors)</v>
          </cell>
          <cell r="C1337" t="str">
            <v>LIABILITIES</v>
          </cell>
          <cell r="D1337" t="str">
            <v>BALANCE SHEET</v>
          </cell>
          <cell r="E1337">
            <v>0</v>
          </cell>
          <cell r="F1337">
            <v>0</v>
          </cell>
          <cell r="G1337" t="str">
            <v>CURRENT LIABILITIES AND PROVISIONS</v>
          </cell>
          <cell r="H1337" t="str">
            <v>CURRENT LIABILITIES</v>
          </cell>
          <cell r="I1337" t="str">
            <v>OTHER LIABILITIES</v>
          </cell>
        </row>
        <row r="1338">
          <cell r="A1338" t="str">
            <v>L506208-010</v>
          </cell>
          <cell r="B1338" t="str">
            <v>Amt Payable (Gr Co)-DLF LTD CNSTR DIV</v>
          </cell>
          <cell r="C1338" t="str">
            <v>LIABILITIES</v>
          </cell>
          <cell r="D1338" t="str">
            <v>BALANCE SHEET</v>
          </cell>
          <cell r="E1338">
            <v>0</v>
          </cell>
          <cell r="F1338">
            <v>0</v>
          </cell>
          <cell r="G1338" t="str">
            <v>CURRENT LIABILITIES AND PROVISIONS</v>
          </cell>
          <cell r="H1338" t="str">
            <v>CURRENT LIABILITIES</v>
          </cell>
          <cell r="I1338" t="str">
            <v>OTHER LIABILITIES</v>
          </cell>
        </row>
        <row r="1339">
          <cell r="A1339" t="str">
            <v>L506208-020</v>
          </cell>
          <cell r="B1339" t="str">
            <v>Amt Payable (Gr Co)-DEDL</v>
          </cell>
          <cell r="C1339" t="str">
            <v>LIABILITIES</v>
          </cell>
          <cell r="D1339" t="str">
            <v>BALANCE SHEET</v>
          </cell>
          <cell r="E1339">
            <v>0</v>
          </cell>
          <cell r="F1339">
            <v>0</v>
          </cell>
          <cell r="G1339" t="str">
            <v>CURRENT LIABILITIES AND PROVISIONS</v>
          </cell>
          <cell r="H1339" t="str">
            <v>CURRENT LIABILITIES</v>
          </cell>
          <cell r="I1339" t="str">
            <v>OTHER LIABILITIES</v>
          </cell>
        </row>
        <row r="1340">
          <cell r="A1340" t="str">
            <v>L506208-025</v>
          </cell>
          <cell r="B1340" t="str">
            <v>Amt Payable (Gr Co)-DSL</v>
          </cell>
          <cell r="C1340" t="str">
            <v>LIABILITIES</v>
          </cell>
          <cell r="D1340" t="str">
            <v>BALANCE SHEET</v>
          </cell>
          <cell r="E1340">
            <v>0</v>
          </cell>
          <cell r="F1340">
            <v>0</v>
          </cell>
          <cell r="G1340" t="str">
            <v>CURRENT LIABILITIES AND PROVISIONS</v>
          </cell>
          <cell r="H1340" t="str">
            <v>CURRENT LIABILITIES</v>
          </cell>
          <cell r="I1340" t="str">
            <v>OTHER LIABILITIES</v>
          </cell>
        </row>
        <row r="1341">
          <cell r="A1341" t="str">
            <v>L506208-055</v>
          </cell>
          <cell r="B1341" t="str">
            <v>Amt Payable (Gr Co)-DLF RECR. FOUNDATION</v>
          </cell>
          <cell r="C1341" t="str">
            <v>LIABILITIES</v>
          </cell>
          <cell r="D1341" t="str">
            <v>BALANCE SHEET</v>
          </cell>
          <cell r="E1341">
            <v>0</v>
          </cell>
          <cell r="F1341">
            <v>0</v>
          </cell>
          <cell r="G1341" t="str">
            <v>CURRENT LIABILITIES AND PROVISIONS</v>
          </cell>
          <cell r="H1341" t="str">
            <v>CURRENT LIABILITIES</v>
          </cell>
          <cell r="I1341" t="str">
            <v>OTHER LIABILITIES</v>
          </cell>
        </row>
        <row r="1342">
          <cell r="A1342" t="str">
            <v>L506208-101</v>
          </cell>
          <cell r="B1342" t="str">
            <v>Amt Payable (Gr Co)-DLF LTD</v>
          </cell>
          <cell r="C1342" t="str">
            <v>LIABILITIES</v>
          </cell>
          <cell r="D1342" t="str">
            <v>BALANCE SHEET</v>
          </cell>
          <cell r="E1342">
            <v>0</v>
          </cell>
          <cell r="F1342">
            <v>0</v>
          </cell>
          <cell r="G1342" t="str">
            <v>CURRENT LIABILITIES AND PROVISIONS</v>
          </cell>
          <cell r="H1342" t="str">
            <v>CURRENT LIABILITIES</v>
          </cell>
          <cell r="I1342" t="str">
            <v>OTHER LIABILITIES</v>
          </cell>
        </row>
        <row r="1343">
          <cell r="A1343" t="str">
            <v>L506208-550</v>
          </cell>
          <cell r="B1343" t="str">
            <v>Amt Payable (Gr Co)-Delanco Real Est P L</v>
          </cell>
          <cell r="C1343" t="str">
            <v>ASSET</v>
          </cell>
          <cell r="D1343" t="str">
            <v>BALANCE SHEET</v>
          </cell>
          <cell r="E1343">
            <v>0</v>
          </cell>
          <cell r="F1343">
            <v>0</v>
          </cell>
          <cell r="G1343" t="str">
            <v>CURRENT LIABILITIES AND PROVISIONS</v>
          </cell>
          <cell r="H1343" t="str">
            <v>CURRENT LIABILITIES</v>
          </cell>
          <cell r="I1343" t="str">
            <v>OTHER LIABILITIES</v>
          </cell>
        </row>
        <row r="1344">
          <cell r="A1344" t="str">
            <v>L506209</v>
          </cell>
          <cell r="B1344" t="str">
            <v>Amt Payable-Late Cnstr Chrgs</v>
          </cell>
          <cell r="C1344" t="str">
            <v>LIABILITIES</v>
          </cell>
          <cell r="D1344" t="str">
            <v>BALANCE SHEET</v>
          </cell>
          <cell r="E1344">
            <v>0</v>
          </cell>
          <cell r="F1344">
            <v>0</v>
          </cell>
          <cell r="G1344" t="str">
            <v>CURRENT LIABILITIES AND PROVISIONS</v>
          </cell>
          <cell r="H1344" t="str">
            <v>CURRENT LIABILITIES</v>
          </cell>
          <cell r="I1344" t="str">
            <v>OTHER LIABILITIES</v>
          </cell>
        </row>
        <row r="1345">
          <cell r="A1345" t="str">
            <v>L506210-245</v>
          </cell>
          <cell r="B1345" t="str">
            <v>Due to Partnership Firm-DLF Comm Pjts</v>
          </cell>
          <cell r="C1345" t="str">
            <v>LIABILITIES</v>
          </cell>
          <cell r="D1345" t="str">
            <v>BALANCE SHEET</v>
          </cell>
          <cell r="E1345">
            <v>0</v>
          </cell>
          <cell r="F1345">
            <v>0</v>
          </cell>
          <cell r="G1345" t="str">
            <v>CURRENT LIABILITIES AND PROVISIONS</v>
          </cell>
          <cell r="H1345" t="str">
            <v>CURRENT LIABILITIES</v>
          </cell>
          <cell r="I1345" t="str">
            <v>OTHER LIABILITIES</v>
          </cell>
        </row>
        <row r="1346">
          <cell r="A1346" t="str">
            <v>L506210-267</v>
          </cell>
          <cell r="B1346" t="str">
            <v>Due to Partnership Firm-DLF Resi Prtnr</v>
          </cell>
          <cell r="C1346" t="str">
            <v>LIABILITIES</v>
          </cell>
          <cell r="D1346" t="str">
            <v>BALANCE SHEET</v>
          </cell>
          <cell r="E1346">
            <v>0</v>
          </cell>
          <cell r="F1346">
            <v>0</v>
          </cell>
          <cell r="G1346" t="str">
            <v>CURRENT LIABILITIES AND PROVISIONS</v>
          </cell>
          <cell r="H1346" t="str">
            <v>CURRENT LIABILITIES</v>
          </cell>
          <cell r="I1346" t="str">
            <v>OTHER LIABILITIES</v>
          </cell>
        </row>
        <row r="1347">
          <cell r="A1347" t="str">
            <v>L506210-278</v>
          </cell>
          <cell r="B1347" t="str">
            <v>Due to Partnership Firm-DLF Home Dev</v>
          </cell>
          <cell r="C1347" t="str">
            <v>LIABILITIES</v>
          </cell>
          <cell r="D1347" t="str">
            <v>BALANCE SHEET</v>
          </cell>
          <cell r="E1347">
            <v>0</v>
          </cell>
          <cell r="F1347">
            <v>0</v>
          </cell>
          <cell r="G1347" t="str">
            <v>CURRENT LIABILITIES AND PROVISIONS</v>
          </cell>
          <cell r="H1347" t="str">
            <v>CURRENT LIABILITIES</v>
          </cell>
          <cell r="I1347" t="str">
            <v>OTHER LIABILITIES</v>
          </cell>
        </row>
        <row r="1348">
          <cell r="A1348" t="str">
            <v>L506210-536</v>
          </cell>
          <cell r="B1348" t="str">
            <v>Due to Partnership Firm-Heimo</v>
          </cell>
          <cell r="C1348" t="str">
            <v>LIABILITIES</v>
          </cell>
          <cell r="D1348" t="str">
            <v>BALANCE SHEET</v>
          </cell>
          <cell r="E1348">
            <v>0</v>
          </cell>
          <cell r="F1348">
            <v>0</v>
          </cell>
          <cell r="G1348" t="str">
            <v>CURRENT LIABILITIES AND PROVISIONS</v>
          </cell>
          <cell r="H1348" t="str">
            <v>CURRENT LIABILITIES</v>
          </cell>
          <cell r="I1348" t="str">
            <v>OTHER LIABILITIES</v>
          </cell>
        </row>
        <row r="1349">
          <cell r="A1349" t="str">
            <v>L506210-537</v>
          </cell>
          <cell r="B1349" t="str">
            <v>Due to Partnership Firm-Khem</v>
          </cell>
          <cell r="C1349" t="str">
            <v>LIABILITIES</v>
          </cell>
          <cell r="D1349" t="str">
            <v>BALANCE SHEET</v>
          </cell>
          <cell r="E1349">
            <v>0</v>
          </cell>
          <cell r="F1349">
            <v>0</v>
          </cell>
          <cell r="G1349" t="str">
            <v>CURRENT LIABILITIES AND PROVISIONS</v>
          </cell>
          <cell r="H1349" t="str">
            <v>CURRENT LIABILITIES</v>
          </cell>
          <cell r="I1349" t="str">
            <v>OTHER LIABILITIES</v>
          </cell>
        </row>
        <row r="1350">
          <cell r="A1350" t="str">
            <v>L506211</v>
          </cell>
          <cell r="B1350" t="str">
            <v>Interest Payable on Debentures</v>
          </cell>
          <cell r="C1350" t="str">
            <v>LIABILITIES</v>
          </cell>
          <cell r="D1350" t="str">
            <v>BALANCE SHEET</v>
          </cell>
          <cell r="E1350">
            <v>0</v>
          </cell>
          <cell r="F1350">
            <v>0</v>
          </cell>
          <cell r="G1350" t="str">
            <v>CURRENT LIABILITIES AND PROVISIONS</v>
          </cell>
          <cell r="H1350" t="str">
            <v>CURRENT LIABILITIES</v>
          </cell>
          <cell r="I1350" t="str">
            <v>OTHER LIABILITIES</v>
          </cell>
        </row>
        <row r="1351">
          <cell r="A1351" t="str">
            <v>L506212</v>
          </cell>
          <cell r="B1351" t="str">
            <v>Amount Payable (Third Party)</v>
          </cell>
          <cell r="C1351" t="str">
            <v>LIABILITIES</v>
          </cell>
          <cell r="D1351" t="str">
            <v>BALANCE SHEET</v>
          </cell>
          <cell r="E1351">
            <v>0</v>
          </cell>
          <cell r="F1351">
            <v>0</v>
          </cell>
          <cell r="G1351" t="str">
            <v>CURRENT LIABILITIES AND PROVISIONS</v>
          </cell>
          <cell r="H1351" t="str">
            <v>CURRENT LIABILITIES</v>
          </cell>
          <cell r="I1351" t="str">
            <v>OTHER LIABILITIES</v>
          </cell>
        </row>
        <row r="1352">
          <cell r="A1352" t="str">
            <v>L506213</v>
          </cell>
          <cell r="B1352" t="str">
            <v>Amount Payable to HUDA</v>
          </cell>
          <cell r="C1352" t="str">
            <v>LIABILITIES</v>
          </cell>
          <cell r="D1352" t="str">
            <v>BALANCE SHEET</v>
          </cell>
          <cell r="E1352">
            <v>0</v>
          </cell>
          <cell r="F1352">
            <v>0</v>
          </cell>
          <cell r="G1352" t="str">
            <v>CURRENT LIABILITIES AND PROVISIONS</v>
          </cell>
          <cell r="H1352" t="str">
            <v>CURRENT LIABILITIES</v>
          </cell>
          <cell r="I1352" t="str">
            <v>OTHER LIABILITIES</v>
          </cell>
        </row>
        <row r="1353">
          <cell r="A1353" t="str">
            <v>L506301</v>
          </cell>
          <cell r="B1353" t="str">
            <v>TDS- Salary</v>
          </cell>
          <cell r="C1353" t="str">
            <v>LIABILITIES</v>
          </cell>
          <cell r="D1353" t="str">
            <v>BALANCE SHEET</v>
          </cell>
          <cell r="E1353">
            <v>0</v>
          </cell>
          <cell r="F1353">
            <v>0</v>
          </cell>
          <cell r="G1353" t="str">
            <v>CURRENT LIABILITIES AND PROVISIONS</v>
          </cell>
          <cell r="H1353" t="str">
            <v>CURRENT LIABILITIES</v>
          </cell>
          <cell r="I1353" t="str">
            <v>OTHER LIABILITIES</v>
          </cell>
        </row>
        <row r="1354">
          <cell r="A1354" t="str">
            <v>L506302</v>
          </cell>
          <cell r="B1354" t="str">
            <v>TDS- Contractor</v>
          </cell>
          <cell r="C1354" t="str">
            <v>LIABILITIES</v>
          </cell>
          <cell r="D1354" t="str">
            <v>BALANCE SHEET</v>
          </cell>
          <cell r="E1354" t="str">
            <v>TDSPAYABLE</v>
          </cell>
          <cell r="F1354">
            <v>0</v>
          </cell>
          <cell r="G1354" t="str">
            <v>CURRENT LIABILITIES AND PROVISIONS</v>
          </cell>
          <cell r="H1354" t="str">
            <v>CURRENT LIABILITIES</v>
          </cell>
          <cell r="I1354" t="str">
            <v>OTHER LIABILITIES</v>
          </cell>
        </row>
        <row r="1355">
          <cell r="A1355" t="str">
            <v>L506303</v>
          </cell>
          <cell r="B1355" t="str">
            <v>TDS- Retainer</v>
          </cell>
          <cell r="C1355" t="str">
            <v>LIABILITIES</v>
          </cell>
          <cell r="D1355" t="str">
            <v>BALANCE SHEET</v>
          </cell>
          <cell r="E1355" t="str">
            <v>TDSPAYABLE</v>
          </cell>
          <cell r="F1355">
            <v>0</v>
          </cell>
          <cell r="G1355" t="str">
            <v>CURRENT LIABILITIES AND PROVISIONS</v>
          </cell>
          <cell r="H1355" t="str">
            <v>CURRENT LIABILITIES</v>
          </cell>
          <cell r="I1355" t="str">
            <v>OTHER LIABILITIES</v>
          </cell>
        </row>
        <row r="1356">
          <cell r="A1356" t="str">
            <v>L506304</v>
          </cell>
          <cell r="B1356" t="str">
            <v>TDS- Broker</v>
          </cell>
          <cell r="C1356" t="str">
            <v>LIABILITIES</v>
          </cell>
          <cell r="D1356" t="str">
            <v>BALANCE SHEET</v>
          </cell>
          <cell r="E1356" t="str">
            <v>TDSPAYABLE</v>
          </cell>
          <cell r="F1356">
            <v>0</v>
          </cell>
          <cell r="G1356" t="str">
            <v>CURRENT LIABILITIES AND PROVISIONS</v>
          </cell>
          <cell r="H1356" t="str">
            <v>CURRENT LIABILITIES</v>
          </cell>
          <cell r="I1356" t="str">
            <v>OTHER LIABILITIES</v>
          </cell>
        </row>
        <row r="1357">
          <cell r="A1357" t="str">
            <v>L506305</v>
          </cell>
          <cell r="B1357" t="str">
            <v>TDS- Rent</v>
          </cell>
          <cell r="C1357" t="str">
            <v>LIABILITIES</v>
          </cell>
          <cell r="D1357" t="str">
            <v>BALANCE SHEET</v>
          </cell>
          <cell r="E1357" t="str">
            <v>TDSPAYABLE</v>
          </cell>
          <cell r="F1357">
            <v>0</v>
          </cell>
          <cell r="G1357" t="str">
            <v>CURRENT LIABILITIES AND PROVISIONS</v>
          </cell>
          <cell r="H1357" t="str">
            <v>CURRENT LIABILITIES</v>
          </cell>
          <cell r="I1357" t="str">
            <v>OTHER LIABILITIES</v>
          </cell>
        </row>
        <row r="1358">
          <cell r="A1358" t="str">
            <v>L506306</v>
          </cell>
          <cell r="B1358" t="str">
            <v>TDS- Interest</v>
          </cell>
          <cell r="C1358" t="str">
            <v>LIABILITIES</v>
          </cell>
          <cell r="D1358" t="str">
            <v>BALANCE SHEET</v>
          </cell>
          <cell r="E1358" t="str">
            <v>TDSPAYABLE</v>
          </cell>
          <cell r="F1358">
            <v>0</v>
          </cell>
          <cell r="G1358" t="str">
            <v>CURRENT LIABILITIES AND PROVISIONS</v>
          </cell>
          <cell r="H1358" t="str">
            <v>CURRENT LIABILITIES</v>
          </cell>
          <cell r="I1358" t="str">
            <v>OTHER LIABILITIES</v>
          </cell>
        </row>
        <row r="1359">
          <cell r="A1359" t="str">
            <v>L506307</v>
          </cell>
          <cell r="B1359" t="str">
            <v>TDS- Others</v>
          </cell>
          <cell r="C1359" t="str">
            <v>LIABILITIES</v>
          </cell>
          <cell r="D1359" t="str">
            <v>BALANCE SHEET</v>
          </cell>
          <cell r="E1359" t="str">
            <v>TDSPAYABLE</v>
          </cell>
          <cell r="F1359">
            <v>0</v>
          </cell>
          <cell r="G1359" t="str">
            <v>CURRENT LIABILITIES AND PROVISIONS</v>
          </cell>
          <cell r="H1359" t="str">
            <v>CURRENT LIABILITIES</v>
          </cell>
          <cell r="I1359" t="str">
            <v>OTHER LIABILITIES</v>
          </cell>
        </row>
        <row r="1360">
          <cell r="A1360" t="str">
            <v>L506308</v>
          </cell>
          <cell r="B1360" t="str">
            <v>TDS-PROFESSIONAL</v>
          </cell>
          <cell r="C1360" t="str">
            <v>LIABILITIES</v>
          </cell>
          <cell r="D1360" t="str">
            <v>BALANCE SHEET</v>
          </cell>
          <cell r="E1360" t="str">
            <v>TDSPAYABLE</v>
          </cell>
          <cell r="F1360">
            <v>0</v>
          </cell>
          <cell r="G1360" t="str">
            <v>CURRENT LIABILITIES AND PROVISIONS</v>
          </cell>
          <cell r="H1360" t="str">
            <v>CURRENT LIABILITIES</v>
          </cell>
          <cell r="I1360" t="str">
            <v>OTHER LIABILITIES</v>
          </cell>
        </row>
        <row r="1361">
          <cell r="A1361" t="str">
            <v>L506309</v>
          </cell>
          <cell r="B1361" t="str">
            <v>Surchage- TDS Salary</v>
          </cell>
          <cell r="C1361" t="str">
            <v>LIABILITIES</v>
          </cell>
          <cell r="D1361" t="str">
            <v>BALANCE SHEET</v>
          </cell>
          <cell r="E1361">
            <v>0</v>
          </cell>
          <cell r="F1361">
            <v>0</v>
          </cell>
          <cell r="G1361" t="str">
            <v>CURRENT LIABILITIES AND PROVISIONS</v>
          </cell>
          <cell r="H1361" t="str">
            <v>CURRENT LIABILITIES</v>
          </cell>
          <cell r="I1361" t="str">
            <v>OTHER LIABILITIES</v>
          </cell>
        </row>
        <row r="1362">
          <cell r="A1362" t="str">
            <v>L506310</v>
          </cell>
          <cell r="B1362" t="str">
            <v>Surchage- TDS Others</v>
          </cell>
          <cell r="C1362" t="str">
            <v>LIABILITIES</v>
          </cell>
          <cell r="D1362" t="str">
            <v>BALANCE SHEET</v>
          </cell>
          <cell r="E1362" t="str">
            <v>TDSPAYABLE</v>
          </cell>
          <cell r="F1362">
            <v>0</v>
          </cell>
          <cell r="G1362" t="str">
            <v>CURRENT LIABILITIES AND PROVISIONS</v>
          </cell>
          <cell r="H1362" t="str">
            <v>CURRENT LIABILITIES</v>
          </cell>
          <cell r="I1362" t="str">
            <v>OTHER LIABILITIES</v>
          </cell>
        </row>
        <row r="1363">
          <cell r="A1363" t="str">
            <v>L506311</v>
          </cell>
          <cell r="B1363" t="str">
            <v>Cess- TDS Salary</v>
          </cell>
          <cell r="C1363" t="str">
            <v>LIABILITIES</v>
          </cell>
          <cell r="D1363" t="str">
            <v>BALANCE SHEET</v>
          </cell>
          <cell r="E1363">
            <v>0</v>
          </cell>
          <cell r="F1363">
            <v>0</v>
          </cell>
          <cell r="G1363" t="str">
            <v>CURRENT LIABILITIES AND PROVISIONS</v>
          </cell>
          <cell r="H1363" t="str">
            <v>CURRENT LIABILITIES</v>
          </cell>
          <cell r="I1363" t="str">
            <v>OTHER LIABILITIES</v>
          </cell>
        </row>
        <row r="1364">
          <cell r="A1364" t="str">
            <v>L506312</v>
          </cell>
          <cell r="B1364" t="str">
            <v>Cess- TDS Others</v>
          </cell>
          <cell r="C1364" t="str">
            <v>LIABILITIES</v>
          </cell>
          <cell r="D1364" t="str">
            <v>BALANCE SHEET</v>
          </cell>
          <cell r="E1364" t="str">
            <v>TDSPAYABLE</v>
          </cell>
          <cell r="F1364">
            <v>0</v>
          </cell>
          <cell r="G1364" t="str">
            <v>CURRENT LIABILITIES AND PROVISIONS</v>
          </cell>
          <cell r="H1364" t="str">
            <v>CURRENT LIABILITIES</v>
          </cell>
          <cell r="I1364" t="str">
            <v>OTHER LIABILITIES</v>
          </cell>
        </row>
        <row r="1365">
          <cell r="A1365" t="str">
            <v>L506313</v>
          </cell>
          <cell r="B1365" t="str">
            <v>Sundry Creditors (Emp)</v>
          </cell>
          <cell r="C1365" t="str">
            <v>LIABILITIES</v>
          </cell>
          <cell r="D1365" t="str">
            <v>BALANCE SHEET</v>
          </cell>
          <cell r="E1365" t="str">
            <v>SUPPLIER PAYABLE A/C</v>
          </cell>
          <cell r="F1365">
            <v>0</v>
          </cell>
          <cell r="G1365" t="str">
            <v>CURRENT LIABILITIES AND PROVISIONS</v>
          </cell>
          <cell r="H1365" t="str">
            <v>CURRENT LIABILITIES</v>
          </cell>
          <cell r="I1365" t="str">
            <v>OTHER LIABILITIES</v>
          </cell>
        </row>
        <row r="1366">
          <cell r="A1366" t="str">
            <v>L506314</v>
          </cell>
          <cell r="B1366" t="str">
            <v>TDS - Advertisement</v>
          </cell>
          <cell r="C1366" t="str">
            <v>LIABILITIES</v>
          </cell>
          <cell r="D1366" t="str">
            <v>BALANCE SHEET</v>
          </cell>
          <cell r="E1366" t="str">
            <v>TDSPAYABLE</v>
          </cell>
          <cell r="F1366">
            <v>0</v>
          </cell>
          <cell r="G1366" t="str">
            <v>CURRENT LIABILITIES AND PROVISIONS</v>
          </cell>
          <cell r="H1366" t="str">
            <v>CURRENT LIABILITIES</v>
          </cell>
          <cell r="I1366" t="str">
            <v>OTHER LIABILITIES</v>
          </cell>
        </row>
        <row r="1367">
          <cell r="A1367" t="str">
            <v>L506401</v>
          </cell>
          <cell r="B1367" t="str">
            <v>Service Tax Payable</v>
          </cell>
          <cell r="C1367" t="str">
            <v>LIABILITIES</v>
          </cell>
          <cell r="D1367" t="str">
            <v>BALANCE SHEET</v>
          </cell>
          <cell r="E1367">
            <v>0</v>
          </cell>
          <cell r="F1367">
            <v>0</v>
          </cell>
          <cell r="G1367" t="str">
            <v>CURRENT LIABILITIES AND PROVISIONS</v>
          </cell>
          <cell r="H1367" t="str">
            <v>CURRENT LIABILITIES</v>
          </cell>
          <cell r="I1367" t="str">
            <v>OTHER LIABILITIES</v>
          </cell>
        </row>
        <row r="1368">
          <cell r="A1368" t="str">
            <v>L506402</v>
          </cell>
          <cell r="B1368" t="str">
            <v>Sales Tax / Vat Payable</v>
          </cell>
          <cell r="C1368" t="str">
            <v>LIABILITIES</v>
          </cell>
          <cell r="D1368" t="str">
            <v>BALANCE SHEET</v>
          </cell>
          <cell r="E1368">
            <v>0</v>
          </cell>
          <cell r="F1368">
            <v>0</v>
          </cell>
          <cell r="G1368" t="str">
            <v>CURRENT LIABILITIES AND PROVISIONS</v>
          </cell>
          <cell r="H1368" t="str">
            <v>CURRENT LIABILITIES</v>
          </cell>
          <cell r="I1368" t="str">
            <v>OTHER LIABILITIES</v>
          </cell>
        </row>
        <row r="1369">
          <cell r="A1369" t="str">
            <v>L506403</v>
          </cell>
          <cell r="B1369" t="str">
            <v>Sales Tax/Vat Payable- Haryana (Hst)</v>
          </cell>
          <cell r="C1369" t="str">
            <v>LIABILITIES</v>
          </cell>
          <cell r="D1369" t="str">
            <v>BALANCE SHEET</v>
          </cell>
          <cell r="E1369" t="str">
            <v>OUTPUTTAX</v>
          </cell>
          <cell r="F1369">
            <v>0</v>
          </cell>
          <cell r="G1369" t="str">
            <v>CURRENT LIABILITIES AND PROVISIONS</v>
          </cell>
          <cell r="H1369" t="str">
            <v>CURRENT LIABILITIES</v>
          </cell>
          <cell r="I1369" t="str">
            <v>OTHER LIABILITIES</v>
          </cell>
        </row>
        <row r="1370">
          <cell r="A1370" t="str">
            <v>L506404</v>
          </cell>
          <cell r="B1370" t="str">
            <v>Sales Tax/Vat Payable- Tamil Nadu</v>
          </cell>
          <cell r="C1370" t="str">
            <v>LIABILITIES</v>
          </cell>
          <cell r="D1370" t="str">
            <v>BALANCE SHEET</v>
          </cell>
          <cell r="E1370">
            <v>0</v>
          </cell>
          <cell r="F1370">
            <v>0</v>
          </cell>
          <cell r="G1370" t="str">
            <v>CURRENT LIABILITIES AND PROVISIONS</v>
          </cell>
          <cell r="H1370" t="str">
            <v>CURRENT LIABILITIES</v>
          </cell>
          <cell r="I1370" t="str">
            <v>OTHER LIABILITIES</v>
          </cell>
        </row>
        <row r="1371">
          <cell r="A1371" t="str">
            <v>L506405</v>
          </cell>
          <cell r="B1371" t="str">
            <v>Sales Tax/Vat Payable- Punjab</v>
          </cell>
          <cell r="C1371" t="str">
            <v>LIABILITIES</v>
          </cell>
          <cell r="D1371" t="str">
            <v>BALANCE SHEET</v>
          </cell>
          <cell r="E1371">
            <v>0</v>
          </cell>
          <cell r="F1371">
            <v>0</v>
          </cell>
          <cell r="G1371" t="str">
            <v>CURRENT LIABILITIES AND PROVISIONS</v>
          </cell>
          <cell r="H1371" t="str">
            <v>CURRENT LIABILITIES</v>
          </cell>
          <cell r="I1371" t="str">
            <v>OTHER LIABILITIES</v>
          </cell>
        </row>
        <row r="1372">
          <cell r="A1372" t="str">
            <v>L506406</v>
          </cell>
          <cell r="B1372" t="str">
            <v>Sales Tax/Vat Payable- West Bengal(WBST)</v>
          </cell>
          <cell r="C1372" t="str">
            <v>LIABILITIES</v>
          </cell>
          <cell r="D1372" t="str">
            <v>BALANCE SHEET</v>
          </cell>
          <cell r="E1372">
            <v>0</v>
          </cell>
          <cell r="F1372">
            <v>0</v>
          </cell>
          <cell r="G1372" t="str">
            <v>CURRENT LIABILITIES AND PROVISIONS</v>
          </cell>
          <cell r="H1372" t="str">
            <v>CURRENT LIABILITIES</v>
          </cell>
          <cell r="I1372" t="str">
            <v>OTHER LIABILITIES</v>
          </cell>
        </row>
        <row r="1373">
          <cell r="A1373" t="str">
            <v>L506407</v>
          </cell>
          <cell r="B1373" t="str">
            <v>Sales Tax/Vat Payable- Delhi</v>
          </cell>
          <cell r="C1373" t="str">
            <v>LIABILITIES</v>
          </cell>
          <cell r="D1373" t="str">
            <v>BALANCE SHEET</v>
          </cell>
          <cell r="E1373" t="str">
            <v>OUTPUTTAX</v>
          </cell>
          <cell r="F1373">
            <v>0</v>
          </cell>
          <cell r="G1373" t="str">
            <v>CURRENT LIABILITIES AND PROVISIONS</v>
          </cell>
          <cell r="H1373" t="str">
            <v>CURRENT LIABILITIES</v>
          </cell>
          <cell r="I1373" t="str">
            <v>OTHER LIABILITIES</v>
          </cell>
        </row>
        <row r="1374">
          <cell r="A1374" t="str">
            <v>L506408</v>
          </cell>
          <cell r="B1374" t="str">
            <v>UPST Payable</v>
          </cell>
          <cell r="C1374" t="str">
            <v>LIABILITIES</v>
          </cell>
          <cell r="D1374" t="str">
            <v>BALANCE SHEET</v>
          </cell>
          <cell r="E1374">
            <v>0</v>
          </cell>
          <cell r="F1374">
            <v>0</v>
          </cell>
          <cell r="G1374" t="str">
            <v>CURRENT LIABILITIES AND PROVISIONS</v>
          </cell>
          <cell r="H1374" t="str">
            <v>CURRENT LIABILITIES</v>
          </cell>
          <cell r="I1374" t="str">
            <v>OTHER LIABILITIES</v>
          </cell>
        </row>
        <row r="1375">
          <cell r="A1375" t="str">
            <v>L506409</v>
          </cell>
          <cell r="B1375" t="str">
            <v>CST Payable</v>
          </cell>
          <cell r="C1375" t="str">
            <v>LIABILITIES</v>
          </cell>
          <cell r="D1375" t="str">
            <v>BALANCE SHEET</v>
          </cell>
          <cell r="E1375">
            <v>0</v>
          </cell>
          <cell r="F1375">
            <v>0</v>
          </cell>
          <cell r="G1375" t="str">
            <v>CURRENT LIABILITIES AND PROVISIONS</v>
          </cell>
          <cell r="H1375" t="str">
            <v>CURRENT LIABILITIES</v>
          </cell>
          <cell r="I1375" t="str">
            <v>OTHER LIABILITIES</v>
          </cell>
        </row>
        <row r="1376">
          <cell r="A1376" t="str">
            <v>L506410</v>
          </cell>
          <cell r="B1376" t="str">
            <v>HLADT Payable</v>
          </cell>
          <cell r="C1376" t="str">
            <v>LIABILITIES</v>
          </cell>
          <cell r="D1376" t="str">
            <v>BALANCE SHEET</v>
          </cell>
          <cell r="E1376">
            <v>0</v>
          </cell>
          <cell r="F1376">
            <v>0</v>
          </cell>
          <cell r="G1376" t="str">
            <v>CURRENT LIABILITIES AND PROVISIONS</v>
          </cell>
          <cell r="H1376" t="str">
            <v>CURRENT LIABILITIES</v>
          </cell>
          <cell r="I1376" t="str">
            <v>OTHER LIABILITIES</v>
          </cell>
        </row>
        <row r="1377">
          <cell r="A1377" t="str">
            <v>L506411</v>
          </cell>
          <cell r="B1377" t="str">
            <v>Work Contract Tax Payable</v>
          </cell>
          <cell r="C1377" t="str">
            <v>LIABILITIES</v>
          </cell>
          <cell r="D1377" t="str">
            <v>BALANCE SHEET</v>
          </cell>
          <cell r="E1377">
            <v>0</v>
          </cell>
          <cell r="F1377">
            <v>0</v>
          </cell>
          <cell r="G1377" t="str">
            <v>CURRENT LIABILITIES AND PROVISIONS</v>
          </cell>
          <cell r="H1377" t="str">
            <v>CURRENT LIABILITIES</v>
          </cell>
          <cell r="I1377" t="str">
            <v>OTHER LIABILITIES</v>
          </cell>
        </row>
        <row r="1378">
          <cell r="A1378" t="str">
            <v>L506412</v>
          </cell>
          <cell r="B1378" t="str">
            <v>TDS PAYABLE</v>
          </cell>
          <cell r="C1378" t="str">
            <v>LIABILITIES</v>
          </cell>
          <cell r="D1378" t="str">
            <v>BALANCE SHEET</v>
          </cell>
          <cell r="E1378">
            <v>0</v>
          </cell>
          <cell r="F1378">
            <v>0</v>
          </cell>
          <cell r="G1378" t="str">
            <v>CURRENT LIABILITIES AND PROVISIONS</v>
          </cell>
          <cell r="H1378" t="str">
            <v>CURRENT LIABILITIES</v>
          </cell>
          <cell r="I1378" t="str">
            <v>OTHER LIABILITIES</v>
          </cell>
        </row>
        <row r="1379">
          <cell r="A1379" t="str">
            <v>L506413</v>
          </cell>
          <cell r="B1379" t="str">
            <v>SERVICE TAX CUSTOMERS (PROV. RECEIVABLE)</v>
          </cell>
          <cell r="C1379" t="str">
            <v>LIABILITIES</v>
          </cell>
          <cell r="D1379" t="str">
            <v>BALANCE SHEET</v>
          </cell>
          <cell r="E1379" t="str">
            <v>OUTPUTTAX</v>
          </cell>
          <cell r="F1379">
            <v>0</v>
          </cell>
          <cell r="G1379" t="str">
            <v>CURRENT LIABILITIES AND PROVISIONS</v>
          </cell>
          <cell r="H1379" t="str">
            <v>CURRENT LIABILITIES</v>
          </cell>
          <cell r="I1379" t="str">
            <v>OTHER LIABILITIES</v>
          </cell>
        </row>
        <row r="1380">
          <cell r="A1380" t="str">
            <v>L506414</v>
          </cell>
          <cell r="B1380" t="str">
            <v>SERVICE TAX CUSTOMERS (ACTU. RECEIVABLE)</v>
          </cell>
          <cell r="C1380" t="str">
            <v>LIABILITIES</v>
          </cell>
          <cell r="D1380" t="str">
            <v>BALANCE SHEET</v>
          </cell>
          <cell r="E1380" t="str">
            <v>OUTPUTTAX</v>
          </cell>
          <cell r="F1380">
            <v>0</v>
          </cell>
          <cell r="G1380" t="str">
            <v>CURRENT LIABILITIES AND PROVISIONS</v>
          </cell>
          <cell r="H1380" t="str">
            <v>CURRENT LIABILITIES</v>
          </cell>
          <cell r="I1380" t="str">
            <v>OTHER LIABILITIES</v>
          </cell>
        </row>
        <row r="1381">
          <cell r="A1381" t="str">
            <v>L506415</v>
          </cell>
          <cell r="B1381" t="str">
            <v>L&amp;D.O.Charges Payable</v>
          </cell>
          <cell r="C1381" t="str">
            <v>LIABILITIES</v>
          </cell>
          <cell r="D1381" t="str">
            <v>BALANCE SHEET</v>
          </cell>
          <cell r="E1381">
            <v>0</v>
          </cell>
          <cell r="F1381">
            <v>0</v>
          </cell>
          <cell r="G1381" t="str">
            <v>CURRENT LIABILITIES AND PROVISIONS</v>
          </cell>
          <cell r="H1381" t="str">
            <v>CURRENT LIABILITIES</v>
          </cell>
          <cell r="I1381" t="str">
            <v>OTHER LIABILITIES</v>
          </cell>
        </row>
        <row r="1382">
          <cell r="A1382" t="str">
            <v>L506416</v>
          </cell>
          <cell r="B1382" t="str">
            <v>Edu. Cess on Service Tax Payable</v>
          </cell>
          <cell r="C1382" t="str">
            <v>LIABILITIES</v>
          </cell>
          <cell r="D1382" t="str">
            <v>BALANCE SHEET</v>
          </cell>
          <cell r="E1382">
            <v>0</v>
          </cell>
          <cell r="F1382">
            <v>0</v>
          </cell>
          <cell r="G1382" t="str">
            <v>CURRENT LIABILITIES AND PROVISIONS</v>
          </cell>
          <cell r="H1382" t="str">
            <v>CURRENT LIABILITIES</v>
          </cell>
          <cell r="I1382" t="str">
            <v>OTHER LIABILITIES</v>
          </cell>
        </row>
        <row r="1383">
          <cell r="A1383" t="str">
            <v>L506417</v>
          </cell>
          <cell r="B1383" t="str">
            <v>S &amp; HE Cess on Service Tax Payable</v>
          </cell>
          <cell r="C1383" t="str">
            <v>LIABILITIES</v>
          </cell>
          <cell r="D1383" t="str">
            <v>BALANCE SHEET</v>
          </cell>
          <cell r="E1383">
            <v>0</v>
          </cell>
          <cell r="F1383">
            <v>0</v>
          </cell>
          <cell r="G1383" t="str">
            <v>CURRENT LIABILITIES AND PROVISIONS</v>
          </cell>
          <cell r="H1383" t="str">
            <v>CURRENT LIABILITIES</v>
          </cell>
          <cell r="I1383" t="str">
            <v>OTHER LIABILITIES</v>
          </cell>
        </row>
        <row r="1384">
          <cell r="A1384" t="str">
            <v>L506418</v>
          </cell>
          <cell r="B1384" t="str">
            <v>Consolidated Output Tax (Service Tax)</v>
          </cell>
          <cell r="C1384" t="str">
            <v>LIABILITIES</v>
          </cell>
          <cell r="D1384" t="str">
            <v>BALANCE SHEET</v>
          </cell>
          <cell r="E1384">
            <v>0</v>
          </cell>
          <cell r="F1384">
            <v>0</v>
          </cell>
          <cell r="G1384" t="str">
            <v>CURRENT LIABILITIES AND PROVISIONS</v>
          </cell>
          <cell r="H1384" t="str">
            <v>CURRENT LIABILITIES</v>
          </cell>
          <cell r="I1384" t="str">
            <v>OTHER LIABILITIES</v>
          </cell>
        </row>
        <row r="1385">
          <cell r="A1385" t="str">
            <v>L506419</v>
          </cell>
          <cell r="B1385" t="str">
            <v>E.Tax Payable</v>
          </cell>
          <cell r="C1385" t="str">
            <v>LIABILITIES</v>
          </cell>
          <cell r="D1385" t="str">
            <v>BALANCE SHEET</v>
          </cell>
          <cell r="E1385">
            <v>0</v>
          </cell>
          <cell r="F1385">
            <v>0</v>
          </cell>
          <cell r="G1385" t="str">
            <v>CURRENT LIABILITIES AND PROVISIONS</v>
          </cell>
          <cell r="H1385" t="str">
            <v>CURRENT LIABILITIES</v>
          </cell>
          <cell r="I1385" t="str">
            <v>OTHER LIABILITIES</v>
          </cell>
        </row>
        <row r="1386">
          <cell r="A1386" t="str">
            <v>L506420</v>
          </cell>
          <cell r="B1386" t="str">
            <v>Sales Tax/Vat Payable- Kerala</v>
          </cell>
          <cell r="C1386" t="str">
            <v>LIABILITIES</v>
          </cell>
          <cell r="D1386" t="str">
            <v>BALANCE SHEET</v>
          </cell>
          <cell r="E1386" t="str">
            <v>OUTPUTTAX</v>
          </cell>
          <cell r="F1386">
            <v>0</v>
          </cell>
          <cell r="G1386" t="str">
            <v>CURRENT LIABILITIES AND PROVISIONS</v>
          </cell>
          <cell r="H1386" t="str">
            <v>CURRENT LIABILITIES</v>
          </cell>
          <cell r="I1386" t="str">
            <v>OTHER LIABILITIES</v>
          </cell>
        </row>
        <row r="1387">
          <cell r="A1387" t="str">
            <v>L506421</v>
          </cell>
          <cell r="B1387" t="str">
            <v>ENTRY TAX</v>
          </cell>
          <cell r="C1387" t="str">
            <v>LIABILITIES</v>
          </cell>
          <cell r="D1387" t="str">
            <v>BALANCE SHEET</v>
          </cell>
          <cell r="G1387" t="str">
            <v>CURRENT LIABILITIES AND PROVISIONS</v>
          </cell>
          <cell r="H1387" t="str">
            <v>CURRENT LIABILITIES</v>
          </cell>
          <cell r="I1387" t="str">
            <v>OTHER LIABILITIES</v>
          </cell>
        </row>
        <row r="1388">
          <cell r="A1388" t="str">
            <v>L506422</v>
          </cell>
          <cell r="B1388" t="str">
            <v>CHANDIGARH VAT PAYABLE</v>
          </cell>
          <cell r="C1388" t="str">
            <v>LIABILITIES</v>
          </cell>
          <cell r="D1388" t="str">
            <v>BALANCE SHEET</v>
          </cell>
          <cell r="E1388" t="str">
            <v>OUTPUTTAX</v>
          </cell>
          <cell r="G1388" t="str">
            <v>CURRENT LIABILITIES AND PROVISIONS</v>
          </cell>
          <cell r="H1388" t="str">
            <v>CURRENT LIABILITIES</v>
          </cell>
          <cell r="I1388" t="str">
            <v>OTHER LIABILITIES</v>
          </cell>
        </row>
        <row r="1389">
          <cell r="A1389" t="str">
            <v>L506423</v>
          </cell>
          <cell r="B1389" t="str">
            <v>CHENNAI VAT PAYABLE</v>
          </cell>
          <cell r="C1389" t="str">
            <v>LIABILITIES</v>
          </cell>
          <cell r="D1389" t="str">
            <v>BALANCE SHEET</v>
          </cell>
          <cell r="E1389" t="str">
            <v>OUTPUTTAX</v>
          </cell>
          <cell r="G1389" t="str">
            <v>CURRENT LIABILITIES AND PROVISIONS</v>
          </cell>
          <cell r="H1389" t="str">
            <v>CURRENT LIABILITIES</v>
          </cell>
          <cell r="I1389" t="str">
            <v>OTHER LIABILITIES</v>
          </cell>
        </row>
        <row r="1390">
          <cell r="A1390" t="str">
            <v>L506424</v>
          </cell>
          <cell r="B1390" t="str">
            <v>ANDHRA PRADESH VAT PAYABLE</v>
          </cell>
          <cell r="C1390" t="str">
            <v>LIABILITIES</v>
          </cell>
          <cell r="D1390" t="str">
            <v>BALANCE SHEET</v>
          </cell>
          <cell r="E1390" t="str">
            <v>OUTPUTTAX</v>
          </cell>
          <cell r="G1390" t="str">
            <v>CURRENT LIABILITIES AND PROVISIONS</v>
          </cell>
          <cell r="H1390" t="str">
            <v>CURRENT LIABILITIES</v>
          </cell>
          <cell r="I1390" t="str">
            <v>OTHER LIABILITIES</v>
          </cell>
        </row>
        <row r="1391">
          <cell r="A1391" t="str">
            <v>L506425</v>
          </cell>
          <cell r="B1391" t="str">
            <v>MAHARSHTRA VALUE ADDED TAX</v>
          </cell>
          <cell r="C1391" t="str">
            <v>LIABILITIES</v>
          </cell>
          <cell r="D1391" t="str">
            <v>BALANCE SHEET</v>
          </cell>
          <cell r="E1391" t="str">
            <v>OUTPUTTAX</v>
          </cell>
          <cell r="G1391" t="str">
            <v>CURRENT LIABILITIES AND PROVISIONS</v>
          </cell>
          <cell r="H1391" t="str">
            <v>CURRENT LIABILITIES</v>
          </cell>
          <cell r="I1391" t="str">
            <v>OTHER LIABILITIES</v>
          </cell>
        </row>
        <row r="1392">
          <cell r="A1392" t="str">
            <v>L506426</v>
          </cell>
          <cell r="B1392" t="str">
            <v>UP ENTRY TAX</v>
          </cell>
          <cell r="C1392" t="str">
            <v>LIABILITIES</v>
          </cell>
          <cell r="D1392" t="str">
            <v>BALANCE SHEET</v>
          </cell>
          <cell r="G1392" t="str">
            <v>CURRENT LIABILITIES AND PROVISIONS</v>
          </cell>
          <cell r="H1392" t="str">
            <v>CURRENT LIABILITIES</v>
          </cell>
          <cell r="I1392" t="str">
            <v>OTHER LIABILITIES</v>
          </cell>
        </row>
        <row r="1393">
          <cell r="A1393" t="str">
            <v>L506427</v>
          </cell>
          <cell r="B1393" t="str">
            <v>AP ENTRY TAX PAYABLE</v>
          </cell>
          <cell r="C1393" t="str">
            <v>LIABILITIES</v>
          </cell>
          <cell r="D1393" t="str">
            <v>BALANCE SHEET</v>
          </cell>
          <cell r="G1393" t="str">
            <v>CURRENT LIABILITIES AND PROVISIONS</v>
          </cell>
          <cell r="H1393" t="str">
            <v>CURRENT LIABILITIES</v>
          </cell>
          <cell r="I1393" t="str">
            <v>OTHER LIABILITIES</v>
          </cell>
        </row>
        <row r="1394">
          <cell r="A1394" t="str">
            <v>L506428</v>
          </cell>
          <cell r="B1394" t="str">
            <v>KARNATAKA VAT PAYBLE</v>
          </cell>
          <cell r="C1394" t="str">
            <v>LIABILITIES</v>
          </cell>
          <cell r="D1394" t="str">
            <v>BALANCE SHEET</v>
          </cell>
          <cell r="E1394" t="str">
            <v>OUTPUTTAX</v>
          </cell>
          <cell r="G1394" t="str">
            <v>CURRENT LIABILITIES AND PROVISIONS</v>
          </cell>
          <cell r="H1394" t="str">
            <v>CURRENT LIABILITIES</v>
          </cell>
          <cell r="I1394" t="str">
            <v>OTHER LIABILITIES</v>
          </cell>
        </row>
        <row r="1395">
          <cell r="A1395" t="str">
            <v>L506429</v>
          </cell>
          <cell r="B1395" t="str">
            <v>KERALA VAT PAYABLE</v>
          </cell>
          <cell r="C1395" t="str">
            <v>LIABILITIES</v>
          </cell>
          <cell r="D1395" t="str">
            <v>BALANCE SHEET</v>
          </cell>
          <cell r="E1395" t="str">
            <v>OUTPUTTAX</v>
          </cell>
          <cell r="G1395" t="str">
            <v>CURRENT LIABILITIES AND PROVISIONS</v>
          </cell>
          <cell r="H1395" t="str">
            <v>CURRENT LIABILITIES</v>
          </cell>
          <cell r="I1395" t="str">
            <v>OTHER LIABILITIES</v>
          </cell>
        </row>
        <row r="1396">
          <cell r="A1396" t="str">
            <v>L506501</v>
          </cell>
          <cell r="B1396" t="str">
            <v>Compensation Charges</v>
          </cell>
          <cell r="C1396" t="str">
            <v>LIABILITIES</v>
          </cell>
          <cell r="D1396" t="str">
            <v>BALANCE SHEET</v>
          </cell>
          <cell r="E1396">
            <v>0</v>
          </cell>
          <cell r="F1396">
            <v>0</v>
          </cell>
          <cell r="G1396" t="str">
            <v>CURRENT LIABILITIES AND PROVISIONS</v>
          </cell>
          <cell r="H1396" t="str">
            <v>CURRENT LIABILITIES</v>
          </cell>
          <cell r="I1396" t="str">
            <v>OTHER LIABILITIES</v>
          </cell>
        </row>
        <row r="1397">
          <cell r="A1397" t="str">
            <v>L506601</v>
          </cell>
          <cell r="B1397" t="str">
            <v>EPF Payable</v>
          </cell>
          <cell r="C1397" t="str">
            <v>LIABILITIES</v>
          </cell>
          <cell r="D1397" t="str">
            <v>BALANCE SHEET</v>
          </cell>
          <cell r="E1397">
            <v>0</v>
          </cell>
          <cell r="F1397">
            <v>0</v>
          </cell>
          <cell r="G1397" t="str">
            <v>CURRENT LIABILITIES AND PROVISIONS</v>
          </cell>
          <cell r="H1397" t="str">
            <v>CURRENT LIABILITIES</v>
          </cell>
          <cell r="I1397" t="str">
            <v>OTHER LIABILITIES</v>
          </cell>
        </row>
        <row r="1398">
          <cell r="A1398" t="str">
            <v>L506602</v>
          </cell>
          <cell r="B1398" t="str">
            <v>FPF Payable</v>
          </cell>
          <cell r="C1398" t="str">
            <v>LIABILITIES</v>
          </cell>
          <cell r="D1398" t="str">
            <v>BALANCE SHEET</v>
          </cell>
          <cell r="E1398">
            <v>0</v>
          </cell>
          <cell r="F1398">
            <v>0</v>
          </cell>
          <cell r="G1398" t="str">
            <v>CURRENT LIABILITIES AND PROVISIONS</v>
          </cell>
          <cell r="H1398" t="str">
            <v>CURRENT LIABILITIES</v>
          </cell>
          <cell r="I1398" t="str">
            <v>OTHER LIABILITIES</v>
          </cell>
        </row>
        <row r="1399">
          <cell r="A1399" t="str">
            <v>L506603</v>
          </cell>
          <cell r="B1399" t="str">
            <v>Additional/Voluntary PF Contribution</v>
          </cell>
          <cell r="C1399" t="str">
            <v>LIABILITIES</v>
          </cell>
          <cell r="D1399" t="str">
            <v>BALANCE SHEET</v>
          </cell>
          <cell r="E1399">
            <v>0</v>
          </cell>
          <cell r="F1399">
            <v>0</v>
          </cell>
          <cell r="G1399" t="str">
            <v>CURRENT LIABILITIES AND PROVISIONS</v>
          </cell>
          <cell r="H1399" t="str">
            <v>CURRENT LIABILITIES</v>
          </cell>
          <cell r="I1399" t="str">
            <v>OTHER LIABILITIES</v>
          </cell>
        </row>
        <row r="1400">
          <cell r="A1400" t="str">
            <v>L506604</v>
          </cell>
          <cell r="B1400" t="str">
            <v>E S I C Payable</v>
          </cell>
          <cell r="C1400" t="str">
            <v>LIABILITIES</v>
          </cell>
          <cell r="D1400" t="str">
            <v>BALANCE SHEET</v>
          </cell>
          <cell r="E1400">
            <v>0</v>
          </cell>
          <cell r="F1400">
            <v>0</v>
          </cell>
          <cell r="G1400" t="str">
            <v>CURRENT LIABILITIES AND PROVISIONS</v>
          </cell>
          <cell r="H1400" t="str">
            <v>CURRENT LIABILITIES</v>
          </cell>
          <cell r="I1400" t="str">
            <v>OTHER LIABILITIES</v>
          </cell>
        </row>
        <row r="1401">
          <cell r="A1401" t="str">
            <v>L506605</v>
          </cell>
          <cell r="B1401" t="str">
            <v>EDLI Payable</v>
          </cell>
          <cell r="C1401" t="str">
            <v>LIABILITIES</v>
          </cell>
          <cell r="D1401" t="str">
            <v>BALANCE SHEET</v>
          </cell>
          <cell r="E1401">
            <v>0</v>
          </cell>
          <cell r="F1401">
            <v>0</v>
          </cell>
          <cell r="G1401" t="str">
            <v>CURRENT LIABILITIES AND PROVISIONS</v>
          </cell>
          <cell r="H1401" t="str">
            <v>CURRENT LIABILITIES</v>
          </cell>
          <cell r="I1401" t="str">
            <v>OTHER LIABILITIES</v>
          </cell>
        </row>
        <row r="1402">
          <cell r="A1402" t="str">
            <v>L506606</v>
          </cell>
          <cell r="B1402" t="str">
            <v>Adm. On EDLI Payable</v>
          </cell>
          <cell r="C1402" t="str">
            <v>LIABILITIES</v>
          </cell>
          <cell r="D1402" t="str">
            <v>BALANCE SHEET</v>
          </cell>
          <cell r="E1402">
            <v>0</v>
          </cell>
          <cell r="F1402">
            <v>0</v>
          </cell>
          <cell r="G1402" t="str">
            <v>CURRENT LIABILITIES AND PROVISIONS</v>
          </cell>
          <cell r="H1402" t="str">
            <v>CURRENT LIABILITIES</v>
          </cell>
          <cell r="I1402" t="str">
            <v>OTHER LIABILITIES</v>
          </cell>
        </row>
        <row r="1403">
          <cell r="A1403" t="str">
            <v>L506607</v>
          </cell>
          <cell r="B1403" t="str">
            <v>Superannuation Contri. Payable</v>
          </cell>
          <cell r="C1403" t="str">
            <v>LIABILITIES</v>
          </cell>
          <cell r="D1403" t="str">
            <v>BALANCE SHEET</v>
          </cell>
          <cell r="E1403">
            <v>0</v>
          </cell>
          <cell r="F1403">
            <v>0</v>
          </cell>
          <cell r="G1403" t="str">
            <v>CURRENT LIABILITIES AND PROVISIONS</v>
          </cell>
          <cell r="H1403" t="str">
            <v>CURRENT LIABILITIES</v>
          </cell>
          <cell r="I1403" t="str">
            <v>OTHER LIABILITIES</v>
          </cell>
        </row>
        <row r="1404">
          <cell r="A1404" t="str">
            <v>L506608</v>
          </cell>
          <cell r="B1404" t="str">
            <v>Salary And Wages Payable</v>
          </cell>
          <cell r="C1404" t="str">
            <v>LIABILITIES</v>
          </cell>
          <cell r="D1404" t="str">
            <v>BALANCE SHEET</v>
          </cell>
          <cell r="E1404">
            <v>0</v>
          </cell>
          <cell r="F1404">
            <v>0</v>
          </cell>
          <cell r="G1404" t="str">
            <v>CURRENT LIABILITIES AND PROVISIONS</v>
          </cell>
          <cell r="H1404" t="str">
            <v>CURRENT LIABILITIES</v>
          </cell>
          <cell r="I1404" t="str">
            <v>OTHER LIABILITIES</v>
          </cell>
        </row>
        <row r="1405">
          <cell r="A1405" t="str">
            <v>L506609</v>
          </cell>
          <cell r="B1405" t="str">
            <v>Bonus Payable</v>
          </cell>
          <cell r="C1405" t="str">
            <v>LIABILITIES</v>
          </cell>
          <cell r="D1405" t="str">
            <v>BALANCE SHEET</v>
          </cell>
          <cell r="E1405">
            <v>0</v>
          </cell>
          <cell r="F1405">
            <v>0</v>
          </cell>
          <cell r="G1405" t="str">
            <v>CURRENT LIABILITIES AND PROVISIONS</v>
          </cell>
          <cell r="H1405" t="str">
            <v>CURRENT LIABILITIES</v>
          </cell>
          <cell r="I1405" t="str">
            <v>OTHER LIABILITIES</v>
          </cell>
        </row>
        <row r="1406">
          <cell r="A1406" t="str">
            <v>L506610</v>
          </cell>
          <cell r="B1406" t="str">
            <v>Amt. Payable to Thrift Society</v>
          </cell>
          <cell r="C1406" t="str">
            <v>LIABILITIES</v>
          </cell>
          <cell r="D1406" t="str">
            <v>BALANCE SHEET</v>
          </cell>
          <cell r="E1406">
            <v>0</v>
          </cell>
          <cell r="F1406">
            <v>0</v>
          </cell>
          <cell r="G1406" t="str">
            <v>CURRENT LIABILITIES AND PROVISIONS</v>
          </cell>
          <cell r="H1406" t="str">
            <v>CURRENT LIABILITIES</v>
          </cell>
          <cell r="I1406" t="str">
            <v>OTHER LIABILITIES</v>
          </cell>
        </row>
        <row r="1407">
          <cell r="A1407" t="str">
            <v>L506611</v>
          </cell>
          <cell r="B1407" t="str">
            <v>Lease Rent Payable (Emp)</v>
          </cell>
          <cell r="C1407" t="str">
            <v>LIABILITIES</v>
          </cell>
          <cell r="D1407" t="str">
            <v>BALANCE SHEET</v>
          </cell>
          <cell r="E1407">
            <v>0</v>
          </cell>
          <cell r="F1407">
            <v>0</v>
          </cell>
          <cell r="G1407" t="str">
            <v>CURRENT LIABILITIES AND PROVISIONS</v>
          </cell>
          <cell r="H1407" t="str">
            <v>CURRENT LIABILITIES</v>
          </cell>
          <cell r="I1407" t="str">
            <v>OTHER LIABILITIES</v>
          </cell>
        </row>
        <row r="1408">
          <cell r="A1408" t="str">
            <v>L506612</v>
          </cell>
          <cell r="B1408" t="str">
            <v>PF Loan Account</v>
          </cell>
          <cell r="C1408" t="str">
            <v>LIABILITIES</v>
          </cell>
          <cell r="D1408" t="str">
            <v>BALANCE SHEET</v>
          </cell>
          <cell r="E1408" t="str">
            <v>SUPPLIER PAYABLE A/C</v>
          </cell>
          <cell r="F1408">
            <v>0</v>
          </cell>
          <cell r="G1408" t="str">
            <v>CURRENT LIABILITIES AND PROVISIONS</v>
          </cell>
          <cell r="H1408" t="str">
            <v>CURRENT LIABILITIES</v>
          </cell>
          <cell r="I1408" t="str">
            <v>OTHER LIABILITIES</v>
          </cell>
        </row>
        <row r="1409">
          <cell r="A1409" t="str">
            <v>L506701</v>
          </cell>
          <cell r="B1409" t="str">
            <v>Commission Payable</v>
          </cell>
          <cell r="C1409" t="str">
            <v>LIABILITIES</v>
          </cell>
          <cell r="D1409" t="str">
            <v>BALANCE SHEET</v>
          </cell>
          <cell r="E1409">
            <v>0</v>
          </cell>
          <cell r="F1409">
            <v>0</v>
          </cell>
          <cell r="G1409" t="str">
            <v>CURRENT LIABILITIES AND PROVISIONS</v>
          </cell>
          <cell r="H1409" t="str">
            <v>CURRENT LIABILITIES</v>
          </cell>
          <cell r="I1409" t="str">
            <v>OTHER LIABILITIES</v>
          </cell>
        </row>
        <row r="1410">
          <cell r="A1410" t="str">
            <v>L506702</v>
          </cell>
          <cell r="B1410" t="str">
            <v>Welfare Fund- Payable</v>
          </cell>
          <cell r="C1410" t="str">
            <v>LIABILITIES</v>
          </cell>
          <cell r="D1410" t="str">
            <v>BALANCE SHEET</v>
          </cell>
          <cell r="E1410">
            <v>0</v>
          </cell>
          <cell r="F1410">
            <v>0</v>
          </cell>
          <cell r="G1410" t="str">
            <v>CURRENT LIABILITIES AND PROVISIONS</v>
          </cell>
          <cell r="H1410" t="str">
            <v>CURRENT LIABILITIES</v>
          </cell>
          <cell r="I1410" t="str">
            <v>OTHER LIABILITIES</v>
          </cell>
        </row>
        <row r="1411">
          <cell r="A1411" t="str">
            <v>L506703</v>
          </cell>
          <cell r="B1411" t="str">
            <v>Punjab Labour Welfare Fund Payable</v>
          </cell>
          <cell r="C1411" t="str">
            <v>LIABILITIES</v>
          </cell>
          <cell r="D1411" t="str">
            <v>BALANCE SHEET</v>
          </cell>
          <cell r="E1411">
            <v>0</v>
          </cell>
          <cell r="F1411">
            <v>0</v>
          </cell>
          <cell r="G1411" t="str">
            <v>CURRENT LIABILITIES AND PROVISIONS</v>
          </cell>
          <cell r="H1411" t="str">
            <v>CURRENT LIABILITIES</v>
          </cell>
          <cell r="I1411" t="str">
            <v>OTHER LIABILITIES</v>
          </cell>
        </row>
        <row r="1412">
          <cell r="A1412" t="str">
            <v>L506704</v>
          </cell>
          <cell r="B1412" t="str">
            <v>Interest Payable (Misc.)</v>
          </cell>
          <cell r="C1412" t="str">
            <v>LIABILITIES</v>
          </cell>
          <cell r="D1412" t="str">
            <v>BALANCE SHEET</v>
          </cell>
          <cell r="E1412">
            <v>0</v>
          </cell>
          <cell r="F1412">
            <v>0</v>
          </cell>
          <cell r="G1412" t="str">
            <v>CURRENT LIABILITIES AND PROVISIONS</v>
          </cell>
          <cell r="H1412" t="str">
            <v>CURRENT LIABILITIES</v>
          </cell>
          <cell r="I1412" t="str">
            <v>OTHER LIABILITIES</v>
          </cell>
        </row>
        <row r="1413">
          <cell r="A1413" t="str">
            <v>L506705</v>
          </cell>
          <cell r="B1413" t="str">
            <v>Shyam Niwas Security</v>
          </cell>
          <cell r="C1413" t="str">
            <v>LIABILITIES</v>
          </cell>
          <cell r="D1413" t="str">
            <v>BALANCE SHEET</v>
          </cell>
          <cell r="E1413">
            <v>0</v>
          </cell>
          <cell r="F1413">
            <v>0</v>
          </cell>
          <cell r="G1413" t="str">
            <v>CURRENT LIABILITIES AND PROVISIONS</v>
          </cell>
          <cell r="H1413" t="str">
            <v>CURRENT LIABILITIES</v>
          </cell>
          <cell r="I1413" t="str">
            <v>OTHER LIABILITIES</v>
          </cell>
        </row>
        <row r="1414">
          <cell r="A1414" t="str">
            <v>L506706</v>
          </cell>
          <cell r="B1414" t="str">
            <v>Rent Payable</v>
          </cell>
          <cell r="C1414" t="str">
            <v>LIABILITIES</v>
          </cell>
          <cell r="D1414" t="str">
            <v>BALANCE SHEET</v>
          </cell>
          <cell r="E1414" t="str">
            <v>SUPPLIER PAYABLE A/C</v>
          </cell>
          <cell r="F1414">
            <v>0</v>
          </cell>
          <cell r="G1414" t="str">
            <v>CURRENT LIABILITIES AND PROVISIONS</v>
          </cell>
          <cell r="H1414" t="str">
            <v>CURRENT LIABILITIES</v>
          </cell>
          <cell r="I1414" t="str">
            <v>OTHER LIABILITIES</v>
          </cell>
        </row>
        <row r="1415">
          <cell r="A1415" t="str">
            <v>L506707</v>
          </cell>
          <cell r="B1415" t="str">
            <v>Advance Rent Received</v>
          </cell>
          <cell r="C1415" t="str">
            <v>LIABILITIES</v>
          </cell>
          <cell r="D1415" t="str">
            <v>BALANCE SHEET</v>
          </cell>
          <cell r="E1415">
            <v>0</v>
          </cell>
          <cell r="F1415">
            <v>0</v>
          </cell>
          <cell r="G1415" t="str">
            <v>CURRENT LIABILITIES AND PROVISIONS</v>
          </cell>
          <cell r="H1415" t="str">
            <v>CURRENT LIABILITIES</v>
          </cell>
          <cell r="I1415" t="str">
            <v>OTHER LIABILITIES</v>
          </cell>
        </row>
        <row r="1416">
          <cell r="A1416" t="str">
            <v>L506708</v>
          </cell>
          <cell r="B1416" t="str">
            <v>Initial Deposits</v>
          </cell>
          <cell r="C1416" t="str">
            <v>LIABILITIES</v>
          </cell>
          <cell r="D1416" t="str">
            <v>BALANCE SHEET</v>
          </cell>
          <cell r="E1416">
            <v>0</v>
          </cell>
          <cell r="F1416">
            <v>0</v>
          </cell>
          <cell r="G1416" t="str">
            <v>CURRENT LIABILITIES AND PROVISIONS</v>
          </cell>
          <cell r="H1416" t="str">
            <v>CURRENT LIABILITIES</v>
          </cell>
          <cell r="I1416" t="str">
            <v>OTHER LIABILITIES</v>
          </cell>
        </row>
        <row r="1417">
          <cell r="A1417" t="str">
            <v>L506709</v>
          </cell>
          <cell r="B1417" t="str">
            <v>Deposit For Re-Appointment Of Directors</v>
          </cell>
          <cell r="C1417" t="str">
            <v>LIABILITIES</v>
          </cell>
          <cell r="D1417" t="str">
            <v>BALANCE SHEET</v>
          </cell>
          <cell r="E1417">
            <v>0</v>
          </cell>
          <cell r="F1417">
            <v>0</v>
          </cell>
          <cell r="G1417" t="str">
            <v>CURRENT LIABILITIES AND PROVISIONS</v>
          </cell>
          <cell r="H1417" t="str">
            <v>CURRENT LIABILITIES</v>
          </cell>
          <cell r="I1417" t="str">
            <v>OTHER LIABILITIES</v>
          </cell>
        </row>
        <row r="1418">
          <cell r="A1418" t="str">
            <v>L506710</v>
          </cell>
          <cell r="B1418" t="str">
            <v>Amt. Rec. Dlf Centre Tenants</v>
          </cell>
          <cell r="C1418" t="str">
            <v>LIABILITIES</v>
          </cell>
          <cell r="D1418" t="str">
            <v>BALANCE SHEET</v>
          </cell>
          <cell r="E1418">
            <v>0</v>
          </cell>
          <cell r="F1418">
            <v>0</v>
          </cell>
          <cell r="G1418" t="str">
            <v>CURRENT LIABILITIES AND PROVISIONS</v>
          </cell>
          <cell r="H1418" t="str">
            <v>CURRENT LIABILITIES</v>
          </cell>
          <cell r="I1418" t="str">
            <v>OTHER LIABILITIES</v>
          </cell>
        </row>
        <row r="1419">
          <cell r="A1419" t="str">
            <v>L506711</v>
          </cell>
          <cell r="B1419" t="str">
            <v>Stale Cheques</v>
          </cell>
          <cell r="C1419" t="str">
            <v>LIABILITIES</v>
          </cell>
          <cell r="D1419" t="str">
            <v>BALANCE SHEET</v>
          </cell>
          <cell r="E1419">
            <v>0</v>
          </cell>
          <cell r="F1419">
            <v>0</v>
          </cell>
          <cell r="G1419" t="str">
            <v>CURRENT LIABILITIES AND PROVISIONS</v>
          </cell>
          <cell r="H1419" t="str">
            <v>CURRENT LIABILITIES</v>
          </cell>
          <cell r="I1419" t="str">
            <v>OTHER LIABILITIES</v>
          </cell>
        </row>
        <row r="1420">
          <cell r="A1420" t="str">
            <v>L506712</v>
          </cell>
          <cell r="B1420" t="str">
            <v>Advance Adjustable - D G Set</v>
          </cell>
          <cell r="C1420" t="str">
            <v>LIABILITIES</v>
          </cell>
          <cell r="D1420" t="str">
            <v>BALANCE SHEET</v>
          </cell>
          <cell r="E1420">
            <v>0</v>
          </cell>
          <cell r="F1420">
            <v>0</v>
          </cell>
          <cell r="G1420" t="str">
            <v>CURRENT LIABILITIES AND PROVISIONS</v>
          </cell>
          <cell r="H1420" t="str">
            <v>CURRENT LIABILITIES</v>
          </cell>
          <cell r="I1420" t="str">
            <v>OTHER LIABILITIES</v>
          </cell>
        </row>
        <row r="1421">
          <cell r="A1421" t="str">
            <v>L506713</v>
          </cell>
          <cell r="B1421" t="str">
            <v>Adv. Adjusted Agst Maint. Chgs</v>
          </cell>
          <cell r="C1421" t="str">
            <v>LIABILITIES</v>
          </cell>
          <cell r="D1421" t="str">
            <v>BALANCE SHEET</v>
          </cell>
          <cell r="E1421">
            <v>0</v>
          </cell>
          <cell r="F1421">
            <v>0</v>
          </cell>
          <cell r="G1421" t="str">
            <v>CURRENT LIABILITIES AND PROVISIONS</v>
          </cell>
          <cell r="H1421" t="str">
            <v>CURRENT LIABILITIES</v>
          </cell>
          <cell r="I1421" t="str">
            <v>OTHER LIABILITIES</v>
          </cell>
        </row>
        <row r="1422">
          <cell r="A1422" t="str">
            <v>L506714</v>
          </cell>
          <cell r="B1422" t="str">
            <v>Advance Adjustable</v>
          </cell>
          <cell r="C1422" t="str">
            <v>LIABILITIES</v>
          </cell>
          <cell r="D1422" t="str">
            <v>BALANCE SHEET</v>
          </cell>
          <cell r="E1422">
            <v>0</v>
          </cell>
          <cell r="F1422">
            <v>0</v>
          </cell>
          <cell r="G1422" t="str">
            <v>CURRENT LIABILITIES AND PROVISIONS</v>
          </cell>
          <cell r="H1422" t="str">
            <v>CURRENT LIABILITIES</v>
          </cell>
          <cell r="I1422" t="str">
            <v>OTHER LIABILITIES</v>
          </cell>
        </row>
        <row r="1423">
          <cell r="A1423" t="str">
            <v>L506715</v>
          </cell>
          <cell r="B1423" t="str">
            <v>Expenses Payable</v>
          </cell>
          <cell r="C1423" t="str">
            <v>LIABILITIES</v>
          </cell>
          <cell r="D1423" t="str">
            <v>BALANCE SHEET</v>
          </cell>
          <cell r="E1423">
            <v>0</v>
          </cell>
          <cell r="F1423">
            <v>0</v>
          </cell>
          <cell r="G1423" t="str">
            <v>CURRENT LIABILITIES AND PROVISIONS</v>
          </cell>
          <cell r="H1423" t="str">
            <v>CURRENT LIABILITIES</v>
          </cell>
          <cell r="I1423" t="str">
            <v>OTHER LIABILITIES</v>
          </cell>
        </row>
        <row r="1424">
          <cell r="A1424" t="str">
            <v>L506716</v>
          </cell>
          <cell r="B1424" t="str">
            <v>Indirect Tax Recovered</v>
          </cell>
          <cell r="C1424" t="str">
            <v>LIABILITIES</v>
          </cell>
          <cell r="D1424" t="str">
            <v>BALANCE SHEET</v>
          </cell>
          <cell r="E1424">
            <v>0</v>
          </cell>
          <cell r="F1424">
            <v>0</v>
          </cell>
          <cell r="G1424" t="str">
            <v>CURRENT LIABILITIES AND PROVISIONS</v>
          </cell>
          <cell r="H1424" t="str">
            <v>CURRENT LIABILITIES</v>
          </cell>
          <cell r="I1424" t="str">
            <v>OTHER LIABILITIES</v>
          </cell>
        </row>
        <row r="1425">
          <cell r="A1425" t="str">
            <v>L506717</v>
          </cell>
          <cell r="B1425" t="str">
            <v>Indirect Tax Recovered- DLF CENTRE POINT</v>
          </cell>
          <cell r="C1425" t="str">
            <v>LIABILITIES</v>
          </cell>
          <cell r="D1425" t="str">
            <v>BALANCE SHEET</v>
          </cell>
          <cell r="E1425">
            <v>0</v>
          </cell>
          <cell r="F1425">
            <v>0</v>
          </cell>
          <cell r="G1425" t="str">
            <v>CURRENT LIABILITIES AND PROVISIONS</v>
          </cell>
          <cell r="H1425" t="str">
            <v>CURRENT LIABILITIES</v>
          </cell>
          <cell r="I1425" t="str">
            <v>OTHER LIABILITIES</v>
          </cell>
        </row>
        <row r="1426">
          <cell r="A1426" t="str">
            <v>L506718</v>
          </cell>
          <cell r="B1426" t="str">
            <v>Indirect Tax Recovered- TRINITY TOWERS</v>
          </cell>
          <cell r="C1426" t="str">
            <v>LIABILITIES</v>
          </cell>
          <cell r="D1426" t="str">
            <v>BALANCE SHEET</v>
          </cell>
          <cell r="E1426">
            <v>0</v>
          </cell>
          <cell r="F1426">
            <v>0</v>
          </cell>
          <cell r="G1426" t="str">
            <v>CURRENT LIABILITIES AND PROVISIONS</v>
          </cell>
          <cell r="H1426" t="str">
            <v>CURRENT LIABILITIES</v>
          </cell>
          <cell r="I1426" t="str">
            <v>OTHER LIABILITIES</v>
          </cell>
        </row>
        <row r="1427">
          <cell r="A1427" t="str">
            <v>L506719</v>
          </cell>
          <cell r="B1427" t="str">
            <v>Indirect Tax Recovered- DLF GRAND MALL</v>
          </cell>
          <cell r="C1427" t="str">
            <v>LIABILITIES</v>
          </cell>
          <cell r="D1427" t="str">
            <v>BALANCE SHEET</v>
          </cell>
          <cell r="E1427">
            <v>0</v>
          </cell>
          <cell r="F1427">
            <v>0</v>
          </cell>
          <cell r="G1427" t="str">
            <v>CURRENT LIABILITIES AND PROVISIONS</v>
          </cell>
          <cell r="H1427" t="str">
            <v>CURRENT LIABILITIES</v>
          </cell>
          <cell r="I1427" t="str">
            <v>OTHER LIABILITIES</v>
          </cell>
        </row>
        <row r="1428">
          <cell r="A1428" t="str">
            <v>L506720</v>
          </cell>
          <cell r="B1428" t="str">
            <v>Gift Card Payable</v>
          </cell>
          <cell r="C1428" t="str">
            <v>LIABILITIES</v>
          </cell>
          <cell r="D1428" t="str">
            <v>BALANCE SHEET</v>
          </cell>
          <cell r="E1428">
            <v>0</v>
          </cell>
          <cell r="F1428">
            <v>0</v>
          </cell>
          <cell r="G1428" t="str">
            <v>CURRENT LIABILITIES AND PROVISIONS</v>
          </cell>
          <cell r="H1428" t="str">
            <v>CURRENT LIABILITIES</v>
          </cell>
          <cell r="I1428" t="str">
            <v>OTHER LIABILITIES</v>
          </cell>
        </row>
        <row r="1429">
          <cell r="A1429" t="str">
            <v>L506721</v>
          </cell>
          <cell r="B1429" t="str">
            <v>Audit Fee Payable</v>
          </cell>
          <cell r="C1429" t="str">
            <v>LIABILITIES</v>
          </cell>
          <cell r="D1429" t="str">
            <v>BALANCE SHEET</v>
          </cell>
          <cell r="E1429">
            <v>0</v>
          </cell>
          <cell r="F1429">
            <v>0</v>
          </cell>
          <cell r="G1429" t="str">
            <v>CURRENT LIABILITIES AND PROVISIONS</v>
          </cell>
          <cell r="H1429" t="str">
            <v>CURRENT LIABILITIES</v>
          </cell>
          <cell r="I1429" t="str">
            <v>OTHER LIABILITIES</v>
          </cell>
        </row>
        <row r="1430">
          <cell r="A1430" t="str">
            <v>L506722</v>
          </cell>
          <cell r="B1430" t="str">
            <v>SUPPLIER CONTRA A/C</v>
          </cell>
          <cell r="C1430" t="str">
            <v>LIABILITIES</v>
          </cell>
          <cell r="D1430" t="str">
            <v>BALANCE SHEET</v>
          </cell>
          <cell r="E1430">
            <v>0</v>
          </cell>
          <cell r="F1430">
            <v>0</v>
          </cell>
          <cell r="G1430" t="str">
            <v>CURRENT LIABILITIES AND PROVISIONS</v>
          </cell>
          <cell r="H1430" t="str">
            <v>CURRENT LIABILITIES</v>
          </cell>
          <cell r="I1430" t="str">
            <v>OTHER LIABILITIES</v>
          </cell>
        </row>
        <row r="1431">
          <cell r="A1431" t="str">
            <v>L506723</v>
          </cell>
          <cell r="B1431" t="str">
            <v>Other Deductions</v>
          </cell>
          <cell r="C1431" t="str">
            <v>LIABILITIES</v>
          </cell>
          <cell r="D1431" t="str">
            <v>BALANCE SHEET</v>
          </cell>
          <cell r="E1431">
            <v>0</v>
          </cell>
          <cell r="F1431">
            <v>0</v>
          </cell>
          <cell r="G1431" t="str">
            <v>CURRENT LIABILITIES AND PROVISIONS</v>
          </cell>
          <cell r="H1431" t="str">
            <v>CURRENT LIABILITIES</v>
          </cell>
          <cell r="I1431" t="str">
            <v>OTHER LIABILITIES</v>
          </cell>
        </row>
        <row r="1432">
          <cell r="A1432" t="str">
            <v>L506724</v>
          </cell>
          <cell r="B1432" t="str">
            <v>Advance Bookings</v>
          </cell>
          <cell r="C1432" t="str">
            <v>LIABILITIES</v>
          </cell>
          <cell r="D1432" t="str">
            <v>BALANCE SHEET</v>
          </cell>
          <cell r="E1432">
            <v>0</v>
          </cell>
          <cell r="F1432">
            <v>0</v>
          </cell>
          <cell r="G1432" t="str">
            <v>CURRENT LIABILITIES AND PROVISIONS</v>
          </cell>
          <cell r="H1432" t="str">
            <v>CURRENT LIABILITIES</v>
          </cell>
          <cell r="I1432" t="str">
            <v>OTHER LIABILITIES</v>
          </cell>
        </row>
        <row r="1433">
          <cell r="A1433" t="str">
            <v>L506725</v>
          </cell>
          <cell r="B1433" t="str">
            <v>Credit Card Excess Recd.</v>
          </cell>
          <cell r="C1433" t="str">
            <v>LIABILITIES</v>
          </cell>
          <cell r="D1433" t="str">
            <v>BALANCE SHEET</v>
          </cell>
          <cell r="E1433">
            <v>0</v>
          </cell>
          <cell r="F1433">
            <v>0</v>
          </cell>
          <cell r="G1433" t="str">
            <v>CURRENT LIABILITIES AND PROVISIONS</v>
          </cell>
          <cell r="H1433" t="str">
            <v>CURRENT LIABILITIES</v>
          </cell>
          <cell r="I1433" t="str">
            <v>OTHER LIABILITIES</v>
          </cell>
        </row>
        <row r="1434">
          <cell r="A1434" t="str">
            <v>L506726</v>
          </cell>
          <cell r="B1434" t="str">
            <v>INR Payable</v>
          </cell>
          <cell r="C1434" t="str">
            <v>LIABILITIES</v>
          </cell>
          <cell r="D1434" t="str">
            <v>BALANCE SHEET</v>
          </cell>
          <cell r="E1434">
            <v>0</v>
          </cell>
          <cell r="F1434">
            <v>0</v>
          </cell>
          <cell r="G1434" t="str">
            <v>CURRENT LIABILITIES AND PROVISIONS</v>
          </cell>
          <cell r="H1434" t="str">
            <v>CURRENT LIABILITIES</v>
          </cell>
          <cell r="I1434" t="str">
            <v>OTHER LIABILITIES</v>
          </cell>
        </row>
        <row r="1435">
          <cell r="A1435" t="str">
            <v>L506727</v>
          </cell>
          <cell r="B1435" t="str">
            <v>DEPRECIATION FUND</v>
          </cell>
          <cell r="C1435" t="str">
            <v>LIABILITIES</v>
          </cell>
          <cell r="D1435" t="str">
            <v>BALANCE SHEET</v>
          </cell>
          <cell r="G1435" t="str">
            <v>CURRENT LIABILITIES AND PROVISIONS</v>
          </cell>
          <cell r="H1435" t="str">
            <v>CURRENT LIABILITIES</v>
          </cell>
          <cell r="I1435" t="str">
            <v>OTHER LIABILITIES</v>
          </cell>
        </row>
        <row r="1436">
          <cell r="A1436" t="str">
            <v>L506728</v>
          </cell>
          <cell r="B1436" t="str">
            <v>OVERSEAS PROJECTS</v>
          </cell>
          <cell r="C1436" t="str">
            <v>LIABILITIES</v>
          </cell>
          <cell r="D1436" t="str">
            <v>BALANCE SHEET</v>
          </cell>
          <cell r="G1436" t="str">
            <v>CURRENT LIABILITIES AND PROVISIONS</v>
          </cell>
          <cell r="H1436" t="str">
            <v>CURRENT LIABILITIES</v>
          </cell>
          <cell r="I1436" t="str">
            <v>OTHER LIABILITIES</v>
          </cell>
        </row>
        <row r="1437">
          <cell r="A1437" t="str">
            <v>L506729</v>
          </cell>
          <cell r="B1437" t="str">
            <v>INLAND PROJECTS</v>
          </cell>
          <cell r="C1437" t="str">
            <v>LIABILITIES</v>
          </cell>
          <cell r="D1437" t="str">
            <v>BALANCE SHEET</v>
          </cell>
          <cell r="G1437" t="str">
            <v>CURRENT LIABILITIES AND PROVISIONS</v>
          </cell>
          <cell r="H1437" t="str">
            <v>CURRENT LIABILITIES</v>
          </cell>
          <cell r="I1437" t="str">
            <v>OTHER LIABILITIES</v>
          </cell>
        </row>
        <row r="1438">
          <cell r="A1438" t="str">
            <v>L506730</v>
          </cell>
          <cell r="B1438" t="str">
            <v>PROJECT CONTROL ACCOUNT</v>
          </cell>
          <cell r="C1438" t="str">
            <v>LIABILITIES</v>
          </cell>
          <cell r="D1438" t="str">
            <v>BALANCE SHEET</v>
          </cell>
          <cell r="G1438" t="str">
            <v>CURRENT LIABILITIES AND PROVISIONS</v>
          </cell>
          <cell r="H1438" t="str">
            <v>CURRENT LIABILITIES</v>
          </cell>
          <cell r="I1438" t="str">
            <v>OTHER LIABILITIES</v>
          </cell>
        </row>
        <row r="1439">
          <cell r="A1439" t="str">
            <v>L506999</v>
          </cell>
          <cell r="B1439" t="str">
            <v>Suspense A/c (Plots)</v>
          </cell>
          <cell r="C1439" t="str">
            <v>LIABILITIES</v>
          </cell>
          <cell r="D1439" t="str">
            <v>BALANCE SHEET</v>
          </cell>
          <cell r="E1439">
            <v>0</v>
          </cell>
          <cell r="F1439">
            <v>0</v>
          </cell>
          <cell r="G1439" t="str">
            <v>CURRENT LIABILITIES AND PROVISIONS</v>
          </cell>
          <cell r="H1439" t="str">
            <v>CURRENT LIABILITIES</v>
          </cell>
          <cell r="I1439" t="str">
            <v>OTHER LIABILITIES</v>
          </cell>
        </row>
        <row r="1440">
          <cell r="A1440" t="str">
            <v>L507001</v>
          </cell>
          <cell r="B1440" t="str">
            <v>Interest accrued but not Due (Loan)</v>
          </cell>
          <cell r="C1440" t="str">
            <v>LIABILITIES</v>
          </cell>
          <cell r="D1440" t="str">
            <v>BALANCE SHEET</v>
          </cell>
          <cell r="E1440">
            <v>0</v>
          </cell>
          <cell r="F1440">
            <v>0</v>
          </cell>
          <cell r="G1440" t="str">
            <v>CURRENT LIABILITIES AND PROVISIONS</v>
          </cell>
          <cell r="H1440" t="str">
            <v>CURRENT LIABILITIES</v>
          </cell>
          <cell r="I1440" t="str">
            <v>INTEREST ACCRUED BUT NOT DUE</v>
          </cell>
        </row>
        <row r="1441">
          <cell r="A1441" t="str">
            <v>L507002</v>
          </cell>
          <cell r="B1441" t="str">
            <v>Interest accrued but not Due (Others)</v>
          </cell>
          <cell r="C1441" t="str">
            <v>LIABILITIES</v>
          </cell>
          <cell r="D1441" t="str">
            <v>BALANCE SHEET</v>
          </cell>
          <cell r="E1441">
            <v>0</v>
          </cell>
          <cell r="F1441">
            <v>0</v>
          </cell>
          <cell r="G1441" t="str">
            <v>CURRENT LIABILITIES AND PROVISIONS</v>
          </cell>
          <cell r="H1441" t="str">
            <v>CURRENT LIABILITIES</v>
          </cell>
          <cell r="I1441" t="str">
            <v>INTEREST ACCRUED BUT NOT DUE</v>
          </cell>
        </row>
        <row r="1442">
          <cell r="A1442" t="str">
            <v>L601001</v>
          </cell>
          <cell r="B1442" t="str">
            <v>Provision for Proposed dividend</v>
          </cell>
          <cell r="C1442" t="str">
            <v>LIABILITIES</v>
          </cell>
          <cell r="D1442" t="str">
            <v>BALANCE SHEET</v>
          </cell>
          <cell r="E1442">
            <v>0</v>
          </cell>
          <cell r="F1442">
            <v>0</v>
          </cell>
          <cell r="G1442" t="str">
            <v>CURRENT LIABILITIES AND PROVISIONS</v>
          </cell>
          <cell r="H1442" t="str">
            <v>PROVISIONS(LIAB)</v>
          </cell>
          <cell r="I1442" t="str">
            <v>PROPOSED DIVIDEND</v>
          </cell>
        </row>
        <row r="1443">
          <cell r="A1443" t="str">
            <v>L601002</v>
          </cell>
          <cell r="B1443" t="str">
            <v>Unpaid/ Unclaimed dividend</v>
          </cell>
          <cell r="C1443" t="str">
            <v>LIABILITIES</v>
          </cell>
          <cell r="D1443" t="str">
            <v>BALANCE SHEET</v>
          </cell>
          <cell r="E1443">
            <v>0</v>
          </cell>
          <cell r="F1443">
            <v>0</v>
          </cell>
          <cell r="G1443" t="str">
            <v>CURRENT LIABILITIES AND PROVISIONS</v>
          </cell>
          <cell r="H1443" t="str">
            <v>PROVISIONS(LIAB)</v>
          </cell>
          <cell r="I1443" t="str">
            <v>UNCLAIMED DIVIDEND</v>
          </cell>
        </row>
        <row r="1444">
          <cell r="A1444" t="str">
            <v>L601003</v>
          </cell>
          <cell r="B1444" t="str">
            <v>Dividend Payable - Preference Shares</v>
          </cell>
          <cell r="C1444" t="str">
            <v>LIABILITIES</v>
          </cell>
          <cell r="D1444" t="str">
            <v>BALANCE SHEET</v>
          </cell>
          <cell r="E1444">
            <v>0</v>
          </cell>
          <cell r="F1444">
            <v>0</v>
          </cell>
          <cell r="G1444" t="str">
            <v>CURRENT LIABILITIES AND PROVISIONS</v>
          </cell>
          <cell r="H1444" t="str">
            <v>CURRENT LIABILITIES</v>
          </cell>
          <cell r="I1444" t="str">
            <v>OTHER LIABILITIES</v>
          </cell>
        </row>
        <row r="1445">
          <cell r="A1445" t="str">
            <v>L601004</v>
          </cell>
          <cell r="B1445" t="str">
            <v>Dividend Distribution Tax Payable</v>
          </cell>
          <cell r="C1445" t="str">
            <v>LIABILITIES</v>
          </cell>
          <cell r="D1445" t="str">
            <v>BALANCE SHEET</v>
          </cell>
          <cell r="E1445">
            <v>0</v>
          </cell>
          <cell r="F1445">
            <v>0</v>
          </cell>
          <cell r="G1445" t="str">
            <v>CURRENT LIABILITIES AND PROVISIONS</v>
          </cell>
          <cell r="H1445" t="str">
            <v>PROVISIONS(LIAB)</v>
          </cell>
          <cell r="I1445" t="str">
            <v>OTHER PROVISIONS</v>
          </cell>
        </row>
        <row r="1446">
          <cell r="A1446" t="str">
            <v>L601101</v>
          </cell>
          <cell r="B1446" t="str">
            <v>Provision For Leave Salary</v>
          </cell>
          <cell r="C1446" t="str">
            <v>LIABILITIES</v>
          </cell>
          <cell r="D1446" t="str">
            <v>BALANCE SHEET</v>
          </cell>
          <cell r="E1446">
            <v>0</v>
          </cell>
          <cell r="F1446">
            <v>0</v>
          </cell>
          <cell r="G1446" t="str">
            <v>CURRENT LIABILITIES AND PROVISIONS</v>
          </cell>
          <cell r="H1446" t="str">
            <v>PROVISIONS(LIAB)</v>
          </cell>
          <cell r="I1446" t="str">
            <v>RETIREMENT PROVISION</v>
          </cell>
        </row>
        <row r="1447">
          <cell r="A1447" t="str">
            <v>L601102</v>
          </cell>
          <cell r="B1447" t="str">
            <v>Provision For Gratuity</v>
          </cell>
          <cell r="C1447" t="str">
            <v>LIABILITIES</v>
          </cell>
          <cell r="D1447" t="str">
            <v>BALANCE SHEET</v>
          </cell>
          <cell r="E1447">
            <v>0</v>
          </cell>
          <cell r="F1447">
            <v>0</v>
          </cell>
          <cell r="G1447" t="str">
            <v>CURRENT LIABILITIES AND PROVISIONS</v>
          </cell>
          <cell r="H1447" t="str">
            <v>PROVISIONS(LIAB)</v>
          </cell>
          <cell r="I1447" t="str">
            <v>RETIREMENT PROVISION</v>
          </cell>
        </row>
        <row r="1448">
          <cell r="A1448" t="str">
            <v>L601103</v>
          </cell>
          <cell r="B1448" t="str">
            <v>Provision For Bonus</v>
          </cell>
          <cell r="C1448" t="str">
            <v>LIABILITIES</v>
          </cell>
          <cell r="D1448" t="str">
            <v>BALANCE SHEET</v>
          </cell>
          <cell r="E1448">
            <v>0</v>
          </cell>
          <cell r="F1448">
            <v>0</v>
          </cell>
          <cell r="G1448" t="str">
            <v>CURRENT LIABILITIES AND PROVISIONS</v>
          </cell>
          <cell r="H1448" t="str">
            <v>PROVISIONS(LIAB)</v>
          </cell>
          <cell r="I1448" t="str">
            <v>OTHER PROVISIONS</v>
          </cell>
        </row>
        <row r="1449">
          <cell r="A1449" t="str">
            <v>L601104</v>
          </cell>
          <cell r="B1449" t="str">
            <v>Provision For Superannuation</v>
          </cell>
          <cell r="C1449" t="str">
            <v>LIABILITIES</v>
          </cell>
          <cell r="D1449" t="str">
            <v>BALANCE SHEET</v>
          </cell>
          <cell r="E1449">
            <v>0</v>
          </cell>
          <cell r="F1449">
            <v>0</v>
          </cell>
          <cell r="G1449" t="str">
            <v>CURRENT LIABILITIES AND PROVISIONS</v>
          </cell>
          <cell r="H1449" t="str">
            <v>PROVISIONS(LIAB)</v>
          </cell>
          <cell r="I1449" t="str">
            <v>OTHER PROVISIONS</v>
          </cell>
        </row>
        <row r="1450">
          <cell r="A1450" t="str">
            <v>L601201</v>
          </cell>
          <cell r="B1450" t="str">
            <v>Provision For Income Tax</v>
          </cell>
          <cell r="C1450" t="str">
            <v>LIABILITIES</v>
          </cell>
          <cell r="D1450" t="str">
            <v>BALANCE SHEET</v>
          </cell>
          <cell r="E1450">
            <v>0</v>
          </cell>
          <cell r="F1450">
            <v>0</v>
          </cell>
          <cell r="G1450" t="str">
            <v>CURRENT LIABILITIES AND PROVISIONS</v>
          </cell>
          <cell r="H1450" t="str">
            <v>PROVISIONS(LIAB)</v>
          </cell>
          <cell r="I1450" t="str">
            <v>PROVISION FOR INCOME TAX</v>
          </cell>
        </row>
        <row r="1451">
          <cell r="A1451" t="str">
            <v>L601301</v>
          </cell>
          <cell r="B1451" t="str">
            <v>Provision for Doubtful debts</v>
          </cell>
          <cell r="C1451" t="str">
            <v>LIABILITIES</v>
          </cell>
          <cell r="D1451" t="str">
            <v>BALANCE SHEET</v>
          </cell>
          <cell r="E1451">
            <v>0</v>
          </cell>
          <cell r="F1451">
            <v>0</v>
          </cell>
          <cell r="G1451" t="str">
            <v>CURRENT LIABILITIES AND PROVISIONS</v>
          </cell>
          <cell r="H1451" t="str">
            <v>PROVISIONS(LIAB)</v>
          </cell>
          <cell r="I1451" t="str">
            <v>PROVISION FOR DOUBTFUL DEBTS</v>
          </cell>
        </row>
        <row r="1452">
          <cell r="A1452" t="str">
            <v>L601302</v>
          </cell>
          <cell r="B1452" t="str">
            <v>Provision for Doubtful debts- Investment</v>
          </cell>
          <cell r="C1452" t="str">
            <v>LIABILITIES</v>
          </cell>
          <cell r="D1452" t="str">
            <v>BALANCE SHEET</v>
          </cell>
          <cell r="E1452">
            <v>0</v>
          </cell>
          <cell r="F1452">
            <v>0</v>
          </cell>
          <cell r="G1452" t="str">
            <v>CURRENT LIABILITIES AND PROVISIONS</v>
          </cell>
          <cell r="H1452" t="str">
            <v>PROVISIONS(LIAB)</v>
          </cell>
          <cell r="I1452" t="str">
            <v>PROVISION FOR DOUBTFUL DEBTS</v>
          </cell>
        </row>
        <row r="1453">
          <cell r="A1453" t="str">
            <v>L601401</v>
          </cell>
          <cell r="B1453" t="str">
            <v>Provision for Loss on POCM</v>
          </cell>
          <cell r="C1453" t="str">
            <v>LIABILITIES</v>
          </cell>
          <cell r="D1453" t="str">
            <v>BALANCE SHEET</v>
          </cell>
          <cell r="E1453">
            <v>0</v>
          </cell>
          <cell r="F1453">
            <v>0</v>
          </cell>
          <cell r="G1453" t="str">
            <v>CURRENT LIABILITIES AND PROVISIONS</v>
          </cell>
          <cell r="H1453" t="str">
            <v>PROVISIONS(LIAB)</v>
          </cell>
          <cell r="I1453" t="str">
            <v>OTHER PROVISIONS</v>
          </cell>
        </row>
        <row r="1454">
          <cell r="A1454" t="str">
            <v>L601501</v>
          </cell>
          <cell r="B1454" t="str">
            <v>Prov.For Work Pend.Certificat.</v>
          </cell>
          <cell r="C1454" t="str">
            <v>LIABILITIES</v>
          </cell>
          <cell r="D1454" t="str">
            <v>BALANCE SHEET</v>
          </cell>
          <cell r="E1454">
            <v>0</v>
          </cell>
          <cell r="F1454">
            <v>0</v>
          </cell>
          <cell r="G1454" t="str">
            <v>CURRENT LIABILITIES AND PROVISIONS</v>
          </cell>
          <cell r="H1454" t="str">
            <v>PROVISIONS(LIAB)</v>
          </cell>
          <cell r="I1454" t="str">
            <v>OTHER PROVISIONS</v>
          </cell>
        </row>
        <row r="1455">
          <cell r="A1455" t="str">
            <v>L601502</v>
          </cell>
          <cell r="B1455" t="str">
            <v>Provision For Cost To Compl. Of Work</v>
          </cell>
          <cell r="C1455" t="str">
            <v>LIABILITIES</v>
          </cell>
          <cell r="D1455" t="str">
            <v>BALANCE SHEET</v>
          </cell>
          <cell r="E1455">
            <v>0</v>
          </cell>
          <cell r="F1455">
            <v>0</v>
          </cell>
          <cell r="G1455" t="str">
            <v>CURRENT LIABILITIES AND PROVISIONS</v>
          </cell>
          <cell r="H1455" t="str">
            <v>PROVISIONS(LIAB)</v>
          </cell>
          <cell r="I1455" t="str">
            <v>OTHER PROVISIONS</v>
          </cell>
        </row>
        <row r="1456">
          <cell r="A1456" t="str">
            <v>L601503</v>
          </cell>
          <cell r="B1456" t="str">
            <v>PROVISION FOR CONTINGENCIES</v>
          </cell>
          <cell r="C1456" t="str">
            <v>LIABILITIES</v>
          </cell>
          <cell r="D1456" t="str">
            <v>BALANCE SHEET</v>
          </cell>
          <cell r="G1456" t="str">
            <v>CURRENT LIABILITIES AND PROVISIONS</v>
          </cell>
          <cell r="H1456" t="str">
            <v>PROVISIONS(LIAB)</v>
          </cell>
          <cell r="I1456" t="str">
            <v>OTHER PROVISIONS</v>
          </cell>
        </row>
        <row r="1457">
          <cell r="A1457" t="str">
            <v>L601504</v>
          </cell>
          <cell r="B1457" t="str">
            <v>PROVISION FOR SALES TAX</v>
          </cell>
          <cell r="C1457" t="str">
            <v>LIABILITIES</v>
          </cell>
          <cell r="D1457" t="str">
            <v>BALANCE SHEET</v>
          </cell>
          <cell r="G1457" t="str">
            <v>CURRENT LIABILITIES AND PROVISIONS</v>
          </cell>
          <cell r="H1457" t="str">
            <v>PROVISIONS(LIAB)</v>
          </cell>
          <cell r="I1457" t="str">
            <v>OTHER PROVISIONS</v>
          </cell>
        </row>
        <row r="1458">
          <cell r="A1458" t="str">
            <v>L601601</v>
          </cell>
          <cell r="B1458" t="str">
            <v>Deferred Tax Liability</v>
          </cell>
          <cell r="C1458" t="str">
            <v>LIABILITIES</v>
          </cell>
          <cell r="D1458" t="str">
            <v>BALANCE SHEET</v>
          </cell>
          <cell r="E1458">
            <v>0</v>
          </cell>
          <cell r="F1458">
            <v>0</v>
          </cell>
          <cell r="G1458" t="str">
            <v>CURRENT LIABILITIES AND PROVISIONS</v>
          </cell>
          <cell r="H1458" t="str">
            <v>PROVISIONS(LIAB)</v>
          </cell>
          <cell r="I1458" t="str">
            <v>DEFERRED TAX PROVISION</v>
          </cell>
        </row>
        <row r="1459">
          <cell r="A1459" t="str">
            <v>L601701</v>
          </cell>
          <cell r="B1459" t="str">
            <v>Derivatives Liablility</v>
          </cell>
          <cell r="C1459" t="str">
            <v>LIABILITIES</v>
          </cell>
          <cell r="D1459" t="str">
            <v>BALANCE SHEET</v>
          </cell>
          <cell r="E1459">
            <v>0</v>
          </cell>
          <cell r="F1459">
            <v>0</v>
          </cell>
          <cell r="G1459" t="str">
            <v>CURRENT LIABILITIES AND PROVISIONS</v>
          </cell>
          <cell r="H1459" t="str">
            <v>PROVISIONS(LIAB)</v>
          </cell>
          <cell r="I1459" t="str">
            <v>DERIVATIVES LIABLILITY</v>
          </cell>
        </row>
        <row r="1460">
          <cell r="A1460" t="str">
            <v>L601801</v>
          </cell>
          <cell r="B1460" t="str">
            <v>Provision for HLADT</v>
          </cell>
          <cell r="C1460" t="str">
            <v>LIABILITIES</v>
          </cell>
          <cell r="D1460" t="str">
            <v>BALANCE SHEET</v>
          </cell>
          <cell r="E1460">
            <v>0</v>
          </cell>
          <cell r="F1460">
            <v>0</v>
          </cell>
          <cell r="G1460" t="str">
            <v>CURRENT LIABILITIES AND PROVISIONS</v>
          </cell>
          <cell r="H1460" t="str">
            <v>PROVISIONS(LIAB)</v>
          </cell>
          <cell r="I1460" t="str">
            <v>OTHER PROVISIONS</v>
          </cell>
        </row>
        <row r="1461">
          <cell r="A1461" t="str">
            <v>L601901</v>
          </cell>
          <cell r="B1461" t="str">
            <v>Provision for FBT</v>
          </cell>
          <cell r="C1461" t="str">
            <v>LIABILITIES</v>
          </cell>
          <cell r="D1461" t="str">
            <v>BALANCE SHEET</v>
          </cell>
          <cell r="E1461">
            <v>0</v>
          </cell>
          <cell r="F1461">
            <v>0</v>
          </cell>
          <cell r="G1461" t="str">
            <v>CURRENT LIABILITIES AND PROVISIONS</v>
          </cell>
          <cell r="H1461" t="str">
            <v>PROVISIONS(LIAB)</v>
          </cell>
          <cell r="I1461" t="str">
            <v>OTHER PROVISIONS</v>
          </cell>
        </row>
        <row r="1462">
          <cell r="A1462" t="str">
            <v>L701001</v>
          </cell>
          <cell r="B1462" t="str">
            <v>Amortisation- Land- Lease Hold</v>
          </cell>
          <cell r="C1462" t="str">
            <v>LIABILITIES</v>
          </cell>
          <cell r="D1462" t="str">
            <v>BALANCE SHEET</v>
          </cell>
          <cell r="E1462">
            <v>0</v>
          </cell>
          <cell r="F1462">
            <v>0</v>
          </cell>
          <cell r="G1462" t="str">
            <v>CURRENT LIABILITIES AND PROVISIONS</v>
          </cell>
          <cell r="H1462" t="str">
            <v>DEPRECIATION RESERVE</v>
          </cell>
          <cell r="I1462" t="str">
            <v>AMORTISATION- LAND- LEASE HOLD</v>
          </cell>
        </row>
        <row r="1463">
          <cell r="A1463" t="str">
            <v>L701002</v>
          </cell>
          <cell r="B1463" t="str">
            <v>Dep. Reserve- BUILDINGS</v>
          </cell>
          <cell r="C1463" t="str">
            <v>LIABILITIES</v>
          </cell>
          <cell r="D1463" t="str">
            <v>BALANCE SHEET</v>
          </cell>
          <cell r="E1463">
            <v>0</v>
          </cell>
          <cell r="F1463">
            <v>0</v>
          </cell>
          <cell r="G1463" t="str">
            <v>CURRENT LIABILITIES AND PROVISIONS</v>
          </cell>
          <cell r="H1463" t="str">
            <v>DEPRECIATION RESERVE</v>
          </cell>
          <cell r="I1463" t="str">
            <v>DEP.RESERVE- BUILDINGS</v>
          </cell>
        </row>
        <row r="1464">
          <cell r="A1464" t="str">
            <v>L701003</v>
          </cell>
          <cell r="B1464" t="str">
            <v>Dep. Reserve- Plant &amp; Machinery</v>
          </cell>
          <cell r="C1464" t="str">
            <v>LIABILITIES</v>
          </cell>
          <cell r="D1464" t="str">
            <v>BALANCE SHEET</v>
          </cell>
          <cell r="E1464" t="str">
            <v>CUMULATIVE DEPN A/C</v>
          </cell>
          <cell r="F1464">
            <v>0</v>
          </cell>
          <cell r="G1464" t="str">
            <v>CURRENT LIABILITIES AND PROVISIONS</v>
          </cell>
          <cell r="H1464" t="str">
            <v>DEPRECIATION RESERVE</v>
          </cell>
          <cell r="I1464" t="str">
            <v>DEP.RESERVE- PLANT &amp; MACHINERY</v>
          </cell>
        </row>
        <row r="1465">
          <cell r="A1465" t="str">
            <v>L701004</v>
          </cell>
          <cell r="B1465" t="str">
            <v>Dep. Reserve- Air Conditions</v>
          </cell>
          <cell r="C1465" t="str">
            <v>LIABILITIES</v>
          </cell>
          <cell r="D1465" t="str">
            <v>BALANCE SHEET</v>
          </cell>
          <cell r="E1465">
            <v>0</v>
          </cell>
          <cell r="F1465">
            <v>0</v>
          </cell>
          <cell r="G1465" t="str">
            <v>CURRENT LIABILITIES AND PROVISIONS</v>
          </cell>
          <cell r="H1465" t="str">
            <v>DEPRECIATION RESERVE</v>
          </cell>
          <cell r="I1465" t="str">
            <v>DEP. RESERVE- AIR CONDITIONS</v>
          </cell>
        </row>
        <row r="1466">
          <cell r="A1466" t="str">
            <v>L701005</v>
          </cell>
          <cell r="B1466" t="str">
            <v>Dep. Reserve- Office Equipments</v>
          </cell>
          <cell r="C1466" t="str">
            <v>LIABILITIES</v>
          </cell>
          <cell r="D1466" t="str">
            <v>BALANCE SHEET</v>
          </cell>
          <cell r="E1466">
            <v>0</v>
          </cell>
          <cell r="F1466">
            <v>0</v>
          </cell>
          <cell r="G1466" t="str">
            <v>CURRENT LIABILITIES AND PROVISIONS</v>
          </cell>
          <cell r="H1466" t="str">
            <v>DEPRECIATION RESERVE</v>
          </cell>
          <cell r="I1466" t="str">
            <v>DEP.RESERVE-OFFICE EQUIPMENTS</v>
          </cell>
        </row>
        <row r="1467">
          <cell r="A1467" t="str">
            <v>L701006</v>
          </cell>
          <cell r="B1467" t="str">
            <v>Dep. Reserve- Computers &amp; EDP Hardwares</v>
          </cell>
          <cell r="C1467" t="str">
            <v>LIABILITIES</v>
          </cell>
          <cell r="D1467" t="str">
            <v>BALANCE SHEET</v>
          </cell>
          <cell r="E1467" t="str">
            <v>CUMULATIVE DEPN A/C</v>
          </cell>
          <cell r="F1467">
            <v>0</v>
          </cell>
          <cell r="G1467" t="str">
            <v>CURRENT LIABILITIES AND PROVISIONS</v>
          </cell>
          <cell r="H1467" t="str">
            <v>DEPRECIATION RESERVE</v>
          </cell>
          <cell r="I1467" t="str">
            <v>DEP.RESERVE-COMPUTERS AND EDP HARDWARES</v>
          </cell>
        </row>
        <row r="1468">
          <cell r="A1468" t="str">
            <v>L701007</v>
          </cell>
          <cell r="B1468" t="str">
            <v>Dep. Reserve- Networking and WAN Setup</v>
          </cell>
          <cell r="C1468" t="str">
            <v>LIABILITIES</v>
          </cell>
          <cell r="D1468" t="str">
            <v>BALANCE SHEET</v>
          </cell>
          <cell r="E1468">
            <v>0</v>
          </cell>
          <cell r="F1468">
            <v>0</v>
          </cell>
          <cell r="G1468" t="str">
            <v>CURRENT LIABILITIES AND PROVISIONS</v>
          </cell>
          <cell r="H1468" t="str">
            <v>DEPRECIATION RESERVE</v>
          </cell>
          <cell r="I1468" t="str">
            <v>DEP.RESERVE-NETWORKING AND WAN SETUP</v>
          </cell>
        </row>
        <row r="1469">
          <cell r="A1469" t="str">
            <v>L701008</v>
          </cell>
          <cell r="B1469" t="str">
            <v>Dep. Reserve- Software</v>
          </cell>
          <cell r="C1469" t="str">
            <v>LIABILITIES</v>
          </cell>
          <cell r="D1469" t="str">
            <v>BALANCE SHEET</v>
          </cell>
          <cell r="E1469">
            <v>0</v>
          </cell>
          <cell r="F1469">
            <v>0</v>
          </cell>
          <cell r="G1469" t="str">
            <v>CURRENT LIABILITIES AND PROVISIONS</v>
          </cell>
          <cell r="H1469" t="str">
            <v>DEPRECIATION RESERVE</v>
          </cell>
          <cell r="I1469" t="str">
            <v>DEP.RESERVE-SOFTWARE</v>
          </cell>
        </row>
        <row r="1470">
          <cell r="A1470" t="str">
            <v>L701009</v>
          </cell>
          <cell r="B1470" t="str">
            <v>Dep. Reserve- Furniture and Fixtures</v>
          </cell>
          <cell r="C1470" t="str">
            <v>LIABILITIES</v>
          </cell>
          <cell r="D1470" t="str">
            <v>BALANCE SHEET</v>
          </cell>
          <cell r="E1470" t="str">
            <v>CUMULATIVE DEPN A/C</v>
          </cell>
          <cell r="F1470">
            <v>0</v>
          </cell>
          <cell r="G1470" t="str">
            <v>CURRENT LIABILITIES AND PROVISIONS</v>
          </cell>
          <cell r="H1470" t="str">
            <v>DEPRECIATION RESERVE</v>
          </cell>
          <cell r="I1470" t="str">
            <v>DEP.RESERVE-FURNITURE AND FIXTURES</v>
          </cell>
        </row>
        <row r="1471">
          <cell r="A1471" t="str">
            <v>L701010</v>
          </cell>
          <cell r="B1471" t="str">
            <v>Dep. Reserve- Vehicles</v>
          </cell>
          <cell r="C1471" t="str">
            <v>LIABILITIES</v>
          </cell>
          <cell r="D1471" t="str">
            <v>BALANCE SHEET</v>
          </cell>
          <cell r="E1471" t="str">
            <v>CUMULATIVE DEPN A/C</v>
          </cell>
          <cell r="F1471">
            <v>0</v>
          </cell>
          <cell r="G1471" t="str">
            <v>CURRENT LIABILITIES AND PROVISIONS</v>
          </cell>
          <cell r="H1471" t="str">
            <v>DEPRECIATION RESERVE</v>
          </cell>
          <cell r="I1471" t="str">
            <v>DEP.RESERVE-VEHICLES</v>
          </cell>
        </row>
        <row r="1472">
          <cell r="A1472" t="str">
            <v>L701011</v>
          </cell>
          <cell r="B1472" t="str">
            <v>Dep. Reserve- Air Craft</v>
          </cell>
          <cell r="C1472" t="str">
            <v>LIABILITIES</v>
          </cell>
          <cell r="D1472" t="str">
            <v>BALANCE SHEET</v>
          </cell>
          <cell r="E1472">
            <v>0</v>
          </cell>
          <cell r="F1472">
            <v>0</v>
          </cell>
          <cell r="G1472" t="str">
            <v>CURRENT LIABILITIES AND PROVISIONS</v>
          </cell>
          <cell r="H1472" t="str">
            <v>DEPRECIATION RESERVE</v>
          </cell>
          <cell r="I1472" t="str">
            <v>DEP.RESERVE- AIR CRAFT</v>
          </cell>
        </row>
        <row r="1473">
          <cell r="A1473" t="str">
            <v>L701012</v>
          </cell>
          <cell r="B1473" t="str">
            <v>Dep. Reserve- Stock Properties</v>
          </cell>
          <cell r="C1473" t="str">
            <v>LIABILITIES</v>
          </cell>
          <cell r="D1473" t="str">
            <v>BALANCE SHEET</v>
          </cell>
          <cell r="E1473">
            <v>0</v>
          </cell>
          <cell r="F1473">
            <v>0</v>
          </cell>
          <cell r="G1473" t="str">
            <v>CURRENT LIABILITIES AND PROVISIONS</v>
          </cell>
          <cell r="H1473" t="str">
            <v>DEPRECIATION RESERVE</v>
          </cell>
          <cell r="I1473" t="str">
            <v>DEP.RESERVE- STOCK PROPERTIES</v>
          </cell>
        </row>
        <row r="1474">
          <cell r="A1474" t="str">
            <v>L701013</v>
          </cell>
          <cell r="B1474" t="str">
            <v>Dep. Reserve- Vehicles- Car</v>
          </cell>
          <cell r="C1474" t="str">
            <v>LIABILITIES</v>
          </cell>
          <cell r="D1474" t="str">
            <v>BALANCE SHEET</v>
          </cell>
          <cell r="E1474" t="str">
            <v>CUMULATIVE DEPN A/C</v>
          </cell>
          <cell r="F1474">
            <v>0</v>
          </cell>
          <cell r="G1474" t="str">
            <v>CURRENT LIABILITIES AND PROVISIONS</v>
          </cell>
          <cell r="H1474" t="str">
            <v>DEPRECIATION RESERVE</v>
          </cell>
          <cell r="I1474" t="str">
            <v>DEP.RESERVE-VEHICLES</v>
          </cell>
        </row>
        <row r="1475">
          <cell r="A1475" t="str">
            <v>L701014</v>
          </cell>
          <cell r="B1475" t="str">
            <v>Dep. Reserve- Vehicles- Motor Cycles/ Sc</v>
          </cell>
          <cell r="C1475" t="str">
            <v>LIABILITIES</v>
          </cell>
          <cell r="D1475" t="str">
            <v>BALANCE SHEET</v>
          </cell>
          <cell r="E1475" t="str">
            <v>CUMULATIVE DEPN A/C</v>
          </cell>
          <cell r="F1475">
            <v>0</v>
          </cell>
          <cell r="G1475" t="str">
            <v>CURRENT LIABILITIES AND PROVISIONS</v>
          </cell>
          <cell r="H1475" t="str">
            <v>DEPRECIATION RESERVE</v>
          </cell>
          <cell r="I1475" t="str">
            <v>DEP.RESERVE-VEHICLES</v>
          </cell>
        </row>
        <row r="1476">
          <cell r="A1476" t="str">
            <v>L701015</v>
          </cell>
          <cell r="B1476" t="str">
            <v>Dep. Reserve- Vehicles- Cycles</v>
          </cell>
          <cell r="C1476" t="str">
            <v>LIABILITIES</v>
          </cell>
          <cell r="D1476" t="str">
            <v>BALANCE SHEET</v>
          </cell>
          <cell r="E1476" t="str">
            <v>CUMULATIVE DEPN A/C</v>
          </cell>
          <cell r="F1476">
            <v>0</v>
          </cell>
          <cell r="G1476" t="str">
            <v>CURRENT LIABILITIES AND PROVISIONS</v>
          </cell>
          <cell r="H1476" t="str">
            <v>DEPRECIATION RESERVE</v>
          </cell>
          <cell r="I1476" t="str">
            <v>DEP.RESERVE-VEHICLES</v>
          </cell>
        </row>
        <row r="1477">
          <cell r="A1477" t="str">
            <v>L701090</v>
          </cell>
          <cell r="B1477" t="str">
            <v>Dep. Reserve-OTHERS</v>
          </cell>
          <cell r="C1477" t="str">
            <v>LIABILITIES</v>
          </cell>
          <cell r="D1477" t="str">
            <v>BALANCE SHEET</v>
          </cell>
          <cell r="E1477">
            <v>0</v>
          </cell>
          <cell r="F1477">
            <v>0</v>
          </cell>
          <cell r="G1477" t="str">
            <v>CURRENT LIABILITIES AND PROVISIONS</v>
          </cell>
          <cell r="H1477" t="str">
            <v>PROVISIONS(LIAB)</v>
          </cell>
          <cell r="I1477" t="str">
            <v>OTHER PROVISIONS</v>
          </cell>
        </row>
        <row r="1478">
          <cell r="A1478" t="str">
            <v>R101000</v>
          </cell>
          <cell r="B1478" t="str">
            <v>Sale A/C</v>
          </cell>
          <cell r="C1478" t="str">
            <v>REVENUE</v>
          </cell>
          <cell r="D1478" t="str">
            <v>INCOME STATEMENT</v>
          </cell>
          <cell r="E1478">
            <v>0</v>
          </cell>
          <cell r="F1478">
            <v>0</v>
          </cell>
          <cell r="G1478" t="str">
            <v>INCOME</v>
          </cell>
          <cell r="H1478" t="str">
            <v>INCOME FROM OPERATIONS</v>
          </cell>
          <cell r="I1478" t="str">
            <v>SALE OF GOODS</v>
          </cell>
        </row>
        <row r="1479">
          <cell r="A1479" t="str">
            <v>R101001</v>
          </cell>
          <cell r="B1479" t="str">
            <v>Sale of Land &amp; plots</v>
          </cell>
          <cell r="C1479" t="str">
            <v>REVENUE</v>
          </cell>
          <cell r="D1479" t="str">
            <v>INCOME STATEMENT</v>
          </cell>
          <cell r="E1479">
            <v>0</v>
          </cell>
          <cell r="F1479">
            <v>0</v>
          </cell>
          <cell r="G1479" t="str">
            <v>INCOME</v>
          </cell>
          <cell r="H1479" t="str">
            <v>INCOME FROM OPERATIONS</v>
          </cell>
          <cell r="I1479" t="str">
            <v>SALE OF GOODS</v>
          </cell>
        </row>
        <row r="1480">
          <cell r="A1480" t="str">
            <v>R101002</v>
          </cell>
          <cell r="B1480" t="str">
            <v>Sale Of Merchandise</v>
          </cell>
          <cell r="C1480" t="str">
            <v>REVENUE</v>
          </cell>
          <cell r="D1480" t="str">
            <v>INCOME STATEMENT</v>
          </cell>
          <cell r="E1480">
            <v>0</v>
          </cell>
          <cell r="F1480">
            <v>0</v>
          </cell>
          <cell r="G1480" t="str">
            <v>INCOME</v>
          </cell>
          <cell r="H1480" t="str">
            <v>INCOME FROM OPERATIONS</v>
          </cell>
          <cell r="I1480" t="str">
            <v>SALE OF GOODS</v>
          </cell>
        </row>
        <row r="1481">
          <cell r="A1481" t="str">
            <v>R101003</v>
          </cell>
          <cell r="B1481" t="str">
            <v>sale of liquor</v>
          </cell>
          <cell r="C1481" t="str">
            <v>REVENUE</v>
          </cell>
          <cell r="D1481" t="str">
            <v>INCOME STATEMENT</v>
          </cell>
          <cell r="E1481">
            <v>0</v>
          </cell>
          <cell r="F1481">
            <v>0</v>
          </cell>
          <cell r="G1481" t="str">
            <v>INCOME</v>
          </cell>
          <cell r="H1481" t="str">
            <v>INCOME FROM OPERATIONS</v>
          </cell>
          <cell r="I1481" t="str">
            <v>SALE OF GOODS</v>
          </cell>
        </row>
        <row r="1482">
          <cell r="A1482" t="str">
            <v>R101004</v>
          </cell>
          <cell r="B1482" t="str">
            <v>Sale A/C- Cash</v>
          </cell>
          <cell r="C1482" t="str">
            <v>REVENUE</v>
          </cell>
          <cell r="D1482" t="str">
            <v>INCOME STATEMENT</v>
          </cell>
          <cell r="E1482">
            <v>0</v>
          </cell>
          <cell r="F1482">
            <v>0</v>
          </cell>
          <cell r="G1482" t="str">
            <v>INCOME</v>
          </cell>
          <cell r="H1482" t="str">
            <v>INCOME FROM OPERATIONS</v>
          </cell>
          <cell r="I1482" t="str">
            <v>SALE OF GOODS</v>
          </cell>
        </row>
        <row r="1483">
          <cell r="A1483" t="str">
            <v>R101101</v>
          </cell>
          <cell r="B1483" t="str">
            <v>Revenue from Constructed properties</v>
          </cell>
          <cell r="C1483" t="str">
            <v>REVENUE</v>
          </cell>
          <cell r="D1483" t="str">
            <v>INCOME STATEMENT</v>
          </cell>
          <cell r="E1483">
            <v>0</v>
          </cell>
          <cell r="F1483">
            <v>0</v>
          </cell>
          <cell r="G1483" t="str">
            <v>INCOME</v>
          </cell>
          <cell r="H1483" t="str">
            <v>INCOME FROM OPERATIONS</v>
          </cell>
          <cell r="I1483" t="str">
            <v>SALE OF GOODS</v>
          </cell>
        </row>
        <row r="1484">
          <cell r="A1484" t="str">
            <v>R101201-000-000</v>
          </cell>
          <cell r="B1484" t="str">
            <v>Service Charges</v>
          </cell>
          <cell r="C1484" t="str">
            <v>REVENUE</v>
          </cell>
          <cell r="D1484" t="str">
            <v>INCOME STATEMENT</v>
          </cell>
          <cell r="E1484">
            <v>0</v>
          </cell>
          <cell r="F1484">
            <v>0</v>
          </cell>
          <cell r="G1484" t="str">
            <v>INCOME</v>
          </cell>
          <cell r="H1484" t="str">
            <v>INCOME FROM OPERATIONS</v>
          </cell>
          <cell r="I1484" t="str">
            <v>SERVICE RECEIPTS</v>
          </cell>
        </row>
        <row r="1485">
          <cell r="A1485" t="str">
            <v>R101201-000-005</v>
          </cell>
          <cell r="B1485" t="str">
            <v>Service Charges- BEVERLY PARK-II</v>
          </cell>
          <cell r="C1485" t="str">
            <v>REVENUE</v>
          </cell>
          <cell r="D1485" t="str">
            <v>INCOME STATEMENT</v>
          </cell>
          <cell r="E1485">
            <v>0</v>
          </cell>
          <cell r="F1485">
            <v>0</v>
          </cell>
          <cell r="G1485" t="str">
            <v>INCOME</v>
          </cell>
          <cell r="H1485" t="str">
            <v>INCOME FROM OPERATIONS</v>
          </cell>
          <cell r="I1485" t="str">
            <v>SERVICE RECEIPTS</v>
          </cell>
        </row>
        <row r="1486">
          <cell r="A1486" t="str">
            <v>R101201-000-006</v>
          </cell>
          <cell r="B1486" t="str">
            <v>Service Charges- CENTRAL ARCADE</v>
          </cell>
          <cell r="C1486" t="str">
            <v>REVENUE</v>
          </cell>
          <cell r="D1486" t="str">
            <v>INCOME STATEMENT</v>
          </cell>
          <cell r="E1486">
            <v>0</v>
          </cell>
          <cell r="F1486">
            <v>0</v>
          </cell>
          <cell r="G1486" t="str">
            <v>INCOME</v>
          </cell>
          <cell r="H1486" t="str">
            <v>INCOME FROM OPERATIONS</v>
          </cell>
          <cell r="I1486" t="str">
            <v>SERVICE RECEIPTS</v>
          </cell>
        </row>
        <row r="1487">
          <cell r="A1487" t="str">
            <v>R101201-000-009</v>
          </cell>
          <cell r="B1487" t="str">
            <v>Service Charges- DILSHAD LOTTERY</v>
          </cell>
          <cell r="C1487" t="str">
            <v>REVENUE</v>
          </cell>
          <cell r="D1487" t="str">
            <v>INCOME STATEMENT</v>
          </cell>
          <cell r="E1487">
            <v>0</v>
          </cell>
          <cell r="F1487">
            <v>0</v>
          </cell>
          <cell r="G1487" t="str">
            <v>INCOME</v>
          </cell>
          <cell r="H1487" t="str">
            <v>INCOME FROM OPERATIONS</v>
          </cell>
          <cell r="I1487" t="str">
            <v>SERVICE RECEIPTS</v>
          </cell>
        </row>
        <row r="1488">
          <cell r="A1488" t="str">
            <v>R101201-000-010</v>
          </cell>
          <cell r="B1488" t="str">
            <v>Service Charges- DILSHAD PLAZA</v>
          </cell>
          <cell r="C1488" t="str">
            <v>REVENUE</v>
          </cell>
          <cell r="D1488" t="str">
            <v>INCOME STATEMENT</v>
          </cell>
          <cell r="E1488">
            <v>0</v>
          </cell>
          <cell r="F1488">
            <v>0</v>
          </cell>
          <cell r="G1488" t="str">
            <v>INCOME</v>
          </cell>
          <cell r="H1488" t="str">
            <v>INCOME FROM OPERATIONS</v>
          </cell>
          <cell r="I1488" t="str">
            <v>SERVICE RECEIPTS</v>
          </cell>
        </row>
        <row r="1489">
          <cell r="A1489" t="str">
            <v>R101201-000-011</v>
          </cell>
          <cell r="B1489" t="str">
            <v>Service Charges- EXECUTIVE HOME</v>
          </cell>
          <cell r="C1489" t="str">
            <v>REVENUE</v>
          </cell>
          <cell r="D1489" t="str">
            <v>INCOME STATEMENT</v>
          </cell>
          <cell r="E1489">
            <v>0</v>
          </cell>
          <cell r="F1489">
            <v>0</v>
          </cell>
          <cell r="G1489" t="str">
            <v>INCOME</v>
          </cell>
          <cell r="H1489" t="str">
            <v>INCOME FROM OPERATIONS</v>
          </cell>
          <cell r="I1489" t="str">
            <v>SERVICE RECEIPTS</v>
          </cell>
        </row>
        <row r="1490">
          <cell r="A1490" t="str">
            <v>R101201-000-013</v>
          </cell>
          <cell r="B1490" t="str">
            <v>Service Charges- HAMILTON COURT</v>
          </cell>
          <cell r="C1490" t="str">
            <v>REVENUE</v>
          </cell>
          <cell r="D1490" t="str">
            <v>INCOME STATEMENT</v>
          </cell>
          <cell r="E1490">
            <v>0</v>
          </cell>
          <cell r="F1490">
            <v>0</v>
          </cell>
          <cell r="G1490" t="str">
            <v>INCOME</v>
          </cell>
          <cell r="H1490" t="str">
            <v>INCOME FROM OPERATIONS</v>
          </cell>
          <cell r="I1490" t="str">
            <v>SERVICE RECEIPTS</v>
          </cell>
        </row>
        <row r="1491">
          <cell r="A1491" t="str">
            <v>R101201-000-014</v>
          </cell>
          <cell r="B1491" t="str">
            <v>Service Charges- NEW TOWN HOUSE</v>
          </cell>
          <cell r="C1491" t="str">
            <v>REVENUE</v>
          </cell>
          <cell r="D1491" t="str">
            <v>INCOME STATEMENT</v>
          </cell>
          <cell r="E1491">
            <v>0</v>
          </cell>
          <cell r="F1491">
            <v>0</v>
          </cell>
          <cell r="G1491" t="str">
            <v>INCOME</v>
          </cell>
          <cell r="H1491" t="str">
            <v>INCOME FROM OPERATIONS</v>
          </cell>
          <cell r="I1491" t="str">
            <v>SERVICE RECEIPTS</v>
          </cell>
        </row>
        <row r="1492">
          <cell r="A1492" t="str">
            <v>R101201-000-015</v>
          </cell>
          <cell r="B1492" t="str">
            <v>Service Charges- TOWN HOUSE</v>
          </cell>
          <cell r="C1492" t="str">
            <v>REVENUE</v>
          </cell>
          <cell r="D1492" t="str">
            <v>INCOME STATEMENT</v>
          </cell>
          <cell r="E1492">
            <v>0</v>
          </cell>
          <cell r="F1492">
            <v>0</v>
          </cell>
          <cell r="G1492" t="str">
            <v>INCOME</v>
          </cell>
          <cell r="H1492" t="str">
            <v>INCOME FROM OPERATIONS</v>
          </cell>
          <cell r="I1492" t="str">
            <v>SERVICE RECEIPTS</v>
          </cell>
        </row>
        <row r="1493">
          <cell r="A1493" t="str">
            <v>R101201-000-017</v>
          </cell>
          <cell r="B1493" t="str">
            <v>Service Charges- QEC PHASE-IV</v>
          </cell>
          <cell r="C1493" t="str">
            <v>REVENUE</v>
          </cell>
          <cell r="D1493" t="str">
            <v>INCOME STATEMENT</v>
          </cell>
          <cell r="E1493">
            <v>0</v>
          </cell>
          <cell r="F1493">
            <v>0</v>
          </cell>
          <cell r="G1493" t="str">
            <v>INCOME</v>
          </cell>
          <cell r="H1493" t="str">
            <v>INCOME FROM OPERATIONS</v>
          </cell>
          <cell r="I1493" t="str">
            <v>SERVICE RECEIPTS</v>
          </cell>
        </row>
        <row r="1494">
          <cell r="A1494" t="str">
            <v>R101201-000-019</v>
          </cell>
          <cell r="B1494" t="str">
            <v>Service Charges- REGENCY PARK</v>
          </cell>
          <cell r="C1494" t="str">
            <v>REVENUE</v>
          </cell>
          <cell r="D1494" t="str">
            <v>INCOME STATEMENT</v>
          </cell>
          <cell r="E1494">
            <v>0</v>
          </cell>
          <cell r="F1494">
            <v>0</v>
          </cell>
          <cell r="G1494" t="str">
            <v>INCOME</v>
          </cell>
          <cell r="H1494" t="str">
            <v>INCOME FROM OPERATIONS</v>
          </cell>
          <cell r="I1494" t="str">
            <v>SERVICE RECEIPTS</v>
          </cell>
        </row>
        <row r="1495">
          <cell r="A1495" t="str">
            <v>R101201-000-022</v>
          </cell>
          <cell r="B1495" t="str">
            <v>Service Charges- RICHMOND PARK</v>
          </cell>
          <cell r="C1495" t="str">
            <v>REVENUE</v>
          </cell>
          <cell r="D1495" t="str">
            <v>INCOME STATEMENT</v>
          </cell>
          <cell r="E1495">
            <v>0</v>
          </cell>
          <cell r="F1495">
            <v>0</v>
          </cell>
          <cell r="G1495" t="str">
            <v>INCOME</v>
          </cell>
          <cell r="H1495" t="str">
            <v>INCOME FROM OPERATIONS</v>
          </cell>
          <cell r="I1495" t="str">
            <v>SERVICE RECEIPTS</v>
          </cell>
        </row>
        <row r="1496">
          <cell r="A1496" t="str">
            <v>R101201-000-023</v>
          </cell>
          <cell r="B1496" t="str">
            <v>Service Charges- SUPER MART-II</v>
          </cell>
          <cell r="C1496" t="str">
            <v>REVENUE</v>
          </cell>
          <cell r="D1496" t="str">
            <v>INCOME STATEMENT</v>
          </cell>
          <cell r="E1496">
            <v>0</v>
          </cell>
          <cell r="F1496">
            <v>0</v>
          </cell>
          <cell r="G1496" t="str">
            <v>INCOME</v>
          </cell>
          <cell r="H1496" t="str">
            <v>INCOME FROM OPERATIONS</v>
          </cell>
          <cell r="I1496" t="str">
            <v>SERVICE RECEIPTS</v>
          </cell>
        </row>
        <row r="1497">
          <cell r="A1497" t="str">
            <v>R101201-000-027</v>
          </cell>
          <cell r="B1497" t="str">
            <v>Service Charges- STOP-N-SHOP</v>
          </cell>
          <cell r="C1497" t="str">
            <v>REVENUE</v>
          </cell>
          <cell r="D1497" t="str">
            <v>INCOME STATEMENT</v>
          </cell>
          <cell r="E1497">
            <v>0</v>
          </cell>
          <cell r="F1497">
            <v>0</v>
          </cell>
          <cell r="G1497" t="str">
            <v>INCOME</v>
          </cell>
          <cell r="H1497" t="str">
            <v>INCOME FROM OPERATIONS</v>
          </cell>
          <cell r="I1497" t="str">
            <v>SERVICE RECEIPTS</v>
          </cell>
        </row>
        <row r="1498">
          <cell r="A1498" t="str">
            <v>R101201-000-028</v>
          </cell>
          <cell r="B1498" t="str">
            <v>Service Charges- SILVER OAKS</v>
          </cell>
          <cell r="C1498" t="str">
            <v>REVENUE</v>
          </cell>
          <cell r="D1498" t="str">
            <v>INCOME STATEMENT</v>
          </cell>
          <cell r="E1498">
            <v>0</v>
          </cell>
          <cell r="F1498">
            <v>0</v>
          </cell>
          <cell r="G1498" t="str">
            <v>INCOME</v>
          </cell>
          <cell r="H1498" t="str">
            <v>INCOME FROM OPERATIONS</v>
          </cell>
          <cell r="I1498" t="str">
            <v>SERVICE RECEIPTS</v>
          </cell>
        </row>
        <row r="1499">
          <cell r="A1499" t="str">
            <v>R101201-000-029</v>
          </cell>
          <cell r="B1499" t="str">
            <v>Service Charges- SILVER OAKS-PARKING</v>
          </cell>
          <cell r="C1499" t="str">
            <v>REVENUE</v>
          </cell>
          <cell r="D1499" t="str">
            <v>INCOME STATEMENT</v>
          </cell>
          <cell r="E1499">
            <v>0</v>
          </cell>
          <cell r="F1499">
            <v>0</v>
          </cell>
          <cell r="G1499" t="str">
            <v>INCOME</v>
          </cell>
          <cell r="H1499" t="str">
            <v>INCOME FROM OPERATIONS</v>
          </cell>
          <cell r="I1499" t="str">
            <v>SERVICE RECEIPTS</v>
          </cell>
        </row>
        <row r="1500">
          <cell r="A1500" t="str">
            <v>R101201-000-031</v>
          </cell>
          <cell r="B1500" t="str">
            <v>Service Charges- VILLA</v>
          </cell>
          <cell r="C1500" t="str">
            <v>REVENUE</v>
          </cell>
          <cell r="D1500" t="str">
            <v>INCOME STATEMENT</v>
          </cell>
          <cell r="E1500">
            <v>0</v>
          </cell>
          <cell r="F1500">
            <v>0</v>
          </cell>
          <cell r="G1500" t="str">
            <v>INCOME</v>
          </cell>
          <cell r="H1500" t="str">
            <v>INCOME FROM OPERATIONS</v>
          </cell>
          <cell r="I1500" t="str">
            <v>SERVICE RECEIPTS</v>
          </cell>
        </row>
        <row r="1501">
          <cell r="A1501" t="str">
            <v>R101201-000-034</v>
          </cell>
          <cell r="B1501" t="str">
            <v>Service Charges- WINDSOR COURT</v>
          </cell>
          <cell r="C1501" t="str">
            <v>REVENUE</v>
          </cell>
          <cell r="D1501" t="str">
            <v>INCOME STATEMENT</v>
          </cell>
          <cell r="E1501">
            <v>0</v>
          </cell>
          <cell r="F1501">
            <v>0</v>
          </cell>
          <cell r="G1501" t="str">
            <v>INCOME</v>
          </cell>
          <cell r="H1501" t="str">
            <v>INCOME FROM OPERATIONS</v>
          </cell>
          <cell r="I1501" t="str">
            <v>SERVICE RECEIPTS</v>
          </cell>
        </row>
        <row r="1502">
          <cell r="A1502" t="str">
            <v>R101201-000-037</v>
          </cell>
          <cell r="B1502" t="str">
            <v>Service Charges- CENTRE POINT</v>
          </cell>
          <cell r="C1502" t="str">
            <v>REVENUE</v>
          </cell>
          <cell r="D1502" t="str">
            <v>INCOME STATEMENT</v>
          </cell>
          <cell r="E1502">
            <v>0</v>
          </cell>
          <cell r="F1502">
            <v>0</v>
          </cell>
          <cell r="G1502" t="str">
            <v>INCOME</v>
          </cell>
          <cell r="H1502" t="str">
            <v>INCOME FROM OPERATIONS</v>
          </cell>
          <cell r="I1502" t="str">
            <v>SERVICE RECEIPTS</v>
          </cell>
        </row>
        <row r="1503">
          <cell r="A1503" t="str">
            <v>R101201-000-039</v>
          </cell>
          <cell r="B1503" t="str">
            <v>Service Charges- RIDGEWOOD ESTATES</v>
          </cell>
          <cell r="C1503" t="str">
            <v>REVENUE</v>
          </cell>
          <cell r="D1503" t="str">
            <v>INCOME STATEMENT</v>
          </cell>
          <cell r="E1503">
            <v>0</v>
          </cell>
          <cell r="F1503">
            <v>0</v>
          </cell>
          <cell r="G1503" t="str">
            <v>INCOME</v>
          </cell>
          <cell r="H1503" t="str">
            <v>INCOME FROM OPERATIONS</v>
          </cell>
          <cell r="I1503" t="str">
            <v>SERVICE RECEIPTS</v>
          </cell>
        </row>
        <row r="1504">
          <cell r="A1504" t="str">
            <v>R101201-000-040</v>
          </cell>
          <cell r="B1504" t="str">
            <v>Service Charges- OAKWOOD ESTATES</v>
          </cell>
          <cell r="C1504" t="str">
            <v>REVENUE</v>
          </cell>
          <cell r="D1504" t="str">
            <v>INCOME STATEMENT</v>
          </cell>
          <cell r="E1504">
            <v>0</v>
          </cell>
          <cell r="F1504">
            <v>0</v>
          </cell>
          <cell r="G1504" t="str">
            <v>INCOME</v>
          </cell>
          <cell r="H1504" t="str">
            <v>INCOME FROM OPERATIONS</v>
          </cell>
          <cell r="I1504" t="str">
            <v>SERVICE RECEIPTS</v>
          </cell>
        </row>
        <row r="1505">
          <cell r="A1505" t="str">
            <v>R101201-000-041</v>
          </cell>
          <cell r="B1505" t="str">
            <v>Service Charges- WELLINGTON ESTATES</v>
          </cell>
          <cell r="C1505" t="str">
            <v>REVENUE</v>
          </cell>
          <cell r="D1505" t="str">
            <v>INCOME STATEMENT</v>
          </cell>
          <cell r="E1505">
            <v>0</v>
          </cell>
          <cell r="F1505">
            <v>0</v>
          </cell>
          <cell r="G1505" t="str">
            <v>INCOME</v>
          </cell>
          <cell r="H1505" t="str">
            <v>INCOME FROM OPERATIONS</v>
          </cell>
          <cell r="I1505" t="str">
            <v>SERVICE RECEIPTS</v>
          </cell>
        </row>
        <row r="1506">
          <cell r="A1506" t="str">
            <v>R101201-000-043</v>
          </cell>
          <cell r="B1506" t="str">
            <v>Service Charges- PLOTS PH-2</v>
          </cell>
          <cell r="C1506" t="str">
            <v>REVENUE</v>
          </cell>
          <cell r="D1506" t="str">
            <v>INCOME STATEMENT</v>
          </cell>
          <cell r="E1506">
            <v>0</v>
          </cell>
          <cell r="F1506">
            <v>0</v>
          </cell>
          <cell r="G1506" t="str">
            <v>INCOME</v>
          </cell>
          <cell r="H1506" t="str">
            <v>INCOME FROM OPERATIONS</v>
          </cell>
          <cell r="I1506" t="str">
            <v>SERVICE RECEIPTS</v>
          </cell>
        </row>
        <row r="1507">
          <cell r="A1507" t="str">
            <v>R101201-000-046</v>
          </cell>
          <cell r="B1507" t="str">
            <v>Service Charges- PRINCETON ESTATE</v>
          </cell>
          <cell r="C1507" t="str">
            <v>REVENUE</v>
          </cell>
          <cell r="D1507" t="str">
            <v>INCOME STATEMENT</v>
          </cell>
          <cell r="E1507">
            <v>0</v>
          </cell>
          <cell r="F1507">
            <v>0</v>
          </cell>
          <cell r="G1507" t="str">
            <v>INCOME</v>
          </cell>
          <cell r="H1507" t="str">
            <v>INCOME FROM OPERATIONS</v>
          </cell>
          <cell r="I1507" t="str">
            <v>SERVICE RECEIPTS</v>
          </cell>
        </row>
        <row r="1508">
          <cell r="A1508" t="str">
            <v>R101201-000-050</v>
          </cell>
          <cell r="B1508" t="str">
            <v>Service Charges- CARLTON ESTATE</v>
          </cell>
          <cell r="C1508" t="str">
            <v>REVENUE</v>
          </cell>
          <cell r="D1508" t="str">
            <v>INCOME STATEMENT</v>
          </cell>
          <cell r="E1508">
            <v>0</v>
          </cell>
          <cell r="F1508">
            <v>0</v>
          </cell>
          <cell r="G1508" t="str">
            <v>INCOME</v>
          </cell>
          <cell r="H1508" t="str">
            <v>INCOME FROM OPERATIONS</v>
          </cell>
          <cell r="I1508" t="str">
            <v>SERVICE RECEIPTS</v>
          </cell>
        </row>
        <row r="1509">
          <cell r="A1509" t="str">
            <v>R101201-000-054</v>
          </cell>
          <cell r="B1509" t="str">
            <v>Service Charges- BELVEDERE PARK</v>
          </cell>
          <cell r="C1509" t="str">
            <v>REVENUE</v>
          </cell>
          <cell r="D1509" t="str">
            <v>INCOME STATEMENT</v>
          </cell>
          <cell r="E1509">
            <v>0</v>
          </cell>
          <cell r="F1509">
            <v>0</v>
          </cell>
          <cell r="G1509" t="str">
            <v>INCOME</v>
          </cell>
          <cell r="H1509" t="str">
            <v>INCOME FROM OPERATIONS</v>
          </cell>
          <cell r="I1509" t="str">
            <v>SERVICE RECEIPTS</v>
          </cell>
        </row>
        <row r="1510">
          <cell r="A1510" t="str">
            <v>R101201-000-055</v>
          </cell>
          <cell r="B1510" t="str">
            <v>Service Charges- BELVEDERE TOWER</v>
          </cell>
          <cell r="C1510" t="str">
            <v>REVENUE</v>
          </cell>
          <cell r="D1510" t="str">
            <v>INCOME STATEMENT</v>
          </cell>
          <cell r="E1510">
            <v>0</v>
          </cell>
          <cell r="F1510">
            <v>0</v>
          </cell>
          <cell r="G1510" t="str">
            <v>INCOME</v>
          </cell>
          <cell r="H1510" t="str">
            <v>INCOME FROM OPERATIONS</v>
          </cell>
          <cell r="I1510" t="str">
            <v>SERVICE RECEIPTS</v>
          </cell>
        </row>
        <row r="1511">
          <cell r="A1511" t="str">
            <v>R101201-000-056</v>
          </cell>
          <cell r="B1511" t="str">
            <v>Service Charges- DLF CITY CENTRE</v>
          </cell>
          <cell r="C1511" t="str">
            <v>REVENUE</v>
          </cell>
          <cell r="D1511" t="str">
            <v>INCOME STATEMENT</v>
          </cell>
          <cell r="E1511">
            <v>0</v>
          </cell>
          <cell r="F1511">
            <v>0</v>
          </cell>
          <cell r="G1511" t="str">
            <v>INCOME</v>
          </cell>
          <cell r="H1511" t="str">
            <v>INCOME FROM OPERATIONS</v>
          </cell>
          <cell r="I1511" t="str">
            <v>SERVICE RECEIPTS</v>
          </cell>
        </row>
        <row r="1512">
          <cell r="A1512" t="str">
            <v>R101201-000-058</v>
          </cell>
          <cell r="B1512" t="str">
            <v>Service Charges- DLF EXCLUSIVE FLOORS</v>
          </cell>
          <cell r="C1512" t="str">
            <v>REVENUE</v>
          </cell>
          <cell r="D1512" t="str">
            <v>INCOME STATEMENT</v>
          </cell>
          <cell r="E1512">
            <v>0</v>
          </cell>
          <cell r="F1512">
            <v>0</v>
          </cell>
          <cell r="G1512" t="str">
            <v>INCOME</v>
          </cell>
          <cell r="H1512" t="str">
            <v>INCOME FROM OPERATIONS</v>
          </cell>
          <cell r="I1512" t="str">
            <v>SERVICE RECEIPTS</v>
          </cell>
        </row>
        <row r="1513">
          <cell r="A1513" t="str">
            <v>R101201-000-059</v>
          </cell>
          <cell r="B1513" t="str">
            <v>Service Charges- MOULSARI ARCADE</v>
          </cell>
          <cell r="C1513" t="str">
            <v>REVENUE</v>
          </cell>
          <cell r="D1513" t="str">
            <v>INCOME STATEMENT</v>
          </cell>
          <cell r="E1513">
            <v>0</v>
          </cell>
          <cell r="F1513">
            <v>0</v>
          </cell>
          <cell r="G1513" t="str">
            <v>INCOME</v>
          </cell>
          <cell r="H1513" t="str">
            <v>INCOME FROM OPERATIONS</v>
          </cell>
          <cell r="I1513" t="str">
            <v>SERVICE RECEIPTS</v>
          </cell>
        </row>
        <row r="1514">
          <cell r="A1514" t="str">
            <v>R101201-000-060</v>
          </cell>
          <cell r="B1514" t="str">
            <v>Service Charges- TRINITY TOWERS</v>
          </cell>
          <cell r="C1514" t="str">
            <v>REVENUE</v>
          </cell>
          <cell r="D1514" t="str">
            <v>INCOME STATEMENT</v>
          </cell>
          <cell r="E1514">
            <v>0</v>
          </cell>
          <cell r="F1514">
            <v>0</v>
          </cell>
          <cell r="G1514" t="str">
            <v>INCOME</v>
          </cell>
          <cell r="H1514" t="str">
            <v>INCOME FROM OPERATIONS</v>
          </cell>
          <cell r="I1514" t="str">
            <v>SERVICE RECEIPTS</v>
          </cell>
        </row>
        <row r="1515">
          <cell r="A1515" t="str">
            <v>R101201-000-061</v>
          </cell>
          <cell r="B1515" t="str">
            <v>Service Charges- DLF GRAND MALL</v>
          </cell>
          <cell r="C1515" t="str">
            <v>REVENUE</v>
          </cell>
          <cell r="D1515" t="str">
            <v>INCOME STATEMENT</v>
          </cell>
          <cell r="E1515">
            <v>0</v>
          </cell>
          <cell r="F1515">
            <v>0</v>
          </cell>
          <cell r="G1515" t="str">
            <v>INCOME</v>
          </cell>
          <cell r="H1515" t="str">
            <v>INCOME FROM OPERATIONS</v>
          </cell>
          <cell r="I1515" t="str">
            <v>SERVICE RECEIPTS</v>
          </cell>
        </row>
        <row r="1516">
          <cell r="A1516" t="str">
            <v>R101201-000-062</v>
          </cell>
          <cell r="B1516" t="str">
            <v>Service Charges- THE ARALIAS</v>
          </cell>
          <cell r="C1516" t="str">
            <v>REVENUE</v>
          </cell>
          <cell r="D1516" t="str">
            <v>INCOME STATEMENT</v>
          </cell>
          <cell r="E1516">
            <v>0</v>
          </cell>
          <cell r="F1516">
            <v>0</v>
          </cell>
          <cell r="G1516" t="str">
            <v>INCOME</v>
          </cell>
          <cell r="H1516" t="str">
            <v>INCOME FROM OPERATIONS</v>
          </cell>
          <cell r="I1516" t="str">
            <v>SERVICE RECEIPTS</v>
          </cell>
        </row>
        <row r="1517">
          <cell r="A1517" t="str">
            <v>R101201-000-064</v>
          </cell>
          <cell r="B1517" t="str">
            <v>Service Charges- WESTEND HEIGHTS</v>
          </cell>
          <cell r="C1517" t="str">
            <v>REVENUE</v>
          </cell>
          <cell r="D1517" t="str">
            <v>INCOME STATEMENT</v>
          </cell>
          <cell r="E1517">
            <v>0</v>
          </cell>
          <cell r="F1517">
            <v>0</v>
          </cell>
          <cell r="G1517" t="str">
            <v>INCOME</v>
          </cell>
          <cell r="H1517" t="str">
            <v>INCOME FROM OPERATIONS</v>
          </cell>
          <cell r="I1517" t="str">
            <v>SERVICE RECEIPTS</v>
          </cell>
        </row>
        <row r="1518">
          <cell r="A1518" t="str">
            <v>R101201-000-069</v>
          </cell>
          <cell r="B1518" t="str">
            <v>Service Charges- THE PINNACLE</v>
          </cell>
          <cell r="C1518" t="str">
            <v>REVENUE</v>
          </cell>
          <cell r="D1518" t="str">
            <v>INCOME STATEMENT</v>
          </cell>
          <cell r="E1518">
            <v>0</v>
          </cell>
          <cell r="F1518">
            <v>0</v>
          </cell>
          <cell r="G1518" t="str">
            <v>INCOME</v>
          </cell>
          <cell r="H1518" t="str">
            <v>INCOME FROM OPERATIONS</v>
          </cell>
          <cell r="I1518" t="str">
            <v>SERVICE RECEIPTS</v>
          </cell>
        </row>
        <row r="1519">
          <cell r="A1519" t="str">
            <v>R101201-000-070</v>
          </cell>
          <cell r="B1519" t="str">
            <v>Service Charges- ROYALTON TOWER</v>
          </cell>
          <cell r="C1519" t="str">
            <v>REVENUE</v>
          </cell>
          <cell r="D1519" t="str">
            <v>INCOME STATEMENT</v>
          </cell>
          <cell r="E1519">
            <v>0</v>
          </cell>
          <cell r="F1519">
            <v>0</v>
          </cell>
          <cell r="G1519" t="str">
            <v>INCOME</v>
          </cell>
          <cell r="H1519" t="str">
            <v>INCOME FROM OPERATIONS</v>
          </cell>
          <cell r="I1519" t="str">
            <v>SERVICE RECEIPTS</v>
          </cell>
        </row>
        <row r="1520">
          <cell r="A1520" t="str">
            <v>R101201-000-071</v>
          </cell>
          <cell r="B1520" t="str">
            <v>Service Charges- THE ICON</v>
          </cell>
          <cell r="C1520" t="str">
            <v>REVENUE</v>
          </cell>
          <cell r="D1520" t="str">
            <v>INCOME STATEMENT</v>
          </cell>
          <cell r="E1520">
            <v>0</v>
          </cell>
          <cell r="F1520">
            <v>0</v>
          </cell>
          <cell r="G1520" t="str">
            <v>INCOME</v>
          </cell>
          <cell r="H1520" t="str">
            <v>INCOME FROM OPERATIONS</v>
          </cell>
          <cell r="I1520" t="str">
            <v>SERVICE RECEIPTS</v>
          </cell>
        </row>
        <row r="1521">
          <cell r="A1521" t="str">
            <v>R101201-000-075</v>
          </cell>
          <cell r="B1521" t="str">
            <v>Service Charges- THE SUMMIT</v>
          </cell>
          <cell r="C1521" t="str">
            <v>REVENUE</v>
          </cell>
          <cell r="D1521" t="str">
            <v>INCOME STATEMENT</v>
          </cell>
          <cell r="E1521">
            <v>0</v>
          </cell>
          <cell r="F1521">
            <v>0</v>
          </cell>
          <cell r="G1521" t="str">
            <v>INCOME</v>
          </cell>
          <cell r="H1521" t="str">
            <v>INCOME FROM OPERATIONS</v>
          </cell>
          <cell r="I1521" t="str">
            <v>SERVICE RECEIPTS</v>
          </cell>
        </row>
        <row r="1522">
          <cell r="A1522" t="str">
            <v>R101201-000-076</v>
          </cell>
          <cell r="B1522" t="str">
            <v>Service Charges- THE COURTYARD</v>
          </cell>
          <cell r="C1522" t="str">
            <v>REVENUE</v>
          </cell>
          <cell r="D1522" t="str">
            <v>INCOME STATEMENT</v>
          </cell>
          <cell r="E1522">
            <v>0</v>
          </cell>
          <cell r="F1522">
            <v>0</v>
          </cell>
          <cell r="G1522" t="str">
            <v>INCOME</v>
          </cell>
          <cell r="H1522" t="str">
            <v>INCOME FROM OPERATIONS</v>
          </cell>
          <cell r="I1522" t="str">
            <v>SERVICE RECEIPTS</v>
          </cell>
        </row>
        <row r="1523">
          <cell r="A1523" t="str">
            <v>R101201-000-080</v>
          </cell>
          <cell r="B1523" t="str">
            <v>Service Charges- THE MAGNOLIAS</v>
          </cell>
          <cell r="C1523" t="str">
            <v>REVENUE</v>
          </cell>
          <cell r="D1523" t="str">
            <v>INCOME STATEMENT</v>
          </cell>
          <cell r="E1523">
            <v>0</v>
          </cell>
          <cell r="F1523">
            <v>0</v>
          </cell>
          <cell r="G1523" t="str">
            <v>INCOME</v>
          </cell>
          <cell r="H1523" t="str">
            <v>INCOME FROM OPERATIONS</v>
          </cell>
          <cell r="I1523" t="str">
            <v>SERVICE RECEIPTS</v>
          </cell>
        </row>
        <row r="1524">
          <cell r="A1524" t="str">
            <v>R101201-000-085</v>
          </cell>
          <cell r="B1524" t="str">
            <v>Service Charges- DLF CITY COURT</v>
          </cell>
          <cell r="C1524" t="str">
            <v>REVENUE</v>
          </cell>
          <cell r="D1524" t="str">
            <v>INCOME STATEMENT</v>
          </cell>
          <cell r="E1524">
            <v>0</v>
          </cell>
          <cell r="F1524">
            <v>0</v>
          </cell>
          <cell r="G1524" t="str">
            <v>INCOME</v>
          </cell>
          <cell r="H1524" t="str">
            <v>INCOME FROM OPERATIONS</v>
          </cell>
          <cell r="I1524" t="str">
            <v>SERVICE RECEIPTS</v>
          </cell>
        </row>
        <row r="1525">
          <cell r="A1525" t="str">
            <v>R101201-000-088</v>
          </cell>
          <cell r="B1525" t="str">
            <v>Service Charges- THE BLEAIRE</v>
          </cell>
          <cell r="C1525" t="str">
            <v>REVENUE</v>
          </cell>
          <cell r="D1525" t="str">
            <v>INCOME STATEMENT</v>
          </cell>
          <cell r="E1525">
            <v>0</v>
          </cell>
          <cell r="F1525">
            <v>0</v>
          </cell>
          <cell r="G1525" t="str">
            <v>INCOME</v>
          </cell>
          <cell r="H1525" t="str">
            <v>INCOME FROM OPERATIONS</v>
          </cell>
          <cell r="I1525" t="str">
            <v>SERVICE RECEIPTS</v>
          </cell>
        </row>
        <row r="1526">
          <cell r="A1526" t="str">
            <v>R101202-000-009</v>
          </cell>
          <cell r="B1526" t="str">
            <v>Holding Charges- DILSHAD LOTTERY</v>
          </cell>
          <cell r="C1526" t="str">
            <v>REVENUE</v>
          </cell>
          <cell r="D1526" t="str">
            <v>INCOME STATEMENT</v>
          </cell>
          <cell r="E1526">
            <v>0</v>
          </cell>
          <cell r="F1526">
            <v>0</v>
          </cell>
          <cell r="G1526" t="str">
            <v>INCOME</v>
          </cell>
          <cell r="H1526" t="str">
            <v>INCOME FROM OPERATIONS</v>
          </cell>
          <cell r="I1526" t="str">
            <v>SERVICE RECEIPTS</v>
          </cell>
        </row>
        <row r="1527">
          <cell r="A1527" t="str">
            <v>R101202-000-010</v>
          </cell>
          <cell r="B1527" t="str">
            <v>Holding Charges- DILSHAD PLAZA</v>
          </cell>
          <cell r="C1527" t="str">
            <v>REVENUE</v>
          </cell>
          <cell r="D1527" t="str">
            <v>INCOME STATEMENT</v>
          </cell>
          <cell r="E1527">
            <v>0</v>
          </cell>
          <cell r="F1527">
            <v>0</v>
          </cell>
          <cell r="G1527" t="str">
            <v>INCOME</v>
          </cell>
          <cell r="H1527" t="str">
            <v>INCOME FROM OPERATIONS</v>
          </cell>
          <cell r="I1527" t="str">
            <v>SERVICE RECEIPTS</v>
          </cell>
        </row>
        <row r="1528">
          <cell r="A1528" t="str">
            <v>R101202-000-019</v>
          </cell>
          <cell r="B1528" t="str">
            <v>Holding Charges- REGENCY PARK</v>
          </cell>
          <cell r="C1528" t="str">
            <v>REVENUE</v>
          </cell>
          <cell r="D1528" t="str">
            <v>INCOME STATEMENT</v>
          </cell>
          <cell r="E1528">
            <v>0</v>
          </cell>
          <cell r="F1528">
            <v>0</v>
          </cell>
          <cell r="G1528" t="str">
            <v>INCOME</v>
          </cell>
          <cell r="H1528" t="str">
            <v>INCOME FROM OPERATIONS</v>
          </cell>
          <cell r="I1528" t="str">
            <v>SERVICE RECEIPTS</v>
          </cell>
        </row>
        <row r="1529">
          <cell r="A1529" t="str">
            <v>R101202-000-020</v>
          </cell>
          <cell r="B1529" t="str">
            <v>Holding Charges- REGENCY PARK-PARKING</v>
          </cell>
          <cell r="C1529" t="str">
            <v>REVENUE</v>
          </cell>
          <cell r="D1529" t="str">
            <v>INCOME STATEMENT</v>
          </cell>
          <cell r="E1529">
            <v>0</v>
          </cell>
          <cell r="F1529">
            <v>0</v>
          </cell>
          <cell r="G1529" t="str">
            <v>INCOME</v>
          </cell>
          <cell r="H1529" t="str">
            <v>INCOME FROM OPERATIONS</v>
          </cell>
          <cell r="I1529" t="str">
            <v>SERVICE RECEIPTS</v>
          </cell>
        </row>
        <row r="1530">
          <cell r="A1530" t="str">
            <v>R101202-000-022</v>
          </cell>
          <cell r="B1530" t="str">
            <v>Holding Charges- RICHMOND PARK</v>
          </cell>
          <cell r="C1530" t="str">
            <v>REVENUE</v>
          </cell>
          <cell r="D1530" t="str">
            <v>INCOME STATEMENT</v>
          </cell>
          <cell r="E1530">
            <v>0</v>
          </cell>
          <cell r="F1530">
            <v>0</v>
          </cell>
          <cell r="G1530" t="str">
            <v>INCOME</v>
          </cell>
          <cell r="H1530" t="str">
            <v>INCOME FROM OPERATIONS</v>
          </cell>
          <cell r="I1530" t="str">
            <v>SERVICE RECEIPTS</v>
          </cell>
        </row>
        <row r="1531">
          <cell r="A1531" t="str">
            <v>R101202-000-037</v>
          </cell>
          <cell r="B1531" t="str">
            <v>Holding Charges- CENTRE POINT</v>
          </cell>
          <cell r="C1531" t="str">
            <v>REVENUE</v>
          </cell>
          <cell r="D1531" t="str">
            <v>INCOME STATEMENT</v>
          </cell>
          <cell r="E1531">
            <v>0</v>
          </cell>
          <cell r="F1531">
            <v>0</v>
          </cell>
          <cell r="G1531" t="str">
            <v>INCOME</v>
          </cell>
          <cell r="H1531" t="str">
            <v>INCOME FROM OPERATIONS</v>
          </cell>
          <cell r="I1531" t="str">
            <v>SERVICE RECEIPTS</v>
          </cell>
        </row>
        <row r="1532">
          <cell r="A1532" t="str">
            <v>R101202-000-039</v>
          </cell>
          <cell r="B1532" t="str">
            <v>Holding Charges- RIDGWOOD ESTATE</v>
          </cell>
          <cell r="C1532" t="str">
            <v>REVENUE</v>
          </cell>
          <cell r="D1532" t="str">
            <v>INCOME STATEMENT</v>
          </cell>
          <cell r="E1532">
            <v>0</v>
          </cell>
          <cell r="F1532">
            <v>0</v>
          </cell>
          <cell r="G1532" t="str">
            <v>INCOME</v>
          </cell>
          <cell r="H1532" t="str">
            <v>INCOME FROM OPERATIONS</v>
          </cell>
          <cell r="I1532" t="str">
            <v>SERVICE RECEIPTS</v>
          </cell>
        </row>
        <row r="1533">
          <cell r="A1533" t="str">
            <v>R101202-000-046</v>
          </cell>
          <cell r="B1533" t="str">
            <v>Holding Charges- PRINCETON ESTATE</v>
          </cell>
          <cell r="C1533" t="str">
            <v>REVENUE</v>
          </cell>
          <cell r="D1533" t="str">
            <v>INCOME STATEMENT</v>
          </cell>
          <cell r="E1533">
            <v>0</v>
          </cell>
          <cell r="F1533">
            <v>0</v>
          </cell>
          <cell r="G1533" t="str">
            <v>INCOME</v>
          </cell>
          <cell r="H1533" t="str">
            <v>INCOME FROM OPERATIONS</v>
          </cell>
          <cell r="I1533" t="str">
            <v>SERVICE RECEIPTS</v>
          </cell>
        </row>
        <row r="1534">
          <cell r="A1534" t="str">
            <v>R101202-000-054</v>
          </cell>
          <cell r="B1534" t="str">
            <v>Holding Charges- BELVEDERE PARK</v>
          </cell>
          <cell r="C1534" t="str">
            <v>REVENUE</v>
          </cell>
          <cell r="D1534" t="str">
            <v>INCOME STATEMENT</v>
          </cell>
          <cell r="E1534">
            <v>0</v>
          </cell>
          <cell r="F1534">
            <v>0</v>
          </cell>
          <cell r="G1534" t="str">
            <v>INCOME</v>
          </cell>
          <cell r="H1534" t="str">
            <v>INCOME FROM OPERATIONS</v>
          </cell>
          <cell r="I1534" t="str">
            <v>SERVICE RECEIPTS</v>
          </cell>
        </row>
        <row r="1535">
          <cell r="A1535" t="str">
            <v>R101202-000-060</v>
          </cell>
          <cell r="B1535" t="str">
            <v>Holding Charges- TRINITY TOWERS</v>
          </cell>
          <cell r="C1535" t="str">
            <v>REVENUE</v>
          </cell>
          <cell r="D1535" t="str">
            <v>INCOME STATEMENT</v>
          </cell>
          <cell r="E1535">
            <v>0</v>
          </cell>
          <cell r="F1535">
            <v>0</v>
          </cell>
          <cell r="G1535" t="str">
            <v>INCOME</v>
          </cell>
          <cell r="H1535" t="str">
            <v>INCOME FROM OPERATIONS</v>
          </cell>
          <cell r="I1535" t="str">
            <v>SERVICE RECEIPTS</v>
          </cell>
        </row>
        <row r="1536">
          <cell r="A1536" t="str">
            <v>R101202-000-061</v>
          </cell>
          <cell r="B1536" t="str">
            <v>Holding Charges- DLF GRAND MALL</v>
          </cell>
          <cell r="C1536" t="str">
            <v>REVENUE</v>
          </cell>
          <cell r="D1536" t="str">
            <v>INCOME STATEMENT</v>
          </cell>
          <cell r="E1536">
            <v>0</v>
          </cell>
          <cell r="F1536">
            <v>0</v>
          </cell>
          <cell r="G1536" t="str">
            <v>INCOME</v>
          </cell>
          <cell r="H1536" t="str">
            <v>INCOME FROM OPERATIONS</v>
          </cell>
          <cell r="I1536" t="str">
            <v>SERVICE RECEIPTS</v>
          </cell>
        </row>
        <row r="1537">
          <cell r="A1537" t="str">
            <v>R101203</v>
          </cell>
          <cell r="B1537" t="str">
            <v>Service Charges Received (Others)</v>
          </cell>
          <cell r="C1537" t="str">
            <v>REVENUE</v>
          </cell>
          <cell r="D1537" t="str">
            <v>INCOME STATEMENT</v>
          </cell>
          <cell r="E1537">
            <v>0</v>
          </cell>
          <cell r="F1537">
            <v>0</v>
          </cell>
          <cell r="G1537" t="str">
            <v>INCOME</v>
          </cell>
          <cell r="H1537" t="str">
            <v>INCOME FROM OPERATIONS</v>
          </cell>
          <cell r="I1537" t="str">
            <v>SERVICE RECEIPTS</v>
          </cell>
        </row>
        <row r="1538">
          <cell r="A1538" t="str">
            <v>R101204</v>
          </cell>
          <cell r="B1538" t="str">
            <v>Amount forfeited on properties</v>
          </cell>
          <cell r="C1538" t="str">
            <v>REVENUE</v>
          </cell>
          <cell r="D1538" t="str">
            <v>INCOME STATEMENT</v>
          </cell>
          <cell r="E1538">
            <v>0</v>
          </cell>
          <cell r="F1538">
            <v>0</v>
          </cell>
          <cell r="G1538" t="str">
            <v>INCOME</v>
          </cell>
          <cell r="H1538" t="str">
            <v>INCOME FROM OPERATIONS</v>
          </cell>
          <cell r="I1538" t="str">
            <v>SERVICE RECEIPTS</v>
          </cell>
        </row>
        <row r="1539">
          <cell r="A1539" t="str">
            <v>R101205-000-000</v>
          </cell>
          <cell r="B1539" t="str">
            <v>Late Const.Charges</v>
          </cell>
          <cell r="C1539" t="str">
            <v>REVENUE</v>
          </cell>
          <cell r="D1539" t="str">
            <v>INCOME STATEMENT</v>
          </cell>
          <cell r="E1539">
            <v>0</v>
          </cell>
          <cell r="F1539">
            <v>0</v>
          </cell>
          <cell r="G1539" t="str">
            <v>INCOME</v>
          </cell>
          <cell r="H1539" t="str">
            <v>INCOME FROM OPERATIONS</v>
          </cell>
          <cell r="I1539" t="str">
            <v>SERVICE RECEIPTS</v>
          </cell>
        </row>
        <row r="1540">
          <cell r="A1540" t="str">
            <v>R101206-000-000</v>
          </cell>
          <cell r="B1540" t="str">
            <v>Rebate On Instalment</v>
          </cell>
          <cell r="C1540" t="str">
            <v>REVENUE</v>
          </cell>
          <cell r="D1540" t="str">
            <v>INCOME STATEMENT</v>
          </cell>
          <cell r="E1540">
            <v>0</v>
          </cell>
          <cell r="F1540">
            <v>0</v>
          </cell>
          <cell r="G1540" t="str">
            <v>INCOME</v>
          </cell>
          <cell r="H1540" t="str">
            <v>INCOME FROM OPERATIONS</v>
          </cell>
          <cell r="I1540" t="str">
            <v>SALE OF GOODS (NET OFF)</v>
          </cell>
        </row>
        <row r="1541">
          <cell r="A1541" t="str">
            <v>R101207-000-010</v>
          </cell>
          <cell r="B1541" t="str">
            <v>Rebates On Extra Charges- DILSHAD PLAZA</v>
          </cell>
          <cell r="C1541" t="str">
            <v>REVENUE</v>
          </cell>
          <cell r="D1541" t="str">
            <v>INCOME STATEMENT</v>
          </cell>
          <cell r="E1541">
            <v>0</v>
          </cell>
          <cell r="F1541">
            <v>0</v>
          </cell>
          <cell r="G1541" t="str">
            <v>INCOME</v>
          </cell>
          <cell r="H1541" t="str">
            <v>INCOME FROM OPERATIONS</v>
          </cell>
          <cell r="I1541" t="str">
            <v>SALE OF GOODS (NET OFF)</v>
          </cell>
        </row>
        <row r="1542">
          <cell r="A1542" t="str">
            <v>R101207-000-033</v>
          </cell>
          <cell r="B1542" t="str">
            <v>Rebates On Extra Charges- Prkn WINDSOR</v>
          </cell>
          <cell r="C1542" t="str">
            <v>REVENUE</v>
          </cell>
          <cell r="D1542" t="str">
            <v>INCOME STATEMENT</v>
          </cell>
          <cell r="E1542">
            <v>0</v>
          </cell>
          <cell r="F1542">
            <v>0</v>
          </cell>
          <cell r="G1542" t="str">
            <v>INCOME</v>
          </cell>
          <cell r="H1542" t="str">
            <v>INCOME FROM OPERATIONS</v>
          </cell>
          <cell r="I1542" t="str">
            <v>SALE OF GOODS (NET OFF)</v>
          </cell>
        </row>
        <row r="1543">
          <cell r="A1543" t="str">
            <v>R101207-000-038</v>
          </cell>
          <cell r="B1543" t="str">
            <v>Rebates On Extra Charges- FARIDABAD PLOT</v>
          </cell>
          <cell r="C1543" t="str">
            <v>REVENUE</v>
          </cell>
          <cell r="D1543" t="str">
            <v>INCOME STATEMENT</v>
          </cell>
          <cell r="E1543">
            <v>0</v>
          </cell>
          <cell r="F1543">
            <v>0</v>
          </cell>
          <cell r="G1543" t="str">
            <v>INCOME</v>
          </cell>
          <cell r="H1543" t="str">
            <v>INCOME FROM OPERATIONS</v>
          </cell>
          <cell r="I1543" t="str">
            <v>SALE OF GOODS (NET OFF)</v>
          </cell>
        </row>
        <row r="1544">
          <cell r="A1544" t="str">
            <v>R101207-000-041</v>
          </cell>
          <cell r="B1544" t="str">
            <v>Rebates On Extra Charges- WELLINGTON EST</v>
          </cell>
          <cell r="C1544" t="str">
            <v>REVENUE</v>
          </cell>
          <cell r="D1544" t="str">
            <v>INCOME STATEMENT</v>
          </cell>
          <cell r="E1544">
            <v>0</v>
          </cell>
          <cell r="F1544">
            <v>0</v>
          </cell>
          <cell r="G1544" t="str">
            <v>INCOME</v>
          </cell>
          <cell r="H1544" t="str">
            <v>INCOME FROM OPERATIONS</v>
          </cell>
          <cell r="I1544" t="str">
            <v>SALE OF GOODS (NET OFF)</v>
          </cell>
        </row>
        <row r="1545">
          <cell r="A1545" t="str">
            <v>R101207-000-060</v>
          </cell>
          <cell r="B1545" t="str">
            <v>Rebates On Extra Charges- TRINITY TOWER</v>
          </cell>
          <cell r="C1545" t="str">
            <v>REVENUE</v>
          </cell>
          <cell r="D1545" t="str">
            <v>INCOME STATEMENT</v>
          </cell>
          <cell r="E1545">
            <v>0</v>
          </cell>
          <cell r="F1545">
            <v>0</v>
          </cell>
          <cell r="G1545" t="str">
            <v>INCOME</v>
          </cell>
          <cell r="H1545" t="str">
            <v>INCOME FROM OPERATIONS</v>
          </cell>
          <cell r="I1545" t="str">
            <v>SALE OF GOODS (NET OFF)</v>
          </cell>
        </row>
        <row r="1546">
          <cell r="A1546" t="str">
            <v>R101207-000-061</v>
          </cell>
          <cell r="B1546" t="str">
            <v>Rebates On Extra Charges- DLF GRAND MALL</v>
          </cell>
          <cell r="C1546" t="str">
            <v>REVENUE</v>
          </cell>
          <cell r="D1546" t="str">
            <v>INCOME STATEMENT</v>
          </cell>
          <cell r="E1546">
            <v>0</v>
          </cell>
          <cell r="F1546">
            <v>0</v>
          </cell>
          <cell r="G1546" t="str">
            <v>INCOME</v>
          </cell>
          <cell r="H1546" t="str">
            <v>INCOME FROM OPERATIONS</v>
          </cell>
          <cell r="I1546" t="str">
            <v>SALE OF GOODS (NET OFF)</v>
          </cell>
        </row>
        <row r="1547">
          <cell r="A1547" t="str">
            <v>R101207-000-062</v>
          </cell>
          <cell r="B1547" t="str">
            <v>Rebates On Extra Charges- THE ARALIAS</v>
          </cell>
          <cell r="C1547" t="str">
            <v>REVENUE</v>
          </cell>
          <cell r="D1547" t="str">
            <v>INCOME STATEMENT</v>
          </cell>
          <cell r="E1547">
            <v>0</v>
          </cell>
          <cell r="F1547">
            <v>0</v>
          </cell>
          <cell r="G1547" t="str">
            <v>INCOME</v>
          </cell>
          <cell r="H1547" t="str">
            <v>INCOME FROM OPERATIONS</v>
          </cell>
          <cell r="I1547" t="str">
            <v>SALE OF GOODS (NET OFF)</v>
          </cell>
        </row>
        <row r="1548">
          <cell r="A1548" t="str">
            <v>R101207-000-064</v>
          </cell>
          <cell r="B1548" t="str">
            <v>Rebates On Extra Charges- WESTEND Hghts</v>
          </cell>
          <cell r="C1548" t="str">
            <v>REVENUE</v>
          </cell>
          <cell r="D1548" t="str">
            <v>INCOME STATEMENT</v>
          </cell>
          <cell r="E1548">
            <v>0</v>
          </cell>
          <cell r="F1548">
            <v>0</v>
          </cell>
          <cell r="G1548" t="str">
            <v>INCOME</v>
          </cell>
          <cell r="H1548" t="str">
            <v>INCOME FROM OPERATIONS</v>
          </cell>
          <cell r="I1548" t="str">
            <v>SALE OF GOODS (NET OFF)</v>
          </cell>
        </row>
        <row r="1549">
          <cell r="A1549" t="str">
            <v>R101207-000-069</v>
          </cell>
          <cell r="B1549" t="str">
            <v>Rebates On Extra Charges- THE PINNACLE</v>
          </cell>
          <cell r="C1549" t="str">
            <v>REVENUE</v>
          </cell>
          <cell r="D1549" t="str">
            <v>INCOME STATEMENT</v>
          </cell>
          <cell r="E1549">
            <v>0</v>
          </cell>
          <cell r="F1549">
            <v>0</v>
          </cell>
          <cell r="G1549" t="str">
            <v>INCOME</v>
          </cell>
          <cell r="H1549" t="str">
            <v>INCOME FROM OPERATIONS</v>
          </cell>
          <cell r="I1549" t="str">
            <v>SALE OF GOODS (NET OFF)</v>
          </cell>
        </row>
        <row r="1550">
          <cell r="A1550" t="str">
            <v>R101207-000-070</v>
          </cell>
          <cell r="B1550" t="str">
            <v>Rebates On Extra Charges- ROYALTON TOWER</v>
          </cell>
          <cell r="C1550" t="str">
            <v>REVENUE</v>
          </cell>
          <cell r="D1550" t="str">
            <v>INCOME STATEMENT</v>
          </cell>
          <cell r="E1550">
            <v>0</v>
          </cell>
          <cell r="F1550">
            <v>0</v>
          </cell>
          <cell r="G1550" t="str">
            <v>INCOME</v>
          </cell>
          <cell r="H1550" t="str">
            <v>INCOME FROM OPERATIONS</v>
          </cell>
          <cell r="I1550" t="str">
            <v>SALE OF GOODS (NET OFF)</v>
          </cell>
        </row>
        <row r="1551">
          <cell r="A1551" t="str">
            <v>R101207-000-071</v>
          </cell>
          <cell r="B1551" t="str">
            <v>Rebates On Extra Charges- THE ICON</v>
          </cell>
          <cell r="C1551" t="str">
            <v>REVENUE</v>
          </cell>
          <cell r="D1551" t="str">
            <v>INCOME STATEMENT</v>
          </cell>
          <cell r="E1551">
            <v>0</v>
          </cell>
          <cell r="F1551">
            <v>0</v>
          </cell>
          <cell r="G1551" t="str">
            <v>INCOME</v>
          </cell>
          <cell r="H1551" t="str">
            <v>INCOME FROM OPERATIONS</v>
          </cell>
          <cell r="I1551" t="str">
            <v>SALE OF GOODS (NET OFF)</v>
          </cell>
        </row>
        <row r="1552">
          <cell r="A1552" t="str">
            <v>R101207-000-075</v>
          </cell>
          <cell r="B1552" t="str">
            <v>Rebates On Extra Charges- THE SUMMIT</v>
          </cell>
          <cell r="C1552" t="str">
            <v>REVENUE</v>
          </cell>
          <cell r="D1552" t="str">
            <v>INCOME STATEMENT</v>
          </cell>
          <cell r="E1552">
            <v>0</v>
          </cell>
          <cell r="F1552">
            <v>0</v>
          </cell>
          <cell r="G1552" t="str">
            <v>INCOME</v>
          </cell>
          <cell r="H1552" t="str">
            <v>INCOME FROM OPERATIONS</v>
          </cell>
          <cell r="I1552" t="str">
            <v>SALE OF GOODS (NET OFF)</v>
          </cell>
        </row>
        <row r="1553">
          <cell r="A1553" t="str">
            <v>R101207-000-080</v>
          </cell>
          <cell r="B1553" t="str">
            <v>Rebates On Extra Charges- THE MAGNOLIAS</v>
          </cell>
          <cell r="C1553" t="str">
            <v>REVENUE</v>
          </cell>
          <cell r="D1553" t="str">
            <v>INCOME STATEMENT</v>
          </cell>
          <cell r="E1553">
            <v>0</v>
          </cell>
          <cell r="F1553">
            <v>0</v>
          </cell>
          <cell r="G1553" t="str">
            <v>INCOME</v>
          </cell>
          <cell r="H1553" t="str">
            <v>INCOME FROM OPERATIONS</v>
          </cell>
          <cell r="I1553" t="str">
            <v>SALE OF GOODS (NET OFF)</v>
          </cell>
        </row>
        <row r="1554">
          <cell r="A1554" t="str">
            <v>R101301</v>
          </cell>
          <cell r="B1554" t="str">
            <v>Contract Receipts-Construction</v>
          </cell>
          <cell r="C1554" t="str">
            <v>REVENUE</v>
          </cell>
          <cell r="D1554" t="str">
            <v>INCOME STATEMENT</v>
          </cell>
          <cell r="E1554">
            <v>0</v>
          </cell>
          <cell r="F1554">
            <v>0</v>
          </cell>
          <cell r="G1554" t="str">
            <v>INCOME</v>
          </cell>
          <cell r="H1554" t="str">
            <v>INCOME FROM OPERATIONS</v>
          </cell>
          <cell r="I1554" t="str">
            <v>SALE OF GOODS (NET OFF)</v>
          </cell>
        </row>
        <row r="1555">
          <cell r="A1555" t="str">
            <v>R102001</v>
          </cell>
          <cell r="B1555" t="str">
            <v>Rent and licence fee</v>
          </cell>
          <cell r="C1555" t="str">
            <v>REVENUE</v>
          </cell>
          <cell r="D1555" t="str">
            <v>INCOME STATEMENT</v>
          </cell>
          <cell r="E1555">
            <v>0</v>
          </cell>
          <cell r="F1555">
            <v>0</v>
          </cell>
          <cell r="G1555" t="str">
            <v>INCOME</v>
          </cell>
          <cell r="H1555" t="str">
            <v>INCOME FROM OPERATIONS</v>
          </cell>
          <cell r="I1555" t="str">
            <v>RENT INCOME</v>
          </cell>
        </row>
        <row r="1556">
          <cell r="A1556" t="str">
            <v>R102002</v>
          </cell>
          <cell r="B1556" t="str">
            <v>Rent Received</v>
          </cell>
          <cell r="C1556" t="str">
            <v>REVENUE</v>
          </cell>
          <cell r="D1556" t="str">
            <v>INCOME STATEMENT</v>
          </cell>
          <cell r="E1556">
            <v>0</v>
          </cell>
          <cell r="F1556">
            <v>0</v>
          </cell>
          <cell r="G1556" t="str">
            <v>INCOME</v>
          </cell>
          <cell r="H1556" t="str">
            <v>INCOME FROM OPERATIONS</v>
          </cell>
          <cell r="I1556" t="str">
            <v>RENT INCOME</v>
          </cell>
        </row>
        <row r="1557">
          <cell r="A1557" t="str">
            <v>R102003</v>
          </cell>
          <cell r="B1557" t="str">
            <v>Rent Received (Commercial)</v>
          </cell>
          <cell r="C1557" t="str">
            <v>REVENUE</v>
          </cell>
          <cell r="D1557" t="str">
            <v>INCOME STATEMENT</v>
          </cell>
          <cell r="E1557">
            <v>0</v>
          </cell>
          <cell r="F1557">
            <v>0</v>
          </cell>
          <cell r="G1557" t="str">
            <v>INCOME</v>
          </cell>
          <cell r="H1557" t="str">
            <v>INCOME FROM OPERATIONS</v>
          </cell>
          <cell r="I1557" t="str">
            <v>RENT INCOME</v>
          </cell>
        </row>
        <row r="1558">
          <cell r="A1558" t="str">
            <v>R102004</v>
          </cell>
          <cell r="B1558" t="str">
            <v>Rent Received (Retail)</v>
          </cell>
          <cell r="C1558" t="str">
            <v>REVENUE</v>
          </cell>
          <cell r="D1558" t="str">
            <v>INCOME STATEMENT</v>
          </cell>
          <cell r="E1558">
            <v>0</v>
          </cell>
          <cell r="F1558">
            <v>0</v>
          </cell>
          <cell r="G1558" t="str">
            <v>INCOME</v>
          </cell>
          <cell r="H1558" t="str">
            <v>INCOME FROM OPERATIONS</v>
          </cell>
          <cell r="I1558" t="str">
            <v>RENT INCOME</v>
          </cell>
        </row>
        <row r="1559">
          <cell r="A1559" t="str">
            <v>R102005</v>
          </cell>
          <cell r="B1559" t="str">
            <v>Rent received (Other operations)</v>
          </cell>
          <cell r="C1559" t="str">
            <v>REVENUE</v>
          </cell>
          <cell r="D1559" t="str">
            <v>INCOME STATEMENT</v>
          </cell>
          <cell r="E1559">
            <v>0</v>
          </cell>
          <cell r="F1559">
            <v>0</v>
          </cell>
          <cell r="G1559" t="str">
            <v>INCOME</v>
          </cell>
          <cell r="H1559" t="str">
            <v>INCOME FROM OPERATIONS</v>
          </cell>
          <cell r="I1559" t="str">
            <v>RENT INCOME</v>
          </cell>
        </row>
        <row r="1560">
          <cell r="A1560" t="str">
            <v>R102006</v>
          </cell>
          <cell r="B1560" t="str">
            <v>Rent received (Related Party)</v>
          </cell>
          <cell r="C1560" t="str">
            <v>REVENUE</v>
          </cell>
          <cell r="D1560" t="str">
            <v>INCOME STATEMENT</v>
          </cell>
          <cell r="E1560">
            <v>0</v>
          </cell>
          <cell r="F1560">
            <v>0</v>
          </cell>
          <cell r="G1560" t="str">
            <v>INCOME</v>
          </cell>
          <cell r="H1560" t="str">
            <v>INCOME FROM OPERATIONS</v>
          </cell>
          <cell r="I1560" t="str">
            <v>RENT INCOME</v>
          </cell>
        </row>
        <row r="1561">
          <cell r="A1561" t="str">
            <v>R102007</v>
          </cell>
          <cell r="B1561" t="str">
            <v>Lease Money Received</v>
          </cell>
          <cell r="C1561" t="str">
            <v>REVENUE</v>
          </cell>
          <cell r="D1561" t="str">
            <v>INCOME STATEMENT</v>
          </cell>
          <cell r="E1561">
            <v>0</v>
          </cell>
          <cell r="F1561">
            <v>0</v>
          </cell>
          <cell r="G1561" t="str">
            <v>INCOME</v>
          </cell>
          <cell r="H1561" t="str">
            <v>INCOME FROM OPERATIONS</v>
          </cell>
          <cell r="I1561" t="str">
            <v>RENT INCOME</v>
          </cell>
        </row>
        <row r="1562">
          <cell r="A1562" t="str">
            <v>R103001</v>
          </cell>
          <cell r="B1562" t="str">
            <v>Service &amp; maintenance Income</v>
          </cell>
          <cell r="C1562" t="str">
            <v>REVENUE</v>
          </cell>
          <cell r="D1562" t="str">
            <v>INCOME STATEMENT</v>
          </cell>
          <cell r="E1562">
            <v>0</v>
          </cell>
          <cell r="F1562">
            <v>0</v>
          </cell>
          <cell r="G1562" t="str">
            <v>INCOME</v>
          </cell>
          <cell r="H1562" t="str">
            <v>INCOME FROM OPERATIONS</v>
          </cell>
          <cell r="I1562" t="str">
            <v>SERVICE RECEIPTS</v>
          </cell>
        </row>
        <row r="1563">
          <cell r="A1563" t="str">
            <v>R103002</v>
          </cell>
          <cell r="B1563" t="str">
            <v>Road Repairing Charges</v>
          </cell>
          <cell r="C1563" t="str">
            <v>REVENUE</v>
          </cell>
          <cell r="D1563" t="str">
            <v>INCOME STATEMENT</v>
          </cell>
          <cell r="E1563">
            <v>0</v>
          </cell>
          <cell r="F1563">
            <v>0</v>
          </cell>
          <cell r="G1563" t="str">
            <v>INCOME</v>
          </cell>
          <cell r="H1563" t="str">
            <v>INCOME FROM OPERATIONS</v>
          </cell>
          <cell r="I1563" t="str">
            <v>SERVICE RECEIPTS</v>
          </cell>
        </row>
        <row r="1564">
          <cell r="A1564" t="str">
            <v>R103003</v>
          </cell>
          <cell r="B1564" t="str">
            <v>Water Connection</v>
          </cell>
          <cell r="C1564" t="str">
            <v>REVENUE</v>
          </cell>
          <cell r="D1564" t="str">
            <v>INCOME STATEMENT</v>
          </cell>
          <cell r="E1564">
            <v>0</v>
          </cell>
          <cell r="F1564">
            <v>0</v>
          </cell>
          <cell r="G1564" t="str">
            <v>INCOME</v>
          </cell>
          <cell r="H1564" t="str">
            <v>INCOME FROM OPERATIONS</v>
          </cell>
          <cell r="I1564" t="str">
            <v>SERVICE RECEIPTS</v>
          </cell>
        </row>
        <row r="1565">
          <cell r="A1565" t="str">
            <v>R103004</v>
          </cell>
          <cell r="B1565" t="str">
            <v>Shifting Charges/Reconnection Charges</v>
          </cell>
          <cell r="C1565" t="str">
            <v>REVENUE</v>
          </cell>
          <cell r="D1565" t="str">
            <v>INCOME STATEMENT</v>
          </cell>
          <cell r="E1565">
            <v>0</v>
          </cell>
          <cell r="F1565">
            <v>0</v>
          </cell>
          <cell r="G1565" t="str">
            <v>INCOME</v>
          </cell>
          <cell r="H1565" t="str">
            <v>INCOME FROM OPERATIONS</v>
          </cell>
          <cell r="I1565" t="str">
            <v>SERVICE RECEIPTS</v>
          </cell>
        </row>
        <row r="1566">
          <cell r="A1566" t="str">
            <v>R103005</v>
          </cell>
          <cell r="B1566" t="str">
            <v>Shifting/Reconnection Internet</v>
          </cell>
          <cell r="C1566" t="str">
            <v>REVENUE</v>
          </cell>
          <cell r="D1566" t="str">
            <v>INCOME STATEMENT</v>
          </cell>
          <cell r="E1566">
            <v>0</v>
          </cell>
          <cell r="F1566">
            <v>0</v>
          </cell>
          <cell r="G1566" t="str">
            <v>INCOME</v>
          </cell>
          <cell r="H1566" t="str">
            <v>INCOME FROM OPERATIONS</v>
          </cell>
          <cell r="I1566" t="str">
            <v>SERVICE RECEIPTS</v>
          </cell>
        </row>
        <row r="1567">
          <cell r="A1567" t="str">
            <v>R103006</v>
          </cell>
          <cell r="B1567" t="str">
            <v>Fixed Service Connection Charges Account</v>
          </cell>
          <cell r="C1567" t="str">
            <v>REVENUE</v>
          </cell>
          <cell r="D1567" t="str">
            <v>INCOME STATEMENT</v>
          </cell>
          <cell r="E1567">
            <v>0</v>
          </cell>
          <cell r="F1567">
            <v>0</v>
          </cell>
          <cell r="G1567" t="str">
            <v>INCOME</v>
          </cell>
          <cell r="H1567" t="str">
            <v>INCOME FROM OPERATIONS</v>
          </cell>
          <cell r="I1567" t="str">
            <v>SERVICE RECEIPTS</v>
          </cell>
        </row>
        <row r="1568">
          <cell r="A1568" t="str">
            <v>R103007</v>
          </cell>
          <cell r="B1568" t="str">
            <v>Excavation Revenue</v>
          </cell>
          <cell r="C1568" t="str">
            <v>REVENUE</v>
          </cell>
          <cell r="D1568" t="str">
            <v>INCOME STATEMENT</v>
          </cell>
          <cell r="E1568">
            <v>0</v>
          </cell>
          <cell r="F1568">
            <v>0</v>
          </cell>
          <cell r="G1568" t="str">
            <v>INCOME</v>
          </cell>
          <cell r="H1568" t="str">
            <v>INCOME FROM OPERATIONS</v>
          </cell>
          <cell r="I1568" t="str">
            <v>SERVICE RECEIPTS</v>
          </cell>
        </row>
        <row r="1569">
          <cell r="A1569" t="str">
            <v>R103008</v>
          </cell>
          <cell r="B1569" t="str">
            <v>Concrete  Revenue</v>
          </cell>
          <cell r="C1569" t="str">
            <v>REVENUE</v>
          </cell>
          <cell r="D1569" t="str">
            <v>INCOME STATEMENT</v>
          </cell>
          <cell r="E1569">
            <v>0</v>
          </cell>
          <cell r="F1569">
            <v>0</v>
          </cell>
          <cell r="G1569" t="str">
            <v>INCOME</v>
          </cell>
          <cell r="H1569" t="str">
            <v>INCOME FROM OPERATIONS</v>
          </cell>
          <cell r="I1569" t="str">
            <v>SERVICE RECEIPTS</v>
          </cell>
        </row>
        <row r="1570">
          <cell r="A1570" t="str">
            <v>R103009</v>
          </cell>
          <cell r="B1570" t="str">
            <v>Other Incomes</v>
          </cell>
          <cell r="C1570" t="str">
            <v>REVENUE</v>
          </cell>
          <cell r="D1570" t="str">
            <v>INCOME STATEMENT</v>
          </cell>
          <cell r="E1570">
            <v>0</v>
          </cell>
          <cell r="F1570">
            <v>0</v>
          </cell>
          <cell r="G1570" t="str">
            <v>INCOME</v>
          </cell>
          <cell r="H1570" t="str">
            <v>INCOME FROM OPERATIONS</v>
          </cell>
          <cell r="I1570" t="str">
            <v>SERVICE RECEIPTS</v>
          </cell>
        </row>
        <row r="1571">
          <cell r="A1571" t="str">
            <v>R103010</v>
          </cell>
          <cell r="B1571" t="str">
            <v>Other Maintainance Incomes</v>
          </cell>
          <cell r="C1571" t="str">
            <v>REVENUE</v>
          </cell>
          <cell r="D1571" t="str">
            <v>INCOME STATEMENT</v>
          </cell>
          <cell r="E1571">
            <v>0</v>
          </cell>
          <cell r="F1571">
            <v>0</v>
          </cell>
          <cell r="G1571" t="str">
            <v>INCOME</v>
          </cell>
          <cell r="H1571" t="str">
            <v>INCOME FROM OPERATIONS</v>
          </cell>
          <cell r="I1571" t="str">
            <v>SERVICE RECEIPTS</v>
          </cell>
        </row>
        <row r="1572">
          <cell r="A1572" t="str">
            <v>R103011</v>
          </cell>
          <cell r="B1572" t="str">
            <v>Shopping Mall - Development Income</v>
          </cell>
          <cell r="C1572" t="str">
            <v>REVENUE</v>
          </cell>
          <cell r="D1572" t="str">
            <v>INCOME STATEMENT</v>
          </cell>
          <cell r="E1572">
            <v>0</v>
          </cell>
          <cell r="F1572">
            <v>0</v>
          </cell>
          <cell r="G1572" t="str">
            <v>INCOME</v>
          </cell>
          <cell r="H1572" t="str">
            <v>INCOME FROM OPERATIONS</v>
          </cell>
          <cell r="I1572" t="str">
            <v>SERVICE RECEIPTS</v>
          </cell>
        </row>
        <row r="1573">
          <cell r="A1573" t="str">
            <v>R103012</v>
          </cell>
          <cell r="B1573" t="str">
            <v>Development Income</v>
          </cell>
          <cell r="C1573" t="str">
            <v>REVENUE</v>
          </cell>
          <cell r="D1573" t="str">
            <v>INCOME STATEMENT</v>
          </cell>
          <cell r="E1573">
            <v>0</v>
          </cell>
          <cell r="F1573">
            <v>0</v>
          </cell>
          <cell r="G1573" t="str">
            <v>INCOME</v>
          </cell>
          <cell r="H1573" t="str">
            <v>INCOME FROM OPERATIONS</v>
          </cell>
          <cell r="I1573" t="str">
            <v>SERVICE RECEIPTS</v>
          </cell>
        </row>
        <row r="1574">
          <cell r="A1574" t="str">
            <v>R103013</v>
          </cell>
          <cell r="B1574" t="str">
            <v>Parking Income</v>
          </cell>
          <cell r="C1574" t="str">
            <v>REVENUE</v>
          </cell>
          <cell r="D1574" t="str">
            <v>INCOME STATEMENT</v>
          </cell>
          <cell r="E1574">
            <v>0</v>
          </cell>
          <cell r="F1574">
            <v>0</v>
          </cell>
          <cell r="G1574" t="str">
            <v>INCOME</v>
          </cell>
          <cell r="H1574" t="str">
            <v>INCOME FROM OPERATIONS</v>
          </cell>
          <cell r="I1574" t="str">
            <v>SERVICE RECEIPTS</v>
          </cell>
        </row>
        <row r="1575">
          <cell r="A1575" t="str">
            <v>R103014</v>
          </cell>
          <cell r="B1575" t="str">
            <v>Internal Lighting Income</v>
          </cell>
          <cell r="C1575" t="str">
            <v>REVENUE</v>
          </cell>
          <cell r="D1575" t="str">
            <v>INCOME STATEMENT</v>
          </cell>
          <cell r="E1575">
            <v>0</v>
          </cell>
          <cell r="F1575">
            <v>0</v>
          </cell>
          <cell r="G1575" t="str">
            <v>INCOME</v>
          </cell>
          <cell r="H1575" t="str">
            <v>INCOME FROM OPERATIONS</v>
          </cell>
          <cell r="I1575" t="str">
            <v>SERVICE RECEIPTS</v>
          </cell>
        </row>
        <row r="1576">
          <cell r="A1576" t="str">
            <v>R103015</v>
          </cell>
          <cell r="B1576" t="str">
            <v>Additional Hours Incomes</v>
          </cell>
          <cell r="C1576" t="str">
            <v>REVENUE</v>
          </cell>
          <cell r="D1576" t="str">
            <v>INCOME STATEMENT</v>
          </cell>
          <cell r="E1576">
            <v>0</v>
          </cell>
          <cell r="F1576">
            <v>0</v>
          </cell>
          <cell r="G1576" t="str">
            <v>INCOME</v>
          </cell>
          <cell r="H1576" t="str">
            <v>INCOME FROM OPERATIONS</v>
          </cell>
          <cell r="I1576" t="str">
            <v>SERVICE RECEIPTS</v>
          </cell>
        </row>
        <row r="1577">
          <cell r="A1577" t="str">
            <v>R103016</v>
          </cell>
          <cell r="B1577" t="str">
            <v>Fee For Electric Connection</v>
          </cell>
          <cell r="C1577" t="str">
            <v>REVENUE</v>
          </cell>
          <cell r="D1577" t="str">
            <v>INCOME STATEMENT</v>
          </cell>
          <cell r="E1577">
            <v>0</v>
          </cell>
          <cell r="F1577">
            <v>0</v>
          </cell>
          <cell r="G1577" t="str">
            <v>INCOME</v>
          </cell>
          <cell r="H1577" t="str">
            <v>INCOME FROM OPERATIONS</v>
          </cell>
          <cell r="I1577" t="str">
            <v>SERVICE RECEIPTS</v>
          </cell>
        </row>
        <row r="1578">
          <cell r="A1578" t="str">
            <v>R103017</v>
          </cell>
          <cell r="B1578" t="str">
            <v>Water &amp; Sewerage</v>
          </cell>
          <cell r="C1578" t="str">
            <v>REVENUE</v>
          </cell>
          <cell r="D1578" t="str">
            <v>INCOME STATEMENT</v>
          </cell>
          <cell r="E1578">
            <v>0</v>
          </cell>
          <cell r="F1578">
            <v>0</v>
          </cell>
          <cell r="G1578" t="str">
            <v>INCOME</v>
          </cell>
          <cell r="H1578" t="str">
            <v>INCOME FROM OPERATIONS</v>
          </cell>
          <cell r="I1578" t="str">
            <v>SERVICE RECEIPTS</v>
          </cell>
        </row>
        <row r="1579">
          <cell r="A1579" t="str">
            <v>R103018</v>
          </cell>
          <cell r="B1579" t="str">
            <v>Maintenance Incomes</v>
          </cell>
          <cell r="C1579" t="str">
            <v>REVENUE</v>
          </cell>
          <cell r="D1579" t="str">
            <v>INCOME STATEMENT</v>
          </cell>
          <cell r="E1579">
            <v>0</v>
          </cell>
          <cell r="F1579">
            <v>0</v>
          </cell>
          <cell r="G1579" t="str">
            <v>INCOME</v>
          </cell>
          <cell r="H1579" t="str">
            <v>INCOME FROM OPERATIONS</v>
          </cell>
          <cell r="I1579" t="str">
            <v>SERVICE RECEIPTS</v>
          </cell>
        </row>
        <row r="1580">
          <cell r="A1580" t="str">
            <v>R103019</v>
          </cell>
          <cell r="B1580" t="str">
            <v>Misc Income-Entry Comm Vehicles</v>
          </cell>
          <cell r="C1580" t="str">
            <v>REVENUE</v>
          </cell>
          <cell r="D1580" t="str">
            <v>INCOME STATEMENT</v>
          </cell>
          <cell r="E1580">
            <v>0</v>
          </cell>
          <cell r="F1580">
            <v>0</v>
          </cell>
          <cell r="G1580" t="str">
            <v>INCOME</v>
          </cell>
          <cell r="H1580" t="str">
            <v>INCOME FROM OPERATIONS</v>
          </cell>
          <cell r="I1580" t="str">
            <v>SERVICE RECEIPTS</v>
          </cell>
        </row>
        <row r="1581">
          <cell r="A1581" t="str">
            <v>R103020</v>
          </cell>
          <cell r="B1581" t="str">
            <v>Period Inspection Charges</v>
          </cell>
          <cell r="C1581" t="str">
            <v>REVENUE</v>
          </cell>
          <cell r="D1581" t="str">
            <v>INCOME STATEMENT</v>
          </cell>
          <cell r="E1581">
            <v>0</v>
          </cell>
          <cell r="F1581">
            <v>0</v>
          </cell>
          <cell r="G1581" t="str">
            <v>INCOME</v>
          </cell>
          <cell r="H1581" t="str">
            <v>INCOME FROM OPERATIONS</v>
          </cell>
          <cell r="I1581" t="str">
            <v>SERVICE RECEIPTS</v>
          </cell>
        </row>
        <row r="1582">
          <cell r="A1582" t="str">
            <v>R103021</v>
          </cell>
          <cell r="B1582" t="str">
            <v>Testing Charges</v>
          </cell>
          <cell r="C1582" t="str">
            <v>REVENUE</v>
          </cell>
          <cell r="D1582" t="str">
            <v>INCOME STATEMENT</v>
          </cell>
          <cell r="E1582">
            <v>0</v>
          </cell>
          <cell r="F1582">
            <v>0</v>
          </cell>
          <cell r="G1582" t="str">
            <v>INCOME</v>
          </cell>
          <cell r="H1582" t="str">
            <v>INCOME FROM OPERATIONS</v>
          </cell>
          <cell r="I1582" t="str">
            <v>SERVICE RECEIPTS</v>
          </cell>
        </row>
        <row r="1583">
          <cell r="A1583" t="str">
            <v>R104001</v>
          </cell>
          <cell r="B1583" t="str">
            <v>Sale Of Electricity/Gas</v>
          </cell>
          <cell r="C1583" t="str">
            <v>REVENUE</v>
          </cell>
          <cell r="D1583" t="str">
            <v>INCOME STATEMENT</v>
          </cell>
          <cell r="E1583">
            <v>0</v>
          </cell>
          <cell r="F1583">
            <v>0</v>
          </cell>
          <cell r="G1583" t="str">
            <v>INCOME</v>
          </cell>
          <cell r="H1583" t="str">
            <v>INCOME FROM OPERATIONS</v>
          </cell>
          <cell r="I1583" t="str">
            <v>SERVICE RECEIPTS</v>
          </cell>
        </row>
        <row r="1584">
          <cell r="A1584" t="str">
            <v>R105001</v>
          </cell>
          <cell r="B1584" t="str">
            <v>Cable Operations</v>
          </cell>
          <cell r="C1584" t="str">
            <v>REVENUE</v>
          </cell>
          <cell r="D1584" t="str">
            <v>INCOME STATEMENT</v>
          </cell>
          <cell r="E1584">
            <v>0</v>
          </cell>
          <cell r="F1584">
            <v>0</v>
          </cell>
          <cell r="G1584" t="str">
            <v>INCOME</v>
          </cell>
          <cell r="H1584" t="str">
            <v>INCOME FROM OPERATIONS</v>
          </cell>
          <cell r="I1584" t="str">
            <v>SERVICE RECEIPTS</v>
          </cell>
        </row>
        <row r="1585">
          <cell r="A1585" t="str">
            <v>R105101</v>
          </cell>
          <cell r="B1585" t="str">
            <v>Vending Services</v>
          </cell>
          <cell r="C1585" t="str">
            <v>REVENUE</v>
          </cell>
          <cell r="D1585" t="str">
            <v>INCOME STATEMENT</v>
          </cell>
          <cell r="E1585">
            <v>0</v>
          </cell>
          <cell r="F1585">
            <v>0</v>
          </cell>
          <cell r="G1585" t="str">
            <v>INCOME</v>
          </cell>
          <cell r="H1585" t="str">
            <v>INCOME FROM OPERATIONS</v>
          </cell>
          <cell r="I1585" t="str">
            <v>SERVICE RECEIPTS</v>
          </cell>
        </row>
        <row r="1586">
          <cell r="A1586" t="str">
            <v>R105201</v>
          </cell>
          <cell r="B1586" t="str">
            <v>Consultancy &amp; Other Services</v>
          </cell>
          <cell r="C1586" t="str">
            <v>REVENUE</v>
          </cell>
          <cell r="D1586" t="str">
            <v>INCOME STATEMENT</v>
          </cell>
          <cell r="E1586">
            <v>0</v>
          </cell>
          <cell r="F1586">
            <v>0</v>
          </cell>
          <cell r="G1586" t="str">
            <v>INCOME</v>
          </cell>
          <cell r="H1586" t="str">
            <v>INCOME FROM OPERATIONS</v>
          </cell>
          <cell r="I1586" t="str">
            <v>SERVICE RECEIPTS</v>
          </cell>
        </row>
        <row r="1587">
          <cell r="A1587" t="str">
            <v>R105301</v>
          </cell>
          <cell r="B1587" t="str">
            <v>Receipt of Cinema Operations</v>
          </cell>
          <cell r="C1587" t="str">
            <v>REVENUE</v>
          </cell>
          <cell r="D1587" t="str">
            <v>INCOME STATEMENT</v>
          </cell>
          <cell r="E1587">
            <v>0</v>
          </cell>
          <cell r="F1587">
            <v>0</v>
          </cell>
          <cell r="G1587" t="str">
            <v>INCOME</v>
          </cell>
          <cell r="H1587" t="str">
            <v>INCOME FROM OPERATIONS</v>
          </cell>
          <cell r="I1587" t="str">
            <v>SERVICE RECEIPTS</v>
          </cell>
        </row>
        <row r="1588">
          <cell r="A1588" t="str">
            <v>R105401</v>
          </cell>
          <cell r="B1588" t="str">
            <v>Income from Golf course Operation</v>
          </cell>
          <cell r="C1588" t="str">
            <v>REVENUE</v>
          </cell>
          <cell r="D1588" t="str">
            <v>INCOME STATEMENT</v>
          </cell>
          <cell r="E1588">
            <v>0</v>
          </cell>
          <cell r="F1588">
            <v>0</v>
          </cell>
          <cell r="G1588" t="str">
            <v>INCOME</v>
          </cell>
          <cell r="H1588" t="str">
            <v>INCOME FROM OPERATIONS</v>
          </cell>
          <cell r="I1588" t="str">
            <v>SERVICE RECEIPTS</v>
          </cell>
        </row>
        <row r="1589">
          <cell r="A1589" t="str">
            <v>R105402</v>
          </cell>
          <cell r="B1589" t="str">
            <v>Club Operations</v>
          </cell>
          <cell r="C1589" t="str">
            <v>REVENUE</v>
          </cell>
          <cell r="D1589" t="str">
            <v>INCOME STATEMENT</v>
          </cell>
          <cell r="E1589">
            <v>0</v>
          </cell>
          <cell r="F1589">
            <v>0</v>
          </cell>
          <cell r="G1589" t="str">
            <v>INCOME</v>
          </cell>
          <cell r="H1589" t="str">
            <v>INCOME FROM OPERATIONS</v>
          </cell>
          <cell r="I1589" t="str">
            <v>SERVICE RECEIPTS</v>
          </cell>
        </row>
        <row r="1590">
          <cell r="A1590" t="str">
            <v>R105403</v>
          </cell>
          <cell r="B1590" t="str">
            <v>Health and recreational receipts</v>
          </cell>
          <cell r="C1590" t="str">
            <v>REVENUE</v>
          </cell>
          <cell r="D1590" t="str">
            <v>INCOME STATEMENT</v>
          </cell>
          <cell r="E1590">
            <v>0</v>
          </cell>
          <cell r="F1590">
            <v>0</v>
          </cell>
          <cell r="G1590" t="str">
            <v>INCOME</v>
          </cell>
          <cell r="H1590" t="str">
            <v>INCOME FROM OPERATIONS</v>
          </cell>
          <cell r="I1590" t="str">
            <v>SERVICE RECEIPTS</v>
          </cell>
        </row>
        <row r="1591">
          <cell r="A1591" t="str">
            <v>R105404</v>
          </cell>
          <cell r="B1591" t="str">
            <v>Food Court Kisok income</v>
          </cell>
          <cell r="C1591" t="str">
            <v>REVENUE</v>
          </cell>
          <cell r="D1591" t="str">
            <v>INCOME STATEMENT</v>
          </cell>
          <cell r="E1591">
            <v>0</v>
          </cell>
          <cell r="F1591">
            <v>0</v>
          </cell>
          <cell r="G1591" t="str">
            <v>INCOME</v>
          </cell>
          <cell r="H1591" t="str">
            <v>INCOME FROM OPERATIONS</v>
          </cell>
          <cell r="I1591" t="str">
            <v>SERVICE RECEIPTS</v>
          </cell>
        </row>
        <row r="1592">
          <cell r="A1592" t="str">
            <v>R105405</v>
          </cell>
          <cell r="B1592" t="str">
            <v>Venue Charges</v>
          </cell>
          <cell r="C1592" t="str">
            <v>REVENUE</v>
          </cell>
          <cell r="D1592" t="str">
            <v>INCOME STATEMENT</v>
          </cell>
          <cell r="E1592">
            <v>0</v>
          </cell>
          <cell r="F1592">
            <v>0</v>
          </cell>
          <cell r="G1592" t="str">
            <v>INCOME</v>
          </cell>
          <cell r="H1592" t="str">
            <v>INCOME FROM OPERATIONS</v>
          </cell>
          <cell r="I1592" t="str">
            <v>SERVICE RECEIPTS</v>
          </cell>
        </row>
        <row r="1593">
          <cell r="A1593" t="str">
            <v>R105406</v>
          </cell>
          <cell r="B1593" t="str">
            <v>F&amp;B Revenue</v>
          </cell>
          <cell r="C1593" t="str">
            <v>REVENUE</v>
          </cell>
          <cell r="D1593" t="str">
            <v>INCOME STATEMENT</v>
          </cell>
          <cell r="E1593">
            <v>0</v>
          </cell>
          <cell r="F1593">
            <v>0</v>
          </cell>
          <cell r="G1593" t="str">
            <v>INCOME</v>
          </cell>
          <cell r="H1593" t="str">
            <v>INCOME FROM OPERATIONS</v>
          </cell>
          <cell r="I1593" t="str">
            <v>SERVICE RECEIPTS</v>
          </cell>
        </row>
        <row r="1594">
          <cell r="A1594" t="str">
            <v>R105407</v>
          </cell>
          <cell r="B1594" t="str">
            <v>Academy revenue</v>
          </cell>
          <cell r="C1594" t="str">
            <v>REVENUE</v>
          </cell>
          <cell r="D1594" t="str">
            <v>INCOME STATEMENT</v>
          </cell>
          <cell r="E1594">
            <v>0</v>
          </cell>
          <cell r="F1594">
            <v>0</v>
          </cell>
          <cell r="G1594" t="str">
            <v>INCOME</v>
          </cell>
          <cell r="H1594" t="str">
            <v>INCOME FROM OPERATIONS</v>
          </cell>
          <cell r="I1594" t="str">
            <v>SERVICE RECEIPTS</v>
          </cell>
        </row>
        <row r="1595">
          <cell r="A1595" t="str">
            <v>R105408</v>
          </cell>
          <cell r="B1595" t="str">
            <v>proshop revenue</v>
          </cell>
          <cell r="C1595" t="str">
            <v>REVENUE</v>
          </cell>
          <cell r="D1595" t="str">
            <v>INCOME STATEMENT</v>
          </cell>
          <cell r="E1595">
            <v>0</v>
          </cell>
          <cell r="F1595">
            <v>0</v>
          </cell>
          <cell r="G1595" t="str">
            <v>INCOME</v>
          </cell>
          <cell r="H1595" t="str">
            <v>INCOME FROM OPERATIONS</v>
          </cell>
          <cell r="I1595" t="str">
            <v>SERVICE RECEIPTS</v>
          </cell>
        </row>
        <row r="1596">
          <cell r="A1596" t="str">
            <v>R105409</v>
          </cell>
          <cell r="B1596" t="str">
            <v>Commission Income Golf Course</v>
          </cell>
          <cell r="C1596" t="str">
            <v>REVENUE</v>
          </cell>
          <cell r="D1596" t="str">
            <v>INCOME STATEMENT</v>
          </cell>
          <cell r="E1596">
            <v>0</v>
          </cell>
          <cell r="F1596">
            <v>0</v>
          </cell>
          <cell r="G1596" t="str">
            <v>INCOME</v>
          </cell>
          <cell r="H1596" t="str">
            <v>INCOME FROM OPERATIONS</v>
          </cell>
          <cell r="I1596" t="str">
            <v>SERVICE RECEIPTS</v>
          </cell>
        </row>
        <row r="1597">
          <cell r="A1597" t="str">
            <v>R105410</v>
          </cell>
          <cell r="B1597" t="str">
            <v>Rental on horticulture Golf Course</v>
          </cell>
          <cell r="C1597" t="str">
            <v>REVENUE</v>
          </cell>
          <cell r="D1597" t="str">
            <v>INCOME STATEMENT</v>
          </cell>
          <cell r="E1597">
            <v>0</v>
          </cell>
          <cell r="F1597">
            <v>0</v>
          </cell>
          <cell r="G1597" t="str">
            <v>INCOME</v>
          </cell>
          <cell r="H1597" t="str">
            <v>INCOME FROM OPERATIONS</v>
          </cell>
          <cell r="I1597" t="str">
            <v>SERVICE RECEIPTS</v>
          </cell>
        </row>
        <row r="1598">
          <cell r="A1598" t="str">
            <v>R105501</v>
          </cell>
          <cell r="B1598" t="str">
            <v>Entry Fees</v>
          </cell>
          <cell r="C1598" t="str">
            <v>REVENUE</v>
          </cell>
          <cell r="D1598" t="str">
            <v>INCOME STATEMENT</v>
          </cell>
          <cell r="E1598">
            <v>0</v>
          </cell>
          <cell r="F1598">
            <v>0</v>
          </cell>
          <cell r="G1598" t="str">
            <v>INCOME</v>
          </cell>
          <cell r="H1598" t="str">
            <v>INCOME FROM OPERATIONS</v>
          </cell>
          <cell r="I1598" t="str">
            <v>SERVICE RECEIPTS</v>
          </cell>
        </row>
        <row r="1599">
          <cell r="A1599" t="str">
            <v>R105502</v>
          </cell>
          <cell r="B1599" t="str">
            <v>Membership Fees</v>
          </cell>
          <cell r="C1599" t="str">
            <v>REVENUE</v>
          </cell>
          <cell r="D1599" t="str">
            <v>INCOME STATEMENT</v>
          </cell>
          <cell r="E1599">
            <v>0</v>
          </cell>
          <cell r="F1599">
            <v>0</v>
          </cell>
          <cell r="G1599" t="str">
            <v>INCOME</v>
          </cell>
          <cell r="H1599" t="str">
            <v>INCOME FROM OPERATIONS</v>
          </cell>
          <cell r="I1599" t="str">
            <v>SERVICE RECEIPTS</v>
          </cell>
        </row>
        <row r="1600">
          <cell r="A1600" t="str">
            <v>R105503</v>
          </cell>
          <cell r="B1600" t="str">
            <v>Membership Fees Internet</v>
          </cell>
          <cell r="C1600" t="str">
            <v>REVENUE</v>
          </cell>
          <cell r="D1600" t="str">
            <v>INCOME STATEMENT</v>
          </cell>
          <cell r="E1600">
            <v>0</v>
          </cell>
          <cell r="F1600">
            <v>0</v>
          </cell>
          <cell r="G1600" t="str">
            <v>INCOME</v>
          </cell>
          <cell r="H1600" t="str">
            <v>INCOME FROM OPERATIONS</v>
          </cell>
          <cell r="I1600" t="str">
            <v>SERVICE RECEIPTS</v>
          </cell>
        </row>
        <row r="1601">
          <cell r="A1601" t="str">
            <v>R105504</v>
          </cell>
          <cell r="B1601" t="str">
            <v>Subscription Income</v>
          </cell>
          <cell r="C1601" t="str">
            <v>REVENUE</v>
          </cell>
          <cell r="D1601" t="str">
            <v>INCOME STATEMENT</v>
          </cell>
          <cell r="E1601">
            <v>0</v>
          </cell>
          <cell r="F1601">
            <v>0</v>
          </cell>
          <cell r="G1601" t="str">
            <v>INCOME</v>
          </cell>
          <cell r="H1601" t="str">
            <v>INCOME FROM OPERATIONS</v>
          </cell>
          <cell r="I1601" t="str">
            <v>SERVICE RECEIPTS</v>
          </cell>
        </row>
        <row r="1602">
          <cell r="A1602" t="str">
            <v>R105505</v>
          </cell>
          <cell r="B1602" t="str">
            <v>Subscription Income Internet</v>
          </cell>
          <cell r="C1602" t="str">
            <v>REVENUE</v>
          </cell>
          <cell r="D1602" t="str">
            <v>INCOME STATEMENT</v>
          </cell>
          <cell r="E1602">
            <v>0</v>
          </cell>
          <cell r="F1602">
            <v>0</v>
          </cell>
          <cell r="G1602" t="str">
            <v>INCOME</v>
          </cell>
          <cell r="H1602" t="str">
            <v>INCOME FROM OPERATIONS</v>
          </cell>
          <cell r="I1602" t="str">
            <v>SERVICE RECEIPTS</v>
          </cell>
        </row>
        <row r="1603">
          <cell r="A1603" t="str">
            <v>R105506</v>
          </cell>
          <cell r="B1603" t="str">
            <v>Subscription Income - Primus</v>
          </cell>
          <cell r="C1603" t="str">
            <v>REVENUE</v>
          </cell>
          <cell r="D1603" t="str">
            <v>INCOME STATEMENT</v>
          </cell>
          <cell r="E1603">
            <v>0</v>
          </cell>
          <cell r="F1603">
            <v>0</v>
          </cell>
          <cell r="G1603" t="str">
            <v>INCOME</v>
          </cell>
          <cell r="H1603" t="str">
            <v>INCOME FROM OPERATIONS</v>
          </cell>
          <cell r="I1603" t="str">
            <v>SERVICE RECEIPTS</v>
          </cell>
        </row>
        <row r="1604">
          <cell r="A1604" t="str">
            <v>R105507</v>
          </cell>
          <cell r="B1604" t="str">
            <v>Subscription Income- Sify</v>
          </cell>
          <cell r="C1604" t="str">
            <v>REVENUE</v>
          </cell>
          <cell r="D1604" t="str">
            <v>INCOME STATEMENT</v>
          </cell>
          <cell r="E1604">
            <v>0</v>
          </cell>
          <cell r="F1604">
            <v>0</v>
          </cell>
          <cell r="G1604" t="str">
            <v>INCOME</v>
          </cell>
          <cell r="H1604" t="str">
            <v>INCOME FROM OPERATIONS</v>
          </cell>
          <cell r="I1604" t="str">
            <v>SERVICE RECEIPTS</v>
          </cell>
        </row>
        <row r="1605">
          <cell r="A1605" t="str">
            <v>R105508</v>
          </cell>
          <cell r="B1605" t="str">
            <v>Additional Subscription</v>
          </cell>
          <cell r="C1605" t="str">
            <v>REVENUE</v>
          </cell>
          <cell r="D1605" t="str">
            <v>INCOME STATEMENT</v>
          </cell>
          <cell r="E1605">
            <v>0</v>
          </cell>
          <cell r="F1605">
            <v>0</v>
          </cell>
          <cell r="G1605" t="str">
            <v>INCOME</v>
          </cell>
          <cell r="H1605" t="str">
            <v>INCOME FROM OPERATIONS</v>
          </cell>
          <cell r="I1605" t="str">
            <v>SERVICE RECEIPTS</v>
          </cell>
        </row>
        <row r="1606">
          <cell r="A1606" t="str">
            <v>R106001</v>
          </cell>
          <cell r="B1606" t="str">
            <v>Farm receipts</v>
          </cell>
          <cell r="C1606" t="str">
            <v>REVENUE</v>
          </cell>
          <cell r="D1606" t="str">
            <v>INCOME STATEMENT</v>
          </cell>
          <cell r="E1606">
            <v>0</v>
          </cell>
          <cell r="F1606">
            <v>0</v>
          </cell>
          <cell r="G1606" t="str">
            <v>INCOME</v>
          </cell>
          <cell r="H1606" t="str">
            <v>OTHER INCOME</v>
          </cell>
          <cell r="I1606" t="str">
            <v>FARM INCOME</v>
          </cell>
        </row>
        <row r="1607">
          <cell r="A1607" t="str">
            <v>R201001</v>
          </cell>
          <cell r="B1607" t="str">
            <v>Advertisement and other income</v>
          </cell>
          <cell r="C1607" t="str">
            <v>REVENUE</v>
          </cell>
          <cell r="D1607" t="str">
            <v>INCOME STATEMENT</v>
          </cell>
          <cell r="E1607">
            <v>0</v>
          </cell>
          <cell r="F1607">
            <v>0</v>
          </cell>
          <cell r="G1607" t="str">
            <v>INCOME</v>
          </cell>
          <cell r="H1607" t="str">
            <v>OTHER INCOME</v>
          </cell>
          <cell r="I1607" t="str">
            <v>OTHER INCOME</v>
          </cell>
        </row>
        <row r="1608">
          <cell r="A1608" t="str">
            <v>R201002</v>
          </cell>
          <cell r="B1608" t="str">
            <v>Promotional Income</v>
          </cell>
          <cell r="C1608" t="str">
            <v>REVENUE</v>
          </cell>
          <cell r="D1608" t="str">
            <v>INCOME STATEMENT</v>
          </cell>
          <cell r="E1608">
            <v>0</v>
          </cell>
          <cell r="F1608">
            <v>0</v>
          </cell>
          <cell r="G1608" t="str">
            <v>INCOME</v>
          </cell>
          <cell r="H1608" t="str">
            <v>OTHER INCOME</v>
          </cell>
          <cell r="I1608" t="str">
            <v>OTHER INCOME</v>
          </cell>
        </row>
        <row r="1609">
          <cell r="A1609" t="str">
            <v>R201003</v>
          </cell>
          <cell r="B1609" t="str">
            <v>Promotional Income-Signage/Banners</v>
          </cell>
          <cell r="C1609" t="str">
            <v>REVENUE</v>
          </cell>
          <cell r="D1609" t="str">
            <v>INCOME STATEMENT</v>
          </cell>
          <cell r="E1609">
            <v>0</v>
          </cell>
          <cell r="F1609">
            <v>0</v>
          </cell>
          <cell r="G1609" t="str">
            <v>INCOME</v>
          </cell>
          <cell r="H1609" t="str">
            <v>OTHER INCOME</v>
          </cell>
          <cell r="I1609" t="str">
            <v>OTHER INCOME</v>
          </cell>
        </row>
        <row r="1610">
          <cell r="A1610" t="str">
            <v>R201004</v>
          </cell>
          <cell r="B1610" t="str">
            <v>Promotional Income-Events</v>
          </cell>
          <cell r="C1610" t="str">
            <v>REVENUE</v>
          </cell>
          <cell r="D1610" t="str">
            <v>INCOME STATEMENT</v>
          </cell>
          <cell r="E1610">
            <v>0</v>
          </cell>
          <cell r="F1610">
            <v>0</v>
          </cell>
          <cell r="G1610" t="str">
            <v>INCOME</v>
          </cell>
          <cell r="H1610" t="str">
            <v>OTHER INCOME</v>
          </cell>
          <cell r="I1610" t="str">
            <v>OTHER INCOME</v>
          </cell>
        </row>
        <row r="1611">
          <cell r="A1611" t="str">
            <v>R201005</v>
          </cell>
          <cell r="B1611" t="str">
            <v>Promotional Income-Kiosks</v>
          </cell>
          <cell r="C1611" t="str">
            <v>REVENUE</v>
          </cell>
          <cell r="D1611" t="str">
            <v>INCOME STATEMENT</v>
          </cell>
          <cell r="E1611">
            <v>0</v>
          </cell>
          <cell r="F1611">
            <v>0</v>
          </cell>
          <cell r="G1611" t="str">
            <v>INCOME</v>
          </cell>
          <cell r="H1611" t="str">
            <v>OTHER INCOME</v>
          </cell>
          <cell r="I1611" t="str">
            <v>OTHER INCOME</v>
          </cell>
        </row>
        <row r="1612">
          <cell r="A1612" t="str">
            <v>R201006</v>
          </cell>
          <cell r="B1612" t="str">
            <v>Publicity Recover From Distributor</v>
          </cell>
          <cell r="C1612" t="str">
            <v>REVENUE</v>
          </cell>
          <cell r="D1612" t="str">
            <v>INCOME STATEMENT</v>
          </cell>
          <cell r="E1612">
            <v>0</v>
          </cell>
          <cell r="F1612">
            <v>0</v>
          </cell>
          <cell r="G1612" t="str">
            <v>INCOME</v>
          </cell>
          <cell r="H1612" t="str">
            <v>OTHER INCOME</v>
          </cell>
          <cell r="I1612" t="str">
            <v>OTHER INCOME</v>
          </cell>
        </row>
        <row r="1613">
          <cell r="A1613" t="str">
            <v>R201007</v>
          </cell>
          <cell r="B1613" t="str">
            <v>Film Income</v>
          </cell>
          <cell r="C1613" t="str">
            <v>REVENUE</v>
          </cell>
          <cell r="D1613" t="str">
            <v>INCOME STATEMENT</v>
          </cell>
          <cell r="E1613">
            <v>0</v>
          </cell>
          <cell r="F1613">
            <v>0</v>
          </cell>
          <cell r="G1613" t="str">
            <v>INCOME</v>
          </cell>
          <cell r="H1613" t="str">
            <v>OTHER INCOME</v>
          </cell>
          <cell r="I1613" t="str">
            <v>OTHER INCOME</v>
          </cell>
        </row>
        <row r="1614">
          <cell r="A1614" t="str">
            <v>R201008</v>
          </cell>
          <cell r="B1614" t="str">
            <v>Pouring Fees</v>
          </cell>
          <cell r="C1614" t="str">
            <v>REVENUE</v>
          </cell>
          <cell r="D1614" t="str">
            <v>INCOME STATEMENT</v>
          </cell>
          <cell r="E1614">
            <v>0</v>
          </cell>
          <cell r="F1614">
            <v>0</v>
          </cell>
          <cell r="G1614" t="str">
            <v>INCOME</v>
          </cell>
          <cell r="H1614" t="str">
            <v>OTHER INCOME</v>
          </cell>
          <cell r="I1614" t="str">
            <v>OTHER INCOME</v>
          </cell>
        </row>
        <row r="1615">
          <cell r="A1615" t="str">
            <v>R201101</v>
          </cell>
          <cell r="B1615" t="str">
            <v>Banglore Office Receipts</v>
          </cell>
          <cell r="C1615" t="str">
            <v>REVENUE</v>
          </cell>
          <cell r="D1615" t="str">
            <v>INCOME STATEMENT</v>
          </cell>
          <cell r="E1615">
            <v>0</v>
          </cell>
          <cell r="F1615">
            <v>0</v>
          </cell>
          <cell r="G1615" t="str">
            <v>INCOME</v>
          </cell>
          <cell r="H1615" t="str">
            <v>OTHER INCOME</v>
          </cell>
          <cell r="I1615" t="str">
            <v>OTHER INCOME</v>
          </cell>
        </row>
        <row r="1616">
          <cell r="A1616" t="str">
            <v>R201102</v>
          </cell>
          <cell r="B1616" t="str">
            <v>Commission  Receipts</v>
          </cell>
          <cell r="C1616" t="str">
            <v>REVENUE</v>
          </cell>
          <cell r="D1616" t="str">
            <v>INCOME STATEMENT</v>
          </cell>
          <cell r="E1616">
            <v>0</v>
          </cell>
          <cell r="F1616">
            <v>0</v>
          </cell>
          <cell r="G1616" t="str">
            <v>INCOME</v>
          </cell>
          <cell r="H1616" t="str">
            <v>OTHER INCOME</v>
          </cell>
          <cell r="I1616" t="str">
            <v>OTHER INCOME</v>
          </cell>
        </row>
        <row r="1617">
          <cell r="A1617" t="str">
            <v>R201103</v>
          </cell>
          <cell r="B1617" t="str">
            <v>Escalation Received</v>
          </cell>
          <cell r="C1617" t="str">
            <v>REVENUE</v>
          </cell>
          <cell r="D1617" t="str">
            <v>INCOME STATEMENT</v>
          </cell>
          <cell r="E1617">
            <v>0</v>
          </cell>
          <cell r="F1617">
            <v>0</v>
          </cell>
          <cell r="G1617" t="str">
            <v>INCOME</v>
          </cell>
          <cell r="H1617" t="str">
            <v>OTHER INCOME</v>
          </cell>
          <cell r="I1617" t="str">
            <v>OTHER INCOME</v>
          </cell>
        </row>
        <row r="1618">
          <cell r="A1618" t="str">
            <v>R201104</v>
          </cell>
          <cell r="B1618" t="str">
            <v>Inter Project Receipts</v>
          </cell>
          <cell r="C1618" t="str">
            <v>REVENUE</v>
          </cell>
          <cell r="D1618" t="str">
            <v>INCOME STATEMENT</v>
          </cell>
          <cell r="E1618">
            <v>0</v>
          </cell>
          <cell r="F1618">
            <v>0</v>
          </cell>
          <cell r="G1618" t="str">
            <v>INCOME</v>
          </cell>
          <cell r="H1618" t="str">
            <v>OTHER INCOME</v>
          </cell>
          <cell r="I1618" t="str">
            <v>OTHER INCOME</v>
          </cell>
        </row>
        <row r="1619">
          <cell r="A1619" t="str">
            <v>R201105</v>
          </cell>
          <cell r="B1619" t="str">
            <v>Sale Of Brochures / Forms</v>
          </cell>
          <cell r="C1619" t="str">
            <v>REVENUE</v>
          </cell>
          <cell r="D1619" t="str">
            <v>INCOME STATEMENT</v>
          </cell>
          <cell r="E1619">
            <v>0</v>
          </cell>
          <cell r="F1619">
            <v>0</v>
          </cell>
          <cell r="G1619" t="str">
            <v>INCOME</v>
          </cell>
          <cell r="H1619" t="str">
            <v>OTHER INCOME</v>
          </cell>
          <cell r="I1619" t="str">
            <v>OTHER INCOME</v>
          </cell>
        </row>
        <row r="1620">
          <cell r="A1620" t="str">
            <v>R201106</v>
          </cell>
          <cell r="B1620" t="str">
            <v>Hire Income-Central Equp. Pool</v>
          </cell>
          <cell r="C1620" t="str">
            <v>REVENUE</v>
          </cell>
          <cell r="D1620" t="str">
            <v>INCOME STATEMENT</v>
          </cell>
          <cell r="E1620">
            <v>0</v>
          </cell>
          <cell r="F1620">
            <v>0</v>
          </cell>
          <cell r="G1620" t="str">
            <v>INCOME</v>
          </cell>
          <cell r="H1620" t="str">
            <v>OTHER INCOME</v>
          </cell>
          <cell r="I1620" t="str">
            <v>OTHER INCOME</v>
          </cell>
        </row>
        <row r="1621">
          <cell r="A1621" t="str">
            <v>R201107</v>
          </cell>
          <cell r="B1621" t="str">
            <v>Sale Of Scrap</v>
          </cell>
          <cell r="C1621" t="str">
            <v>REVENUE</v>
          </cell>
          <cell r="D1621" t="str">
            <v>INCOME STATEMENT</v>
          </cell>
          <cell r="E1621">
            <v>0</v>
          </cell>
          <cell r="F1621">
            <v>0</v>
          </cell>
          <cell r="G1621" t="str">
            <v>INCOME</v>
          </cell>
          <cell r="H1621" t="str">
            <v>OTHER INCOME</v>
          </cell>
          <cell r="I1621" t="str">
            <v>OTHER INCOME</v>
          </cell>
        </row>
        <row r="1622">
          <cell r="A1622" t="str">
            <v>R201108</v>
          </cell>
          <cell r="B1622" t="str">
            <v>Use Of Vacant Plot</v>
          </cell>
          <cell r="C1622" t="str">
            <v>REVENUE</v>
          </cell>
          <cell r="D1622" t="str">
            <v>INCOME STATEMENT</v>
          </cell>
          <cell r="E1622">
            <v>0</v>
          </cell>
          <cell r="F1622">
            <v>0</v>
          </cell>
          <cell r="G1622" t="str">
            <v>INCOME</v>
          </cell>
          <cell r="H1622" t="str">
            <v>OTHER INCOME</v>
          </cell>
          <cell r="I1622" t="str">
            <v>OTHER INCOME</v>
          </cell>
        </row>
        <row r="1623">
          <cell r="A1623" t="str">
            <v>R201109</v>
          </cell>
          <cell r="B1623" t="str">
            <v>Garbage Disposal</v>
          </cell>
          <cell r="C1623" t="str">
            <v>REVENUE</v>
          </cell>
          <cell r="D1623" t="str">
            <v>INCOME STATEMENT</v>
          </cell>
          <cell r="E1623">
            <v>0</v>
          </cell>
          <cell r="F1623">
            <v>0</v>
          </cell>
          <cell r="G1623" t="str">
            <v>INCOME</v>
          </cell>
          <cell r="H1623" t="str">
            <v>OTHER INCOME</v>
          </cell>
          <cell r="I1623" t="str">
            <v>OTHER INCOME</v>
          </cell>
        </row>
        <row r="1624">
          <cell r="A1624" t="str">
            <v>R201110</v>
          </cell>
          <cell r="B1624" t="str">
            <v>Subsidi Received</v>
          </cell>
          <cell r="C1624" t="str">
            <v>REVENUE</v>
          </cell>
          <cell r="D1624" t="str">
            <v>INCOME STATEMENT</v>
          </cell>
          <cell r="E1624">
            <v>0</v>
          </cell>
          <cell r="F1624">
            <v>0</v>
          </cell>
          <cell r="G1624" t="str">
            <v>INCOME</v>
          </cell>
          <cell r="H1624" t="str">
            <v>OTHER INCOME</v>
          </cell>
          <cell r="I1624" t="str">
            <v>OTHER INCOME</v>
          </cell>
        </row>
        <row r="1625">
          <cell r="A1625" t="str">
            <v>R201111</v>
          </cell>
          <cell r="B1625" t="str">
            <v>Misc Income Gift Cards</v>
          </cell>
          <cell r="C1625" t="str">
            <v>REVENUE</v>
          </cell>
          <cell r="D1625" t="str">
            <v>INCOME STATEMENT</v>
          </cell>
          <cell r="E1625">
            <v>0</v>
          </cell>
          <cell r="F1625">
            <v>0</v>
          </cell>
          <cell r="G1625" t="str">
            <v>INCOME</v>
          </cell>
          <cell r="H1625" t="str">
            <v>OTHER INCOME</v>
          </cell>
          <cell r="I1625" t="str">
            <v>OTHER INCOME</v>
          </cell>
        </row>
        <row r="1626">
          <cell r="A1626" t="str">
            <v>R201201</v>
          </cell>
          <cell r="B1626" t="str">
            <v>Performance Penalty Charged</v>
          </cell>
          <cell r="C1626" t="str">
            <v>REVENUE</v>
          </cell>
          <cell r="D1626" t="str">
            <v>INCOME STATEMENT</v>
          </cell>
          <cell r="E1626">
            <v>0</v>
          </cell>
          <cell r="F1626">
            <v>0</v>
          </cell>
          <cell r="G1626" t="str">
            <v>INCOME</v>
          </cell>
          <cell r="H1626" t="str">
            <v>OTHER INCOME</v>
          </cell>
          <cell r="I1626" t="str">
            <v>OTHER INCOME</v>
          </cell>
        </row>
        <row r="1627">
          <cell r="A1627" t="str">
            <v>R202001</v>
          </cell>
          <cell r="B1627" t="str">
            <v>Unclaimed balances and excess prov. w/b</v>
          </cell>
          <cell r="C1627" t="str">
            <v>REVENUE</v>
          </cell>
          <cell r="D1627" t="str">
            <v>INCOME STATEMENT</v>
          </cell>
          <cell r="E1627">
            <v>0</v>
          </cell>
          <cell r="F1627">
            <v>0</v>
          </cell>
          <cell r="G1627" t="str">
            <v>INCOME</v>
          </cell>
          <cell r="H1627" t="str">
            <v>OTHER INCOME</v>
          </cell>
          <cell r="I1627" t="str">
            <v>OTHER INCOME</v>
          </cell>
        </row>
        <row r="1628">
          <cell r="A1628" t="str">
            <v>R202002</v>
          </cell>
          <cell r="B1628" t="str">
            <v>Prior Period Income</v>
          </cell>
          <cell r="C1628" t="str">
            <v>REVENUE</v>
          </cell>
          <cell r="D1628" t="str">
            <v>INCOME STATEMENT</v>
          </cell>
          <cell r="E1628">
            <v>0</v>
          </cell>
          <cell r="F1628">
            <v>0</v>
          </cell>
          <cell r="G1628" t="str">
            <v>INCOME</v>
          </cell>
          <cell r="H1628" t="str">
            <v>OTHER INCOME</v>
          </cell>
          <cell r="I1628" t="str">
            <v>OTHER INCOME</v>
          </cell>
        </row>
        <row r="1629">
          <cell r="A1629" t="str">
            <v>R202003</v>
          </cell>
          <cell r="B1629" t="str">
            <v>Bad Debts Recovered</v>
          </cell>
          <cell r="C1629" t="str">
            <v>REVENUE</v>
          </cell>
          <cell r="D1629" t="str">
            <v>INCOME STATEMENT</v>
          </cell>
          <cell r="E1629">
            <v>0</v>
          </cell>
          <cell r="F1629">
            <v>0</v>
          </cell>
          <cell r="G1629" t="str">
            <v>INCOME</v>
          </cell>
          <cell r="H1629" t="str">
            <v>OTHER INCOME</v>
          </cell>
          <cell r="I1629" t="str">
            <v>OTHER INCOME</v>
          </cell>
        </row>
        <row r="1630">
          <cell r="A1630" t="str">
            <v>R203001</v>
          </cell>
          <cell r="B1630" t="str">
            <v>Miscellaneous</v>
          </cell>
          <cell r="C1630" t="str">
            <v>REVENUE</v>
          </cell>
          <cell r="D1630" t="str">
            <v>INCOME STATEMENT</v>
          </cell>
          <cell r="E1630">
            <v>0</v>
          </cell>
          <cell r="F1630">
            <v>0</v>
          </cell>
          <cell r="G1630" t="str">
            <v>INCOME</v>
          </cell>
          <cell r="H1630" t="str">
            <v>OTHER INCOME</v>
          </cell>
          <cell r="I1630" t="str">
            <v>OTHER INCOME</v>
          </cell>
        </row>
        <row r="1631">
          <cell r="A1631" t="str">
            <v>R203002</v>
          </cell>
          <cell r="B1631" t="str">
            <v>Miscellaneous- Site Plans</v>
          </cell>
          <cell r="C1631" t="str">
            <v>REVENUE</v>
          </cell>
          <cell r="D1631" t="str">
            <v>INCOME STATEMENT</v>
          </cell>
          <cell r="E1631">
            <v>0</v>
          </cell>
          <cell r="F1631">
            <v>0</v>
          </cell>
          <cell r="G1631" t="str">
            <v>INCOME</v>
          </cell>
          <cell r="H1631" t="str">
            <v>OTHER INCOME</v>
          </cell>
          <cell r="I1631" t="str">
            <v>OTHER INCOME</v>
          </cell>
        </row>
        <row r="1632">
          <cell r="A1632" t="str">
            <v>R203003</v>
          </cell>
          <cell r="B1632" t="str">
            <v>Miscellaneous- Perks Recovery</v>
          </cell>
          <cell r="C1632" t="str">
            <v>REVENUE</v>
          </cell>
          <cell r="D1632" t="str">
            <v>INCOME STATEMENT</v>
          </cell>
          <cell r="E1632">
            <v>0</v>
          </cell>
          <cell r="F1632">
            <v>0</v>
          </cell>
          <cell r="G1632" t="str">
            <v>INCOME</v>
          </cell>
          <cell r="H1632" t="str">
            <v>OTHER INCOME</v>
          </cell>
          <cell r="I1632" t="str">
            <v>OTHER INCOME</v>
          </cell>
        </row>
        <row r="1633">
          <cell r="A1633" t="str">
            <v>R203004</v>
          </cell>
          <cell r="B1633" t="str">
            <v>Miscellaneous- Others</v>
          </cell>
          <cell r="C1633" t="str">
            <v>REVENUE</v>
          </cell>
          <cell r="D1633" t="str">
            <v>INCOME STATEMENT</v>
          </cell>
          <cell r="E1633">
            <v>0</v>
          </cell>
          <cell r="F1633">
            <v>0</v>
          </cell>
          <cell r="G1633" t="str">
            <v>INCOME</v>
          </cell>
          <cell r="H1633" t="str">
            <v>OTHER INCOME</v>
          </cell>
          <cell r="I1633" t="str">
            <v>OTHER INCOME</v>
          </cell>
        </row>
        <row r="1634">
          <cell r="A1634" t="str">
            <v>R203005</v>
          </cell>
          <cell r="B1634" t="str">
            <v>Miscellaneous- Watch And Ward(Dilshad)</v>
          </cell>
          <cell r="C1634" t="str">
            <v>REVENUE</v>
          </cell>
          <cell r="D1634" t="str">
            <v>INCOME STATEMENT</v>
          </cell>
          <cell r="E1634">
            <v>0</v>
          </cell>
          <cell r="F1634">
            <v>0</v>
          </cell>
          <cell r="G1634" t="str">
            <v>INCOME</v>
          </cell>
          <cell r="H1634" t="str">
            <v>OTHER INCOME</v>
          </cell>
          <cell r="I1634" t="str">
            <v>OTHER INCOME</v>
          </cell>
        </row>
        <row r="1635">
          <cell r="A1635" t="str">
            <v>R203006</v>
          </cell>
          <cell r="B1635" t="str">
            <v>Misc. Sales</v>
          </cell>
          <cell r="C1635" t="str">
            <v>REVENUE</v>
          </cell>
          <cell r="D1635" t="str">
            <v>INCOME STATEMENT</v>
          </cell>
          <cell r="E1635">
            <v>0</v>
          </cell>
          <cell r="F1635">
            <v>0</v>
          </cell>
          <cell r="G1635" t="str">
            <v>INCOME</v>
          </cell>
          <cell r="H1635" t="str">
            <v>OTHER INCOME</v>
          </cell>
          <cell r="I1635" t="str">
            <v>OTHER INCOME</v>
          </cell>
        </row>
        <row r="1636">
          <cell r="A1636" t="str">
            <v>R203007</v>
          </cell>
          <cell r="B1636" t="str">
            <v>Condominium Reimbursement</v>
          </cell>
          <cell r="C1636" t="str">
            <v>REVENUE</v>
          </cell>
          <cell r="D1636" t="str">
            <v>INCOME STATEMENT</v>
          </cell>
          <cell r="E1636">
            <v>0</v>
          </cell>
          <cell r="F1636">
            <v>0</v>
          </cell>
          <cell r="G1636" t="str">
            <v>INCOME</v>
          </cell>
          <cell r="H1636" t="str">
            <v>OTHER INCOME</v>
          </cell>
          <cell r="I1636" t="str">
            <v>OTHER INCOME</v>
          </cell>
        </row>
        <row r="1637">
          <cell r="A1637" t="str">
            <v>R203099</v>
          </cell>
          <cell r="B1637" t="str">
            <v>IB-INCOME</v>
          </cell>
          <cell r="C1637" t="str">
            <v>REVENUE</v>
          </cell>
          <cell r="D1637" t="str">
            <v>INCOME STATEMENT</v>
          </cell>
          <cell r="E1637">
            <v>0</v>
          </cell>
          <cell r="F1637">
            <v>0</v>
          </cell>
          <cell r="G1637" t="str">
            <v>INCOME</v>
          </cell>
          <cell r="H1637" t="str">
            <v>OTHER INCOME</v>
          </cell>
          <cell r="I1637" t="str">
            <v>OTHER INCOME</v>
          </cell>
        </row>
        <row r="1638">
          <cell r="A1638" t="str">
            <v>R203101</v>
          </cell>
          <cell r="B1638" t="str">
            <v>Exchange gain/ (loss)</v>
          </cell>
          <cell r="C1638" t="str">
            <v>REVENUE</v>
          </cell>
          <cell r="D1638" t="str">
            <v>INCOME STATEMENT</v>
          </cell>
          <cell r="E1638">
            <v>0</v>
          </cell>
          <cell r="F1638">
            <v>0</v>
          </cell>
          <cell r="G1638" t="str">
            <v>INCOME</v>
          </cell>
          <cell r="H1638" t="str">
            <v>OTHER INCOME</v>
          </cell>
          <cell r="I1638" t="str">
            <v>OTHER INCOME</v>
          </cell>
        </row>
        <row r="1639">
          <cell r="A1639" t="str">
            <v>R203201</v>
          </cell>
          <cell r="B1639" t="str">
            <v>Gain on Derivatives</v>
          </cell>
          <cell r="C1639" t="str">
            <v>REVENUE</v>
          </cell>
          <cell r="D1639" t="str">
            <v>INCOME STATEMENT</v>
          </cell>
          <cell r="E1639">
            <v>0</v>
          </cell>
          <cell r="F1639">
            <v>0</v>
          </cell>
          <cell r="G1639" t="str">
            <v>INCOME</v>
          </cell>
          <cell r="H1639" t="str">
            <v>OTHER INCOME</v>
          </cell>
          <cell r="I1639" t="str">
            <v>OTHER INCOME</v>
          </cell>
        </row>
        <row r="1640">
          <cell r="A1640" t="str">
            <v>R301001</v>
          </cell>
          <cell r="B1640" t="str">
            <v>Dividend (shares)</v>
          </cell>
          <cell r="C1640" t="str">
            <v>REVENUE</v>
          </cell>
          <cell r="D1640" t="str">
            <v>INCOME STATEMENT</v>
          </cell>
          <cell r="E1640">
            <v>0</v>
          </cell>
          <cell r="F1640">
            <v>0</v>
          </cell>
          <cell r="G1640" t="str">
            <v>INCOME</v>
          </cell>
          <cell r="H1640" t="str">
            <v>OTHER INCOME</v>
          </cell>
          <cell r="I1640" t="str">
            <v>DIVIDEND RECEIVED</v>
          </cell>
        </row>
        <row r="1641">
          <cell r="A1641" t="str">
            <v>R301101</v>
          </cell>
          <cell r="B1641" t="str">
            <v>Dividend (Mutual Fund)</v>
          </cell>
          <cell r="C1641" t="str">
            <v>REVENUE</v>
          </cell>
          <cell r="D1641" t="str">
            <v>INCOME STATEMENT</v>
          </cell>
          <cell r="E1641">
            <v>0</v>
          </cell>
          <cell r="F1641">
            <v>0</v>
          </cell>
          <cell r="G1641" t="str">
            <v>INCOME</v>
          </cell>
          <cell r="H1641" t="str">
            <v>OTHER INCOME</v>
          </cell>
          <cell r="I1641" t="str">
            <v>DIVIDEND RECEIVED</v>
          </cell>
        </row>
        <row r="1642">
          <cell r="A1642" t="str">
            <v>R302001</v>
          </cell>
          <cell r="B1642" t="str">
            <v>Interest on Debentures</v>
          </cell>
          <cell r="C1642" t="str">
            <v>REVENUE</v>
          </cell>
          <cell r="D1642" t="str">
            <v>INCOME STATEMENT</v>
          </cell>
          <cell r="E1642">
            <v>0</v>
          </cell>
          <cell r="F1642">
            <v>0</v>
          </cell>
          <cell r="G1642" t="str">
            <v>INCOME</v>
          </cell>
          <cell r="H1642" t="str">
            <v>OTHER INCOME</v>
          </cell>
          <cell r="I1642" t="str">
            <v>INTEREST RECEIVED</v>
          </cell>
        </row>
        <row r="1643">
          <cell r="A1643" t="str">
            <v>R303001</v>
          </cell>
          <cell r="B1643" t="str">
            <v>Profit / (Loss) from part. firms</v>
          </cell>
          <cell r="C1643" t="str">
            <v>REVENUE</v>
          </cell>
          <cell r="D1643" t="str">
            <v>INCOME STATEMENT</v>
          </cell>
          <cell r="E1643">
            <v>0</v>
          </cell>
          <cell r="F1643">
            <v>0</v>
          </cell>
          <cell r="G1643" t="str">
            <v>INCOME</v>
          </cell>
          <cell r="H1643" t="str">
            <v>OTHER INCOME</v>
          </cell>
          <cell r="I1643" t="str">
            <v>PROFIT/ LOSS FROM PARTNERSHIP FIRMS</v>
          </cell>
        </row>
        <row r="1644">
          <cell r="A1644" t="str">
            <v>R304001</v>
          </cell>
          <cell r="B1644" t="str">
            <v>Interest On FDs</v>
          </cell>
          <cell r="C1644" t="str">
            <v>REVENUE</v>
          </cell>
          <cell r="D1644" t="str">
            <v>INCOME STATEMENT</v>
          </cell>
          <cell r="E1644">
            <v>0</v>
          </cell>
          <cell r="F1644">
            <v>0</v>
          </cell>
          <cell r="G1644" t="str">
            <v>INCOME</v>
          </cell>
          <cell r="H1644" t="str">
            <v>OTHER INCOME</v>
          </cell>
          <cell r="I1644" t="str">
            <v>INTEREST RECEIVED</v>
          </cell>
        </row>
        <row r="1645">
          <cell r="A1645" t="str">
            <v>R305001-000-000</v>
          </cell>
          <cell r="B1645" t="str">
            <v>Int Rec from Cust</v>
          </cell>
          <cell r="C1645" t="str">
            <v>REVENUE</v>
          </cell>
          <cell r="D1645" t="str">
            <v>INCOME STATEMENT</v>
          </cell>
          <cell r="E1645">
            <v>0</v>
          </cell>
          <cell r="F1645">
            <v>0</v>
          </cell>
          <cell r="G1645" t="str">
            <v>INCOME</v>
          </cell>
          <cell r="H1645" t="str">
            <v>OTHER INCOME</v>
          </cell>
          <cell r="I1645" t="str">
            <v>INTEREST RECEIVED</v>
          </cell>
        </row>
        <row r="1646">
          <cell r="A1646" t="str">
            <v>R305001-000-001</v>
          </cell>
          <cell r="B1646" t="str">
            <v>Int Rec from Cust- ANKUR VIHAR</v>
          </cell>
          <cell r="C1646" t="str">
            <v>REVENUE</v>
          </cell>
          <cell r="D1646" t="str">
            <v>INCOME STATEMENT</v>
          </cell>
          <cell r="E1646">
            <v>0</v>
          </cell>
          <cell r="F1646">
            <v>0</v>
          </cell>
          <cell r="G1646" t="str">
            <v>INCOME</v>
          </cell>
          <cell r="H1646" t="str">
            <v>OTHER INCOME</v>
          </cell>
          <cell r="I1646" t="str">
            <v>INTEREST RECEIVED</v>
          </cell>
        </row>
        <row r="1647">
          <cell r="A1647" t="str">
            <v>R305001-000-004</v>
          </cell>
          <cell r="B1647" t="str">
            <v>Int Rec from Cust- BEVERLY PARK</v>
          </cell>
          <cell r="C1647" t="str">
            <v>REVENUE</v>
          </cell>
          <cell r="D1647" t="str">
            <v>INCOME STATEMENT</v>
          </cell>
          <cell r="E1647">
            <v>0</v>
          </cell>
          <cell r="F1647">
            <v>0</v>
          </cell>
          <cell r="G1647" t="str">
            <v>INCOME</v>
          </cell>
          <cell r="H1647" t="str">
            <v>OTHER INCOME</v>
          </cell>
          <cell r="I1647" t="str">
            <v>INTEREST RECEIVED</v>
          </cell>
        </row>
        <row r="1648">
          <cell r="A1648" t="str">
            <v>R305001-000-005</v>
          </cell>
          <cell r="B1648" t="str">
            <v>Int Rec from Cust- BEVERLY PARK-II</v>
          </cell>
          <cell r="C1648" t="str">
            <v>REVENUE</v>
          </cell>
          <cell r="D1648" t="str">
            <v>INCOME STATEMENT</v>
          </cell>
          <cell r="E1648">
            <v>0</v>
          </cell>
          <cell r="F1648">
            <v>0</v>
          </cell>
          <cell r="G1648" t="str">
            <v>INCOME</v>
          </cell>
          <cell r="H1648" t="str">
            <v>OTHER INCOME</v>
          </cell>
          <cell r="I1648" t="str">
            <v>INTEREST RECEIVED</v>
          </cell>
        </row>
        <row r="1649">
          <cell r="A1649" t="str">
            <v>R305001-000-009</v>
          </cell>
          <cell r="B1649" t="str">
            <v>Int Rec from Cust- DILSHAD LOTTERY</v>
          </cell>
          <cell r="C1649" t="str">
            <v>REVENUE</v>
          </cell>
          <cell r="D1649" t="str">
            <v>INCOME STATEMENT</v>
          </cell>
          <cell r="E1649">
            <v>0</v>
          </cell>
          <cell r="F1649">
            <v>0</v>
          </cell>
          <cell r="G1649" t="str">
            <v>INCOME</v>
          </cell>
          <cell r="H1649" t="str">
            <v>OTHER INCOME</v>
          </cell>
          <cell r="I1649" t="str">
            <v>INTEREST RECEIVED</v>
          </cell>
        </row>
        <row r="1650">
          <cell r="A1650" t="str">
            <v>R305001-000-010</v>
          </cell>
          <cell r="B1650" t="str">
            <v>Int Rec from Cust- DILSHAD PLAZA</v>
          </cell>
          <cell r="C1650" t="str">
            <v>REVENUE</v>
          </cell>
          <cell r="D1650" t="str">
            <v>INCOME STATEMENT</v>
          </cell>
          <cell r="E1650">
            <v>0</v>
          </cell>
          <cell r="F1650">
            <v>0</v>
          </cell>
          <cell r="G1650" t="str">
            <v>INCOME</v>
          </cell>
          <cell r="H1650" t="str">
            <v>OTHER INCOME</v>
          </cell>
          <cell r="I1650" t="str">
            <v>INTEREST RECEIVED</v>
          </cell>
        </row>
        <row r="1651">
          <cell r="A1651" t="str">
            <v>R305001-000-013</v>
          </cell>
          <cell r="B1651" t="str">
            <v>Int Rec from Cust- HAMILTON COURT</v>
          </cell>
          <cell r="C1651" t="str">
            <v>REVENUE</v>
          </cell>
          <cell r="D1651" t="str">
            <v>INCOME STATEMENT</v>
          </cell>
          <cell r="E1651">
            <v>0</v>
          </cell>
          <cell r="F1651">
            <v>0</v>
          </cell>
          <cell r="G1651" t="str">
            <v>INCOME</v>
          </cell>
          <cell r="H1651" t="str">
            <v>OTHER INCOME</v>
          </cell>
          <cell r="I1651" t="str">
            <v>INTEREST RECEIVED</v>
          </cell>
        </row>
        <row r="1652">
          <cell r="A1652" t="str">
            <v>R305001-000-015</v>
          </cell>
          <cell r="B1652" t="str">
            <v>Int Rec from Cust- TOWN HOUSE</v>
          </cell>
          <cell r="C1652" t="str">
            <v>REVENUE</v>
          </cell>
          <cell r="D1652" t="str">
            <v>INCOME STATEMENT</v>
          </cell>
          <cell r="E1652">
            <v>0</v>
          </cell>
          <cell r="F1652">
            <v>0</v>
          </cell>
          <cell r="G1652" t="str">
            <v>INCOME</v>
          </cell>
          <cell r="H1652" t="str">
            <v>OTHER INCOME</v>
          </cell>
          <cell r="I1652" t="str">
            <v>INTEREST RECEIVED</v>
          </cell>
        </row>
        <row r="1653">
          <cell r="A1653" t="str">
            <v>R305001-000-017</v>
          </cell>
          <cell r="B1653" t="str">
            <v>Int Rec from Cust- QEC PAHSE-IV</v>
          </cell>
          <cell r="C1653" t="str">
            <v>REVENUE</v>
          </cell>
          <cell r="D1653" t="str">
            <v>INCOME STATEMENT</v>
          </cell>
          <cell r="E1653">
            <v>0</v>
          </cell>
          <cell r="F1653">
            <v>0</v>
          </cell>
          <cell r="G1653" t="str">
            <v>INCOME</v>
          </cell>
          <cell r="H1653" t="str">
            <v>OTHER INCOME</v>
          </cell>
          <cell r="I1653" t="str">
            <v>INTEREST RECEIVED</v>
          </cell>
        </row>
        <row r="1654">
          <cell r="A1654" t="str">
            <v>R305001-000-018</v>
          </cell>
          <cell r="B1654" t="str">
            <v>Int Rec from Cust- QEC PAHSE-V</v>
          </cell>
          <cell r="C1654" t="str">
            <v>REVENUE</v>
          </cell>
          <cell r="D1654" t="str">
            <v>INCOME STATEMENT</v>
          </cell>
          <cell r="E1654">
            <v>0</v>
          </cell>
          <cell r="F1654">
            <v>0</v>
          </cell>
          <cell r="G1654" t="str">
            <v>INCOME</v>
          </cell>
          <cell r="H1654" t="str">
            <v>OTHER INCOME</v>
          </cell>
          <cell r="I1654" t="str">
            <v>INTEREST RECEIVED</v>
          </cell>
        </row>
        <row r="1655">
          <cell r="A1655" t="str">
            <v>R305001-000-019</v>
          </cell>
          <cell r="B1655" t="str">
            <v>Int Rec from Cust- REGENCY PARK</v>
          </cell>
          <cell r="C1655" t="str">
            <v>REVENUE</v>
          </cell>
          <cell r="D1655" t="str">
            <v>INCOME STATEMENT</v>
          </cell>
          <cell r="E1655">
            <v>0</v>
          </cell>
          <cell r="F1655">
            <v>0</v>
          </cell>
          <cell r="G1655" t="str">
            <v>INCOME</v>
          </cell>
          <cell r="H1655" t="str">
            <v>OTHER INCOME</v>
          </cell>
          <cell r="I1655" t="str">
            <v>INTEREST RECEIVED</v>
          </cell>
        </row>
        <row r="1656">
          <cell r="A1656" t="str">
            <v>R305001-000-020</v>
          </cell>
          <cell r="B1656" t="str">
            <v>Int Rec from Cust- REGENCY PARK-PARKING</v>
          </cell>
          <cell r="C1656" t="str">
            <v>REVENUE</v>
          </cell>
          <cell r="D1656" t="str">
            <v>INCOME STATEMENT</v>
          </cell>
          <cell r="E1656">
            <v>0</v>
          </cell>
          <cell r="F1656">
            <v>0</v>
          </cell>
          <cell r="G1656" t="str">
            <v>INCOME</v>
          </cell>
          <cell r="H1656" t="str">
            <v>OTHER INCOME</v>
          </cell>
          <cell r="I1656" t="str">
            <v>INTEREST RECEIVED</v>
          </cell>
        </row>
        <row r="1657">
          <cell r="A1657" t="str">
            <v>R305001-000-021</v>
          </cell>
          <cell r="B1657" t="str">
            <v>Int Rec from Cust- RICHMOND PARK-PARKING</v>
          </cell>
          <cell r="C1657" t="str">
            <v>REVENUE</v>
          </cell>
          <cell r="D1657" t="str">
            <v>INCOME STATEMENT</v>
          </cell>
          <cell r="E1657">
            <v>0</v>
          </cell>
          <cell r="F1657">
            <v>0</v>
          </cell>
          <cell r="G1657" t="str">
            <v>INCOME</v>
          </cell>
          <cell r="H1657" t="str">
            <v>OTHER INCOME</v>
          </cell>
          <cell r="I1657" t="str">
            <v>INTEREST RECEIVED</v>
          </cell>
        </row>
        <row r="1658">
          <cell r="A1658" t="str">
            <v>R305001-000-022</v>
          </cell>
          <cell r="B1658" t="str">
            <v>Int Rec from Cust- RICHMOND PARK</v>
          </cell>
          <cell r="C1658" t="str">
            <v>REVENUE</v>
          </cell>
          <cell r="D1658" t="str">
            <v>INCOME STATEMENT</v>
          </cell>
          <cell r="E1658">
            <v>0</v>
          </cell>
          <cell r="F1658">
            <v>0</v>
          </cell>
          <cell r="G1658" t="str">
            <v>INCOME</v>
          </cell>
          <cell r="H1658" t="str">
            <v>OTHER INCOME</v>
          </cell>
          <cell r="I1658" t="str">
            <v>INTEREST RECEIVED</v>
          </cell>
        </row>
        <row r="1659">
          <cell r="A1659" t="str">
            <v>R305001-000-028</v>
          </cell>
          <cell r="B1659" t="str">
            <v>Int Rec from Cust- SILVER OAKS</v>
          </cell>
          <cell r="C1659" t="str">
            <v>REVENUE</v>
          </cell>
          <cell r="D1659" t="str">
            <v>INCOME STATEMENT</v>
          </cell>
          <cell r="E1659">
            <v>0</v>
          </cell>
          <cell r="F1659">
            <v>0</v>
          </cell>
          <cell r="G1659" t="str">
            <v>INCOME</v>
          </cell>
          <cell r="H1659" t="str">
            <v>OTHER INCOME</v>
          </cell>
          <cell r="I1659" t="str">
            <v>INTEREST RECEIVED</v>
          </cell>
        </row>
        <row r="1660">
          <cell r="A1660" t="str">
            <v>R305001-000-029</v>
          </cell>
          <cell r="B1660" t="str">
            <v>Int Rec from Cust- SILVER OAKS-PARKING</v>
          </cell>
          <cell r="C1660" t="str">
            <v>REVENUE</v>
          </cell>
          <cell r="D1660" t="str">
            <v>INCOME STATEMENT</v>
          </cell>
          <cell r="E1660">
            <v>0</v>
          </cell>
          <cell r="F1660">
            <v>0</v>
          </cell>
          <cell r="G1660" t="str">
            <v>INCOME</v>
          </cell>
          <cell r="H1660" t="str">
            <v>OTHER INCOME</v>
          </cell>
          <cell r="I1660" t="str">
            <v>INTEREST RECEIVED</v>
          </cell>
        </row>
        <row r="1661">
          <cell r="A1661" t="str">
            <v>R305001-000-030</v>
          </cell>
          <cell r="B1661" t="str">
            <v>Int Rec from Cust- SPRING FIELD</v>
          </cell>
          <cell r="C1661" t="str">
            <v>REVENUE</v>
          </cell>
          <cell r="D1661" t="str">
            <v>INCOME STATEMENT</v>
          </cell>
          <cell r="E1661">
            <v>0</v>
          </cell>
          <cell r="F1661">
            <v>0</v>
          </cell>
          <cell r="G1661" t="str">
            <v>INCOME</v>
          </cell>
          <cell r="H1661" t="str">
            <v>OTHER INCOME</v>
          </cell>
          <cell r="I1661" t="str">
            <v>INTEREST RECEIVED</v>
          </cell>
        </row>
        <row r="1662">
          <cell r="A1662" t="str">
            <v>R305001-000-037</v>
          </cell>
          <cell r="B1662" t="str">
            <v>Int Rec from Cust- CENTRE POINT</v>
          </cell>
          <cell r="C1662" t="str">
            <v>REVENUE</v>
          </cell>
          <cell r="D1662" t="str">
            <v>INCOME STATEMENT</v>
          </cell>
          <cell r="E1662">
            <v>0</v>
          </cell>
          <cell r="F1662">
            <v>0</v>
          </cell>
          <cell r="G1662" t="str">
            <v>INCOME</v>
          </cell>
          <cell r="H1662" t="str">
            <v>OTHER INCOME</v>
          </cell>
          <cell r="I1662" t="str">
            <v>INTEREST RECEIVED</v>
          </cell>
        </row>
        <row r="1663">
          <cell r="A1663" t="str">
            <v>R305001-000-039</v>
          </cell>
          <cell r="B1663" t="str">
            <v>Int Rec from Cust- RIDGEWOOD ESTATE</v>
          </cell>
          <cell r="C1663" t="str">
            <v>REVENUE</v>
          </cell>
          <cell r="D1663" t="str">
            <v>INCOME STATEMENT</v>
          </cell>
          <cell r="E1663">
            <v>0</v>
          </cell>
          <cell r="F1663">
            <v>0</v>
          </cell>
          <cell r="G1663" t="str">
            <v>INCOME</v>
          </cell>
          <cell r="H1663" t="str">
            <v>OTHER INCOME</v>
          </cell>
          <cell r="I1663" t="str">
            <v>INTEREST RECEIVED</v>
          </cell>
        </row>
        <row r="1664">
          <cell r="A1664" t="str">
            <v>R305001-000-042</v>
          </cell>
          <cell r="B1664" t="str">
            <v>Int Rec from Cust- PLOTS PH-1</v>
          </cell>
          <cell r="C1664" t="str">
            <v>REVENUE</v>
          </cell>
          <cell r="D1664" t="str">
            <v>INCOME STATEMENT</v>
          </cell>
          <cell r="E1664">
            <v>0</v>
          </cell>
          <cell r="F1664">
            <v>0</v>
          </cell>
          <cell r="G1664" t="str">
            <v>INCOME</v>
          </cell>
          <cell r="H1664" t="str">
            <v>OTHER INCOME</v>
          </cell>
          <cell r="I1664" t="str">
            <v>INTEREST RECEIVED</v>
          </cell>
        </row>
        <row r="1665">
          <cell r="A1665" t="str">
            <v>R305001-000-046</v>
          </cell>
          <cell r="B1665" t="str">
            <v>Int Rec from Cust- PRINCETON ESTATE</v>
          </cell>
          <cell r="C1665" t="str">
            <v>REVENUE</v>
          </cell>
          <cell r="D1665" t="str">
            <v>INCOME STATEMENT</v>
          </cell>
          <cell r="E1665">
            <v>0</v>
          </cell>
          <cell r="F1665">
            <v>0</v>
          </cell>
          <cell r="G1665" t="str">
            <v>INCOME</v>
          </cell>
          <cell r="H1665" t="str">
            <v>OTHER INCOME</v>
          </cell>
          <cell r="I1665" t="str">
            <v>INTEREST RECEIVED</v>
          </cell>
        </row>
        <row r="1666">
          <cell r="A1666" t="str">
            <v>R305001-000-054</v>
          </cell>
          <cell r="B1666" t="str">
            <v>Int Rec from Cust- BELVEDERE PARK</v>
          </cell>
          <cell r="C1666" t="str">
            <v>REVENUE</v>
          </cell>
          <cell r="D1666" t="str">
            <v>INCOME STATEMENT</v>
          </cell>
          <cell r="E1666">
            <v>0</v>
          </cell>
          <cell r="F1666">
            <v>0</v>
          </cell>
          <cell r="G1666" t="str">
            <v>INCOME</v>
          </cell>
          <cell r="H1666" t="str">
            <v>OTHER INCOME</v>
          </cell>
          <cell r="I1666" t="str">
            <v>INTEREST RECEIVED</v>
          </cell>
        </row>
        <row r="1667">
          <cell r="A1667" t="str">
            <v>R305001-000-056</v>
          </cell>
          <cell r="B1667" t="str">
            <v>Int Rec from Cust- DLF CITY CENTRE</v>
          </cell>
          <cell r="C1667" t="str">
            <v>REVENUE</v>
          </cell>
          <cell r="D1667" t="str">
            <v>INCOME STATEMENT</v>
          </cell>
          <cell r="E1667">
            <v>0</v>
          </cell>
          <cell r="F1667">
            <v>0</v>
          </cell>
          <cell r="G1667" t="str">
            <v>INCOME</v>
          </cell>
          <cell r="H1667" t="str">
            <v>OTHER INCOME</v>
          </cell>
          <cell r="I1667" t="str">
            <v>INTEREST RECEIVED</v>
          </cell>
        </row>
        <row r="1668">
          <cell r="A1668" t="str">
            <v>R305001-000-058</v>
          </cell>
          <cell r="B1668" t="str">
            <v>Int Rec from Cust- DLF EXCLUSIVE FLOORS</v>
          </cell>
          <cell r="C1668" t="str">
            <v>REVENUE</v>
          </cell>
          <cell r="D1668" t="str">
            <v>INCOME STATEMENT</v>
          </cell>
          <cell r="E1668">
            <v>0</v>
          </cell>
          <cell r="F1668">
            <v>0</v>
          </cell>
          <cell r="G1668" t="str">
            <v>INCOME</v>
          </cell>
          <cell r="H1668" t="str">
            <v>OTHER INCOME</v>
          </cell>
          <cell r="I1668" t="str">
            <v>INTEREST RECEIVED</v>
          </cell>
        </row>
        <row r="1669">
          <cell r="A1669" t="str">
            <v>R305001-000-059</v>
          </cell>
          <cell r="B1669" t="str">
            <v>Int Rec from Cust- DLF MOULSARI ARCADE</v>
          </cell>
          <cell r="C1669" t="str">
            <v>REVENUE</v>
          </cell>
          <cell r="D1669" t="str">
            <v>INCOME STATEMENT</v>
          </cell>
          <cell r="E1669">
            <v>0</v>
          </cell>
          <cell r="F1669">
            <v>0</v>
          </cell>
          <cell r="G1669" t="str">
            <v>INCOME</v>
          </cell>
          <cell r="H1669" t="str">
            <v>OTHER INCOME</v>
          </cell>
          <cell r="I1669" t="str">
            <v>INTEREST RECEIVED</v>
          </cell>
        </row>
        <row r="1670">
          <cell r="A1670" t="str">
            <v>R305001-000-060</v>
          </cell>
          <cell r="B1670" t="str">
            <v>Int Rec from Cust- TRINITY TOWERS</v>
          </cell>
          <cell r="C1670" t="str">
            <v>REVENUE</v>
          </cell>
          <cell r="D1670" t="str">
            <v>INCOME STATEMENT</v>
          </cell>
          <cell r="E1670">
            <v>0</v>
          </cell>
          <cell r="F1670">
            <v>0</v>
          </cell>
          <cell r="G1670" t="str">
            <v>INCOME</v>
          </cell>
          <cell r="H1670" t="str">
            <v>OTHER INCOME</v>
          </cell>
          <cell r="I1670" t="str">
            <v>INTEREST RECEIVED</v>
          </cell>
        </row>
        <row r="1671">
          <cell r="A1671" t="str">
            <v>R305001-000-061</v>
          </cell>
          <cell r="B1671" t="str">
            <v>Int Rec from Cust- DLF GRAND MALL</v>
          </cell>
          <cell r="C1671" t="str">
            <v>REVENUE</v>
          </cell>
          <cell r="D1671" t="str">
            <v>INCOME STATEMENT</v>
          </cell>
          <cell r="E1671">
            <v>0</v>
          </cell>
          <cell r="F1671">
            <v>0</v>
          </cell>
          <cell r="G1671" t="str">
            <v>INCOME</v>
          </cell>
          <cell r="H1671" t="str">
            <v>OTHER INCOME</v>
          </cell>
          <cell r="I1671" t="str">
            <v>INTEREST RECEIVED</v>
          </cell>
        </row>
        <row r="1672">
          <cell r="A1672" t="str">
            <v>R305001-000-062</v>
          </cell>
          <cell r="B1672" t="str">
            <v>Int Rec from Cust- THE ARALIAS</v>
          </cell>
          <cell r="C1672" t="str">
            <v>REVENUE</v>
          </cell>
          <cell r="D1672" t="str">
            <v>INCOME STATEMENT</v>
          </cell>
          <cell r="E1672">
            <v>0</v>
          </cell>
          <cell r="F1672">
            <v>0</v>
          </cell>
          <cell r="G1672" t="str">
            <v>INCOME</v>
          </cell>
          <cell r="H1672" t="str">
            <v>OTHER INCOME</v>
          </cell>
          <cell r="I1672" t="str">
            <v>INTEREST RECEIVED</v>
          </cell>
        </row>
        <row r="1673">
          <cell r="A1673" t="str">
            <v>R305001-000-064</v>
          </cell>
          <cell r="B1673" t="str">
            <v>Int Rec from Cust- WESTEND HEIGHTS</v>
          </cell>
          <cell r="C1673" t="str">
            <v>REVENUE</v>
          </cell>
          <cell r="D1673" t="str">
            <v>INCOME STATEMENT</v>
          </cell>
          <cell r="E1673">
            <v>0</v>
          </cell>
          <cell r="F1673">
            <v>0</v>
          </cell>
          <cell r="G1673" t="str">
            <v>INCOME</v>
          </cell>
          <cell r="H1673" t="str">
            <v>OTHER INCOME</v>
          </cell>
          <cell r="I1673" t="str">
            <v>INTEREST RECEIVED</v>
          </cell>
        </row>
        <row r="1674">
          <cell r="A1674" t="str">
            <v>R305001-000-069</v>
          </cell>
          <cell r="B1674" t="str">
            <v>Int Rec from Cust- THE PINNACLE</v>
          </cell>
          <cell r="C1674" t="str">
            <v>REVENUE</v>
          </cell>
          <cell r="D1674" t="str">
            <v>INCOME STATEMENT</v>
          </cell>
          <cell r="E1674">
            <v>0</v>
          </cell>
          <cell r="F1674">
            <v>0</v>
          </cell>
          <cell r="G1674" t="str">
            <v>INCOME</v>
          </cell>
          <cell r="H1674" t="str">
            <v>OTHER INCOME</v>
          </cell>
          <cell r="I1674" t="str">
            <v>INTEREST RECEIVED</v>
          </cell>
        </row>
        <row r="1675">
          <cell r="A1675" t="str">
            <v>R305001-000-070</v>
          </cell>
          <cell r="B1675" t="str">
            <v>Int Rec from Cust- ROYALTON TOWER</v>
          </cell>
          <cell r="C1675" t="str">
            <v>REVENUE</v>
          </cell>
          <cell r="D1675" t="str">
            <v>INCOME STATEMENT</v>
          </cell>
          <cell r="E1675">
            <v>0</v>
          </cell>
          <cell r="F1675">
            <v>0</v>
          </cell>
          <cell r="G1675" t="str">
            <v>INCOME</v>
          </cell>
          <cell r="H1675" t="str">
            <v>OTHER INCOME</v>
          </cell>
          <cell r="I1675" t="str">
            <v>INTEREST RECEIVED</v>
          </cell>
        </row>
        <row r="1676">
          <cell r="A1676" t="str">
            <v>R305001-000-071</v>
          </cell>
          <cell r="B1676" t="str">
            <v>Int Rec from Cust- THE ICON</v>
          </cell>
          <cell r="C1676" t="str">
            <v>REVENUE</v>
          </cell>
          <cell r="D1676" t="str">
            <v>INCOME STATEMENT</v>
          </cell>
          <cell r="E1676">
            <v>0</v>
          </cell>
          <cell r="F1676">
            <v>0</v>
          </cell>
          <cell r="G1676" t="str">
            <v>INCOME</v>
          </cell>
          <cell r="H1676" t="str">
            <v>OTHER INCOME</v>
          </cell>
          <cell r="I1676" t="str">
            <v>INTEREST RECEIVED</v>
          </cell>
        </row>
        <row r="1677">
          <cell r="A1677" t="str">
            <v>R305001-000-075</v>
          </cell>
          <cell r="B1677" t="str">
            <v>Int Rec from Cust- THE SUMMIT</v>
          </cell>
          <cell r="C1677" t="str">
            <v>REVENUE</v>
          </cell>
          <cell r="D1677" t="str">
            <v>INCOME STATEMENT</v>
          </cell>
          <cell r="E1677">
            <v>0</v>
          </cell>
          <cell r="F1677">
            <v>0</v>
          </cell>
          <cell r="G1677" t="str">
            <v>INCOME</v>
          </cell>
          <cell r="H1677" t="str">
            <v>OTHER INCOME</v>
          </cell>
          <cell r="I1677" t="str">
            <v>INTEREST RECEIVED</v>
          </cell>
        </row>
        <row r="1678">
          <cell r="A1678" t="str">
            <v>R305001-000-076</v>
          </cell>
          <cell r="B1678" t="str">
            <v>Int Rec from Cust- THE COURTYARD</v>
          </cell>
          <cell r="C1678" t="str">
            <v>REVENUE</v>
          </cell>
          <cell r="D1678" t="str">
            <v>INCOME STATEMENT</v>
          </cell>
          <cell r="E1678">
            <v>0</v>
          </cell>
          <cell r="F1678">
            <v>0</v>
          </cell>
          <cell r="G1678" t="str">
            <v>INCOME</v>
          </cell>
          <cell r="H1678" t="str">
            <v>OTHER INCOME</v>
          </cell>
          <cell r="I1678" t="str">
            <v>INTEREST RECEIVED</v>
          </cell>
        </row>
        <row r="1679">
          <cell r="A1679" t="str">
            <v>R305001-000-080</v>
          </cell>
          <cell r="B1679" t="str">
            <v>Int Rec from Cust- THE MAGNOLIAS</v>
          </cell>
          <cell r="C1679" t="str">
            <v>REVENUE</v>
          </cell>
          <cell r="D1679" t="str">
            <v>INCOME STATEMENT</v>
          </cell>
          <cell r="E1679">
            <v>0</v>
          </cell>
          <cell r="F1679">
            <v>0</v>
          </cell>
          <cell r="G1679" t="str">
            <v>INCOME</v>
          </cell>
          <cell r="H1679" t="str">
            <v>OTHER INCOME</v>
          </cell>
          <cell r="I1679" t="str">
            <v>INTEREST RECEIVED</v>
          </cell>
        </row>
        <row r="1680">
          <cell r="A1680" t="str">
            <v>R305001-000-085</v>
          </cell>
          <cell r="B1680" t="str">
            <v>Int Rec from Cust- DLF CITY COURT</v>
          </cell>
          <cell r="C1680" t="str">
            <v>REVENUE</v>
          </cell>
          <cell r="D1680" t="str">
            <v>INCOME STATEMENT</v>
          </cell>
          <cell r="E1680">
            <v>0</v>
          </cell>
          <cell r="F1680">
            <v>0</v>
          </cell>
          <cell r="G1680" t="str">
            <v>INCOME</v>
          </cell>
          <cell r="H1680" t="str">
            <v>OTHER INCOME</v>
          </cell>
          <cell r="I1680" t="str">
            <v>INTEREST RECEIVED</v>
          </cell>
        </row>
        <row r="1681">
          <cell r="A1681" t="str">
            <v>R305001-000-088</v>
          </cell>
          <cell r="B1681" t="str">
            <v>Int Rec from Cust- THE BELAIRE</v>
          </cell>
          <cell r="C1681" t="str">
            <v>REVENUE</v>
          </cell>
          <cell r="D1681" t="str">
            <v>INCOME STATEMENT</v>
          </cell>
          <cell r="E1681">
            <v>0</v>
          </cell>
          <cell r="F1681">
            <v>0</v>
          </cell>
          <cell r="G1681" t="str">
            <v>INCOME</v>
          </cell>
          <cell r="H1681" t="str">
            <v>OTHER INCOME</v>
          </cell>
          <cell r="I1681" t="str">
            <v>INTEREST RECEIVED</v>
          </cell>
        </row>
        <row r="1682">
          <cell r="A1682" t="str">
            <v>R305101</v>
          </cell>
          <cell r="B1682" t="str">
            <v>Interest Income (Others)</v>
          </cell>
          <cell r="C1682" t="str">
            <v>REVENUE</v>
          </cell>
          <cell r="D1682" t="str">
            <v>INCOME STATEMENT</v>
          </cell>
          <cell r="E1682">
            <v>0</v>
          </cell>
          <cell r="F1682">
            <v>0</v>
          </cell>
          <cell r="G1682" t="str">
            <v>INCOME</v>
          </cell>
          <cell r="H1682" t="str">
            <v>OTHER INCOME</v>
          </cell>
          <cell r="I1682" t="str">
            <v>INTEREST RECEIVED</v>
          </cell>
        </row>
        <row r="1683">
          <cell r="A1683" t="str">
            <v>R305102</v>
          </cell>
          <cell r="B1683" t="str">
            <v>Interest Income (Others)- Delay Pmt</v>
          </cell>
          <cell r="C1683" t="str">
            <v>REVENUE</v>
          </cell>
          <cell r="D1683" t="str">
            <v>INCOME STATEMENT</v>
          </cell>
          <cell r="E1683">
            <v>0</v>
          </cell>
          <cell r="F1683">
            <v>0</v>
          </cell>
          <cell r="G1683" t="str">
            <v>INCOME</v>
          </cell>
          <cell r="H1683" t="str">
            <v>OTHER INCOME</v>
          </cell>
          <cell r="I1683" t="str">
            <v>INTEREST RECEIVED</v>
          </cell>
        </row>
        <row r="1684">
          <cell r="A1684" t="str">
            <v>R305201</v>
          </cell>
          <cell r="B1684" t="str">
            <v>Interest Income- London Office</v>
          </cell>
          <cell r="C1684" t="str">
            <v>REVENUE</v>
          </cell>
          <cell r="D1684" t="str">
            <v>INCOME STATEMENT</v>
          </cell>
          <cell r="E1684">
            <v>0</v>
          </cell>
          <cell r="F1684">
            <v>0</v>
          </cell>
          <cell r="G1684" t="str">
            <v>INCOME</v>
          </cell>
          <cell r="H1684" t="str">
            <v>OTHER INCOME</v>
          </cell>
          <cell r="I1684" t="str">
            <v>INTEREST RECEIVED</v>
          </cell>
        </row>
        <row r="1685">
          <cell r="A1685" t="str">
            <v>R305301</v>
          </cell>
          <cell r="B1685" t="str">
            <v>Interest Income - Loan Employe</v>
          </cell>
          <cell r="C1685" t="str">
            <v>REVENUE</v>
          </cell>
          <cell r="D1685" t="str">
            <v>INCOME STATEMENT</v>
          </cell>
          <cell r="E1685">
            <v>0</v>
          </cell>
          <cell r="F1685">
            <v>0</v>
          </cell>
          <cell r="G1685" t="str">
            <v>INCOME</v>
          </cell>
          <cell r="H1685" t="str">
            <v>OTHER INCOME</v>
          </cell>
          <cell r="I1685" t="str">
            <v>INTEREST RECEIVED</v>
          </cell>
        </row>
        <row r="1686">
          <cell r="A1686" t="str">
            <v>R305401</v>
          </cell>
          <cell r="B1686" t="str">
            <v>Interest on Laon (Group Co.)</v>
          </cell>
          <cell r="C1686" t="str">
            <v>REVENUE</v>
          </cell>
          <cell r="D1686" t="str">
            <v>INCOME STATEMENT</v>
          </cell>
          <cell r="E1686">
            <v>0</v>
          </cell>
          <cell r="F1686">
            <v>0</v>
          </cell>
          <cell r="G1686" t="str">
            <v>INCOME</v>
          </cell>
          <cell r="H1686" t="str">
            <v>OTHER INCOME</v>
          </cell>
          <cell r="I1686" t="str">
            <v>INTEREST RECEIVED</v>
          </cell>
        </row>
        <row r="1687">
          <cell r="A1687" t="str">
            <v>R305501</v>
          </cell>
          <cell r="B1687" t="str">
            <v>Interest on Loan (Third Party)</v>
          </cell>
          <cell r="C1687" t="str">
            <v>REVENUE</v>
          </cell>
          <cell r="D1687" t="str">
            <v>INCOME STATEMENT</v>
          </cell>
          <cell r="E1687">
            <v>0</v>
          </cell>
          <cell r="F1687">
            <v>0</v>
          </cell>
          <cell r="G1687" t="str">
            <v>INCOME</v>
          </cell>
          <cell r="H1687" t="str">
            <v>OTHER INCOME</v>
          </cell>
          <cell r="I1687" t="str">
            <v>INTEREST RECEIVED</v>
          </cell>
        </row>
        <row r="1688">
          <cell r="A1688" t="str">
            <v>R305601</v>
          </cell>
          <cell r="B1688" t="str">
            <v>Int on Loan in firms in whch Co is partn</v>
          </cell>
          <cell r="C1688" t="str">
            <v>REVENUE</v>
          </cell>
          <cell r="D1688" t="str">
            <v>INCOME STATEMENT</v>
          </cell>
          <cell r="E1688">
            <v>0</v>
          </cell>
          <cell r="F1688">
            <v>0</v>
          </cell>
          <cell r="G1688" t="str">
            <v>INCOME</v>
          </cell>
          <cell r="H1688" t="str">
            <v>OTHER INCOME</v>
          </cell>
          <cell r="I1688" t="str">
            <v>INTEREST RECEIVED</v>
          </cell>
        </row>
        <row r="1689">
          <cell r="A1689" t="str">
            <v>R306001-000-039</v>
          </cell>
          <cell r="B1689" t="str">
            <v>Rebate On Interest- RIDGWOOD ESTATES</v>
          </cell>
          <cell r="C1689" t="str">
            <v>REVENUE</v>
          </cell>
          <cell r="D1689" t="str">
            <v>INCOME STATEMENT</v>
          </cell>
          <cell r="E1689">
            <v>0</v>
          </cell>
          <cell r="F1689">
            <v>0</v>
          </cell>
          <cell r="G1689" t="str">
            <v>INCOME</v>
          </cell>
          <cell r="H1689" t="str">
            <v>OTHER INCOME</v>
          </cell>
          <cell r="I1689" t="str">
            <v>INTEREST RECEIVED (NET OFF)</v>
          </cell>
        </row>
        <row r="1690">
          <cell r="A1690" t="str">
            <v>R306001-000-058</v>
          </cell>
          <cell r="B1690" t="str">
            <v>Rebate On Interest- DLF EXCLUSIVE FLOORS</v>
          </cell>
          <cell r="C1690" t="str">
            <v>REVENUE</v>
          </cell>
          <cell r="D1690" t="str">
            <v>INCOME STATEMENT</v>
          </cell>
          <cell r="E1690">
            <v>0</v>
          </cell>
          <cell r="F1690">
            <v>0</v>
          </cell>
          <cell r="G1690" t="str">
            <v>INCOME</v>
          </cell>
          <cell r="H1690" t="str">
            <v>OTHER INCOME</v>
          </cell>
          <cell r="I1690" t="str">
            <v>INTEREST RECEIVED (NET OFF)</v>
          </cell>
        </row>
        <row r="1691">
          <cell r="A1691" t="str">
            <v>R306001-000-060</v>
          </cell>
          <cell r="B1691" t="str">
            <v>Rebate On Interest- TRINITY TOWER</v>
          </cell>
          <cell r="C1691" t="str">
            <v>REVENUE</v>
          </cell>
          <cell r="D1691" t="str">
            <v>INCOME STATEMENT</v>
          </cell>
          <cell r="E1691">
            <v>0</v>
          </cell>
          <cell r="F1691">
            <v>0</v>
          </cell>
          <cell r="G1691" t="str">
            <v>INCOME</v>
          </cell>
          <cell r="H1691" t="str">
            <v>OTHER INCOME</v>
          </cell>
          <cell r="I1691" t="str">
            <v>INTEREST RECEIVED (NET OFF)</v>
          </cell>
        </row>
        <row r="1692">
          <cell r="A1692" t="str">
            <v>R306001-000-062</v>
          </cell>
          <cell r="B1692" t="str">
            <v>Rebate On Interest- THE ARALIAS</v>
          </cell>
          <cell r="C1692" t="str">
            <v>REVENUE</v>
          </cell>
          <cell r="D1692" t="str">
            <v>INCOME STATEMENT</v>
          </cell>
          <cell r="E1692">
            <v>0</v>
          </cell>
          <cell r="F1692">
            <v>0</v>
          </cell>
          <cell r="G1692" t="str">
            <v>INCOME</v>
          </cell>
          <cell r="H1692" t="str">
            <v>OTHER INCOME</v>
          </cell>
          <cell r="I1692" t="str">
            <v>INTEREST RECEIVED (NET OFF)</v>
          </cell>
        </row>
        <row r="1693">
          <cell r="A1693" t="str">
            <v>R306001-000-064</v>
          </cell>
          <cell r="B1693" t="str">
            <v>Rebate On Interest- WESTEND HEIGHTS</v>
          </cell>
          <cell r="C1693" t="str">
            <v>REVENUE</v>
          </cell>
          <cell r="D1693" t="str">
            <v>INCOME STATEMENT</v>
          </cell>
          <cell r="E1693">
            <v>0</v>
          </cell>
          <cell r="F1693">
            <v>0</v>
          </cell>
          <cell r="G1693" t="str">
            <v>INCOME</v>
          </cell>
          <cell r="H1693" t="str">
            <v>OTHER INCOME</v>
          </cell>
          <cell r="I1693" t="str">
            <v>INTEREST RECEIVED (NET OFF)</v>
          </cell>
        </row>
        <row r="1694">
          <cell r="A1694" t="str">
            <v>R306001-000-069</v>
          </cell>
          <cell r="B1694" t="str">
            <v>Rebate On Interest- THE PINNACLE</v>
          </cell>
          <cell r="C1694" t="str">
            <v>REVENUE</v>
          </cell>
          <cell r="D1694" t="str">
            <v>INCOME STATEMENT</v>
          </cell>
          <cell r="E1694">
            <v>0</v>
          </cell>
          <cell r="F1694">
            <v>0</v>
          </cell>
          <cell r="G1694" t="str">
            <v>INCOME</v>
          </cell>
          <cell r="H1694" t="str">
            <v>OTHER INCOME</v>
          </cell>
          <cell r="I1694" t="str">
            <v>INTEREST RECEIVED (NET OFF)</v>
          </cell>
        </row>
        <row r="1695">
          <cell r="A1695" t="str">
            <v>R306001-000-070</v>
          </cell>
          <cell r="B1695" t="str">
            <v>Rebate On Interest- ROYALTON TOWR</v>
          </cell>
          <cell r="C1695" t="str">
            <v>REVENUE</v>
          </cell>
          <cell r="D1695" t="str">
            <v>INCOME STATEMENT</v>
          </cell>
          <cell r="E1695">
            <v>0</v>
          </cell>
          <cell r="F1695">
            <v>0</v>
          </cell>
          <cell r="G1695" t="str">
            <v>INCOME</v>
          </cell>
          <cell r="H1695" t="str">
            <v>OTHER INCOME</v>
          </cell>
          <cell r="I1695" t="str">
            <v>INTEREST RECEIVED (NET OFF)</v>
          </cell>
        </row>
        <row r="1696">
          <cell r="A1696" t="str">
            <v>R306001-000-071</v>
          </cell>
          <cell r="B1696" t="str">
            <v>Rebate On Interest- THE ICON</v>
          </cell>
          <cell r="C1696" t="str">
            <v>REVENUE</v>
          </cell>
          <cell r="D1696" t="str">
            <v>INCOME STATEMENT</v>
          </cell>
          <cell r="E1696">
            <v>0</v>
          </cell>
          <cell r="F1696">
            <v>0</v>
          </cell>
          <cell r="G1696" t="str">
            <v>INCOME</v>
          </cell>
          <cell r="H1696" t="str">
            <v>OTHER INCOME</v>
          </cell>
          <cell r="I1696" t="str">
            <v>INTEREST RECEIVED (NET OFF)</v>
          </cell>
        </row>
        <row r="1697">
          <cell r="A1697" t="str">
            <v>R306001-000-075</v>
          </cell>
          <cell r="B1697" t="str">
            <v>Rebate On Interest- THE SUMMIT</v>
          </cell>
          <cell r="C1697" t="str">
            <v>REVENUE</v>
          </cell>
          <cell r="D1697" t="str">
            <v>INCOME STATEMENT</v>
          </cell>
          <cell r="E1697">
            <v>0</v>
          </cell>
          <cell r="F1697">
            <v>0</v>
          </cell>
          <cell r="G1697" t="str">
            <v>INCOME</v>
          </cell>
          <cell r="H1697" t="str">
            <v>OTHER INCOME</v>
          </cell>
          <cell r="I1697" t="str">
            <v>INTEREST RECEIVED (NET OFF)</v>
          </cell>
        </row>
        <row r="1698">
          <cell r="A1698" t="str">
            <v>R306001-000-076</v>
          </cell>
          <cell r="B1698" t="str">
            <v>Rebate On Interest- THE COURTYARD</v>
          </cell>
          <cell r="C1698" t="str">
            <v>REVENUE</v>
          </cell>
          <cell r="D1698" t="str">
            <v>INCOME STATEMENT</v>
          </cell>
          <cell r="E1698">
            <v>0</v>
          </cell>
          <cell r="F1698">
            <v>0</v>
          </cell>
          <cell r="G1698" t="str">
            <v>INCOME</v>
          </cell>
          <cell r="H1698" t="str">
            <v>OTHER INCOME</v>
          </cell>
          <cell r="I1698" t="str">
            <v>INTEREST RECEIVED (NET OFF)</v>
          </cell>
        </row>
        <row r="1699">
          <cell r="A1699" t="str">
            <v>R306001-000-080</v>
          </cell>
          <cell r="B1699" t="str">
            <v>Rebate On Interest- THE MAGLOLIAS</v>
          </cell>
          <cell r="C1699" t="str">
            <v>REVENUE</v>
          </cell>
          <cell r="D1699" t="str">
            <v>INCOME STATEMENT</v>
          </cell>
          <cell r="E1699">
            <v>0</v>
          </cell>
          <cell r="F1699">
            <v>0</v>
          </cell>
          <cell r="G1699" t="str">
            <v>INCOME</v>
          </cell>
          <cell r="H1699" t="str">
            <v>OTHER INCOME</v>
          </cell>
          <cell r="I1699" t="str">
            <v>INTEREST RECEIVED (NET OFF)</v>
          </cell>
        </row>
        <row r="1700">
          <cell r="A1700" t="str">
            <v>R307001</v>
          </cell>
          <cell r="B1700" t="str">
            <v>Interest Received on Income-tax refunds</v>
          </cell>
          <cell r="C1700" t="str">
            <v>REVENUE</v>
          </cell>
          <cell r="D1700" t="str">
            <v>INCOME STATEMENT</v>
          </cell>
          <cell r="E1700">
            <v>0</v>
          </cell>
          <cell r="F1700">
            <v>0</v>
          </cell>
          <cell r="G1700" t="str">
            <v>INCOME</v>
          </cell>
          <cell r="H1700" t="str">
            <v>OTHER INCOME</v>
          </cell>
          <cell r="I1700" t="str">
            <v>INTEREST RECEIVED</v>
          </cell>
        </row>
        <row r="1701">
          <cell r="A1701" t="str">
            <v>R307101</v>
          </cell>
          <cell r="B1701" t="str">
            <v>Rebate on Interest (Others)</v>
          </cell>
          <cell r="C1701" t="str">
            <v>REVENUE</v>
          </cell>
          <cell r="D1701" t="str">
            <v>INCOME STATEMENT</v>
          </cell>
          <cell r="E1701">
            <v>0</v>
          </cell>
          <cell r="F1701">
            <v>0</v>
          </cell>
          <cell r="G1701" t="str">
            <v>INCOME</v>
          </cell>
          <cell r="H1701" t="str">
            <v>OTHER INCOME</v>
          </cell>
          <cell r="I1701" t="str">
            <v>INTEREST RECEIVED</v>
          </cell>
        </row>
        <row r="1702">
          <cell r="A1702" t="str">
            <v>R307201</v>
          </cell>
          <cell r="B1702" t="str">
            <v>Delayed Int-Electricity Bill</v>
          </cell>
          <cell r="C1702" t="str">
            <v>REVENUE</v>
          </cell>
          <cell r="D1702" t="str">
            <v>INCOME STATEMENT</v>
          </cell>
          <cell r="E1702">
            <v>0</v>
          </cell>
          <cell r="F1702">
            <v>0</v>
          </cell>
          <cell r="G1702" t="str">
            <v>INCOME</v>
          </cell>
          <cell r="H1702" t="str">
            <v>OTHER INCOME</v>
          </cell>
          <cell r="I1702" t="str">
            <v>INTEREST RECEIVED</v>
          </cell>
        </row>
        <row r="1703">
          <cell r="A1703" t="str">
            <v>R307202</v>
          </cell>
          <cell r="B1703" t="str">
            <v>Delayed Int-Extra Hrs Chgs</v>
          </cell>
          <cell r="C1703" t="str">
            <v>REVENUE</v>
          </cell>
          <cell r="D1703" t="str">
            <v>INCOME STATEMENT</v>
          </cell>
          <cell r="E1703">
            <v>0</v>
          </cell>
          <cell r="F1703">
            <v>0</v>
          </cell>
          <cell r="G1703" t="str">
            <v>INCOME</v>
          </cell>
          <cell r="H1703" t="str">
            <v>OTHER INCOME</v>
          </cell>
          <cell r="I1703" t="str">
            <v>INTEREST RECEIVED</v>
          </cell>
        </row>
        <row r="1704">
          <cell r="A1704" t="str">
            <v>R307203</v>
          </cell>
          <cell r="B1704" t="str">
            <v>Delayed Int-Maintenance Bill</v>
          </cell>
          <cell r="C1704" t="str">
            <v>REVENUE</v>
          </cell>
          <cell r="D1704" t="str">
            <v>INCOME STATEMENT</v>
          </cell>
          <cell r="E1704">
            <v>0</v>
          </cell>
          <cell r="F1704">
            <v>0</v>
          </cell>
          <cell r="G1704" t="str">
            <v>INCOME</v>
          </cell>
          <cell r="H1704" t="str">
            <v>OTHER INCOME</v>
          </cell>
          <cell r="I1704" t="str">
            <v>INTEREST RECEIVED</v>
          </cell>
        </row>
        <row r="1705">
          <cell r="A1705" t="str">
            <v>R307204</v>
          </cell>
          <cell r="B1705" t="str">
            <v>Delayed Int-Parking Chgs</v>
          </cell>
          <cell r="C1705" t="str">
            <v>REVENUE</v>
          </cell>
          <cell r="D1705" t="str">
            <v>INCOME STATEMENT</v>
          </cell>
          <cell r="E1705">
            <v>0</v>
          </cell>
          <cell r="F1705">
            <v>0</v>
          </cell>
          <cell r="G1705" t="str">
            <v>INCOME</v>
          </cell>
          <cell r="H1705" t="str">
            <v>OTHER INCOME</v>
          </cell>
          <cell r="I1705" t="str">
            <v>INTEREST RECEIVED</v>
          </cell>
        </row>
        <row r="1706">
          <cell r="A1706" t="str">
            <v>R307205</v>
          </cell>
          <cell r="B1706" t="str">
            <v>Delayed Int-Plot Chgs</v>
          </cell>
          <cell r="C1706" t="str">
            <v>REVENUE</v>
          </cell>
          <cell r="D1706" t="str">
            <v>INCOME STATEMENT</v>
          </cell>
          <cell r="E1706">
            <v>0</v>
          </cell>
          <cell r="F1706">
            <v>0</v>
          </cell>
          <cell r="G1706" t="str">
            <v>INCOME</v>
          </cell>
          <cell r="H1706" t="str">
            <v>OTHER INCOME</v>
          </cell>
          <cell r="I1706" t="str">
            <v>INTEREST RECEIVED</v>
          </cell>
        </row>
        <row r="1707">
          <cell r="A1707" t="str">
            <v>R307206</v>
          </cell>
          <cell r="B1707" t="str">
            <v>Delayed Int-Water Bill</v>
          </cell>
          <cell r="C1707" t="str">
            <v>REVENUE</v>
          </cell>
          <cell r="D1707" t="str">
            <v>INCOME STATEMENT</v>
          </cell>
          <cell r="E1707">
            <v>0</v>
          </cell>
          <cell r="F1707">
            <v>0</v>
          </cell>
          <cell r="G1707" t="str">
            <v>INCOME</v>
          </cell>
          <cell r="H1707" t="str">
            <v>OTHER INCOME</v>
          </cell>
          <cell r="I1707" t="str">
            <v>INTEREST RECEIVED</v>
          </cell>
        </row>
        <row r="1708">
          <cell r="A1708" t="str">
            <v>R308001</v>
          </cell>
          <cell r="B1708" t="str">
            <v>Profit on disposal of fixed assets</v>
          </cell>
          <cell r="C1708" t="str">
            <v>REVENUE</v>
          </cell>
          <cell r="D1708" t="str">
            <v>INCOME STATEMENT</v>
          </cell>
          <cell r="E1708">
            <v>0</v>
          </cell>
          <cell r="F1708">
            <v>0</v>
          </cell>
          <cell r="G1708" t="str">
            <v>INCOME</v>
          </cell>
          <cell r="H1708" t="str">
            <v>OTHER INCOME</v>
          </cell>
          <cell r="I1708" t="str">
            <v>PROFIT ON SALE OF ASSET</v>
          </cell>
        </row>
        <row r="1709">
          <cell r="A1709" t="str">
            <v>R309001</v>
          </cell>
          <cell r="B1709" t="str">
            <v>Lng trm Cap Gain on sale of Investments</v>
          </cell>
          <cell r="C1709" t="str">
            <v>REVENUE</v>
          </cell>
          <cell r="D1709" t="str">
            <v>INCOME STATEMENT</v>
          </cell>
          <cell r="E1709">
            <v>0</v>
          </cell>
          <cell r="F1709">
            <v>0</v>
          </cell>
          <cell r="G1709" t="str">
            <v>INCOME</v>
          </cell>
          <cell r="H1709" t="str">
            <v>OTHER INCOME</v>
          </cell>
          <cell r="I1709" t="str">
            <v>PROFIT ON SALE OF INVESTMENT</v>
          </cell>
        </row>
        <row r="1710">
          <cell r="A1710" t="str">
            <v>R309002</v>
          </cell>
          <cell r="B1710" t="str">
            <v>Profit on long term investments (trade)</v>
          </cell>
          <cell r="C1710" t="str">
            <v>REVENUE</v>
          </cell>
          <cell r="D1710" t="str">
            <v>INCOME STATEMENT</v>
          </cell>
          <cell r="E1710">
            <v>0</v>
          </cell>
          <cell r="F1710">
            <v>0</v>
          </cell>
          <cell r="G1710" t="str">
            <v>INCOME</v>
          </cell>
          <cell r="H1710" t="str">
            <v>OTHER INCOME</v>
          </cell>
          <cell r="I1710" t="str">
            <v>PROFIT ON SALE OF INVESTMENT</v>
          </cell>
        </row>
        <row r="1711">
          <cell r="A1711" t="str">
            <v>R309003</v>
          </cell>
          <cell r="B1711" t="str">
            <v>Profit on curr invstmnt(other than trde)</v>
          </cell>
          <cell r="C1711" t="str">
            <v>REVENUE</v>
          </cell>
          <cell r="D1711" t="str">
            <v>INCOME STATEMENT</v>
          </cell>
          <cell r="E1711">
            <v>0</v>
          </cell>
          <cell r="F1711">
            <v>0</v>
          </cell>
          <cell r="G1711" t="str">
            <v>INCOME</v>
          </cell>
          <cell r="H1711" t="str">
            <v>OTHER INCOME</v>
          </cell>
          <cell r="I1711" t="str">
            <v>PROFIT ON SALE OF INVESTMENT</v>
          </cell>
        </row>
        <row r="1712">
          <cell r="A1712" t="str">
            <v>R401001</v>
          </cell>
          <cell r="B1712" t="str">
            <v>Increase In Stock</v>
          </cell>
          <cell r="C1712" t="str">
            <v>REVENUE</v>
          </cell>
          <cell r="D1712" t="str">
            <v>INCOME STATEMENT</v>
          </cell>
          <cell r="E1712">
            <v>0</v>
          </cell>
          <cell r="F1712">
            <v>0</v>
          </cell>
          <cell r="G1712" t="str">
            <v>INCOME</v>
          </cell>
          <cell r="H1712" t="str">
            <v>OTHER INCOME</v>
          </cell>
          <cell r="I1712" t="str">
            <v>INCREASE IN STOCK</v>
          </cell>
        </row>
        <row r="1713">
          <cell r="A1713" t="str">
            <v>X101001</v>
          </cell>
          <cell r="B1713" t="str">
            <v>Cost of land and Plots</v>
          </cell>
          <cell r="C1713" t="str">
            <v>EXPENSES</v>
          </cell>
          <cell r="D1713" t="str">
            <v>INCOME STATEMENT</v>
          </cell>
          <cell r="E1713">
            <v>0</v>
          </cell>
          <cell r="F1713">
            <v>0</v>
          </cell>
          <cell r="G1713" t="str">
            <v>EXPENDITURE</v>
          </cell>
          <cell r="H1713" t="str">
            <v>COST OF GOODS</v>
          </cell>
          <cell r="I1713" t="str">
            <v>COST OF GOODS SOLD</v>
          </cell>
        </row>
        <row r="1714">
          <cell r="A1714" t="str">
            <v>X101002</v>
          </cell>
          <cell r="B1714" t="str">
            <v>Cost of land and Plots- Land Purchase</v>
          </cell>
          <cell r="C1714" t="str">
            <v>EXPENSES</v>
          </cell>
          <cell r="D1714" t="str">
            <v>INCOME STATEMENT</v>
          </cell>
          <cell r="E1714">
            <v>0</v>
          </cell>
          <cell r="F1714">
            <v>0</v>
          </cell>
          <cell r="G1714" t="str">
            <v>EXPENDITURE</v>
          </cell>
          <cell r="H1714" t="str">
            <v>COST OF GOODS</v>
          </cell>
          <cell r="I1714" t="str">
            <v>COST OF GOODS SOLD</v>
          </cell>
        </row>
        <row r="1715">
          <cell r="A1715" t="str">
            <v>X101003</v>
          </cell>
          <cell r="B1715" t="str">
            <v>Cost of land and Plots- Other Cost Paid</v>
          </cell>
          <cell r="C1715" t="str">
            <v>EXPENSES</v>
          </cell>
          <cell r="D1715" t="str">
            <v>INCOME STATEMENT</v>
          </cell>
          <cell r="E1715">
            <v>0</v>
          </cell>
          <cell r="F1715">
            <v>0</v>
          </cell>
          <cell r="G1715" t="str">
            <v>EXPENDITURE</v>
          </cell>
          <cell r="H1715" t="str">
            <v>COST OF GOODS</v>
          </cell>
          <cell r="I1715" t="str">
            <v>COST OF GOODS SOLD</v>
          </cell>
        </row>
        <row r="1716">
          <cell r="A1716" t="str">
            <v>X101004</v>
          </cell>
          <cell r="B1716" t="str">
            <v>Cost of land and Plots- Stamp Duty</v>
          </cell>
          <cell r="C1716" t="str">
            <v>EXPENSES</v>
          </cell>
          <cell r="D1716" t="str">
            <v>INCOME STATEMENT</v>
          </cell>
          <cell r="E1716">
            <v>0</v>
          </cell>
          <cell r="F1716">
            <v>0</v>
          </cell>
          <cell r="G1716" t="str">
            <v>EXPENDITURE</v>
          </cell>
          <cell r="H1716" t="str">
            <v>COST OF GOODS</v>
          </cell>
          <cell r="I1716" t="str">
            <v>COST OF GOODS SOLD</v>
          </cell>
        </row>
        <row r="1717">
          <cell r="A1717" t="str">
            <v>X101005</v>
          </cell>
          <cell r="B1717" t="str">
            <v>Cost of land and Plots- Survey Expenses</v>
          </cell>
          <cell r="C1717" t="str">
            <v>EXPENSES</v>
          </cell>
          <cell r="D1717" t="str">
            <v>INCOME STATEMENT</v>
          </cell>
          <cell r="E1717">
            <v>0</v>
          </cell>
          <cell r="F1717">
            <v>0</v>
          </cell>
          <cell r="G1717" t="str">
            <v>EXPENDITURE</v>
          </cell>
          <cell r="H1717" t="str">
            <v>COST OF GOODS</v>
          </cell>
          <cell r="I1717" t="str">
            <v>COST OF GOODS SOLD</v>
          </cell>
        </row>
        <row r="1718">
          <cell r="A1718" t="str">
            <v>X101006</v>
          </cell>
          <cell r="B1718" t="str">
            <v>Land &amp; Development Expenses</v>
          </cell>
          <cell r="C1718" t="str">
            <v>EXPENSES</v>
          </cell>
          <cell r="D1718" t="str">
            <v>INCOME STATEMENT</v>
          </cell>
          <cell r="E1718">
            <v>0</v>
          </cell>
          <cell r="F1718">
            <v>0</v>
          </cell>
          <cell r="G1718" t="str">
            <v>EXPENDITURE</v>
          </cell>
          <cell r="H1718" t="str">
            <v>COST OF GOODS</v>
          </cell>
          <cell r="I1718" t="str">
            <v>COST OF GOODS SOLD</v>
          </cell>
        </row>
        <row r="1719">
          <cell r="A1719" t="str">
            <v>X101007</v>
          </cell>
          <cell r="B1719" t="str">
            <v>Cost of Land and Plots-Commission Paid</v>
          </cell>
          <cell r="C1719" t="str">
            <v>EXPENSES</v>
          </cell>
          <cell r="D1719" t="str">
            <v>INCOME STATEMENT</v>
          </cell>
          <cell r="E1719">
            <v>0</v>
          </cell>
          <cell r="F1719">
            <v>0</v>
          </cell>
          <cell r="G1719" t="str">
            <v>EXPENDITURE</v>
          </cell>
          <cell r="H1719" t="str">
            <v>COST OF GOODS</v>
          </cell>
          <cell r="I1719" t="str">
            <v>COST OF GOODS SOLD</v>
          </cell>
        </row>
        <row r="1720">
          <cell r="A1720" t="str">
            <v>X101008</v>
          </cell>
          <cell r="B1720" t="str">
            <v>Cost of land and Plots-Registration Chgs</v>
          </cell>
          <cell r="C1720" t="str">
            <v>EXPENSES</v>
          </cell>
          <cell r="D1720" t="str">
            <v>INCOME STATEMENT</v>
          </cell>
          <cell r="E1720">
            <v>0</v>
          </cell>
          <cell r="F1720">
            <v>0</v>
          </cell>
          <cell r="G1720" t="str">
            <v>EXPENDITURE</v>
          </cell>
          <cell r="H1720" t="str">
            <v>COST OF GOODS</v>
          </cell>
          <cell r="I1720" t="str">
            <v>COST OF GOODS SOLD</v>
          </cell>
        </row>
        <row r="1721">
          <cell r="A1721" t="str">
            <v>X101009</v>
          </cell>
          <cell r="B1721" t="str">
            <v>Cost of land and Plots-License Fee Paid</v>
          </cell>
          <cell r="C1721" t="str">
            <v>EXPENSES</v>
          </cell>
          <cell r="D1721" t="str">
            <v>INCOME STATEMENT</v>
          </cell>
          <cell r="E1721">
            <v>0</v>
          </cell>
          <cell r="F1721">
            <v>0</v>
          </cell>
          <cell r="G1721" t="str">
            <v>EXPENDITURE</v>
          </cell>
          <cell r="H1721" t="str">
            <v>COST OF GOODS</v>
          </cell>
          <cell r="I1721" t="str">
            <v>COST OF GOODS SOLD</v>
          </cell>
        </row>
        <row r="1722">
          <cell r="A1722" t="str">
            <v>X101101</v>
          </cell>
          <cell r="B1722" t="str">
            <v>Cost of sale of constrd properties- POCM</v>
          </cell>
          <cell r="C1722" t="str">
            <v>EXPENSES</v>
          </cell>
          <cell r="D1722" t="str">
            <v>INCOME STATEMENT</v>
          </cell>
          <cell r="E1722">
            <v>0</v>
          </cell>
          <cell r="F1722">
            <v>0</v>
          </cell>
          <cell r="G1722" t="str">
            <v>EXPENDITURE</v>
          </cell>
          <cell r="H1722" t="str">
            <v>COST OF GOODS</v>
          </cell>
          <cell r="I1722" t="str">
            <v>COST OF GOODS SOLD</v>
          </cell>
        </row>
        <row r="1723">
          <cell r="A1723" t="str">
            <v>X101201</v>
          </cell>
          <cell r="B1723" t="str">
            <v>Cost of development and construction</v>
          </cell>
          <cell r="C1723" t="str">
            <v>EXPENSES</v>
          </cell>
          <cell r="D1723" t="str">
            <v>INCOME STATEMENT</v>
          </cell>
          <cell r="E1723">
            <v>0</v>
          </cell>
          <cell r="F1723">
            <v>0</v>
          </cell>
          <cell r="G1723" t="str">
            <v>EXPENDITURE</v>
          </cell>
          <cell r="H1723" t="str">
            <v>COST OF GOODS</v>
          </cell>
          <cell r="I1723" t="str">
            <v>COST OF GOODS SOLD</v>
          </cell>
        </row>
        <row r="1724">
          <cell r="A1724" t="str">
            <v>X101202</v>
          </cell>
          <cell r="B1724" t="str">
            <v>Excavation Cost</v>
          </cell>
          <cell r="C1724" t="str">
            <v>EXPENSES</v>
          </cell>
          <cell r="D1724" t="str">
            <v>INCOME STATEMENT</v>
          </cell>
          <cell r="E1724">
            <v>0</v>
          </cell>
          <cell r="F1724">
            <v>0</v>
          </cell>
          <cell r="G1724" t="str">
            <v>EXPENDITURE</v>
          </cell>
          <cell r="H1724" t="str">
            <v>COST OF GOODS</v>
          </cell>
          <cell r="I1724" t="str">
            <v>COST OF GOODS SOLD</v>
          </cell>
        </row>
        <row r="1725">
          <cell r="A1725" t="str">
            <v>X101203</v>
          </cell>
          <cell r="B1725" t="str">
            <v>Material Consumed</v>
          </cell>
          <cell r="C1725" t="str">
            <v>EXPENSES</v>
          </cell>
          <cell r="D1725" t="str">
            <v>INCOME STATEMENT</v>
          </cell>
          <cell r="E1725">
            <v>0</v>
          </cell>
          <cell r="F1725">
            <v>0</v>
          </cell>
          <cell r="G1725" t="str">
            <v>EXPENDITURE</v>
          </cell>
          <cell r="H1725" t="str">
            <v>COST OF GOODS</v>
          </cell>
          <cell r="I1725" t="str">
            <v>COST OF GOODS SOLD</v>
          </cell>
        </row>
        <row r="1726">
          <cell r="A1726" t="str">
            <v>X101204</v>
          </cell>
          <cell r="B1726" t="str">
            <v>Concrete Cost</v>
          </cell>
          <cell r="C1726" t="str">
            <v>EXPENSES</v>
          </cell>
          <cell r="D1726" t="str">
            <v>INCOME STATEMENT</v>
          </cell>
          <cell r="E1726">
            <v>0</v>
          </cell>
          <cell r="F1726">
            <v>0</v>
          </cell>
          <cell r="G1726" t="str">
            <v>EXPENDITURE</v>
          </cell>
          <cell r="H1726" t="str">
            <v>COST OF GOODS</v>
          </cell>
          <cell r="I1726" t="str">
            <v>COST OF GOODS SOLD</v>
          </cell>
        </row>
        <row r="1727">
          <cell r="A1727" t="str">
            <v>X101205</v>
          </cell>
          <cell r="B1727" t="str">
            <v>Material</v>
          </cell>
          <cell r="C1727" t="str">
            <v>EXPENSES</v>
          </cell>
          <cell r="D1727" t="str">
            <v>INCOME STATEMENT</v>
          </cell>
          <cell r="E1727">
            <v>0</v>
          </cell>
          <cell r="F1727">
            <v>0</v>
          </cell>
          <cell r="G1727" t="str">
            <v>EXPENDITURE</v>
          </cell>
          <cell r="H1727" t="str">
            <v>COST OF GOODS</v>
          </cell>
          <cell r="I1727" t="str">
            <v>COST OF GOODS SOLD</v>
          </cell>
        </row>
        <row r="1728">
          <cell r="A1728" t="str">
            <v>X101206</v>
          </cell>
          <cell r="B1728" t="str">
            <v>Material Variance Account</v>
          </cell>
          <cell r="C1728" t="str">
            <v>EXPENSES</v>
          </cell>
          <cell r="D1728" t="str">
            <v>INCOME STATEMENT</v>
          </cell>
          <cell r="E1728">
            <v>0</v>
          </cell>
          <cell r="F1728">
            <v>0</v>
          </cell>
          <cell r="G1728" t="str">
            <v>EXPENDITURE</v>
          </cell>
          <cell r="H1728" t="str">
            <v>COST OF GOODS</v>
          </cell>
          <cell r="I1728" t="str">
            <v>COST OF GOODS SOLD</v>
          </cell>
        </row>
        <row r="1729">
          <cell r="A1729" t="str">
            <v>X101207</v>
          </cell>
          <cell r="B1729" t="str">
            <v>Freight &amp; Cartage-Mat.(Inward)</v>
          </cell>
          <cell r="C1729" t="str">
            <v>EXPENSES</v>
          </cell>
          <cell r="D1729" t="str">
            <v>INCOME STATEMENT</v>
          </cell>
          <cell r="E1729">
            <v>0</v>
          </cell>
          <cell r="F1729">
            <v>0</v>
          </cell>
          <cell r="G1729" t="str">
            <v>EXPENDITURE</v>
          </cell>
          <cell r="H1729" t="str">
            <v>COST OF GOODS</v>
          </cell>
          <cell r="I1729" t="str">
            <v>COST OF GOODS SOLD</v>
          </cell>
        </row>
        <row r="1730">
          <cell r="A1730" t="str">
            <v>X101208</v>
          </cell>
          <cell r="B1730" t="str">
            <v>Consumables Consumed</v>
          </cell>
          <cell r="C1730" t="str">
            <v>EXPENSES</v>
          </cell>
          <cell r="D1730" t="str">
            <v>INCOME STATEMENT</v>
          </cell>
          <cell r="E1730">
            <v>0</v>
          </cell>
          <cell r="F1730">
            <v>0</v>
          </cell>
          <cell r="G1730" t="str">
            <v>EXPENDITURE</v>
          </cell>
          <cell r="H1730" t="str">
            <v>COST OF GOODS</v>
          </cell>
          <cell r="I1730" t="str">
            <v>COST OF GOODS SOLD</v>
          </cell>
        </row>
        <row r="1731">
          <cell r="A1731" t="str">
            <v>X101209</v>
          </cell>
          <cell r="B1731" t="str">
            <v>Tools &amp; Implements Consumed</v>
          </cell>
          <cell r="C1731" t="str">
            <v>EXPENSES</v>
          </cell>
          <cell r="D1731" t="str">
            <v>INCOME STATEMENT</v>
          </cell>
          <cell r="E1731">
            <v>0</v>
          </cell>
          <cell r="F1731">
            <v>0</v>
          </cell>
          <cell r="G1731" t="str">
            <v>EXPENDITURE</v>
          </cell>
          <cell r="H1731" t="str">
            <v>COST OF GOODS</v>
          </cell>
          <cell r="I1731" t="str">
            <v>COST OF GOODS SOLD</v>
          </cell>
        </row>
        <row r="1732">
          <cell r="A1732" t="str">
            <v>X101210</v>
          </cell>
          <cell r="B1732" t="str">
            <v>Stores &amp; Spare Parts</v>
          </cell>
          <cell r="C1732" t="str">
            <v>EXPENSES</v>
          </cell>
          <cell r="D1732" t="str">
            <v>INCOME STATEMENT</v>
          </cell>
          <cell r="E1732">
            <v>0</v>
          </cell>
          <cell r="F1732">
            <v>0</v>
          </cell>
          <cell r="G1732" t="str">
            <v>EXPENDITURE</v>
          </cell>
          <cell r="H1732" t="str">
            <v>COST OF GOODS</v>
          </cell>
          <cell r="I1732" t="str">
            <v>COST OF GOODS SOLD</v>
          </cell>
        </row>
        <row r="1733">
          <cell r="A1733" t="str">
            <v>X101211</v>
          </cell>
          <cell r="B1733" t="str">
            <v>Wooden Shuttering</v>
          </cell>
          <cell r="C1733" t="str">
            <v>EXPENSES</v>
          </cell>
          <cell r="D1733" t="str">
            <v>INCOME STATEMENT</v>
          </cell>
          <cell r="E1733">
            <v>0</v>
          </cell>
          <cell r="F1733">
            <v>0</v>
          </cell>
          <cell r="G1733" t="str">
            <v>EXPENDITURE</v>
          </cell>
          <cell r="H1733" t="str">
            <v>COST OF GOODS</v>
          </cell>
          <cell r="I1733" t="str">
            <v>COST OF GOODS SOLD</v>
          </cell>
        </row>
        <row r="1734">
          <cell r="A1734" t="str">
            <v>X101212</v>
          </cell>
          <cell r="B1734" t="str">
            <v>Civil Consumption Account</v>
          </cell>
          <cell r="C1734" t="str">
            <v>EXPENSES</v>
          </cell>
          <cell r="D1734" t="str">
            <v>INCOME STATEMENT</v>
          </cell>
          <cell r="E1734">
            <v>0</v>
          </cell>
          <cell r="F1734">
            <v>0</v>
          </cell>
          <cell r="G1734" t="str">
            <v>EXPENDITURE</v>
          </cell>
          <cell r="H1734" t="str">
            <v>COST OF GOODS</v>
          </cell>
          <cell r="I1734" t="str">
            <v>COST OF GOODS SOLD</v>
          </cell>
        </row>
        <row r="1735">
          <cell r="A1735" t="str">
            <v>X101213</v>
          </cell>
          <cell r="B1735" t="str">
            <v>Civil Work Consumables</v>
          </cell>
          <cell r="C1735" t="str">
            <v>EXPENSES</v>
          </cell>
          <cell r="D1735" t="str">
            <v>INCOME STATEMENT</v>
          </cell>
          <cell r="E1735">
            <v>0</v>
          </cell>
          <cell r="F1735">
            <v>0</v>
          </cell>
          <cell r="G1735" t="str">
            <v>EXPENDITURE</v>
          </cell>
          <cell r="H1735" t="str">
            <v>COST OF GOODS</v>
          </cell>
          <cell r="I1735" t="str">
            <v>COST OF GOODS SOLD</v>
          </cell>
        </row>
        <row r="1736">
          <cell r="A1736" t="str">
            <v>X101214</v>
          </cell>
          <cell r="B1736" t="str">
            <v>Inter Project Services</v>
          </cell>
          <cell r="C1736" t="str">
            <v>EXPENSES</v>
          </cell>
          <cell r="D1736" t="str">
            <v>INCOME STATEMENT</v>
          </cell>
          <cell r="E1736">
            <v>0</v>
          </cell>
          <cell r="F1736">
            <v>0</v>
          </cell>
          <cell r="G1736" t="str">
            <v>EXPENDITURE</v>
          </cell>
          <cell r="H1736" t="str">
            <v>COST OF GOODS</v>
          </cell>
          <cell r="I1736" t="str">
            <v>COST OF GOODS SOLD</v>
          </cell>
        </row>
        <row r="1737">
          <cell r="A1737" t="str">
            <v>X101215</v>
          </cell>
          <cell r="B1737" t="str">
            <v>Development Expenses</v>
          </cell>
          <cell r="C1737" t="str">
            <v>EXPENSES</v>
          </cell>
          <cell r="D1737" t="str">
            <v>INCOME STATEMENT</v>
          </cell>
          <cell r="E1737">
            <v>0</v>
          </cell>
          <cell r="F1737">
            <v>0</v>
          </cell>
          <cell r="G1737" t="str">
            <v>EXPENDITURE</v>
          </cell>
          <cell r="H1737" t="str">
            <v>COST OF GOODS</v>
          </cell>
          <cell r="I1737" t="str">
            <v>COST OF GOODS SOLD</v>
          </cell>
        </row>
        <row r="1738">
          <cell r="A1738" t="str">
            <v>X101216</v>
          </cell>
          <cell r="B1738" t="str">
            <v>Divisional Overheads</v>
          </cell>
          <cell r="C1738" t="str">
            <v>EXPENSES</v>
          </cell>
          <cell r="D1738" t="str">
            <v>INCOME STATEMENT</v>
          </cell>
          <cell r="E1738">
            <v>0</v>
          </cell>
          <cell r="F1738">
            <v>0</v>
          </cell>
          <cell r="G1738" t="str">
            <v>EXPENDITURE</v>
          </cell>
          <cell r="H1738" t="str">
            <v>COST OF GOODS</v>
          </cell>
          <cell r="I1738" t="str">
            <v>COST OF GOODS SOLD</v>
          </cell>
        </row>
        <row r="1739">
          <cell r="A1739" t="str">
            <v>X101217</v>
          </cell>
          <cell r="B1739" t="str">
            <v>Processing Fee - Project</v>
          </cell>
          <cell r="C1739" t="str">
            <v>EXPENSES</v>
          </cell>
          <cell r="D1739" t="str">
            <v>INCOME STATEMENT</v>
          </cell>
          <cell r="E1739">
            <v>0</v>
          </cell>
          <cell r="F1739">
            <v>0</v>
          </cell>
          <cell r="G1739" t="str">
            <v>EXPENDITURE</v>
          </cell>
          <cell r="H1739" t="str">
            <v>COST OF GOODS</v>
          </cell>
          <cell r="I1739" t="str">
            <v>COST OF GOODS SOLD</v>
          </cell>
        </row>
        <row r="1740">
          <cell r="A1740" t="str">
            <v>X101218</v>
          </cell>
          <cell r="B1740" t="str">
            <v>Infrastructure Cost Chargd Off</v>
          </cell>
          <cell r="C1740" t="str">
            <v>EXPENSES</v>
          </cell>
          <cell r="D1740" t="str">
            <v>INCOME STATEMENT</v>
          </cell>
          <cell r="E1740">
            <v>0</v>
          </cell>
          <cell r="F1740">
            <v>0</v>
          </cell>
          <cell r="G1740" t="str">
            <v>EXPENDITURE</v>
          </cell>
          <cell r="H1740" t="str">
            <v>COST OF GOODS</v>
          </cell>
          <cell r="I1740" t="str">
            <v>COST OF GOODS SOLD</v>
          </cell>
        </row>
        <row r="1741">
          <cell r="A1741" t="str">
            <v>X101219</v>
          </cell>
          <cell r="B1741" t="str">
            <v>Wooden Shuttering Charged Off</v>
          </cell>
          <cell r="C1741" t="str">
            <v>EXPENSES</v>
          </cell>
          <cell r="D1741" t="str">
            <v>INCOME STATEMENT</v>
          </cell>
          <cell r="E1741">
            <v>0</v>
          </cell>
          <cell r="F1741">
            <v>0</v>
          </cell>
          <cell r="G1741" t="str">
            <v>EXPENDITURE</v>
          </cell>
          <cell r="H1741" t="str">
            <v>COST OF GOODS</v>
          </cell>
          <cell r="I1741" t="str">
            <v>COST OF GOODS SOLD</v>
          </cell>
        </row>
        <row r="1742">
          <cell r="A1742" t="str">
            <v>X101220</v>
          </cell>
          <cell r="B1742" t="str">
            <v>Tools &amp; Equipments</v>
          </cell>
          <cell r="C1742" t="str">
            <v>EXPENSES</v>
          </cell>
          <cell r="D1742" t="str">
            <v>INCOME STATEMENT</v>
          </cell>
          <cell r="E1742">
            <v>0</v>
          </cell>
          <cell r="F1742">
            <v>0</v>
          </cell>
          <cell r="G1742" t="str">
            <v>EXPENDITURE</v>
          </cell>
          <cell r="H1742" t="str">
            <v>COST OF GOODS</v>
          </cell>
          <cell r="I1742" t="str">
            <v>COST OF GOODS SOLD</v>
          </cell>
        </row>
        <row r="1743">
          <cell r="A1743" t="str">
            <v>X101221</v>
          </cell>
          <cell r="B1743" t="str">
            <v>Oil &amp; Lubricant</v>
          </cell>
          <cell r="C1743" t="str">
            <v>EXPENSES</v>
          </cell>
          <cell r="D1743" t="str">
            <v>INCOME STATEMENT</v>
          </cell>
          <cell r="E1743">
            <v>0</v>
          </cell>
          <cell r="F1743">
            <v>0</v>
          </cell>
          <cell r="G1743" t="str">
            <v>EXPENDITURE</v>
          </cell>
          <cell r="H1743" t="str">
            <v>COST OF GOODS</v>
          </cell>
          <cell r="I1743" t="str">
            <v>COST OF GOODS SOLD</v>
          </cell>
        </row>
        <row r="1744">
          <cell r="A1744" t="str">
            <v>X101301</v>
          </cell>
          <cell r="B1744" t="str">
            <v>Goods Purchased For Sale</v>
          </cell>
          <cell r="C1744" t="str">
            <v>EXPENSES</v>
          </cell>
          <cell r="D1744" t="str">
            <v>INCOME STATEMENT</v>
          </cell>
          <cell r="E1744">
            <v>0</v>
          </cell>
          <cell r="F1744">
            <v>0</v>
          </cell>
          <cell r="G1744" t="str">
            <v>EXPENDITURE</v>
          </cell>
          <cell r="H1744" t="str">
            <v>COST OF GOODS</v>
          </cell>
          <cell r="I1744" t="str">
            <v>COST OF GOODS SOLD</v>
          </cell>
        </row>
        <row r="1745">
          <cell r="A1745" t="str">
            <v>X102001</v>
          </cell>
          <cell r="B1745" t="str">
            <v>Service and Maintenance</v>
          </cell>
          <cell r="C1745" t="str">
            <v>EXPENSES</v>
          </cell>
          <cell r="D1745" t="str">
            <v>INCOME STATEMENT</v>
          </cell>
          <cell r="E1745">
            <v>0</v>
          </cell>
          <cell r="F1745">
            <v>0</v>
          </cell>
          <cell r="G1745" t="str">
            <v>EXPENDITURE</v>
          </cell>
          <cell r="H1745" t="str">
            <v>COST OF SERVICES</v>
          </cell>
          <cell r="I1745" t="str">
            <v>COST OF SERVICES</v>
          </cell>
        </row>
        <row r="1746">
          <cell r="A1746" t="str">
            <v>X102002</v>
          </cell>
          <cell r="B1746" t="str">
            <v>Facility Mgt.- Water Charges</v>
          </cell>
          <cell r="C1746" t="str">
            <v>EXPENSES</v>
          </cell>
          <cell r="D1746" t="str">
            <v>INCOME STATEMENT</v>
          </cell>
          <cell r="E1746">
            <v>0</v>
          </cell>
          <cell r="F1746">
            <v>0</v>
          </cell>
          <cell r="G1746" t="str">
            <v>EXPENDITURE</v>
          </cell>
          <cell r="H1746" t="str">
            <v>COST OF SERVICES</v>
          </cell>
          <cell r="I1746" t="str">
            <v>COST OF SERVICES</v>
          </cell>
        </row>
        <row r="1747">
          <cell r="A1747" t="str">
            <v>X102003</v>
          </cell>
          <cell r="B1747" t="str">
            <v>Facility Mgt.- Sewerage charges</v>
          </cell>
          <cell r="C1747" t="str">
            <v>EXPENSES</v>
          </cell>
          <cell r="D1747" t="str">
            <v>INCOME STATEMENT</v>
          </cell>
          <cell r="E1747">
            <v>0</v>
          </cell>
          <cell r="F1747">
            <v>0</v>
          </cell>
          <cell r="G1747" t="str">
            <v>EXPENDITURE</v>
          </cell>
          <cell r="H1747" t="str">
            <v>COST OF SERVICES</v>
          </cell>
          <cell r="I1747" t="str">
            <v>COST OF SERVICES</v>
          </cell>
        </row>
        <row r="1748">
          <cell r="A1748" t="str">
            <v>X102004</v>
          </cell>
          <cell r="B1748" t="str">
            <v>Facility Mgt.- Road maint. Expenses</v>
          </cell>
          <cell r="C1748" t="str">
            <v>EXPENSES</v>
          </cell>
          <cell r="D1748" t="str">
            <v>INCOME STATEMENT</v>
          </cell>
          <cell r="E1748">
            <v>0</v>
          </cell>
          <cell r="F1748">
            <v>0</v>
          </cell>
          <cell r="G1748" t="str">
            <v>EXPENDITURE</v>
          </cell>
          <cell r="H1748" t="str">
            <v>COST OF SERVICES</v>
          </cell>
          <cell r="I1748" t="str">
            <v>COST OF SERVICES</v>
          </cell>
        </row>
        <row r="1749">
          <cell r="A1749" t="str">
            <v>X102005</v>
          </cell>
          <cell r="B1749" t="str">
            <v>Facility Mgt.- Env. Mgt Expenses</v>
          </cell>
          <cell r="C1749" t="str">
            <v>EXPENSES</v>
          </cell>
          <cell r="D1749" t="str">
            <v>INCOME STATEMENT</v>
          </cell>
          <cell r="E1749">
            <v>0</v>
          </cell>
          <cell r="F1749">
            <v>0</v>
          </cell>
          <cell r="G1749" t="str">
            <v>EXPENDITURE</v>
          </cell>
          <cell r="H1749" t="str">
            <v>COST OF SERVICES</v>
          </cell>
          <cell r="I1749" t="str">
            <v>COST OF SERVICES</v>
          </cell>
        </row>
        <row r="1750">
          <cell r="A1750" t="str">
            <v>X102006</v>
          </cell>
          <cell r="B1750" t="str">
            <v>Facility Mgt.- Horticulture Expenses</v>
          </cell>
          <cell r="C1750" t="str">
            <v>EXPENSES</v>
          </cell>
          <cell r="D1750" t="str">
            <v>INCOME STATEMENT</v>
          </cell>
          <cell r="E1750">
            <v>0</v>
          </cell>
          <cell r="F1750">
            <v>0</v>
          </cell>
          <cell r="G1750" t="str">
            <v>EXPENDITURE</v>
          </cell>
          <cell r="H1750" t="str">
            <v>COST OF SERVICES</v>
          </cell>
          <cell r="I1750" t="str">
            <v>COST OF SERVICES</v>
          </cell>
        </row>
        <row r="1751">
          <cell r="A1751" t="str">
            <v>X102007</v>
          </cell>
          <cell r="B1751" t="str">
            <v>Facility Mgt.- Power and Fuel</v>
          </cell>
          <cell r="C1751" t="str">
            <v>EXPENSES</v>
          </cell>
          <cell r="D1751" t="str">
            <v>INCOME STATEMENT</v>
          </cell>
          <cell r="E1751">
            <v>0</v>
          </cell>
          <cell r="F1751">
            <v>0</v>
          </cell>
          <cell r="G1751" t="str">
            <v>EXPENDITURE</v>
          </cell>
          <cell r="H1751" t="str">
            <v>COST OF SERVICES</v>
          </cell>
          <cell r="I1751" t="str">
            <v>COST OF SERVICES</v>
          </cell>
        </row>
        <row r="1752">
          <cell r="A1752" t="str">
            <v>X102008</v>
          </cell>
          <cell r="B1752" t="str">
            <v>Facility Mgt.- Hse Keepng &amp; allied serv.</v>
          </cell>
          <cell r="C1752" t="str">
            <v>EXPENSES</v>
          </cell>
          <cell r="D1752" t="str">
            <v>INCOME STATEMENT</v>
          </cell>
          <cell r="E1752">
            <v>0</v>
          </cell>
          <cell r="F1752">
            <v>0</v>
          </cell>
          <cell r="G1752" t="str">
            <v>EXPENDITURE</v>
          </cell>
          <cell r="H1752" t="str">
            <v>COST OF SERVICES</v>
          </cell>
          <cell r="I1752" t="str">
            <v>COST OF SERVICES</v>
          </cell>
        </row>
        <row r="1753">
          <cell r="A1753" t="str">
            <v>X102009</v>
          </cell>
          <cell r="B1753" t="str">
            <v>Security Services</v>
          </cell>
          <cell r="C1753" t="str">
            <v>EXPENSES</v>
          </cell>
          <cell r="D1753" t="str">
            <v>INCOME STATEMENT</v>
          </cell>
          <cell r="E1753">
            <v>0</v>
          </cell>
          <cell r="F1753">
            <v>0</v>
          </cell>
          <cell r="G1753" t="str">
            <v>EXPENDITURE</v>
          </cell>
          <cell r="H1753" t="str">
            <v>COST OF SERVICES</v>
          </cell>
          <cell r="I1753" t="str">
            <v>COST OF SERVICES</v>
          </cell>
        </row>
        <row r="1754">
          <cell r="A1754" t="str">
            <v>X102010</v>
          </cell>
          <cell r="B1754" t="str">
            <v>Security Expenses Ph-I,II,III</v>
          </cell>
          <cell r="C1754" t="str">
            <v>EXPENSES</v>
          </cell>
          <cell r="D1754" t="str">
            <v>INCOME STATEMENT</v>
          </cell>
          <cell r="E1754">
            <v>0</v>
          </cell>
          <cell r="F1754">
            <v>0</v>
          </cell>
          <cell r="G1754" t="str">
            <v>EXPENDITURE</v>
          </cell>
          <cell r="H1754" t="str">
            <v>COST OF SERVICES</v>
          </cell>
          <cell r="I1754" t="str">
            <v>COST OF SERVICES</v>
          </cell>
        </row>
        <row r="1755">
          <cell r="A1755" t="str">
            <v>X102011</v>
          </cell>
          <cell r="B1755" t="str">
            <v>Security Expenses Ph-IV</v>
          </cell>
          <cell r="C1755" t="str">
            <v>EXPENSES</v>
          </cell>
          <cell r="D1755" t="str">
            <v>INCOME STATEMENT</v>
          </cell>
          <cell r="E1755">
            <v>0</v>
          </cell>
          <cell r="F1755">
            <v>0</v>
          </cell>
          <cell r="G1755" t="str">
            <v>EXPENDITURE</v>
          </cell>
          <cell r="H1755" t="str">
            <v>COST OF SERVICES</v>
          </cell>
          <cell r="I1755" t="str">
            <v>COST OF SERVICES</v>
          </cell>
        </row>
        <row r="1756">
          <cell r="A1756" t="str">
            <v>X102012</v>
          </cell>
          <cell r="B1756" t="str">
            <v>H. Keeping &amp; Allied Services</v>
          </cell>
          <cell r="C1756" t="str">
            <v>EXPENSES</v>
          </cell>
          <cell r="D1756" t="str">
            <v>INCOME STATEMENT</v>
          </cell>
          <cell r="E1756">
            <v>0</v>
          </cell>
          <cell r="F1756">
            <v>0</v>
          </cell>
          <cell r="G1756" t="str">
            <v>EXPENDITURE</v>
          </cell>
          <cell r="H1756" t="str">
            <v>COST OF SERVICES</v>
          </cell>
          <cell r="I1756" t="str">
            <v>COST OF SERVICES</v>
          </cell>
        </row>
        <row r="1757">
          <cell r="A1757" t="str">
            <v>X102013</v>
          </cell>
          <cell r="B1757" t="str">
            <v>Facade Trolley Agency</v>
          </cell>
          <cell r="C1757" t="str">
            <v>EXPENSES</v>
          </cell>
          <cell r="D1757" t="str">
            <v>INCOME STATEMENT</v>
          </cell>
          <cell r="E1757">
            <v>0</v>
          </cell>
          <cell r="F1757">
            <v>0</v>
          </cell>
          <cell r="G1757" t="str">
            <v>EXPENDITURE</v>
          </cell>
          <cell r="H1757" t="str">
            <v>COST OF SERVICES</v>
          </cell>
          <cell r="I1757" t="str">
            <v>COST OF SERVICES</v>
          </cell>
        </row>
        <row r="1758">
          <cell r="A1758" t="str">
            <v>X102014</v>
          </cell>
          <cell r="B1758" t="str">
            <v>Marble &amp; Granite Polishing</v>
          </cell>
          <cell r="C1758" t="str">
            <v>EXPENSES</v>
          </cell>
          <cell r="D1758" t="str">
            <v>INCOME STATEMENT</v>
          </cell>
          <cell r="E1758">
            <v>0</v>
          </cell>
          <cell r="F1758">
            <v>0</v>
          </cell>
          <cell r="G1758" t="str">
            <v>EXPENDITURE</v>
          </cell>
          <cell r="H1758" t="str">
            <v>COST OF SERVICES</v>
          </cell>
          <cell r="I1758" t="str">
            <v>COST OF SERVICES</v>
          </cell>
        </row>
        <row r="1759">
          <cell r="A1759" t="str">
            <v>X102015</v>
          </cell>
          <cell r="B1759" t="str">
            <v>Painting Work</v>
          </cell>
          <cell r="C1759" t="str">
            <v>EXPENSES</v>
          </cell>
          <cell r="D1759" t="str">
            <v>INCOME STATEMENT</v>
          </cell>
          <cell r="E1759">
            <v>0</v>
          </cell>
          <cell r="F1759">
            <v>0</v>
          </cell>
          <cell r="G1759" t="str">
            <v>EXPENDITURE</v>
          </cell>
          <cell r="H1759" t="str">
            <v>COST OF SERVICES</v>
          </cell>
          <cell r="I1759" t="str">
            <v>COST OF SERVICES</v>
          </cell>
        </row>
        <row r="1760">
          <cell r="A1760" t="str">
            <v>X102016</v>
          </cell>
          <cell r="B1760" t="str">
            <v>Plumbing Services</v>
          </cell>
          <cell r="C1760" t="str">
            <v>EXPENSES</v>
          </cell>
          <cell r="D1760" t="str">
            <v>INCOME STATEMENT</v>
          </cell>
          <cell r="E1760">
            <v>0</v>
          </cell>
          <cell r="F1760">
            <v>0</v>
          </cell>
          <cell r="G1760" t="str">
            <v>EXPENDITURE</v>
          </cell>
          <cell r="H1760" t="str">
            <v>COST OF SERVICES</v>
          </cell>
          <cell r="I1760" t="str">
            <v>COST OF SERVICES</v>
          </cell>
        </row>
        <row r="1761">
          <cell r="A1761" t="str">
            <v>X102017</v>
          </cell>
          <cell r="B1761" t="str">
            <v>Civil Work</v>
          </cell>
          <cell r="C1761" t="str">
            <v>EXPENSES</v>
          </cell>
          <cell r="D1761" t="str">
            <v>INCOME STATEMENT</v>
          </cell>
          <cell r="E1761">
            <v>0</v>
          </cell>
          <cell r="F1761">
            <v>0</v>
          </cell>
          <cell r="G1761" t="str">
            <v>EXPENDITURE</v>
          </cell>
          <cell r="H1761" t="str">
            <v>COST OF SERVICES</v>
          </cell>
          <cell r="I1761" t="str">
            <v>COST OF SERVICES</v>
          </cell>
        </row>
        <row r="1762">
          <cell r="A1762" t="str">
            <v>X102018</v>
          </cell>
          <cell r="B1762" t="str">
            <v>Pest Control Services</v>
          </cell>
          <cell r="C1762" t="str">
            <v>EXPENSES</v>
          </cell>
          <cell r="D1762" t="str">
            <v>INCOME STATEMENT</v>
          </cell>
          <cell r="E1762">
            <v>0</v>
          </cell>
          <cell r="F1762">
            <v>0</v>
          </cell>
          <cell r="G1762" t="str">
            <v>EXPENDITURE</v>
          </cell>
          <cell r="H1762" t="str">
            <v>COST OF SERVICES</v>
          </cell>
          <cell r="I1762" t="str">
            <v>COST OF SERVICES</v>
          </cell>
        </row>
        <row r="1763">
          <cell r="A1763" t="str">
            <v>X102019</v>
          </cell>
          <cell r="B1763" t="str">
            <v>Fire Fighting Services</v>
          </cell>
          <cell r="C1763" t="str">
            <v>EXPENSES</v>
          </cell>
          <cell r="D1763" t="str">
            <v>INCOME STATEMENT</v>
          </cell>
          <cell r="E1763">
            <v>0</v>
          </cell>
          <cell r="F1763">
            <v>0</v>
          </cell>
          <cell r="G1763" t="str">
            <v>EXPENDITURE</v>
          </cell>
          <cell r="H1763" t="str">
            <v>COST OF SERVICES</v>
          </cell>
          <cell r="I1763" t="str">
            <v>COST OF SERVICES</v>
          </cell>
        </row>
        <row r="1764">
          <cell r="A1764" t="str">
            <v>X102020</v>
          </cell>
          <cell r="B1764" t="str">
            <v>Electrical Services</v>
          </cell>
          <cell r="C1764" t="str">
            <v>EXPENSES</v>
          </cell>
          <cell r="D1764" t="str">
            <v>INCOME STATEMENT</v>
          </cell>
          <cell r="E1764">
            <v>0</v>
          </cell>
          <cell r="F1764">
            <v>0</v>
          </cell>
          <cell r="G1764" t="str">
            <v>EXPENDITURE</v>
          </cell>
          <cell r="H1764" t="str">
            <v>COST OF SERVICES</v>
          </cell>
          <cell r="I1764" t="str">
            <v>COST OF SERVICES</v>
          </cell>
        </row>
        <row r="1765">
          <cell r="A1765" t="str">
            <v>X102021</v>
          </cell>
          <cell r="B1765" t="str">
            <v>Electrical Panels / Lighting</v>
          </cell>
          <cell r="C1765" t="str">
            <v>EXPENSES</v>
          </cell>
          <cell r="D1765" t="str">
            <v>INCOME STATEMENT</v>
          </cell>
          <cell r="E1765">
            <v>0</v>
          </cell>
          <cell r="F1765">
            <v>0</v>
          </cell>
          <cell r="G1765" t="str">
            <v>EXPENDITURE</v>
          </cell>
          <cell r="H1765" t="str">
            <v>COST OF SERVICES</v>
          </cell>
          <cell r="I1765" t="str">
            <v>COST OF SERVICES</v>
          </cell>
        </row>
        <row r="1766">
          <cell r="A1766" t="str">
            <v>X102022</v>
          </cell>
          <cell r="B1766" t="str">
            <v>H.Keeping - Common Area (Ext.)</v>
          </cell>
          <cell r="C1766" t="str">
            <v>EXPENSES</v>
          </cell>
          <cell r="D1766" t="str">
            <v>INCOME STATEMENT</v>
          </cell>
          <cell r="E1766">
            <v>0</v>
          </cell>
          <cell r="F1766">
            <v>0</v>
          </cell>
          <cell r="G1766" t="str">
            <v>EXPENDITURE</v>
          </cell>
          <cell r="H1766" t="str">
            <v>COST OF SERVICES</v>
          </cell>
          <cell r="I1766" t="str">
            <v>COST OF SERVICES</v>
          </cell>
        </row>
        <row r="1767">
          <cell r="A1767" t="str">
            <v>X102023</v>
          </cell>
          <cell r="B1767" t="str">
            <v>Electrical Spares - Internet</v>
          </cell>
          <cell r="C1767" t="str">
            <v>EXPENSES</v>
          </cell>
          <cell r="D1767" t="str">
            <v>INCOME STATEMENT</v>
          </cell>
          <cell r="E1767">
            <v>0</v>
          </cell>
          <cell r="F1767">
            <v>0</v>
          </cell>
          <cell r="G1767" t="str">
            <v>EXPENDITURE</v>
          </cell>
          <cell r="H1767" t="str">
            <v>COST OF SERVICES</v>
          </cell>
          <cell r="I1767" t="str">
            <v>COST OF SERVICES</v>
          </cell>
        </row>
        <row r="1768">
          <cell r="A1768" t="str">
            <v>X102024</v>
          </cell>
          <cell r="B1768" t="str">
            <v>Pay Channel Expenses</v>
          </cell>
          <cell r="C1768" t="str">
            <v>EXPENSES</v>
          </cell>
          <cell r="D1768" t="str">
            <v>INCOME STATEMENT</v>
          </cell>
          <cell r="E1768">
            <v>0</v>
          </cell>
          <cell r="F1768">
            <v>0</v>
          </cell>
          <cell r="G1768" t="str">
            <v>EXPENDITURE</v>
          </cell>
          <cell r="H1768" t="str">
            <v>COST OF SERVICES</v>
          </cell>
          <cell r="I1768" t="str">
            <v>COST OF SERVICES</v>
          </cell>
        </row>
        <row r="1769">
          <cell r="A1769" t="str">
            <v>X102025</v>
          </cell>
          <cell r="B1769" t="str">
            <v>Cable Expenses</v>
          </cell>
          <cell r="C1769" t="str">
            <v>EXPENSES</v>
          </cell>
          <cell r="D1769" t="str">
            <v>INCOME STATEMENT</v>
          </cell>
          <cell r="E1769">
            <v>0</v>
          </cell>
          <cell r="F1769">
            <v>0</v>
          </cell>
          <cell r="G1769" t="str">
            <v>EXPENDITURE</v>
          </cell>
          <cell r="H1769" t="str">
            <v>COST OF SERVICES</v>
          </cell>
          <cell r="I1769" t="str">
            <v>COST OF SERVICES</v>
          </cell>
        </row>
        <row r="1770">
          <cell r="A1770" t="str">
            <v>X102026</v>
          </cell>
          <cell r="B1770" t="str">
            <v>Cable Spares</v>
          </cell>
          <cell r="C1770" t="str">
            <v>EXPENSES</v>
          </cell>
          <cell r="D1770" t="str">
            <v>INCOME STATEMENT</v>
          </cell>
          <cell r="E1770">
            <v>0</v>
          </cell>
          <cell r="F1770">
            <v>0</v>
          </cell>
          <cell r="G1770" t="str">
            <v>EXPENDITURE</v>
          </cell>
          <cell r="H1770" t="str">
            <v>COST OF SERVICES</v>
          </cell>
          <cell r="I1770" t="str">
            <v>COST OF SERVICES</v>
          </cell>
        </row>
        <row r="1771">
          <cell r="A1771" t="str">
            <v>X102027</v>
          </cell>
          <cell r="B1771" t="str">
            <v>Water Softner Plant Consumables</v>
          </cell>
          <cell r="C1771" t="str">
            <v>EXPENSES</v>
          </cell>
          <cell r="D1771" t="str">
            <v>INCOME STATEMENT</v>
          </cell>
          <cell r="E1771">
            <v>0</v>
          </cell>
          <cell r="F1771">
            <v>0</v>
          </cell>
          <cell r="G1771" t="str">
            <v>EXPENDITURE</v>
          </cell>
          <cell r="H1771" t="str">
            <v>COST OF SERVICES</v>
          </cell>
          <cell r="I1771" t="str">
            <v>COST OF SERVICES</v>
          </cell>
        </row>
        <row r="1772">
          <cell r="A1772" t="str">
            <v>X102028</v>
          </cell>
          <cell r="B1772" t="str">
            <v>Fire Fighting Expenses- Building Srvices</v>
          </cell>
          <cell r="C1772" t="str">
            <v>EXPENSES</v>
          </cell>
          <cell r="D1772" t="str">
            <v>INCOME STATEMENT</v>
          </cell>
          <cell r="E1772">
            <v>0</v>
          </cell>
          <cell r="F1772">
            <v>0</v>
          </cell>
          <cell r="G1772" t="str">
            <v>EXPENDITURE</v>
          </cell>
          <cell r="H1772" t="str">
            <v>COST OF SERVICES</v>
          </cell>
          <cell r="I1772" t="str">
            <v>COST OF SERVICES</v>
          </cell>
        </row>
        <row r="1773">
          <cell r="A1773" t="str">
            <v>X102029</v>
          </cell>
          <cell r="B1773" t="str">
            <v>Fire Fighting Expenses- Off Buil Srvices</v>
          </cell>
          <cell r="C1773" t="str">
            <v>EXPENSES</v>
          </cell>
          <cell r="D1773" t="str">
            <v>INCOME STATEMENT</v>
          </cell>
          <cell r="E1773">
            <v>0</v>
          </cell>
          <cell r="F1773">
            <v>0</v>
          </cell>
          <cell r="G1773" t="str">
            <v>EXPENDITURE</v>
          </cell>
          <cell r="H1773" t="str">
            <v>COST OF SERVICES</v>
          </cell>
          <cell r="I1773" t="str">
            <v>COST OF SERVICES</v>
          </cell>
        </row>
        <row r="1774">
          <cell r="A1774" t="str">
            <v>X102030</v>
          </cell>
          <cell r="B1774" t="str">
            <v>Painting Consumables</v>
          </cell>
          <cell r="C1774" t="str">
            <v>EXPENSES</v>
          </cell>
          <cell r="D1774" t="str">
            <v>INCOME STATEMENT</v>
          </cell>
          <cell r="E1774">
            <v>0</v>
          </cell>
          <cell r="F1774">
            <v>0</v>
          </cell>
          <cell r="G1774" t="str">
            <v>EXPENDITURE</v>
          </cell>
          <cell r="H1774" t="str">
            <v>COST OF SERVICES</v>
          </cell>
          <cell r="I1774" t="str">
            <v>COST OF SERVICES</v>
          </cell>
        </row>
        <row r="1775">
          <cell r="A1775" t="str">
            <v>X102031</v>
          </cell>
          <cell r="B1775" t="str">
            <v>H.V.A.C. Equipments A/C</v>
          </cell>
          <cell r="C1775" t="str">
            <v>EXPENSES</v>
          </cell>
          <cell r="D1775" t="str">
            <v>INCOME STATEMENT</v>
          </cell>
          <cell r="E1775">
            <v>0</v>
          </cell>
          <cell r="F1775">
            <v>0</v>
          </cell>
          <cell r="G1775" t="str">
            <v>EXPENDITURE</v>
          </cell>
          <cell r="H1775" t="str">
            <v>COST OF SERVICES</v>
          </cell>
          <cell r="I1775" t="str">
            <v>COST OF SERVICES</v>
          </cell>
        </row>
        <row r="1776">
          <cell r="A1776" t="str">
            <v>X102032</v>
          </cell>
          <cell r="B1776" t="str">
            <v>Gen.-Upkeep Of City Ph-I,II,III</v>
          </cell>
          <cell r="C1776" t="str">
            <v>EXPENSES</v>
          </cell>
          <cell r="D1776" t="str">
            <v>INCOME STATEMENT</v>
          </cell>
          <cell r="E1776">
            <v>0</v>
          </cell>
          <cell r="F1776">
            <v>0</v>
          </cell>
          <cell r="G1776" t="str">
            <v>EXPENDITURE</v>
          </cell>
          <cell r="H1776" t="str">
            <v>COST OF SERVICES</v>
          </cell>
          <cell r="I1776" t="str">
            <v>COST OF SERVICES</v>
          </cell>
        </row>
        <row r="1777">
          <cell r="A1777" t="str">
            <v>X102033</v>
          </cell>
          <cell r="B1777" t="str">
            <v>Gen.Upkeep Of City Ph-IV</v>
          </cell>
          <cell r="C1777" t="str">
            <v>EXPENSES</v>
          </cell>
          <cell r="D1777" t="str">
            <v>INCOME STATEMENT</v>
          </cell>
          <cell r="E1777">
            <v>0</v>
          </cell>
          <cell r="F1777">
            <v>0</v>
          </cell>
          <cell r="G1777" t="str">
            <v>EXPENDITURE</v>
          </cell>
          <cell r="H1777" t="str">
            <v>COST OF SERVICES</v>
          </cell>
          <cell r="I1777" t="str">
            <v>COST OF SERVICES</v>
          </cell>
        </row>
        <row r="1778">
          <cell r="A1778" t="str">
            <v>X102034</v>
          </cell>
          <cell r="B1778" t="str">
            <v>Air Conditioning</v>
          </cell>
          <cell r="C1778" t="str">
            <v>EXPENSES</v>
          </cell>
          <cell r="D1778" t="str">
            <v>INCOME STATEMENT</v>
          </cell>
          <cell r="E1778">
            <v>0</v>
          </cell>
          <cell r="F1778">
            <v>0</v>
          </cell>
          <cell r="G1778" t="str">
            <v>EXPENDITURE</v>
          </cell>
          <cell r="H1778" t="str">
            <v>COST OF SERVICES</v>
          </cell>
          <cell r="I1778" t="str">
            <v>COST OF SERVICES</v>
          </cell>
        </row>
        <row r="1779">
          <cell r="A1779" t="str">
            <v>X102035</v>
          </cell>
          <cell r="B1779" t="str">
            <v>Elevators</v>
          </cell>
          <cell r="C1779" t="str">
            <v>EXPENSES</v>
          </cell>
          <cell r="D1779" t="str">
            <v>INCOME STATEMENT</v>
          </cell>
          <cell r="E1779">
            <v>0</v>
          </cell>
          <cell r="F1779">
            <v>0</v>
          </cell>
          <cell r="G1779" t="str">
            <v>EXPENDITURE</v>
          </cell>
          <cell r="H1779" t="str">
            <v>COST OF SERVICES</v>
          </cell>
          <cell r="I1779" t="str">
            <v>COST OF SERVICES</v>
          </cell>
        </row>
        <row r="1780">
          <cell r="A1780" t="str">
            <v>X102036</v>
          </cell>
          <cell r="B1780" t="str">
            <v>Generator Repair</v>
          </cell>
          <cell r="C1780" t="str">
            <v>EXPENSES</v>
          </cell>
          <cell r="D1780" t="str">
            <v>INCOME STATEMENT</v>
          </cell>
          <cell r="E1780">
            <v>0</v>
          </cell>
          <cell r="F1780">
            <v>0</v>
          </cell>
          <cell r="G1780" t="str">
            <v>EXPENDITURE</v>
          </cell>
          <cell r="H1780" t="str">
            <v>COST OF SERVICES</v>
          </cell>
          <cell r="I1780" t="str">
            <v>COST OF SERVICES</v>
          </cell>
        </row>
        <row r="1781">
          <cell r="A1781" t="str">
            <v>X102037</v>
          </cell>
          <cell r="B1781" t="str">
            <v>Misc Jobs/ Services A/C</v>
          </cell>
          <cell r="C1781" t="str">
            <v>EXPENSES</v>
          </cell>
          <cell r="D1781" t="str">
            <v>INCOME STATEMENT</v>
          </cell>
          <cell r="E1781">
            <v>0</v>
          </cell>
          <cell r="F1781">
            <v>0</v>
          </cell>
          <cell r="G1781" t="str">
            <v>EXPENDITURE</v>
          </cell>
          <cell r="H1781" t="str">
            <v>COST OF SERVICES</v>
          </cell>
          <cell r="I1781" t="str">
            <v>COST OF SERVICES</v>
          </cell>
        </row>
        <row r="1782">
          <cell r="A1782" t="str">
            <v>X102038</v>
          </cell>
          <cell r="B1782" t="str">
            <v>Others Misc. Contracts</v>
          </cell>
          <cell r="C1782" t="str">
            <v>EXPENSES</v>
          </cell>
          <cell r="D1782" t="str">
            <v>INCOME STATEMENT</v>
          </cell>
          <cell r="E1782">
            <v>0</v>
          </cell>
          <cell r="F1782">
            <v>0</v>
          </cell>
          <cell r="G1782" t="str">
            <v>EXPENDITURE</v>
          </cell>
          <cell r="H1782" t="str">
            <v>COST OF SERVICES</v>
          </cell>
          <cell r="I1782" t="str">
            <v>COST OF SERVICES</v>
          </cell>
        </row>
        <row r="1783">
          <cell r="A1783" t="str">
            <v>X102039</v>
          </cell>
          <cell r="B1783" t="str">
            <v>Contract Without Materials</v>
          </cell>
          <cell r="C1783" t="str">
            <v>EXPENSES</v>
          </cell>
          <cell r="D1783" t="str">
            <v>INCOME STATEMENT</v>
          </cell>
          <cell r="E1783">
            <v>0</v>
          </cell>
          <cell r="F1783">
            <v>0</v>
          </cell>
          <cell r="G1783" t="str">
            <v>EXPENDITURE</v>
          </cell>
          <cell r="H1783" t="str">
            <v>COST OF SERVICES</v>
          </cell>
          <cell r="I1783" t="str">
            <v>COST OF SERVICES</v>
          </cell>
        </row>
        <row r="1784">
          <cell r="A1784" t="str">
            <v>X102040</v>
          </cell>
          <cell r="B1784" t="str">
            <v>Works Contract</v>
          </cell>
          <cell r="C1784" t="str">
            <v>EXPENSES</v>
          </cell>
          <cell r="D1784" t="str">
            <v>INCOME STATEMENT</v>
          </cell>
          <cell r="E1784">
            <v>0</v>
          </cell>
          <cell r="F1784">
            <v>0</v>
          </cell>
          <cell r="G1784" t="str">
            <v>EXPENDITURE</v>
          </cell>
          <cell r="H1784" t="str">
            <v>COST OF SERVICES</v>
          </cell>
          <cell r="I1784" t="str">
            <v>COST OF SERVICES</v>
          </cell>
        </row>
        <row r="1785">
          <cell r="A1785" t="str">
            <v>X102041</v>
          </cell>
          <cell r="B1785" t="str">
            <v>Work Pending Certification</v>
          </cell>
          <cell r="C1785" t="str">
            <v>EXPENSES</v>
          </cell>
          <cell r="D1785" t="str">
            <v>INCOME STATEMENT</v>
          </cell>
          <cell r="E1785">
            <v>0</v>
          </cell>
          <cell r="F1785">
            <v>0</v>
          </cell>
          <cell r="G1785" t="str">
            <v>EXPENDITURE</v>
          </cell>
          <cell r="H1785" t="str">
            <v>COST OF SERVICES</v>
          </cell>
          <cell r="I1785" t="str">
            <v>COST OF SERVICES</v>
          </cell>
        </row>
        <row r="1786">
          <cell r="A1786" t="str">
            <v>X102042</v>
          </cell>
          <cell r="B1786" t="str">
            <v>Fire Fighting Spares</v>
          </cell>
          <cell r="C1786" t="str">
            <v>EXPENSES</v>
          </cell>
          <cell r="D1786" t="str">
            <v>INCOME STATEMENT</v>
          </cell>
          <cell r="E1786">
            <v>0</v>
          </cell>
          <cell r="F1786">
            <v>0</v>
          </cell>
          <cell r="G1786" t="str">
            <v>EXPENDITURE</v>
          </cell>
          <cell r="H1786" t="str">
            <v>COST OF SERVICES</v>
          </cell>
          <cell r="I1786" t="str">
            <v>COST OF SERVICES</v>
          </cell>
        </row>
        <row r="1787">
          <cell r="A1787" t="str">
            <v>X102043</v>
          </cell>
          <cell r="B1787" t="str">
            <v>Elevator Spares</v>
          </cell>
          <cell r="C1787" t="str">
            <v>EXPENSES</v>
          </cell>
          <cell r="D1787" t="str">
            <v>INCOME STATEMENT</v>
          </cell>
          <cell r="E1787">
            <v>0</v>
          </cell>
          <cell r="F1787">
            <v>0</v>
          </cell>
          <cell r="G1787" t="str">
            <v>EXPENDITURE</v>
          </cell>
          <cell r="H1787" t="str">
            <v>COST OF SERVICES</v>
          </cell>
          <cell r="I1787" t="str">
            <v>COST OF SERVICES</v>
          </cell>
        </row>
        <row r="1788">
          <cell r="A1788" t="str">
            <v>X103001</v>
          </cell>
          <cell r="B1788" t="str">
            <v>Cost of Power / Gas generation</v>
          </cell>
          <cell r="C1788" t="str">
            <v>EXPENSES</v>
          </cell>
          <cell r="D1788" t="str">
            <v>INCOME STATEMENT</v>
          </cell>
          <cell r="E1788">
            <v>0</v>
          </cell>
          <cell r="F1788">
            <v>0</v>
          </cell>
          <cell r="G1788" t="str">
            <v>EXPENDITURE</v>
          </cell>
          <cell r="H1788" t="str">
            <v>COST OF SERVICES</v>
          </cell>
          <cell r="I1788" t="str">
            <v>COST OF SERVICES</v>
          </cell>
        </row>
        <row r="1789">
          <cell r="A1789" t="str">
            <v>X104001</v>
          </cell>
          <cell r="B1789" t="str">
            <v>Cost of Cable Operations</v>
          </cell>
          <cell r="C1789" t="str">
            <v>EXPENSES</v>
          </cell>
          <cell r="D1789" t="str">
            <v>INCOME STATEMENT</v>
          </cell>
          <cell r="E1789">
            <v>0</v>
          </cell>
          <cell r="F1789">
            <v>0</v>
          </cell>
          <cell r="G1789" t="str">
            <v>EXPENDITURE</v>
          </cell>
          <cell r="H1789" t="str">
            <v>COST OF SERVICES</v>
          </cell>
          <cell r="I1789" t="str">
            <v>COST OF SERVICES</v>
          </cell>
        </row>
        <row r="1790">
          <cell r="A1790" t="str">
            <v>X104101</v>
          </cell>
          <cell r="B1790" t="str">
            <v>Cable Maintenance Expenses</v>
          </cell>
          <cell r="C1790" t="str">
            <v>EXPENSES</v>
          </cell>
          <cell r="D1790" t="str">
            <v>INCOME STATEMENT</v>
          </cell>
          <cell r="E1790">
            <v>0</v>
          </cell>
          <cell r="F1790">
            <v>0</v>
          </cell>
          <cell r="G1790" t="str">
            <v>EXPENDITURE</v>
          </cell>
          <cell r="H1790" t="str">
            <v>COST OF SERVICES</v>
          </cell>
          <cell r="I1790" t="str">
            <v>COST OF SERVICES</v>
          </cell>
        </row>
        <row r="1791">
          <cell r="A1791" t="str">
            <v>X104201</v>
          </cell>
          <cell r="B1791" t="str">
            <v>Cost of Cinema Operations.</v>
          </cell>
          <cell r="C1791" t="str">
            <v>EXPENSES</v>
          </cell>
          <cell r="D1791" t="str">
            <v>INCOME STATEMENT</v>
          </cell>
          <cell r="E1791">
            <v>0</v>
          </cell>
          <cell r="F1791">
            <v>0</v>
          </cell>
          <cell r="G1791" t="str">
            <v>EXPENDITURE</v>
          </cell>
          <cell r="H1791" t="str">
            <v>COST OF SERVICES</v>
          </cell>
          <cell r="I1791" t="str">
            <v>COST OF SERVICES</v>
          </cell>
        </row>
        <row r="1792">
          <cell r="A1792" t="str">
            <v>X104202</v>
          </cell>
          <cell r="B1792" t="str">
            <v>Commission for Programming</v>
          </cell>
          <cell r="C1792" t="str">
            <v>EXPENSES</v>
          </cell>
          <cell r="D1792" t="str">
            <v>INCOME STATEMENT</v>
          </cell>
          <cell r="E1792">
            <v>0</v>
          </cell>
          <cell r="F1792">
            <v>0</v>
          </cell>
          <cell r="G1792" t="str">
            <v>EXPENDITURE</v>
          </cell>
          <cell r="H1792" t="str">
            <v>COST OF SERVICES</v>
          </cell>
          <cell r="I1792" t="str">
            <v>COST OF SERVICES</v>
          </cell>
        </row>
        <row r="1793">
          <cell r="A1793" t="str">
            <v>X104203</v>
          </cell>
          <cell r="B1793" t="str">
            <v>Film Hire Charges</v>
          </cell>
          <cell r="C1793" t="str">
            <v>EXPENSES</v>
          </cell>
          <cell r="D1793" t="str">
            <v>INCOME STATEMENT</v>
          </cell>
          <cell r="E1793">
            <v>0</v>
          </cell>
          <cell r="F1793">
            <v>0</v>
          </cell>
          <cell r="G1793" t="str">
            <v>EXPENDITURE</v>
          </cell>
          <cell r="H1793" t="str">
            <v>COST OF SERVICES</v>
          </cell>
          <cell r="I1793" t="str">
            <v>COST OF SERVICES</v>
          </cell>
        </row>
        <row r="1794">
          <cell r="A1794" t="str">
            <v>X104204</v>
          </cell>
          <cell r="B1794" t="str">
            <v>Print Cost</v>
          </cell>
          <cell r="C1794" t="str">
            <v>EXPENSES</v>
          </cell>
          <cell r="D1794" t="str">
            <v>INCOME STATEMENT</v>
          </cell>
          <cell r="E1794">
            <v>0</v>
          </cell>
          <cell r="F1794">
            <v>0</v>
          </cell>
          <cell r="G1794" t="str">
            <v>EXPENDITURE</v>
          </cell>
          <cell r="H1794" t="str">
            <v>COST OF SERVICES</v>
          </cell>
          <cell r="I1794" t="str">
            <v>COST OF SERVICES</v>
          </cell>
        </row>
        <row r="1795">
          <cell r="A1795" t="str">
            <v>X104301</v>
          </cell>
          <cell r="B1795" t="str">
            <v>Cost of Golf course Operations</v>
          </cell>
          <cell r="C1795" t="str">
            <v>EXPENSES</v>
          </cell>
          <cell r="D1795" t="str">
            <v>INCOME STATEMENT</v>
          </cell>
          <cell r="E1795">
            <v>0</v>
          </cell>
          <cell r="F1795">
            <v>0</v>
          </cell>
          <cell r="G1795" t="str">
            <v>EXPENDITURE</v>
          </cell>
          <cell r="H1795" t="str">
            <v>COST OF SERVICES</v>
          </cell>
          <cell r="I1795" t="str">
            <v>COST OF SERVICES</v>
          </cell>
        </row>
        <row r="1796">
          <cell r="A1796" t="str">
            <v>X104401</v>
          </cell>
          <cell r="B1796" t="str">
            <v>Cost of Club Operations.</v>
          </cell>
          <cell r="C1796" t="str">
            <v>EXPENSES</v>
          </cell>
          <cell r="D1796" t="str">
            <v>INCOME STATEMENT</v>
          </cell>
          <cell r="E1796">
            <v>0</v>
          </cell>
          <cell r="F1796">
            <v>0</v>
          </cell>
          <cell r="G1796" t="str">
            <v>EXPENDITURE</v>
          </cell>
          <cell r="H1796" t="str">
            <v>COST OF SERVICES</v>
          </cell>
          <cell r="I1796" t="str">
            <v>COST OF SERVICES</v>
          </cell>
        </row>
        <row r="1797">
          <cell r="A1797" t="str">
            <v>X104402</v>
          </cell>
          <cell r="B1797" t="str">
            <v>Bar running expenses</v>
          </cell>
          <cell r="C1797" t="str">
            <v>EXPENSES</v>
          </cell>
          <cell r="D1797" t="str">
            <v>INCOME STATEMENT</v>
          </cell>
          <cell r="E1797">
            <v>0</v>
          </cell>
          <cell r="F1797">
            <v>0</v>
          </cell>
          <cell r="G1797" t="str">
            <v>EXPENDITURE</v>
          </cell>
          <cell r="H1797" t="str">
            <v>COST OF SERVICES</v>
          </cell>
          <cell r="I1797" t="str">
            <v>COST OF SERVICES</v>
          </cell>
        </row>
        <row r="1798">
          <cell r="A1798" t="str">
            <v>X104403</v>
          </cell>
          <cell r="B1798" t="str">
            <v>food and beverage expenses</v>
          </cell>
          <cell r="C1798" t="str">
            <v>EXPENSES</v>
          </cell>
          <cell r="D1798" t="str">
            <v>INCOME STATEMENT</v>
          </cell>
          <cell r="E1798">
            <v>0</v>
          </cell>
          <cell r="F1798">
            <v>0</v>
          </cell>
          <cell r="G1798" t="str">
            <v>EXPENDITURE</v>
          </cell>
          <cell r="H1798" t="str">
            <v>COST OF SERVICES</v>
          </cell>
          <cell r="I1798" t="str">
            <v>COST OF SERVICES</v>
          </cell>
        </row>
        <row r="1799">
          <cell r="A1799" t="str">
            <v>X104404</v>
          </cell>
          <cell r="B1799" t="str">
            <v>F&amp;B Consumables</v>
          </cell>
          <cell r="C1799" t="str">
            <v>EXPENSES</v>
          </cell>
          <cell r="D1799" t="str">
            <v>INCOME STATEMENT</v>
          </cell>
          <cell r="E1799">
            <v>0</v>
          </cell>
          <cell r="F1799">
            <v>0</v>
          </cell>
          <cell r="G1799" t="str">
            <v>EXPENDITURE</v>
          </cell>
          <cell r="H1799" t="str">
            <v>COST OF SERVICES</v>
          </cell>
          <cell r="I1799" t="str">
            <v>COST OF SERVICES</v>
          </cell>
        </row>
        <row r="1800">
          <cell r="A1800" t="str">
            <v>X104501</v>
          </cell>
          <cell r="B1800" t="str">
            <v>Cost of Food Court / kisok.</v>
          </cell>
          <cell r="C1800" t="str">
            <v>EXPENSES</v>
          </cell>
          <cell r="D1800" t="str">
            <v>INCOME STATEMENT</v>
          </cell>
          <cell r="E1800">
            <v>0</v>
          </cell>
          <cell r="F1800">
            <v>0</v>
          </cell>
          <cell r="G1800" t="str">
            <v>EXPENDITURE</v>
          </cell>
          <cell r="H1800" t="str">
            <v>COST OF SERVICES</v>
          </cell>
          <cell r="I1800" t="str">
            <v>COST OF SERVICES</v>
          </cell>
        </row>
        <row r="1801">
          <cell r="A1801" t="str">
            <v>X201001</v>
          </cell>
          <cell r="B1801" t="str">
            <v>Salaries and wages (regular)</v>
          </cell>
          <cell r="C1801" t="str">
            <v>EXPENSES</v>
          </cell>
          <cell r="D1801" t="str">
            <v>INCOME STATEMENT</v>
          </cell>
          <cell r="E1801">
            <v>0</v>
          </cell>
          <cell r="F1801">
            <v>0</v>
          </cell>
          <cell r="G1801" t="str">
            <v>EXPENDITURE</v>
          </cell>
          <cell r="H1801" t="str">
            <v>EMPLOYEE COST</v>
          </cell>
          <cell r="I1801" t="str">
            <v>SALARIES AND WAGES</v>
          </cell>
        </row>
        <row r="1802">
          <cell r="A1802" t="str">
            <v>X201002</v>
          </cell>
          <cell r="B1802" t="str">
            <v>Conveyance Allowance</v>
          </cell>
          <cell r="C1802" t="str">
            <v>EXPENSES</v>
          </cell>
          <cell r="D1802" t="str">
            <v>INCOME STATEMENT</v>
          </cell>
          <cell r="E1802">
            <v>0</v>
          </cell>
          <cell r="F1802">
            <v>0</v>
          </cell>
          <cell r="G1802" t="str">
            <v>EXPENDITURE</v>
          </cell>
          <cell r="H1802" t="str">
            <v>EMPLOYEE COST</v>
          </cell>
          <cell r="I1802" t="str">
            <v>SALARIES AND WAGES</v>
          </cell>
        </row>
        <row r="1803">
          <cell r="A1803" t="str">
            <v>X201003</v>
          </cell>
          <cell r="B1803" t="str">
            <v>Medical Allowance</v>
          </cell>
          <cell r="C1803" t="str">
            <v>EXPENSES</v>
          </cell>
          <cell r="D1803" t="str">
            <v>INCOME STATEMENT</v>
          </cell>
          <cell r="E1803">
            <v>0</v>
          </cell>
          <cell r="F1803">
            <v>0</v>
          </cell>
          <cell r="G1803" t="str">
            <v>EXPENDITURE</v>
          </cell>
          <cell r="H1803" t="str">
            <v>EMPLOYEE COST</v>
          </cell>
          <cell r="I1803" t="str">
            <v>SALARIES AND WAGES</v>
          </cell>
        </row>
        <row r="1804">
          <cell r="A1804" t="str">
            <v>X201004</v>
          </cell>
          <cell r="B1804" t="str">
            <v>Project Allowance</v>
          </cell>
          <cell r="C1804" t="str">
            <v>EXPENSES</v>
          </cell>
          <cell r="D1804" t="str">
            <v>INCOME STATEMENT</v>
          </cell>
          <cell r="E1804">
            <v>0</v>
          </cell>
          <cell r="F1804">
            <v>0</v>
          </cell>
          <cell r="G1804" t="str">
            <v>EXPENDITURE</v>
          </cell>
          <cell r="H1804" t="str">
            <v>EMPLOYEE COST</v>
          </cell>
          <cell r="I1804" t="str">
            <v>SALARIES AND WAGES</v>
          </cell>
        </row>
        <row r="1805">
          <cell r="A1805" t="str">
            <v>X201005</v>
          </cell>
          <cell r="B1805" t="str">
            <v>Performance Bonus</v>
          </cell>
          <cell r="C1805" t="str">
            <v>EXPENSES</v>
          </cell>
          <cell r="D1805" t="str">
            <v>INCOME STATEMENT</v>
          </cell>
          <cell r="E1805">
            <v>0</v>
          </cell>
          <cell r="F1805">
            <v>0</v>
          </cell>
          <cell r="G1805" t="str">
            <v>EXPENDITURE</v>
          </cell>
          <cell r="H1805" t="str">
            <v>EMPLOYEE COST</v>
          </cell>
          <cell r="I1805" t="str">
            <v>SALARIES AND WAGES</v>
          </cell>
        </row>
        <row r="1806">
          <cell r="A1806" t="str">
            <v>X201006</v>
          </cell>
          <cell r="B1806" t="str">
            <v>Personal Allowance</v>
          </cell>
          <cell r="C1806" t="str">
            <v>EXPENSES</v>
          </cell>
          <cell r="D1806" t="str">
            <v>INCOME STATEMENT</v>
          </cell>
          <cell r="E1806">
            <v>0</v>
          </cell>
          <cell r="F1806">
            <v>0</v>
          </cell>
          <cell r="G1806" t="str">
            <v>EXPENDITURE</v>
          </cell>
          <cell r="H1806" t="str">
            <v>EMPLOYEE COST</v>
          </cell>
          <cell r="I1806" t="str">
            <v>SALARIES AND WAGES</v>
          </cell>
        </row>
        <row r="1807">
          <cell r="A1807" t="str">
            <v>X201007</v>
          </cell>
          <cell r="B1807" t="str">
            <v>House Rent Allowance</v>
          </cell>
          <cell r="C1807" t="str">
            <v>EXPENSES</v>
          </cell>
          <cell r="D1807" t="str">
            <v>INCOME STATEMENT</v>
          </cell>
          <cell r="E1807">
            <v>0</v>
          </cell>
          <cell r="F1807">
            <v>0</v>
          </cell>
          <cell r="G1807" t="str">
            <v>EXPENDITURE</v>
          </cell>
          <cell r="H1807" t="str">
            <v>EMPLOYEE COST</v>
          </cell>
          <cell r="I1807" t="str">
            <v>SALARIES AND WAGES</v>
          </cell>
        </row>
        <row r="1808">
          <cell r="A1808" t="str">
            <v>X201008</v>
          </cell>
          <cell r="B1808" t="str">
            <v>Notice Pay</v>
          </cell>
          <cell r="C1808" t="str">
            <v>EXPENSES</v>
          </cell>
          <cell r="D1808" t="str">
            <v>INCOME STATEMENT</v>
          </cell>
          <cell r="E1808">
            <v>0</v>
          </cell>
          <cell r="F1808">
            <v>0</v>
          </cell>
          <cell r="G1808" t="str">
            <v>EXPENDITURE</v>
          </cell>
          <cell r="H1808" t="str">
            <v>EMPLOYEE COST</v>
          </cell>
          <cell r="I1808" t="str">
            <v>SALARIES AND WAGES</v>
          </cell>
        </row>
        <row r="1809">
          <cell r="A1809" t="str">
            <v>X201009</v>
          </cell>
          <cell r="B1809" t="str">
            <v>Special Allowance</v>
          </cell>
          <cell r="C1809" t="str">
            <v>EXPENSES</v>
          </cell>
          <cell r="D1809" t="str">
            <v>INCOME STATEMENT</v>
          </cell>
          <cell r="E1809">
            <v>0</v>
          </cell>
          <cell r="F1809">
            <v>0</v>
          </cell>
          <cell r="G1809" t="str">
            <v>EXPENDITURE</v>
          </cell>
          <cell r="H1809" t="str">
            <v>EMPLOYEE COST</v>
          </cell>
          <cell r="I1809" t="str">
            <v>SALARIES AND WAGES</v>
          </cell>
        </row>
        <row r="1810">
          <cell r="A1810" t="str">
            <v>X201010</v>
          </cell>
          <cell r="B1810" t="str">
            <v>Bonus</v>
          </cell>
          <cell r="C1810" t="str">
            <v>EXPENSES</v>
          </cell>
          <cell r="D1810" t="str">
            <v>INCOME STATEMENT</v>
          </cell>
          <cell r="E1810">
            <v>0</v>
          </cell>
          <cell r="F1810">
            <v>0</v>
          </cell>
          <cell r="G1810" t="str">
            <v>EXPENDITURE</v>
          </cell>
          <cell r="H1810" t="str">
            <v>EMPLOYEE COST</v>
          </cell>
          <cell r="I1810" t="str">
            <v>SALARIES AND WAGES</v>
          </cell>
        </row>
        <row r="1811">
          <cell r="A1811" t="str">
            <v>X201011</v>
          </cell>
          <cell r="B1811" t="str">
            <v>Driver'S Salary</v>
          </cell>
          <cell r="C1811" t="str">
            <v>EXPENSES</v>
          </cell>
          <cell r="D1811" t="str">
            <v>INCOME STATEMENT</v>
          </cell>
          <cell r="E1811">
            <v>0</v>
          </cell>
          <cell r="F1811">
            <v>0</v>
          </cell>
          <cell r="G1811" t="str">
            <v>EXPENDITURE</v>
          </cell>
          <cell r="H1811" t="str">
            <v>EMPLOYEE COST</v>
          </cell>
          <cell r="I1811" t="str">
            <v>SALARIES AND WAGES</v>
          </cell>
        </row>
        <row r="1812">
          <cell r="A1812" t="str">
            <v>X201012</v>
          </cell>
          <cell r="B1812" t="str">
            <v>Utility Allowance</v>
          </cell>
          <cell r="C1812" t="str">
            <v>EXPENSES</v>
          </cell>
          <cell r="D1812" t="str">
            <v>INCOME STATEMENT</v>
          </cell>
          <cell r="E1812">
            <v>0</v>
          </cell>
          <cell r="F1812">
            <v>0</v>
          </cell>
          <cell r="G1812" t="str">
            <v>EXPENDITURE</v>
          </cell>
          <cell r="H1812" t="str">
            <v>EMPLOYEE COST</v>
          </cell>
          <cell r="I1812" t="str">
            <v>SALARIES AND WAGES</v>
          </cell>
        </row>
        <row r="1813">
          <cell r="A1813" t="str">
            <v>X201013</v>
          </cell>
          <cell r="B1813" t="str">
            <v>Washing Allowance</v>
          </cell>
          <cell r="C1813" t="str">
            <v>EXPENSES</v>
          </cell>
          <cell r="D1813" t="str">
            <v>INCOME STATEMENT</v>
          </cell>
          <cell r="E1813">
            <v>0</v>
          </cell>
          <cell r="F1813">
            <v>0</v>
          </cell>
          <cell r="G1813" t="str">
            <v>EXPENDITURE</v>
          </cell>
          <cell r="H1813" t="str">
            <v>EMPLOYEE COST</v>
          </cell>
          <cell r="I1813" t="str">
            <v>SALARIES AND WAGES</v>
          </cell>
        </row>
        <row r="1814">
          <cell r="A1814" t="str">
            <v>X201014</v>
          </cell>
          <cell r="B1814" t="str">
            <v>Entertainment Allowance</v>
          </cell>
          <cell r="C1814" t="str">
            <v>EXPENSES</v>
          </cell>
          <cell r="D1814" t="str">
            <v>INCOME STATEMENT</v>
          </cell>
          <cell r="E1814">
            <v>0</v>
          </cell>
          <cell r="F1814">
            <v>0</v>
          </cell>
          <cell r="G1814" t="str">
            <v>EXPENDITURE</v>
          </cell>
          <cell r="H1814" t="str">
            <v>EMPLOYEE COST</v>
          </cell>
          <cell r="I1814" t="str">
            <v>SALARIES AND WAGES</v>
          </cell>
        </row>
        <row r="1815">
          <cell r="A1815" t="str">
            <v>X201015</v>
          </cell>
          <cell r="B1815" t="str">
            <v>Ex-Gratia Paid</v>
          </cell>
          <cell r="C1815" t="str">
            <v>EXPENSES</v>
          </cell>
          <cell r="D1815" t="str">
            <v>INCOME STATEMENT</v>
          </cell>
          <cell r="E1815">
            <v>0</v>
          </cell>
          <cell r="F1815">
            <v>0</v>
          </cell>
          <cell r="G1815" t="str">
            <v>EXPENDITURE</v>
          </cell>
          <cell r="H1815" t="str">
            <v>EMPLOYEE COST</v>
          </cell>
          <cell r="I1815" t="str">
            <v>SALARIES AND WAGES</v>
          </cell>
        </row>
        <row r="1816">
          <cell r="A1816" t="str">
            <v>X201016</v>
          </cell>
          <cell r="B1816" t="str">
            <v>Wages- Contractual Staff</v>
          </cell>
          <cell r="C1816" t="str">
            <v>EXPENSES</v>
          </cell>
          <cell r="D1816" t="str">
            <v>INCOME STATEMENT</v>
          </cell>
          <cell r="E1816">
            <v>0</v>
          </cell>
          <cell r="F1816">
            <v>0</v>
          </cell>
          <cell r="G1816" t="str">
            <v>EXPENDITURE</v>
          </cell>
          <cell r="H1816" t="str">
            <v>EMPLOYEE COST</v>
          </cell>
          <cell r="I1816" t="str">
            <v>SALARIES AND WAGES</v>
          </cell>
        </row>
        <row r="1817">
          <cell r="A1817" t="str">
            <v>X201017</v>
          </cell>
          <cell r="B1817" t="str">
            <v>Directors Remuneration</v>
          </cell>
          <cell r="C1817" t="str">
            <v>EXPENSES</v>
          </cell>
          <cell r="D1817" t="str">
            <v>INCOME STATEMENT</v>
          </cell>
          <cell r="E1817">
            <v>0</v>
          </cell>
          <cell r="F1817">
            <v>0</v>
          </cell>
          <cell r="G1817" t="str">
            <v>EXPENDITURE</v>
          </cell>
          <cell r="H1817" t="str">
            <v>EMPLOYEE COST</v>
          </cell>
          <cell r="I1817" t="str">
            <v>SALARIES AND WAGES</v>
          </cell>
        </row>
        <row r="1818">
          <cell r="A1818" t="str">
            <v>X201018</v>
          </cell>
          <cell r="B1818" t="str">
            <v>Directors Remuneration- K P Singh</v>
          </cell>
          <cell r="C1818" t="str">
            <v>EXPENSES</v>
          </cell>
          <cell r="D1818" t="str">
            <v>INCOME STATEMENT</v>
          </cell>
          <cell r="E1818">
            <v>0</v>
          </cell>
          <cell r="F1818">
            <v>0</v>
          </cell>
          <cell r="G1818" t="str">
            <v>EXPENDITURE</v>
          </cell>
          <cell r="H1818" t="str">
            <v>EMPLOYEE COST</v>
          </cell>
          <cell r="I1818" t="str">
            <v>SALARIES AND WAGES</v>
          </cell>
        </row>
        <row r="1819">
          <cell r="A1819" t="str">
            <v>X201019</v>
          </cell>
          <cell r="B1819" t="str">
            <v>Directors Remuneration- Rajiv Singh</v>
          </cell>
          <cell r="C1819" t="str">
            <v>EXPENSES</v>
          </cell>
          <cell r="D1819" t="str">
            <v>INCOME STATEMENT</v>
          </cell>
          <cell r="E1819">
            <v>0</v>
          </cell>
          <cell r="F1819">
            <v>0</v>
          </cell>
          <cell r="G1819" t="str">
            <v>EXPENDITURE</v>
          </cell>
          <cell r="H1819" t="str">
            <v>EMPLOYEE COST</v>
          </cell>
          <cell r="I1819" t="str">
            <v>SALARIES AND WAGES</v>
          </cell>
        </row>
        <row r="1820">
          <cell r="A1820" t="str">
            <v>X201020</v>
          </cell>
          <cell r="B1820" t="str">
            <v>Directors Remuneration- Pia Singh</v>
          </cell>
          <cell r="C1820" t="str">
            <v>EXPENSES</v>
          </cell>
          <cell r="D1820" t="str">
            <v>INCOME STATEMENT</v>
          </cell>
          <cell r="E1820">
            <v>0</v>
          </cell>
          <cell r="F1820">
            <v>0</v>
          </cell>
          <cell r="G1820" t="str">
            <v>EXPENDITURE</v>
          </cell>
          <cell r="H1820" t="str">
            <v>EMPLOYEE COST</v>
          </cell>
          <cell r="I1820" t="str">
            <v>SALARIES AND WAGES</v>
          </cell>
        </row>
        <row r="1821">
          <cell r="A1821" t="str">
            <v>X201021</v>
          </cell>
          <cell r="B1821" t="str">
            <v>Directors Remuneration- T C Goyal</v>
          </cell>
          <cell r="C1821" t="str">
            <v>EXPENSES</v>
          </cell>
          <cell r="D1821" t="str">
            <v>INCOME STATEMENT</v>
          </cell>
          <cell r="E1821">
            <v>0</v>
          </cell>
          <cell r="F1821">
            <v>0</v>
          </cell>
          <cell r="G1821" t="str">
            <v>EXPENDITURE</v>
          </cell>
          <cell r="H1821" t="str">
            <v>EMPLOYEE COST</v>
          </cell>
          <cell r="I1821" t="str">
            <v>SALARIES AND WAGES</v>
          </cell>
        </row>
        <row r="1822">
          <cell r="A1822" t="str">
            <v>X201022</v>
          </cell>
          <cell r="B1822" t="str">
            <v>Directors Remuneration- Renuka Talwar</v>
          </cell>
          <cell r="C1822" t="str">
            <v>EXPENSES</v>
          </cell>
          <cell r="D1822" t="str">
            <v>INCOME STATEMENT</v>
          </cell>
          <cell r="E1822">
            <v>0</v>
          </cell>
          <cell r="F1822">
            <v>0</v>
          </cell>
          <cell r="G1822" t="str">
            <v>EXPENDITURE</v>
          </cell>
          <cell r="H1822" t="str">
            <v>EMPLOYEE COST</v>
          </cell>
          <cell r="I1822" t="str">
            <v>SALARIES AND WAGES</v>
          </cell>
        </row>
        <row r="1823">
          <cell r="A1823" t="str">
            <v>X201023</v>
          </cell>
          <cell r="B1823" t="str">
            <v>Directors Remuneration- K Swaroop</v>
          </cell>
          <cell r="C1823" t="str">
            <v>EXPENSES</v>
          </cell>
          <cell r="D1823" t="str">
            <v>INCOME STATEMENT</v>
          </cell>
          <cell r="E1823">
            <v>0</v>
          </cell>
          <cell r="F1823">
            <v>0</v>
          </cell>
          <cell r="G1823" t="str">
            <v>EXPENDITURE</v>
          </cell>
          <cell r="H1823" t="str">
            <v>EMPLOYEE COST</v>
          </cell>
          <cell r="I1823" t="str">
            <v>SALARIES AND WAGES</v>
          </cell>
        </row>
        <row r="1824">
          <cell r="A1824" t="str">
            <v>X201024</v>
          </cell>
          <cell r="B1824" t="str">
            <v>H.R.A.- Directors</v>
          </cell>
          <cell r="C1824" t="str">
            <v>EXPENSES</v>
          </cell>
          <cell r="D1824" t="str">
            <v>INCOME STATEMENT</v>
          </cell>
          <cell r="E1824">
            <v>0</v>
          </cell>
          <cell r="F1824">
            <v>0</v>
          </cell>
          <cell r="G1824" t="str">
            <v>EXPENDITURE</v>
          </cell>
          <cell r="H1824" t="str">
            <v>EMPLOYEE COST</v>
          </cell>
          <cell r="I1824" t="str">
            <v>SALARIES AND WAGES</v>
          </cell>
        </row>
        <row r="1825">
          <cell r="A1825" t="str">
            <v>X201025</v>
          </cell>
          <cell r="B1825" t="str">
            <v>Entertainment All.- Directors</v>
          </cell>
          <cell r="C1825" t="str">
            <v>EXPENSES</v>
          </cell>
          <cell r="D1825" t="str">
            <v>INCOME STATEMENT</v>
          </cell>
          <cell r="E1825">
            <v>0</v>
          </cell>
          <cell r="F1825">
            <v>0</v>
          </cell>
          <cell r="G1825" t="str">
            <v>EXPENDITURE</v>
          </cell>
          <cell r="H1825" t="str">
            <v>EMPLOYEE COST</v>
          </cell>
          <cell r="I1825" t="str">
            <v>SALARIES AND WAGES</v>
          </cell>
        </row>
        <row r="1826">
          <cell r="A1826" t="str">
            <v>X201026</v>
          </cell>
          <cell r="B1826" t="str">
            <v>Utility All.- Directors</v>
          </cell>
          <cell r="C1826" t="str">
            <v>EXPENSES</v>
          </cell>
          <cell r="D1826" t="str">
            <v>INCOME STATEMENT</v>
          </cell>
          <cell r="E1826">
            <v>0</v>
          </cell>
          <cell r="F1826">
            <v>0</v>
          </cell>
          <cell r="G1826" t="str">
            <v>EXPENDITURE</v>
          </cell>
          <cell r="H1826" t="str">
            <v>EMPLOYEE COST</v>
          </cell>
          <cell r="I1826" t="str">
            <v>SALARIES AND WAGES</v>
          </cell>
        </row>
        <row r="1827">
          <cell r="A1827" t="str">
            <v>X201027</v>
          </cell>
          <cell r="B1827" t="str">
            <v>Personal Allowances- Directors</v>
          </cell>
          <cell r="C1827" t="str">
            <v>EXPENSES</v>
          </cell>
          <cell r="D1827" t="str">
            <v>INCOME STATEMENT</v>
          </cell>
          <cell r="E1827">
            <v>0</v>
          </cell>
          <cell r="F1827">
            <v>0</v>
          </cell>
          <cell r="G1827" t="str">
            <v>EXPENDITURE</v>
          </cell>
          <cell r="H1827" t="str">
            <v>EMPLOYEE COST</v>
          </cell>
          <cell r="I1827" t="str">
            <v>SALARIES AND WAGES</v>
          </cell>
        </row>
        <row r="1828">
          <cell r="A1828" t="str">
            <v>X201028</v>
          </cell>
          <cell r="B1828" t="str">
            <v>Waiver Of Loan Paid To Employee</v>
          </cell>
          <cell r="C1828" t="str">
            <v>EXPENSES</v>
          </cell>
          <cell r="D1828" t="str">
            <v>INCOME STATEMENT</v>
          </cell>
          <cell r="E1828">
            <v>0</v>
          </cell>
          <cell r="F1828">
            <v>0</v>
          </cell>
          <cell r="G1828" t="str">
            <v>EXPENDITURE</v>
          </cell>
          <cell r="H1828" t="str">
            <v>EMPLOYEE COST</v>
          </cell>
          <cell r="I1828" t="str">
            <v>SALARIES AND WAGES</v>
          </cell>
        </row>
        <row r="1829">
          <cell r="A1829" t="str">
            <v>X201029</v>
          </cell>
          <cell r="B1829" t="str">
            <v>CHILDREN EDUCATION ALLOWANCE</v>
          </cell>
          <cell r="C1829" t="str">
            <v>EXPENSES</v>
          </cell>
          <cell r="D1829" t="str">
            <v>INCOME STATEMENT</v>
          </cell>
          <cell r="E1829">
            <v>0</v>
          </cell>
          <cell r="F1829">
            <v>0</v>
          </cell>
          <cell r="G1829" t="str">
            <v>EXPENDITURE</v>
          </cell>
          <cell r="H1829" t="str">
            <v>EMPLOYEE COST</v>
          </cell>
          <cell r="I1829" t="str">
            <v>SALARIES AND WAGES</v>
          </cell>
        </row>
        <row r="1830">
          <cell r="A1830" t="str">
            <v>X201030</v>
          </cell>
          <cell r="B1830" t="str">
            <v>SAF ALLOWANCE</v>
          </cell>
          <cell r="C1830" t="str">
            <v>EXPENSES</v>
          </cell>
          <cell r="D1830" t="str">
            <v>INCOME STATEMENT</v>
          </cell>
          <cell r="E1830">
            <v>0</v>
          </cell>
          <cell r="F1830">
            <v>0</v>
          </cell>
          <cell r="G1830" t="str">
            <v>EXPENDITURE</v>
          </cell>
          <cell r="H1830" t="str">
            <v>EMPLOYEE COST</v>
          </cell>
          <cell r="I1830" t="str">
            <v>SALARIES AND WAGES</v>
          </cell>
        </row>
        <row r="1831">
          <cell r="A1831" t="str">
            <v>X201031</v>
          </cell>
          <cell r="B1831" t="str">
            <v>Site Allowance</v>
          </cell>
          <cell r="C1831" t="str">
            <v>EXPENSES</v>
          </cell>
          <cell r="D1831" t="str">
            <v>INCOME STATEMENT</v>
          </cell>
          <cell r="E1831">
            <v>0</v>
          </cell>
          <cell r="F1831">
            <v>0</v>
          </cell>
          <cell r="G1831" t="str">
            <v>EXPENDITURE</v>
          </cell>
          <cell r="H1831" t="str">
            <v>EMPLOYEE COST</v>
          </cell>
          <cell r="I1831" t="str">
            <v>SALARIES AND WAGES</v>
          </cell>
        </row>
        <row r="1832">
          <cell r="A1832" t="str">
            <v>X201032</v>
          </cell>
          <cell r="B1832" t="str">
            <v>Furnishing Allowance</v>
          </cell>
          <cell r="C1832" t="str">
            <v>EXPENSES</v>
          </cell>
          <cell r="D1832" t="str">
            <v>INCOME STATEMENT</v>
          </cell>
          <cell r="E1832">
            <v>0</v>
          </cell>
          <cell r="F1832">
            <v>0</v>
          </cell>
          <cell r="G1832" t="str">
            <v>EXPENDITURE</v>
          </cell>
          <cell r="H1832" t="str">
            <v>EMPLOYEE COST</v>
          </cell>
          <cell r="I1832" t="str">
            <v>SALARIES AND WAGES</v>
          </cell>
        </row>
        <row r="1833">
          <cell r="A1833" t="str">
            <v>X201033</v>
          </cell>
          <cell r="B1833" t="str">
            <v>Meal Allowance</v>
          </cell>
          <cell r="C1833" t="str">
            <v>EXPENSES</v>
          </cell>
          <cell r="D1833" t="str">
            <v>INCOME STATEMENT</v>
          </cell>
          <cell r="E1833">
            <v>0</v>
          </cell>
          <cell r="F1833">
            <v>0</v>
          </cell>
          <cell r="G1833" t="str">
            <v>EXPENDITURE</v>
          </cell>
          <cell r="H1833" t="str">
            <v>EMPLOYEE COST</v>
          </cell>
          <cell r="I1833" t="str">
            <v>SALARIES AND WAGES</v>
          </cell>
        </row>
        <row r="1834">
          <cell r="A1834" t="str">
            <v>X201034</v>
          </cell>
          <cell r="B1834" t="str">
            <v>Personnel Cost- Team Members</v>
          </cell>
          <cell r="C1834" t="str">
            <v>EXPENSES</v>
          </cell>
          <cell r="D1834" t="str">
            <v>INCOME STATEMENT</v>
          </cell>
          <cell r="E1834">
            <v>0</v>
          </cell>
          <cell r="F1834">
            <v>0</v>
          </cell>
          <cell r="G1834" t="str">
            <v>EXPENDITURE</v>
          </cell>
          <cell r="H1834" t="str">
            <v>EMPLOYEE COST</v>
          </cell>
          <cell r="I1834" t="str">
            <v>SALARIES AND WAGES</v>
          </cell>
        </row>
        <row r="1835">
          <cell r="A1835" t="str">
            <v>X201035</v>
          </cell>
          <cell r="B1835" t="str">
            <v>Additional Conveyance</v>
          </cell>
          <cell r="C1835" t="str">
            <v>EXPENSES</v>
          </cell>
          <cell r="D1835" t="str">
            <v>INCOME STATEMENT</v>
          </cell>
          <cell r="E1835">
            <v>0</v>
          </cell>
          <cell r="F1835">
            <v>0</v>
          </cell>
          <cell r="G1835" t="str">
            <v>EXPENDITURE</v>
          </cell>
          <cell r="H1835" t="str">
            <v>EMPLOYEE COST</v>
          </cell>
          <cell r="I1835" t="str">
            <v>SALARIES AND WAGES</v>
          </cell>
        </row>
        <row r="1836">
          <cell r="A1836" t="str">
            <v>X202001</v>
          </cell>
          <cell r="B1836" t="str">
            <v>Employers Contribution  Pf</v>
          </cell>
          <cell r="C1836" t="str">
            <v>EXPENSES</v>
          </cell>
          <cell r="D1836" t="str">
            <v>INCOME STATEMENT</v>
          </cell>
          <cell r="E1836">
            <v>0</v>
          </cell>
          <cell r="F1836">
            <v>0</v>
          </cell>
          <cell r="G1836" t="str">
            <v>EXPENDITURE</v>
          </cell>
          <cell r="H1836" t="str">
            <v>EMPLOYEE COST</v>
          </cell>
          <cell r="I1836" t="str">
            <v>CONTRIBUTION TO PF AND OTHER FUNDS</v>
          </cell>
        </row>
        <row r="1837">
          <cell r="A1837" t="str">
            <v>X202002</v>
          </cell>
          <cell r="B1837" t="str">
            <v>Employers Contribution Fpf</v>
          </cell>
          <cell r="C1837" t="str">
            <v>EXPENSES</v>
          </cell>
          <cell r="D1837" t="str">
            <v>INCOME STATEMENT</v>
          </cell>
          <cell r="E1837">
            <v>0</v>
          </cell>
          <cell r="F1837">
            <v>0</v>
          </cell>
          <cell r="G1837" t="str">
            <v>EXPENDITURE</v>
          </cell>
          <cell r="H1837" t="str">
            <v>EMPLOYEE COST</v>
          </cell>
          <cell r="I1837" t="str">
            <v>CONTRIBUTION TO PF AND OTHER FUNDS</v>
          </cell>
        </row>
        <row r="1838">
          <cell r="A1838" t="str">
            <v>X202003</v>
          </cell>
          <cell r="B1838" t="str">
            <v>Employers Contrbn Admn. Chg.</v>
          </cell>
          <cell r="C1838" t="str">
            <v>EXPENSES</v>
          </cell>
          <cell r="D1838" t="str">
            <v>INCOME STATEMENT</v>
          </cell>
          <cell r="E1838">
            <v>0</v>
          </cell>
          <cell r="F1838">
            <v>0</v>
          </cell>
          <cell r="G1838" t="str">
            <v>EXPENDITURE</v>
          </cell>
          <cell r="H1838" t="str">
            <v>EMPLOYEE COST</v>
          </cell>
          <cell r="I1838" t="str">
            <v>CONTRIBUTION TO PF AND OTHER FUNDS</v>
          </cell>
        </row>
        <row r="1839">
          <cell r="A1839" t="str">
            <v>X202004</v>
          </cell>
          <cell r="B1839" t="str">
            <v>Employers Contrbn Edli. Chg.</v>
          </cell>
          <cell r="C1839" t="str">
            <v>EXPENSES</v>
          </cell>
          <cell r="D1839" t="str">
            <v>INCOME STATEMENT</v>
          </cell>
          <cell r="E1839">
            <v>0</v>
          </cell>
          <cell r="F1839">
            <v>0</v>
          </cell>
          <cell r="G1839" t="str">
            <v>EXPENDITURE</v>
          </cell>
          <cell r="H1839" t="str">
            <v>EMPLOYEE COST</v>
          </cell>
          <cell r="I1839" t="str">
            <v>CONTRIBUTION TO PF AND OTHER FUNDS</v>
          </cell>
        </row>
        <row r="1840">
          <cell r="A1840" t="str">
            <v>X202005</v>
          </cell>
          <cell r="B1840" t="str">
            <v>Esi Paid</v>
          </cell>
          <cell r="C1840" t="str">
            <v>EXPENSES</v>
          </cell>
          <cell r="D1840" t="str">
            <v>INCOME STATEMENT</v>
          </cell>
          <cell r="E1840">
            <v>0</v>
          </cell>
          <cell r="F1840">
            <v>0</v>
          </cell>
          <cell r="G1840" t="str">
            <v>EXPENDITURE</v>
          </cell>
          <cell r="H1840" t="str">
            <v>EMPLOYEE COST</v>
          </cell>
          <cell r="I1840" t="str">
            <v>CONTRIBUTION TO PF AND OTHER FUNDS</v>
          </cell>
        </row>
        <row r="1841">
          <cell r="A1841" t="str">
            <v>X202006</v>
          </cell>
          <cell r="B1841" t="str">
            <v>Employers Contrbn Adm.Chg Edl</v>
          </cell>
          <cell r="C1841" t="str">
            <v>EXPENSES</v>
          </cell>
          <cell r="D1841" t="str">
            <v>INCOME STATEMENT</v>
          </cell>
          <cell r="E1841">
            <v>0</v>
          </cell>
          <cell r="F1841">
            <v>0</v>
          </cell>
          <cell r="G1841" t="str">
            <v>EXPENDITURE</v>
          </cell>
          <cell r="H1841" t="str">
            <v>EMPLOYEE COST</v>
          </cell>
          <cell r="I1841" t="str">
            <v>CONTRIBUTION TO PF AND OTHER FUNDS</v>
          </cell>
        </row>
        <row r="1842">
          <cell r="A1842" t="str">
            <v>X202007</v>
          </cell>
          <cell r="B1842" t="str">
            <v>Employer'S Contribution To ESI</v>
          </cell>
          <cell r="C1842" t="str">
            <v>EXPENSES</v>
          </cell>
          <cell r="D1842" t="str">
            <v>INCOME STATEMENT</v>
          </cell>
          <cell r="E1842">
            <v>0</v>
          </cell>
          <cell r="F1842">
            <v>0</v>
          </cell>
          <cell r="G1842" t="str">
            <v>EXPENDITURE</v>
          </cell>
          <cell r="H1842" t="str">
            <v>EMPLOYEE COST</v>
          </cell>
          <cell r="I1842" t="str">
            <v>CONTRIBUTION TO PF AND OTHER FUNDS</v>
          </cell>
        </row>
        <row r="1843">
          <cell r="A1843" t="str">
            <v>X202008</v>
          </cell>
          <cell r="B1843" t="str">
            <v>Employers PF- Directors</v>
          </cell>
          <cell r="C1843" t="str">
            <v>EXPENSES</v>
          </cell>
          <cell r="D1843" t="str">
            <v>INCOME STATEMENT</v>
          </cell>
          <cell r="E1843">
            <v>0</v>
          </cell>
          <cell r="F1843">
            <v>0</v>
          </cell>
          <cell r="G1843" t="str">
            <v>EXPENDITURE</v>
          </cell>
          <cell r="H1843" t="str">
            <v>EMPLOYEE COST</v>
          </cell>
          <cell r="I1843" t="str">
            <v>CONTRIBUTION TO PF AND OTHER FUNDS</v>
          </cell>
        </row>
        <row r="1844">
          <cell r="A1844" t="str">
            <v>X202009</v>
          </cell>
          <cell r="B1844" t="str">
            <v>Employer Pension-Directors</v>
          </cell>
          <cell r="C1844" t="str">
            <v>EXPENSES</v>
          </cell>
          <cell r="D1844" t="str">
            <v>INCOME STATEMENT</v>
          </cell>
          <cell r="E1844">
            <v>0</v>
          </cell>
          <cell r="F1844">
            <v>0</v>
          </cell>
          <cell r="G1844" t="str">
            <v>EXPENDITURE</v>
          </cell>
          <cell r="H1844" t="str">
            <v>EMPLOYEE COST</v>
          </cell>
          <cell r="I1844" t="str">
            <v>CONTRIBUTION TO PF AND OTHER FUNDS</v>
          </cell>
        </row>
        <row r="1845">
          <cell r="A1845" t="str">
            <v>X202010</v>
          </cell>
          <cell r="B1845" t="str">
            <v>Contribution to Superannuation</v>
          </cell>
          <cell r="C1845" t="str">
            <v>EXPENSES</v>
          </cell>
          <cell r="D1845" t="str">
            <v>INCOME STATEMENT</v>
          </cell>
          <cell r="E1845">
            <v>0</v>
          </cell>
          <cell r="F1845">
            <v>0</v>
          </cell>
          <cell r="G1845" t="str">
            <v>EXPENDITURE</v>
          </cell>
          <cell r="H1845" t="str">
            <v>EMPLOYEE COST</v>
          </cell>
          <cell r="I1845" t="str">
            <v>CONTRIBUTION TO PF AND OTHER FUNDS</v>
          </cell>
        </row>
        <row r="1846">
          <cell r="A1846" t="str">
            <v>X202011</v>
          </cell>
          <cell r="B1846" t="str">
            <v>Contribution to Superannuation- Director</v>
          </cell>
          <cell r="C1846" t="str">
            <v>EXPENSES</v>
          </cell>
          <cell r="D1846" t="str">
            <v>INCOME STATEMENT</v>
          </cell>
          <cell r="E1846">
            <v>0</v>
          </cell>
          <cell r="F1846">
            <v>0</v>
          </cell>
          <cell r="G1846" t="str">
            <v>EXPENDITURE</v>
          </cell>
          <cell r="H1846" t="str">
            <v>EMPLOYEE COST</v>
          </cell>
          <cell r="I1846" t="str">
            <v>CONTRIBUTION TO PF AND OTHER FUNDS</v>
          </cell>
        </row>
        <row r="1847">
          <cell r="A1847" t="str">
            <v>X202012</v>
          </cell>
          <cell r="B1847" t="str">
            <v>Employer's Contribution Pension Fund</v>
          </cell>
          <cell r="C1847" t="str">
            <v>EXPENSES</v>
          </cell>
          <cell r="D1847" t="str">
            <v>INCOME STATEMENT</v>
          </cell>
          <cell r="E1847">
            <v>0</v>
          </cell>
          <cell r="F1847">
            <v>0</v>
          </cell>
          <cell r="G1847" t="str">
            <v>EXPENDITURE</v>
          </cell>
          <cell r="H1847" t="str">
            <v>EMPLOYEE COST</v>
          </cell>
          <cell r="I1847" t="str">
            <v>CONTRIBUTION TO PF AND OTHER FUNDS</v>
          </cell>
        </row>
        <row r="1848">
          <cell r="A1848" t="str">
            <v>X202013</v>
          </cell>
          <cell r="B1848" t="str">
            <v>Employer's Contribution to PWF</v>
          </cell>
          <cell r="C1848" t="str">
            <v>EXPENSES</v>
          </cell>
          <cell r="D1848" t="str">
            <v>INCOME STATEMENT</v>
          </cell>
          <cell r="E1848">
            <v>0</v>
          </cell>
          <cell r="F1848">
            <v>0</v>
          </cell>
          <cell r="G1848" t="str">
            <v>EXPENDITURE</v>
          </cell>
          <cell r="H1848" t="str">
            <v>EMPLOYEE COST</v>
          </cell>
          <cell r="I1848" t="str">
            <v>CONTRIBUTION TO PF AND OTHER FUNDS</v>
          </cell>
        </row>
        <row r="1849">
          <cell r="A1849" t="str">
            <v>X203001</v>
          </cell>
          <cell r="B1849" t="str">
            <v>Gratuity Expenses</v>
          </cell>
          <cell r="C1849" t="str">
            <v>EXPENSES</v>
          </cell>
          <cell r="D1849" t="str">
            <v>INCOME STATEMENT</v>
          </cell>
          <cell r="E1849">
            <v>0</v>
          </cell>
          <cell r="F1849">
            <v>0</v>
          </cell>
          <cell r="G1849" t="str">
            <v>EXPENDITURE</v>
          </cell>
          <cell r="H1849" t="str">
            <v>EMPLOYEE COST</v>
          </cell>
          <cell r="I1849" t="str">
            <v>RETIREMENT BENEFITS</v>
          </cell>
        </row>
        <row r="1850">
          <cell r="A1850" t="str">
            <v>X203002</v>
          </cell>
          <cell r="B1850" t="str">
            <v>Leave Encashment</v>
          </cell>
          <cell r="C1850" t="str">
            <v>EXPENSES</v>
          </cell>
          <cell r="D1850" t="str">
            <v>INCOME STATEMENT</v>
          </cell>
          <cell r="E1850">
            <v>0</v>
          </cell>
          <cell r="F1850">
            <v>0</v>
          </cell>
          <cell r="G1850" t="str">
            <v>EXPENDITURE</v>
          </cell>
          <cell r="H1850" t="str">
            <v>EMPLOYEE COST</v>
          </cell>
          <cell r="I1850" t="str">
            <v>RETIREMENT BENEFITS</v>
          </cell>
        </row>
        <row r="1851">
          <cell r="A1851" t="str">
            <v>X204001</v>
          </cell>
          <cell r="B1851" t="str">
            <v>Staff Welfare</v>
          </cell>
          <cell r="C1851" t="str">
            <v>EXPENSES</v>
          </cell>
          <cell r="D1851" t="str">
            <v>INCOME STATEMENT</v>
          </cell>
          <cell r="E1851">
            <v>0</v>
          </cell>
          <cell r="F1851">
            <v>0</v>
          </cell>
          <cell r="G1851" t="str">
            <v>EXPENDITURE</v>
          </cell>
          <cell r="H1851" t="str">
            <v>EMPLOYEE COST</v>
          </cell>
          <cell r="I1851" t="str">
            <v>STAFF WELFARE</v>
          </cell>
        </row>
        <row r="1852">
          <cell r="A1852" t="str">
            <v>X204002</v>
          </cell>
          <cell r="B1852" t="str">
            <v>Staff Welfare- Office Pantry Expenses</v>
          </cell>
          <cell r="C1852" t="str">
            <v>EXPENSES</v>
          </cell>
          <cell r="D1852" t="str">
            <v>INCOME STATEMENT</v>
          </cell>
          <cell r="E1852">
            <v>0</v>
          </cell>
          <cell r="F1852">
            <v>0</v>
          </cell>
          <cell r="G1852" t="str">
            <v>EXPENDITURE</v>
          </cell>
          <cell r="H1852" t="str">
            <v>EMPLOYEE COST</v>
          </cell>
          <cell r="I1852" t="str">
            <v>STAFF WELFARE</v>
          </cell>
        </row>
        <row r="1853">
          <cell r="A1853" t="str">
            <v>X204003</v>
          </cell>
          <cell r="B1853" t="str">
            <v>Staff Welfare- Medical</v>
          </cell>
          <cell r="C1853" t="str">
            <v>EXPENSES</v>
          </cell>
          <cell r="D1853" t="str">
            <v>INCOME STATEMENT</v>
          </cell>
          <cell r="E1853">
            <v>0</v>
          </cell>
          <cell r="F1853">
            <v>0</v>
          </cell>
          <cell r="G1853" t="str">
            <v>EXPENDITURE</v>
          </cell>
          <cell r="H1853" t="str">
            <v>EMPLOYEE COST</v>
          </cell>
          <cell r="I1853" t="str">
            <v>STAFF WELFARE</v>
          </cell>
        </row>
        <row r="1854">
          <cell r="A1854" t="str">
            <v>X204004</v>
          </cell>
          <cell r="B1854" t="str">
            <v>Staff Welfare- Uniforms</v>
          </cell>
          <cell r="C1854" t="str">
            <v>EXPENSES</v>
          </cell>
          <cell r="D1854" t="str">
            <v>INCOME STATEMENT</v>
          </cell>
          <cell r="E1854">
            <v>0</v>
          </cell>
          <cell r="F1854">
            <v>0</v>
          </cell>
          <cell r="G1854" t="str">
            <v>EXPENDITURE</v>
          </cell>
          <cell r="H1854" t="str">
            <v>EMPLOYEE COST</v>
          </cell>
          <cell r="I1854" t="str">
            <v>STAFF WELFARE</v>
          </cell>
        </row>
        <row r="1855">
          <cell r="A1855" t="str">
            <v>X204005</v>
          </cell>
          <cell r="B1855" t="str">
            <v>Staff Welfare- LTA</v>
          </cell>
          <cell r="C1855" t="str">
            <v>EXPENSES</v>
          </cell>
          <cell r="D1855" t="str">
            <v>INCOME STATEMENT</v>
          </cell>
          <cell r="E1855">
            <v>0</v>
          </cell>
          <cell r="F1855">
            <v>0</v>
          </cell>
          <cell r="G1855" t="str">
            <v>EXPENDITURE</v>
          </cell>
          <cell r="H1855" t="str">
            <v>EMPLOYEE COST</v>
          </cell>
          <cell r="I1855" t="str">
            <v>STAFF WELFARE</v>
          </cell>
        </row>
        <row r="1856">
          <cell r="A1856" t="str">
            <v>X204006</v>
          </cell>
          <cell r="B1856" t="str">
            <v>Staff Welfare- Gifts</v>
          </cell>
          <cell r="C1856" t="str">
            <v>EXPENSES</v>
          </cell>
          <cell r="D1856" t="str">
            <v>INCOME STATEMENT</v>
          </cell>
          <cell r="E1856">
            <v>0</v>
          </cell>
          <cell r="F1856">
            <v>0</v>
          </cell>
          <cell r="G1856" t="str">
            <v>EXPENDITURE</v>
          </cell>
          <cell r="H1856" t="str">
            <v>EMPLOYEE COST</v>
          </cell>
          <cell r="I1856" t="str">
            <v>STAFF WELFARE</v>
          </cell>
        </row>
        <row r="1857">
          <cell r="A1857" t="str">
            <v>X204007</v>
          </cell>
          <cell r="B1857" t="str">
            <v>Staff Welfare- Others</v>
          </cell>
          <cell r="C1857" t="str">
            <v>EXPENSES</v>
          </cell>
          <cell r="D1857" t="str">
            <v>INCOME STATEMENT</v>
          </cell>
          <cell r="E1857">
            <v>0</v>
          </cell>
          <cell r="F1857">
            <v>0</v>
          </cell>
          <cell r="G1857" t="str">
            <v>EXPENDITURE</v>
          </cell>
          <cell r="H1857" t="str">
            <v>EMPLOYEE COST</v>
          </cell>
          <cell r="I1857" t="str">
            <v>STAFF WELFARE</v>
          </cell>
        </row>
        <row r="1858">
          <cell r="A1858" t="str">
            <v>X204008</v>
          </cell>
          <cell r="B1858" t="str">
            <v>Employer Cost To Punjab Lab Welfare Fund</v>
          </cell>
          <cell r="C1858" t="str">
            <v>EXPENSES</v>
          </cell>
          <cell r="D1858" t="str">
            <v>INCOME STATEMENT</v>
          </cell>
          <cell r="E1858">
            <v>0</v>
          </cell>
          <cell r="F1858">
            <v>0</v>
          </cell>
          <cell r="G1858" t="str">
            <v>EXPENDITURE</v>
          </cell>
          <cell r="H1858" t="str">
            <v>EMPLOYEE COST</v>
          </cell>
          <cell r="I1858" t="str">
            <v>STAFF WELFARE</v>
          </cell>
        </row>
        <row r="1859">
          <cell r="A1859" t="str">
            <v>X204009</v>
          </cell>
          <cell r="B1859" t="str">
            <v>Labour Welfare</v>
          </cell>
          <cell r="C1859" t="str">
            <v>EXPENSES</v>
          </cell>
          <cell r="D1859" t="str">
            <v>INCOME STATEMENT</v>
          </cell>
          <cell r="E1859">
            <v>0</v>
          </cell>
          <cell r="F1859">
            <v>0</v>
          </cell>
          <cell r="G1859" t="str">
            <v>EXPENDITURE</v>
          </cell>
          <cell r="H1859" t="str">
            <v>EMPLOYEE COST</v>
          </cell>
          <cell r="I1859" t="str">
            <v>STAFF WELFARE</v>
          </cell>
        </row>
        <row r="1860">
          <cell r="A1860" t="str">
            <v>X204010</v>
          </cell>
          <cell r="B1860" t="str">
            <v>Directors Medical Exp.</v>
          </cell>
          <cell r="C1860" t="str">
            <v>EXPENSES</v>
          </cell>
          <cell r="D1860" t="str">
            <v>INCOME STATEMENT</v>
          </cell>
          <cell r="E1860">
            <v>0</v>
          </cell>
          <cell r="F1860">
            <v>0</v>
          </cell>
          <cell r="G1860" t="str">
            <v>EXPENDITURE</v>
          </cell>
          <cell r="H1860" t="str">
            <v>EMPLOYEE COST</v>
          </cell>
          <cell r="I1860" t="str">
            <v>STAFF WELFARE</v>
          </cell>
        </row>
        <row r="1861">
          <cell r="A1861" t="str">
            <v>X204011</v>
          </cell>
          <cell r="B1861" t="str">
            <v>Directors Medical Exp.- K P Singh</v>
          </cell>
          <cell r="C1861" t="str">
            <v>EXPENSES</v>
          </cell>
          <cell r="D1861" t="str">
            <v>INCOME STATEMENT</v>
          </cell>
          <cell r="E1861">
            <v>0</v>
          </cell>
          <cell r="F1861">
            <v>0</v>
          </cell>
          <cell r="G1861" t="str">
            <v>EXPENDITURE</v>
          </cell>
          <cell r="H1861" t="str">
            <v>EMPLOYEE COST</v>
          </cell>
          <cell r="I1861" t="str">
            <v>STAFF WELFARE</v>
          </cell>
        </row>
        <row r="1862">
          <cell r="A1862" t="str">
            <v>X204012</v>
          </cell>
          <cell r="B1862" t="str">
            <v>Directors Medical Exp.- Rajiv Singh</v>
          </cell>
          <cell r="C1862" t="str">
            <v>EXPENSES</v>
          </cell>
          <cell r="D1862" t="str">
            <v>INCOME STATEMENT</v>
          </cell>
          <cell r="E1862">
            <v>0</v>
          </cell>
          <cell r="F1862">
            <v>0</v>
          </cell>
          <cell r="G1862" t="str">
            <v>EXPENDITURE</v>
          </cell>
          <cell r="H1862" t="str">
            <v>EMPLOYEE COST</v>
          </cell>
          <cell r="I1862" t="str">
            <v>STAFF WELFARE</v>
          </cell>
        </row>
        <row r="1863">
          <cell r="A1863" t="str">
            <v>X204013</v>
          </cell>
          <cell r="B1863" t="str">
            <v>Directors Medical Exp.- Pia Singh</v>
          </cell>
          <cell r="C1863" t="str">
            <v>EXPENSES</v>
          </cell>
          <cell r="D1863" t="str">
            <v>INCOME STATEMENT</v>
          </cell>
          <cell r="E1863">
            <v>0</v>
          </cell>
          <cell r="F1863">
            <v>0</v>
          </cell>
          <cell r="G1863" t="str">
            <v>EXPENDITURE</v>
          </cell>
          <cell r="H1863" t="str">
            <v>EMPLOYEE COST</v>
          </cell>
          <cell r="I1863" t="str">
            <v>STAFF WELFARE</v>
          </cell>
        </row>
        <row r="1864">
          <cell r="A1864" t="str">
            <v>X204014</v>
          </cell>
          <cell r="B1864" t="str">
            <v>Directors Medical Exp.- T C Goyal</v>
          </cell>
          <cell r="C1864" t="str">
            <v>EXPENSES</v>
          </cell>
          <cell r="D1864" t="str">
            <v>INCOME STATEMENT</v>
          </cell>
          <cell r="E1864">
            <v>0</v>
          </cell>
          <cell r="F1864">
            <v>0</v>
          </cell>
          <cell r="G1864" t="str">
            <v>EXPENDITURE</v>
          </cell>
          <cell r="H1864" t="str">
            <v>EMPLOYEE COST</v>
          </cell>
          <cell r="I1864" t="str">
            <v>STAFF WELFARE</v>
          </cell>
        </row>
        <row r="1865">
          <cell r="A1865" t="str">
            <v>X204015</v>
          </cell>
          <cell r="B1865" t="str">
            <v>L.T.A.- Directors</v>
          </cell>
          <cell r="C1865" t="str">
            <v>EXPENSES</v>
          </cell>
          <cell r="D1865" t="str">
            <v>INCOME STATEMENT</v>
          </cell>
          <cell r="E1865">
            <v>0</v>
          </cell>
          <cell r="F1865">
            <v>0</v>
          </cell>
          <cell r="G1865" t="str">
            <v>EXPENDITURE</v>
          </cell>
          <cell r="H1865" t="str">
            <v>EMPLOYEE COST</v>
          </cell>
          <cell r="I1865" t="str">
            <v>STAFF WELFARE</v>
          </cell>
        </row>
        <row r="1866">
          <cell r="A1866" t="str">
            <v>X204016</v>
          </cell>
          <cell r="B1866" t="str">
            <v>Perquisites To Staff</v>
          </cell>
          <cell r="C1866" t="str">
            <v>EXPENSES</v>
          </cell>
          <cell r="D1866" t="str">
            <v>INCOME STATEMENT</v>
          </cell>
          <cell r="E1866">
            <v>0</v>
          </cell>
          <cell r="F1866">
            <v>0</v>
          </cell>
          <cell r="G1866" t="str">
            <v>EXPENDITURE</v>
          </cell>
          <cell r="H1866" t="str">
            <v>EMPLOYEE COST</v>
          </cell>
          <cell r="I1866" t="str">
            <v>STAFF WELFARE</v>
          </cell>
        </row>
        <row r="1867">
          <cell r="A1867" t="str">
            <v>X204017</v>
          </cell>
          <cell r="B1867" t="str">
            <v>Perks To Directors</v>
          </cell>
          <cell r="C1867" t="str">
            <v>EXPENSES</v>
          </cell>
          <cell r="D1867" t="str">
            <v>INCOME STATEMENT</v>
          </cell>
          <cell r="E1867">
            <v>0</v>
          </cell>
          <cell r="F1867">
            <v>0</v>
          </cell>
          <cell r="G1867" t="str">
            <v>EXPENDITURE</v>
          </cell>
          <cell r="H1867" t="str">
            <v>EMPLOYEE COST</v>
          </cell>
          <cell r="I1867" t="str">
            <v>STAFF WELFARE</v>
          </cell>
        </row>
        <row r="1868">
          <cell r="A1868" t="str">
            <v>X204018</v>
          </cell>
          <cell r="B1868" t="str">
            <v>Club Membership (Staff)</v>
          </cell>
          <cell r="C1868" t="str">
            <v>EXPENSES</v>
          </cell>
          <cell r="D1868" t="str">
            <v>INCOME STATEMENT</v>
          </cell>
          <cell r="E1868">
            <v>0</v>
          </cell>
          <cell r="F1868">
            <v>0</v>
          </cell>
          <cell r="G1868" t="str">
            <v>EXPENDITURE</v>
          </cell>
          <cell r="H1868" t="str">
            <v>EMPLOYEE COST</v>
          </cell>
          <cell r="I1868" t="str">
            <v>STAFF WELFARE</v>
          </cell>
        </row>
        <row r="1869">
          <cell r="A1869" t="str">
            <v>X204019</v>
          </cell>
          <cell r="B1869" t="str">
            <v>Club Membership (Director)</v>
          </cell>
          <cell r="C1869" t="str">
            <v>EXPENSES</v>
          </cell>
          <cell r="D1869" t="str">
            <v>INCOME STATEMENT</v>
          </cell>
          <cell r="E1869">
            <v>0</v>
          </cell>
          <cell r="F1869">
            <v>0</v>
          </cell>
          <cell r="G1869" t="str">
            <v>EXPENDITURE</v>
          </cell>
          <cell r="H1869" t="str">
            <v>EMPLOYEE COST</v>
          </cell>
          <cell r="I1869" t="str">
            <v>STAFF WELFARE</v>
          </cell>
        </row>
        <row r="1870">
          <cell r="A1870" t="str">
            <v>X204020</v>
          </cell>
          <cell r="B1870" t="str">
            <v>Staff Welfare - FBT</v>
          </cell>
          <cell r="C1870" t="str">
            <v>EXPENSES</v>
          </cell>
          <cell r="D1870" t="str">
            <v>INCOME STATEMENT</v>
          </cell>
          <cell r="E1870">
            <v>0</v>
          </cell>
          <cell r="F1870">
            <v>0</v>
          </cell>
          <cell r="G1870" t="str">
            <v>EXPENDITURE</v>
          </cell>
          <cell r="H1870" t="str">
            <v>EMPLOYEE COST</v>
          </cell>
          <cell r="I1870" t="str">
            <v>STAFF WELFARE</v>
          </cell>
        </row>
        <row r="1871">
          <cell r="A1871" t="str">
            <v>X204021</v>
          </cell>
          <cell r="B1871" t="str">
            <v>MOBILE SUBSIDY</v>
          </cell>
          <cell r="C1871" t="str">
            <v>EXPENSES</v>
          </cell>
          <cell r="D1871" t="str">
            <v>INCOME STATEMENT</v>
          </cell>
          <cell r="E1871">
            <v>0</v>
          </cell>
          <cell r="F1871">
            <v>0</v>
          </cell>
          <cell r="G1871" t="str">
            <v>EXPENDITURE</v>
          </cell>
          <cell r="H1871" t="str">
            <v>EMPLOYEE COST</v>
          </cell>
          <cell r="I1871" t="str">
            <v>STAFF WELFARE</v>
          </cell>
        </row>
        <row r="1872">
          <cell r="A1872" t="str">
            <v>X204022</v>
          </cell>
          <cell r="B1872" t="str">
            <v>Staff Pickup-Drop Exp.</v>
          </cell>
          <cell r="C1872" t="str">
            <v>EXPENSES</v>
          </cell>
          <cell r="D1872" t="str">
            <v>INCOME STATEMENT</v>
          </cell>
          <cell r="E1872">
            <v>0</v>
          </cell>
          <cell r="F1872">
            <v>0</v>
          </cell>
          <cell r="G1872" t="str">
            <v>EXPENDITURE</v>
          </cell>
          <cell r="H1872" t="str">
            <v>EMPLOYEE COST</v>
          </cell>
          <cell r="I1872" t="str">
            <v>STAFF WELFARE</v>
          </cell>
        </row>
        <row r="1873">
          <cell r="A1873" t="str">
            <v>X204023</v>
          </cell>
          <cell r="B1873" t="str">
            <v>HRS - Staff</v>
          </cell>
          <cell r="C1873" t="str">
            <v>EXPENSES</v>
          </cell>
          <cell r="D1873" t="str">
            <v>INCOME STATEMENT</v>
          </cell>
          <cell r="E1873">
            <v>0</v>
          </cell>
          <cell r="F1873">
            <v>0</v>
          </cell>
          <cell r="G1873" t="str">
            <v>EXPENDITURE</v>
          </cell>
          <cell r="H1873" t="str">
            <v>EMPLOYEE COST</v>
          </cell>
          <cell r="I1873" t="str">
            <v>STAFF WELFARE</v>
          </cell>
        </row>
        <row r="1874">
          <cell r="A1874" t="str">
            <v>X204024</v>
          </cell>
          <cell r="B1874" t="str">
            <v>Discount on Concesion Sales</v>
          </cell>
          <cell r="C1874" t="str">
            <v>EXPENSES</v>
          </cell>
          <cell r="D1874" t="str">
            <v>INCOME STATEMENT</v>
          </cell>
          <cell r="E1874">
            <v>0</v>
          </cell>
          <cell r="F1874">
            <v>0</v>
          </cell>
          <cell r="G1874" t="str">
            <v>EXPENDITURE</v>
          </cell>
          <cell r="H1874" t="str">
            <v>EMPLOYEE COST</v>
          </cell>
          <cell r="I1874" t="str">
            <v>STAFF WELFARE</v>
          </cell>
        </row>
        <row r="1875">
          <cell r="A1875" t="str">
            <v>X204025</v>
          </cell>
          <cell r="B1875" t="str">
            <v>Discount on Tickets</v>
          </cell>
          <cell r="C1875" t="str">
            <v>EXPENSES</v>
          </cell>
          <cell r="D1875" t="str">
            <v>INCOME STATEMENT</v>
          </cell>
          <cell r="E1875">
            <v>0</v>
          </cell>
          <cell r="F1875">
            <v>0</v>
          </cell>
          <cell r="G1875" t="str">
            <v>EXPENDITURE</v>
          </cell>
          <cell r="H1875" t="str">
            <v>EMPLOYEE COST</v>
          </cell>
          <cell r="I1875" t="str">
            <v>STAFF WELFARE</v>
          </cell>
        </row>
        <row r="1876">
          <cell r="A1876" t="str">
            <v>X204026</v>
          </cell>
          <cell r="B1876" t="str">
            <v>LEAVE TRAVEL ALLOWANCE</v>
          </cell>
          <cell r="C1876" t="str">
            <v>EXPENSES</v>
          </cell>
          <cell r="D1876" t="str">
            <v>INCOME STATEMENT</v>
          </cell>
          <cell r="E1876">
            <v>0</v>
          </cell>
          <cell r="G1876" t="str">
            <v>EXPENDITURE</v>
          </cell>
          <cell r="H1876" t="str">
            <v>EMPLOYEE COST</v>
          </cell>
          <cell r="I1876" t="str">
            <v>STAFF WELFARE</v>
          </cell>
        </row>
        <row r="1877">
          <cell r="A1877" t="str">
            <v>X204027</v>
          </cell>
          <cell r="B1877" t="str">
            <v>PERSONAL AWARD</v>
          </cell>
          <cell r="C1877" t="str">
            <v>EXPENSES</v>
          </cell>
          <cell r="D1877" t="str">
            <v>INCOME STATEMENT</v>
          </cell>
          <cell r="G1877" t="str">
            <v>EXPENDITURE</v>
          </cell>
          <cell r="H1877" t="str">
            <v>EMPLOYEE COST</v>
          </cell>
          <cell r="I1877" t="str">
            <v>STAFF WELFARE</v>
          </cell>
        </row>
        <row r="1878">
          <cell r="A1878" t="str">
            <v>X204028</v>
          </cell>
          <cell r="B1878" t="str">
            <v>PERFORMANCE AWARD</v>
          </cell>
          <cell r="C1878" t="str">
            <v>EXPENSES</v>
          </cell>
          <cell r="D1878" t="str">
            <v>INCOME STATEMENT</v>
          </cell>
          <cell r="G1878" t="str">
            <v>EXPENDITURE</v>
          </cell>
          <cell r="H1878" t="str">
            <v>EMPLOYEE COST</v>
          </cell>
          <cell r="I1878" t="str">
            <v>STAFF WELFARE</v>
          </cell>
        </row>
        <row r="1879">
          <cell r="A1879" t="str">
            <v>X301001</v>
          </cell>
          <cell r="B1879" t="str">
            <v>Int on Fixed per loans (Banks)</v>
          </cell>
          <cell r="C1879" t="str">
            <v>EXPENSES</v>
          </cell>
          <cell r="D1879" t="str">
            <v>INCOME STATEMENT</v>
          </cell>
          <cell r="E1879">
            <v>0</v>
          </cell>
          <cell r="F1879">
            <v>0</v>
          </cell>
          <cell r="G1879" t="str">
            <v>EXPENDITURE</v>
          </cell>
          <cell r="H1879" t="str">
            <v>INTEREST AND FINANCE CHARGES</v>
          </cell>
          <cell r="I1879" t="str">
            <v>BANK INTEREST</v>
          </cell>
        </row>
        <row r="1880">
          <cell r="A1880" t="str">
            <v>X301002</v>
          </cell>
          <cell r="B1880" t="str">
            <v>Int on Fixed per loans- HSBC Loans</v>
          </cell>
          <cell r="C1880" t="str">
            <v>EXPENSES</v>
          </cell>
          <cell r="D1880" t="str">
            <v>INCOME STATEMENT</v>
          </cell>
          <cell r="E1880">
            <v>0</v>
          </cell>
          <cell r="F1880">
            <v>0</v>
          </cell>
          <cell r="G1880" t="str">
            <v>EXPENDITURE</v>
          </cell>
          <cell r="H1880" t="str">
            <v>INTEREST AND FINANCE CHARGES</v>
          </cell>
          <cell r="I1880" t="str">
            <v>BANK INTEREST</v>
          </cell>
        </row>
        <row r="1881">
          <cell r="A1881" t="str">
            <v>X301003</v>
          </cell>
          <cell r="B1881" t="str">
            <v>Int on Fixed per loans- ICICI Loans</v>
          </cell>
          <cell r="C1881" t="str">
            <v>EXPENSES</v>
          </cell>
          <cell r="D1881" t="str">
            <v>INCOME STATEMENT</v>
          </cell>
          <cell r="E1881">
            <v>0</v>
          </cell>
          <cell r="F1881">
            <v>0</v>
          </cell>
          <cell r="G1881" t="str">
            <v>EXPENDITURE</v>
          </cell>
          <cell r="H1881" t="str">
            <v>INTEREST AND FINANCE CHARGES</v>
          </cell>
          <cell r="I1881" t="str">
            <v>BANK INTEREST</v>
          </cell>
        </row>
        <row r="1882">
          <cell r="A1882" t="str">
            <v>X301004</v>
          </cell>
          <cell r="B1882" t="str">
            <v>Int on Fixed per loans- Citi Bank Receiv</v>
          </cell>
          <cell r="C1882" t="str">
            <v>EXPENSES</v>
          </cell>
          <cell r="D1882" t="str">
            <v>INCOME STATEMENT</v>
          </cell>
          <cell r="E1882">
            <v>0</v>
          </cell>
          <cell r="F1882">
            <v>0</v>
          </cell>
          <cell r="G1882" t="str">
            <v>EXPENDITURE</v>
          </cell>
          <cell r="H1882" t="str">
            <v>INTEREST AND FINANCE CHARGES</v>
          </cell>
          <cell r="I1882" t="str">
            <v>BANK INTEREST</v>
          </cell>
        </row>
        <row r="1883">
          <cell r="A1883" t="str">
            <v>X301005</v>
          </cell>
          <cell r="B1883" t="str">
            <v>Int on Fixed per loans- HDFC</v>
          </cell>
          <cell r="C1883" t="str">
            <v>EXPENSES</v>
          </cell>
          <cell r="D1883" t="str">
            <v>INCOME STATEMENT</v>
          </cell>
          <cell r="E1883">
            <v>0</v>
          </cell>
          <cell r="F1883">
            <v>0</v>
          </cell>
          <cell r="G1883" t="str">
            <v>EXPENDITURE</v>
          </cell>
          <cell r="H1883" t="str">
            <v>INTEREST AND FINANCE CHARGES</v>
          </cell>
          <cell r="I1883" t="str">
            <v>BANK INTEREST</v>
          </cell>
        </row>
        <row r="1884">
          <cell r="A1884" t="str">
            <v>X301006</v>
          </cell>
          <cell r="B1884" t="str">
            <v>Int on Fixed per loans- FCL</v>
          </cell>
          <cell r="C1884" t="str">
            <v>EXPENSES</v>
          </cell>
          <cell r="D1884" t="str">
            <v>INCOME STATEMENT</v>
          </cell>
          <cell r="E1884">
            <v>0</v>
          </cell>
          <cell r="F1884">
            <v>0</v>
          </cell>
          <cell r="G1884" t="str">
            <v>EXPENDITURE</v>
          </cell>
          <cell r="H1884" t="str">
            <v>INTEREST AND FINANCE CHARGES</v>
          </cell>
          <cell r="I1884" t="str">
            <v>BANK INTEREST</v>
          </cell>
        </row>
        <row r="1885">
          <cell r="A1885" t="str">
            <v>X301007</v>
          </cell>
          <cell r="B1885" t="str">
            <v>Int on Fixed per loans- ECB</v>
          </cell>
          <cell r="C1885" t="str">
            <v>EXPENSES</v>
          </cell>
          <cell r="D1885" t="str">
            <v>INCOME STATEMENT</v>
          </cell>
          <cell r="E1885">
            <v>0</v>
          </cell>
          <cell r="F1885">
            <v>0</v>
          </cell>
          <cell r="G1885" t="str">
            <v>EXPENDITURE</v>
          </cell>
          <cell r="H1885" t="str">
            <v>INTEREST AND FINANCE CHARGES</v>
          </cell>
          <cell r="I1885" t="str">
            <v>BANK INTEREST</v>
          </cell>
        </row>
        <row r="1886">
          <cell r="A1886" t="str">
            <v>X301008</v>
          </cell>
          <cell r="B1886" t="str">
            <v>Int on Fixed per loans- ABN AMRO</v>
          </cell>
          <cell r="C1886" t="str">
            <v>EXPENSES</v>
          </cell>
          <cell r="D1886" t="str">
            <v>INCOME STATEMENT</v>
          </cell>
          <cell r="E1886">
            <v>0</v>
          </cell>
          <cell r="F1886">
            <v>0</v>
          </cell>
          <cell r="G1886" t="str">
            <v>EXPENDITURE</v>
          </cell>
          <cell r="H1886" t="str">
            <v>INTEREST AND FINANCE CHARGES</v>
          </cell>
          <cell r="I1886" t="str">
            <v>BANK INTEREST</v>
          </cell>
        </row>
        <row r="1887">
          <cell r="A1887" t="str">
            <v>X301009</v>
          </cell>
          <cell r="B1887" t="str">
            <v>Int on Fixed per loans- HDFC Bank</v>
          </cell>
          <cell r="C1887" t="str">
            <v>EXPENSES</v>
          </cell>
          <cell r="D1887" t="str">
            <v>INCOME STATEMENT</v>
          </cell>
          <cell r="E1887">
            <v>0</v>
          </cell>
          <cell r="F1887">
            <v>0</v>
          </cell>
          <cell r="G1887" t="str">
            <v>EXPENDITURE</v>
          </cell>
          <cell r="H1887" t="str">
            <v>INTEREST AND FINANCE CHARGES</v>
          </cell>
          <cell r="I1887" t="str">
            <v>BANK INTEREST</v>
          </cell>
        </row>
        <row r="1888">
          <cell r="A1888" t="str">
            <v>X301010</v>
          </cell>
          <cell r="B1888" t="str">
            <v>Int on Fixed per loans- DBS Banks</v>
          </cell>
          <cell r="C1888" t="str">
            <v>EXPENSES</v>
          </cell>
          <cell r="D1888" t="str">
            <v>INCOME STATEMENT</v>
          </cell>
          <cell r="E1888">
            <v>0</v>
          </cell>
          <cell r="F1888">
            <v>0</v>
          </cell>
          <cell r="G1888" t="str">
            <v>EXPENDITURE</v>
          </cell>
          <cell r="H1888" t="str">
            <v>INTEREST AND FINANCE CHARGES</v>
          </cell>
          <cell r="I1888" t="str">
            <v>BANK INTEREST</v>
          </cell>
        </row>
        <row r="1889">
          <cell r="A1889" t="str">
            <v>X301011</v>
          </cell>
          <cell r="B1889" t="str">
            <v>Int on Fixed per loans- IDBI Bank</v>
          </cell>
          <cell r="C1889" t="str">
            <v>EXPENSES</v>
          </cell>
          <cell r="D1889" t="str">
            <v>INCOME STATEMENT</v>
          </cell>
          <cell r="E1889">
            <v>0</v>
          </cell>
          <cell r="F1889">
            <v>0</v>
          </cell>
          <cell r="G1889" t="str">
            <v>EXPENDITURE</v>
          </cell>
          <cell r="H1889" t="str">
            <v>INTEREST AND FINANCE CHARGES</v>
          </cell>
          <cell r="I1889" t="str">
            <v>BANK INTEREST</v>
          </cell>
        </row>
        <row r="1890">
          <cell r="A1890" t="str">
            <v>X301012</v>
          </cell>
          <cell r="B1890" t="str">
            <v>Int on Fixed per loans- UTI Bank</v>
          </cell>
          <cell r="C1890" t="str">
            <v>EXPENSES</v>
          </cell>
          <cell r="D1890" t="str">
            <v>INCOME STATEMENT</v>
          </cell>
          <cell r="E1890">
            <v>0</v>
          </cell>
          <cell r="F1890">
            <v>0</v>
          </cell>
          <cell r="G1890" t="str">
            <v>EXPENDITURE</v>
          </cell>
          <cell r="H1890" t="str">
            <v>INTEREST AND FINANCE CHARGES</v>
          </cell>
          <cell r="I1890" t="str">
            <v>BANK INTEREST</v>
          </cell>
        </row>
        <row r="1891">
          <cell r="A1891" t="str">
            <v>X301013</v>
          </cell>
          <cell r="B1891" t="str">
            <v>Int on Fixed per loans- Unitd Bnk of Ind</v>
          </cell>
          <cell r="C1891" t="str">
            <v>EXPENSES</v>
          </cell>
          <cell r="D1891" t="str">
            <v>INCOME STATEMENT</v>
          </cell>
          <cell r="E1891">
            <v>0</v>
          </cell>
          <cell r="F1891">
            <v>0</v>
          </cell>
          <cell r="G1891" t="str">
            <v>EXPENDITURE</v>
          </cell>
          <cell r="H1891" t="str">
            <v>INTEREST AND FINANCE CHARGES</v>
          </cell>
          <cell r="I1891" t="str">
            <v>BANK INTEREST</v>
          </cell>
        </row>
        <row r="1892">
          <cell r="A1892" t="str">
            <v>X301014</v>
          </cell>
          <cell r="B1892" t="str">
            <v>Int on Fixed per loans- BOB</v>
          </cell>
          <cell r="C1892" t="str">
            <v>EXPENSES</v>
          </cell>
          <cell r="D1892" t="str">
            <v>INCOME STATEMENT</v>
          </cell>
          <cell r="E1892">
            <v>0</v>
          </cell>
          <cell r="F1892">
            <v>0</v>
          </cell>
          <cell r="G1892" t="str">
            <v>EXPENDITURE</v>
          </cell>
          <cell r="H1892" t="str">
            <v>INTEREST AND FINANCE CHARGES</v>
          </cell>
          <cell r="I1892" t="str">
            <v>BANK INTEREST</v>
          </cell>
        </row>
        <row r="1893">
          <cell r="A1893" t="str">
            <v>X301015</v>
          </cell>
          <cell r="B1893" t="str">
            <v>Int on Fixed per loans- BOM</v>
          </cell>
          <cell r="C1893" t="str">
            <v>EXPENSES</v>
          </cell>
          <cell r="D1893" t="str">
            <v>INCOME STATEMENT</v>
          </cell>
          <cell r="E1893">
            <v>0</v>
          </cell>
          <cell r="F1893">
            <v>0</v>
          </cell>
          <cell r="G1893" t="str">
            <v>EXPENDITURE</v>
          </cell>
          <cell r="H1893" t="str">
            <v>INTEREST AND FINANCE CHARGES</v>
          </cell>
          <cell r="I1893" t="str">
            <v>BANK INTEREST</v>
          </cell>
        </row>
        <row r="1894">
          <cell r="A1894" t="str">
            <v>X301016</v>
          </cell>
          <cell r="B1894" t="str">
            <v>Int on Fixed per loans- Deutsche Bank</v>
          </cell>
          <cell r="C1894" t="str">
            <v>EXPENSES</v>
          </cell>
          <cell r="D1894" t="str">
            <v>INCOME STATEMENT</v>
          </cell>
          <cell r="E1894">
            <v>0</v>
          </cell>
          <cell r="F1894">
            <v>0</v>
          </cell>
          <cell r="G1894" t="str">
            <v>EXPENDITURE</v>
          </cell>
          <cell r="H1894" t="str">
            <v>INTEREST AND FINANCE CHARGES</v>
          </cell>
          <cell r="I1894" t="str">
            <v>BANK INTEREST</v>
          </cell>
        </row>
        <row r="1895">
          <cell r="A1895" t="str">
            <v>X301017</v>
          </cell>
          <cell r="B1895" t="str">
            <v>Int on Fixed per loans- UCO</v>
          </cell>
          <cell r="C1895" t="str">
            <v>EXPENSES</v>
          </cell>
          <cell r="D1895" t="str">
            <v>INCOME STATEMENT</v>
          </cell>
          <cell r="E1895">
            <v>0</v>
          </cell>
          <cell r="F1895">
            <v>0</v>
          </cell>
          <cell r="G1895" t="str">
            <v>EXPENDITURE</v>
          </cell>
          <cell r="H1895" t="str">
            <v>INTEREST AND FINANCE CHARGES</v>
          </cell>
          <cell r="I1895" t="str">
            <v>BANK INTEREST</v>
          </cell>
        </row>
        <row r="1896">
          <cell r="A1896" t="str">
            <v>X301018</v>
          </cell>
          <cell r="B1896" t="str">
            <v>Int on Fixed per loans- ILFS</v>
          </cell>
          <cell r="C1896" t="str">
            <v>EXPENSES</v>
          </cell>
          <cell r="D1896" t="str">
            <v>INCOME STATEMENT</v>
          </cell>
          <cell r="E1896">
            <v>0</v>
          </cell>
          <cell r="F1896">
            <v>0</v>
          </cell>
          <cell r="G1896" t="str">
            <v>EXPENDITURE</v>
          </cell>
          <cell r="H1896" t="str">
            <v>INTEREST AND FINANCE CHARGES</v>
          </cell>
          <cell r="I1896" t="str">
            <v>BANK INTEREST</v>
          </cell>
        </row>
        <row r="1897">
          <cell r="A1897" t="str">
            <v>X301019</v>
          </cell>
          <cell r="B1897" t="str">
            <v>Int on Fixed per loans- Corporatio Bank</v>
          </cell>
          <cell r="C1897" t="str">
            <v>EXPENSES</v>
          </cell>
          <cell r="D1897" t="str">
            <v>INCOME STATEMENT</v>
          </cell>
          <cell r="E1897">
            <v>0</v>
          </cell>
          <cell r="F1897">
            <v>0</v>
          </cell>
          <cell r="G1897" t="str">
            <v>EXPENDITURE</v>
          </cell>
          <cell r="H1897" t="str">
            <v>INTEREST AND FINANCE CHARGES</v>
          </cell>
          <cell r="I1897" t="str">
            <v>BANK INTEREST</v>
          </cell>
        </row>
        <row r="1898">
          <cell r="A1898" t="str">
            <v>X301020</v>
          </cell>
          <cell r="B1898" t="str">
            <v>Int on Fixed per loans- SCB</v>
          </cell>
          <cell r="C1898" t="str">
            <v>EXPENSES</v>
          </cell>
          <cell r="D1898" t="str">
            <v>INCOME STATEMENT</v>
          </cell>
          <cell r="E1898">
            <v>0</v>
          </cell>
          <cell r="F1898">
            <v>0</v>
          </cell>
          <cell r="G1898" t="str">
            <v>EXPENDITURE</v>
          </cell>
          <cell r="H1898" t="str">
            <v>INTEREST AND FINANCE CHARGES</v>
          </cell>
          <cell r="I1898" t="str">
            <v>BANK INTEREST</v>
          </cell>
        </row>
        <row r="1899">
          <cell r="A1899" t="str">
            <v>X301021</v>
          </cell>
          <cell r="B1899" t="str">
            <v>Int on Fixed per loans- Citi Bnk/Mgnolia</v>
          </cell>
          <cell r="C1899" t="str">
            <v>EXPENSES</v>
          </cell>
          <cell r="D1899" t="str">
            <v>INCOME STATEMENT</v>
          </cell>
          <cell r="E1899">
            <v>0</v>
          </cell>
          <cell r="F1899">
            <v>0</v>
          </cell>
          <cell r="G1899" t="str">
            <v>EXPENDITURE</v>
          </cell>
          <cell r="H1899" t="str">
            <v>INTEREST AND FINANCE CHARGES</v>
          </cell>
          <cell r="I1899" t="str">
            <v>BANK INTEREST</v>
          </cell>
        </row>
        <row r="1900">
          <cell r="A1900" t="str">
            <v>X301022</v>
          </cell>
          <cell r="B1900" t="str">
            <v>Int on Fixed per loans- Kotak</v>
          </cell>
          <cell r="C1900" t="str">
            <v>EXPENSES</v>
          </cell>
          <cell r="D1900" t="str">
            <v>INCOME STATEMENT</v>
          </cell>
          <cell r="E1900">
            <v>0</v>
          </cell>
          <cell r="F1900">
            <v>0</v>
          </cell>
          <cell r="G1900" t="str">
            <v>EXPENDITURE</v>
          </cell>
          <cell r="H1900" t="str">
            <v>INTEREST AND FINANCE CHARGES</v>
          </cell>
          <cell r="I1900" t="str">
            <v>BANK INTEREST</v>
          </cell>
        </row>
        <row r="1901">
          <cell r="A1901" t="str">
            <v>X301023</v>
          </cell>
          <cell r="B1901" t="str">
            <v>Int on Fixed per loans- S B O H</v>
          </cell>
          <cell r="C1901" t="str">
            <v>EXPENSES</v>
          </cell>
          <cell r="D1901" t="str">
            <v>INCOME STATEMENT</v>
          </cell>
          <cell r="E1901">
            <v>0</v>
          </cell>
          <cell r="F1901">
            <v>0</v>
          </cell>
          <cell r="G1901" t="str">
            <v>EXPENDITURE</v>
          </cell>
          <cell r="H1901" t="str">
            <v>INTEREST AND FINANCE CHARGES</v>
          </cell>
          <cell r="I1901" t="str">
            <v>BANK INTEREST</v>
          </cell>
        </row>
        <row r="1902">
          <cell r="A1902" t="str">
            <v>X301024</v>
          </cell>
          <cell r="B1902" t="str">
            <v>Int on Fixed per loans- GE Capital</v>
          </cell>
          <cell r="C1902" t="str">
            <v>EXPENSES</v>
          </cell>
          <cell r="D1902" t="str">
            <v>INCOME STATEMENT</v>
          </cell>
          <cell r="E1902">
            <v>0</v>
          </cell>
          <cell r="F1902">
            <v>0</v>
          </cell>
          <cell r="G1902" t="str">
            <v>EXPENDITURE</v>
          </cell>
          <cell r="H1902" t="str">
            <v>INTEREST AND FINANCE CHARGES</v>
          </cell>
          <cell r="I1902" t="str">
            <v>BANK INTEREST</v>
          </cell>
        </row>
        <row r="1903">
          <cell r="A1903" t="str">
            <v>X301025</v>
          </cell>
          <cell r="B1903" t="str">
            <v>Int on Fixed per loans- SBI</v>
          </cell>
          <cell r="C1903" t="str">
            <v>EXPENSES</v>
          </cell>
          <cell r="D1903" t="str">
            <v>INCOME STATEMENT</v>
          </cell>
          <cell r="E1903">
            <v>0</v>
          </cell>
          <cell r="F1903">
            <v>0</v>
          </cell>
          <cell r="G1903" t="str">
            <v>EXPENDITURE</v>
          </cell>
          <cell r="H1903" t="str">
            <v>INTEREST AND FINANCE CHARGES</v>
          </cell>
          <cell r="I1903" t="str">
            <v>BANK INTEREST</v>
          </cell>
        </row>
        <row r="1904">
          <cell r="A1904" t="str">
            <v>X301026</v>
          </cell>
          <cell r="B1904" t="str">
            <v>Int on Fixed per loans- DSP Merryl Cap</v>
          </cell>
          <cell r="C1904" t="str">
            <v>EXPENSES</v>
          </cell>
          <cell r="D1904" t="str">
            <v>INCOME STATEMENT</v>
          </cell>
          <cell r="E1904">
            <v>0</v>
          </cell>
          <cell r="F1904">
            <v>0</v>
          </cell>
          <cell r="G1904" t="str">
            <v>EXPENDITURE</v>
          </cell>
          <cell r="H1904" t="str">
            <v>INTEREST AND FINANCE CHARGES</v>
          </cell>
          <cell r="I1904" t="str">
            <v>BANK INTEREST</v>
          </cell>
        </row>
        <row r="1905">
          <cell r="A1905" t="str">
            <v>X301027</v>
          </cell>
          <cell r="B1905" t="str">
            <v>Int on Fixed per loans- S B O T</v>
          </cell>
          <cell r="C1905" t="str">
            <v>EXPENSES</v>
          </cell>
          <cell r="D1905" t="str">
            <v>INCOME STATEMENT</v>
          </cell>
          <cell r="E1905">
            <v>0</v>
          </cell>
          <cell r="F1905">
            <v>0</v>
          </cell>
          <cell r="G1905" t="str">
            <v>EXPENDITURE</v>
          </cell>
          <cell r="H1905" t="str">
            <v>INTEREST AND FINANCE CHARGES</v>
          </cell>
          <cell r="I1905" t="str">
            <v>BANK INTEREST</v>
          </cell>
        </row>
        <row r="1906">
          <cell r="A1906" t="str">
            <v>X301028</v>
          </cell>
          <cell r="B1906" t="str">
            <v>Int on Fixed per loans- YES BANK</v>
          </cell>
          <cell r="C1906" t="str">
            <v>EXPENSES</v>
          </cell>
          <cell r="D1906" t="str">
            <v>INCOME STATEMENT</v>
          </cell>
          <cell r="E1906">
            <v>0</v>
          </cell>
          <cell r="F1906">
            <v>0</v>
          </cell>
          <cell r="G1906" t="str">
            <v>EXPENDITURE</v>
          </cell>
          <cell r="H1906" t="str">
            <v>INTEREST AND FINANCE CHARGES</v>
          </cell>
          <cell r="I1906" t="str">
            <v>BANK INTEREST</v>
          </cell>
        </row>
        <row r="1907">
          <cell r="A1907" t="str">
            <v>X301101</v>
          </cell>
          <cell r="B1907" t="str">
            <v>Int on Fixed per loans (Debentures)</v>
          </cell>
          <cell r="C1907" t="str">
            <v>EXPENSES</v>
          </cell>
          <cell r="D1907" t="str">
            <v>INCOME STATEMENT</v>
          </cell>
          <cell r="E1907">
            <v>0</v>
          </cell>
          <cell r="F1907">
            <v>0</v>
          </cell>
          <cell r="G1907" t="str">
            <v>EXPENDITURE</v>
          </cell>
          <cell r="H1907" t="str">
            <v>INTEREST AND FINANCE CHARGES</v>
          </cell>
          <cell r="I1907" t="str">
            <v>FINANCE CHARGES</v>
          </cell>
        </row>
        <row r="1908">
          <cell r="A1908" t="str">
            <v>X301201</v>
          </cell>
          <cell r="B1908" t="str">
            <v>Int on Fixed per loans (Public Deposits)</v>
          </cell>
          <cell r="C1908" t="str">
            <v>EXPENSES</v>
          </cell>
          <cell r="D1908" t="str">
            <v>INCOME STATEMENT</v>
          </cell>
          <cell r="E1908">
            <v>0</v>
          </cell>
          <cell r="F1908">
            <v>0</v>
          </cell>
          <cell r="G1908" t="str">
            <v>EXPENDITURE</v>
          </cell>
          <cell r="H1908" t="str">
            <v>INTEREST AND FINANCE CHARGES</v>
          </cell>
          <cell r="I1908" t="str">
            <v>FINANCE CHARGES</v>
          </cell>
        </row>
        <row r="1909">
          <cell r="A1909" t="str">
            <v>X301301</v>
          </cell>
          <cell r="B1909" t="str">
            <v>Interest On Vehicle Loan</v>
          </cell>
          <cell r="C1909" t="str">
            <v>EXPENSES</v>
          </cell>
          <cell r="D1909" t="str">
            <v>INCOME STATEMENT</v>
          </cell>
          <cell r="E1909">
            <v>0</v>
          </cell>
          <cell r="F1909">
            <v>0</v>
          </cell>
          <cell r="G1909" t="str">
            <v>EXPENDITURE</v>
          </cell>
          <cell r="H1909" t="str">
            <v>INTEREST AND FINANCE CHARGES</v>
          </cell>
          <cell r="I1909" t="str">
            <v>BANK INTEREST</v>
          </cell>
        </row>
        <row r="1910">
          <cell r="A1910" t="str">
            <v>X301401</v>
          </cell>
          <cell r="B1910" t="str">
            <v>Interest on Overdraft Accounts</v>
          </cell>
          <cell r="C1910" t="str">
            <v>EXPENSES</v>
          </cell>
          <cell r="D1910" t="str">
            <v>INCOME STATEMENT</v>
          </cell>
          <cell r="E1910">
            <v>0</v>
          </cell>
          <cell r="F1910">
            <v>0</v>
          </cell>
          <cell r="G1910" t="str">
            <v>EXPENDITURE</v>
          </cell>
          <cell r="H1910" t="str">
            <v>INTEREST AND FINANCE CHARGES</v>
          </cell>
          <cell r="I1910" t="str">
            <v>BANK INTEREST</v>
          </cell>
        </row>
        <row r="1911">
          <cell r="A1911" t="str">
            <v>X301402</v>
          </cell>
          <cell r="B1911" t="str">
            <v>Int Paid Bnk Overdraft- ABN AMRO</v>
          </cell>
          <cell r="C1911" t="str">
            <v>EXPENSES</v>
          </cell>
          <cell r="D1911" t="str">
            <v>INCOME STATEMENT</v>
          </cell>
          <cell r="E1911">
            <v>0</v>
          </cell>
          <cell r="F1911">
            <v>0</v>
          </cell>
          <cell r="G1911" t="str">
            <v>EXPENDITURE</v>
          </cell>
          <cell r="H1911" t="str">
            <v>INTEREST AND FINANCE CHARGES</v>
          </cell>
          <cell r="I1911" t="str">
            <v>BANK INTEREST</v>
          </cell>
        </row>
        <row r="1912">
          <cell r="A1912" t="str">
            <v>X301403</v>
          </cell>
          <cell r="B1912" t="str">
            <v>Int Paid Bnk Overdraft- HDFC</v>
          </cell>
          <cell r="C1912" t="str">
            <v>EXPENSES</v>
          </cell>
          <cell r="D1912" t="str">
            <v>INCOME STATEMENT</v>
          </cell>
          <cell r="E1912">
            <v>0</v>
          </cell>
          <cell r="F1912">
            <v>0</v>
          </cell>
          <cell r="G1912" t="str">
            <v>EXPENDITURE</v>
          </cell>
          <cell r="H1912" t="str">
            <v>INTEREST AND FINANCE CHARGES</v>
          </cell>
          <cell r="I1912" t="str">
            <v>BANK INTEREST</v>
          </cell>
        </row>
        <row r="1913">
          <cell r="A1913" t="str">
            <v>X301404</v>
          </cell>
          <cell r="B1913" t="str">
            <v>Int Paid Bnk Overdraft- Citi Bank</v>
          </cell>
          <cell r="C1913" t="str">
            <v>EXPENSES</v>
          </cell>
          <cell r="D1913" t="str">
            <v>INCOME STATEMENT</v>
          </cell>
          <cell r="E1913">
            <v>0</v>
          </cell>
          <cell r="F1913">
            <v>0</v>
          </cell>
          <cell r="G1913" t="str">
            <v>EXPENDITURE</v>
          </cell>
          <cell r="H1913" t="str">
            <v>INTEREST AND FINANCE CHARGES</v>
          </cell>
          <cell r="I1913" t="str">
            <v>BANK INTEREST</v>
          </cell>
        </row>
        <row r="1914">
          <cell r="A1914" t="str">
            <v>X301405</v>
          </cell>
          <cell r="B1914" t="str">
            <v>Int Paid Bnk Overdraft- ICICI Bank</v>
          </cell>
          <cell r="C1914" t="str">
            <v>EXPENSES</v>
          </cell>
          <cell r="D1914" t="str">
            <v>INCOME STATEMENT</v>
          </cell>
          <cell r="E1914">
            <v>0</v>
          </cell>
          <cell r="F1914">
            <v>0</v>
          </cell>
          <cell r="G1914" t="str">
            <v>EXPENDITURE</v>
          </cell>
          <cell r="H1914" t="str">
            <v>INTEREST AND FINANCE CHARGES</v>
          </cell>
          <cell r="I1914" t="str">
            <v>BANK INTEREST</v>
          </cell>
        </row>
        <row r="1915">
          <cell r="A1915" t="str">
            <v>X301406</v>
          </cell>
          <cell r="B1915" t="str">
            <v>Int Paid Bnk Overdraft- Corporation Bank</v>
          </cell>
          <cell r="C1915" t="str">
            <v>EXPENSES</v>
          </cell>
          <cell r="D1915" t="str">
            <v>INCOME STATEMENT</v>
          </cell>
          <cell r="E1915">
            <v>0</v>
          </cell>
          <cell r="F1915">
            <v>0</v>
          </cell>
          <cell r="G1915" t="str">
            <v>EXPENDITURE</v>
          </cell>
          <cell r="H1915" t="str">
            <v>INTEREST AND FINANCE CHARGES</v>
          </cell>
          <cell r="I1915" t="str">
            <v>BANK INTEREST</v>
          </cell>
        </row>
        <row r="1916">
          <cell r="A1916" t="str">
            <v>X301407</v>
          </cell>
          <cell r="B1916" t="str">
            <v>Int Paid Bnk Overdraft- SCB</v>
          </cell>
          <cell r="C1916" t="str">
            <v>EXPENSES</v>
          </cell>
          <cell r="D1916" t="str">
            <v>INCOME STATEMENT</v>
          </cell>
          <cell r="E1916">
            <v>0</v>
          </cell>
          <cell r="F1916">
            <v>0</v>
          </cell>
          <cell r="G1916" t="str">
            <v>EXPENDITURE</v>
          </cell>
          <cell r="H1916" t="str">
            <v>INTEREST AND FINANCE CHARGES</v>
          </cell>
          <cell r="I1916" t="str">
            <v>BANK INTEREST</v>
          </cell>
        </row>
        <row r="1917">
          <cell r="A1917" t="str">
            <v>X301408</v>
          </cell>
          <cell r="B1917" t="str">
            <v>Int Paid Bnk Overdraft- SBI</v>
          </cell>
          <cell r="C1917" t="str">
            <v>EXPENSES</v>
          </cell>
          <cell r="D1917" t="str">
            <v>INCOME STATEMENT</v>
          </cell>
          <cell r="E1917">
            <v>0</v>
          </cell>
          <cell r="F1917">
            <v>0</v>
          </cell>
          <cell r="G1917" t="str">
            <v>EXPENDITURE</v>
          </cell>
          <cell r="H1917" t="str">
            <v>INTEREST AND FINANCE CHARGES</v>
          </cell>
          <cell r="I1917" t="str">
            <v>BANK INTEREST</v>
          </cell>
        </row>
        <row r="1918">
          <cell r="A1918" t="str">
            <v>X301409</v>
          </cell>
          <cell r="B1918" t="str">
            <v>Int Paid Bnk Overdraft- DBS</v>
          </cell>
          <cell r="C1918" t="str">
            <v>EXPENSES</v>
          </cell>
          <cell r="D1918" t="str">
            <v>INCOME STATEMENT</v>
          </cell>
          <cell r="E1918">
            <v>0</v>
          </cell>
          <cell r="F1918">
            <v>0</v>
          </cell>
          <cell r="G1918" t="str">
            <v>EXPENDITURE</v>
          </cell>
          <cell r="H1918" t="str">
            <v>INTEREST AND FINANCE CHARGES</v>
          </cell>
          <cell r="I1918" t="str">
            <v>BANK INTEREST</v>
          </cell>
        </row>
        <row r="1919">
          <cell r="A1919" t="str">
            <v>X301410</v>
          </cell>
          <cell r="B1919" t="str">
            <v>Int Paid Bnk Overdraft- HSBC</v>
          </cell>
          <cell r="C1919" t="str">
            <v>EXPENSES</v>
          </cell>
          <cell r="D1919" t="str">
            <v>INCOME STATEMENT</v>
          </cell>
          <cell r="E1919">
            <v>0</v>
          </cell>
          <cell r="F1919">
            <v>0</v>
          </cell>
          <cell r="G1919" t="str">
            <v>EXPENDITURE</v>
          </cell>
          <cell r="H1919" t="str">
            <v>INTEREST AND FINANCE CHARGES</v>
          </cell>
          <cell r="I1919" t="str">
            <v>BANK INTEREST</v>
          </cell>
        </row>
        <row r="1920">
          <cell r="A1920" t="str">
            <v>X301411</v>
          </cell>
          <cell r="B1920" t="str">
            <v>Int Paid Bnk Overdraft- Ing Vysya</v>
          </cell>
          <cell r="C1920" t="str">
            <v>EXPENSES</v>
          </cell>
          <cell r="D1920" t="str">
            <v>INCOME STATEMENT</v>
          </cell>
          <cell r="E1920">
            <v>0</v>
          </cell>
          <cell r="F1920">
            <v>0</v>
          </cell>
          <cell r="G1920" t="str">
            <v>EXPENDITURE</v>
          </cell>
          <cell r="H1920" t="str">
            <v>INTEREST AND FINANCE CHARGES</v>
          </cell>
          <cell r="I1920" t="str">
            <v>BANK INTEREST</v>
          </cell>
        </row>
        <row r="1921">
          <cell r="A1921" t="str">
            <v>X301412</v>
          </cell>
          <cell r="B1921" t="str">
            <v>Int Paid Bnk Overdraft- SBH</v>
          </cell>
          <cell r="C1921" t="str">
            <v>EXPENSES</v>
          </cell>
          <cell r="D1921" t="str">
            <v>INCOME STATEMENT</v>
          </cell>
          <cell r="E1921">
            <v>0</v>
          </cell>
          <cell r="F1921">
            <v>0</v>
          </cell>
          <cell r="G1921" t="str">
            <v>EXPENDITURE</v>
          </cell>
          <cell r="H1921" t="str">
            <v>INTEREST AND FINANCE CHARGES</v>
          </cell>
          <cell r="I1921" t="str">
            <v>BANK INTEREST</v>
          </cell>
        </row>
        <row r="1922">
          <cell r="A1922" t="str">
            <v>X301413</v>
          </cell>
          <cell r="B1922" t="str">
            <v>Int Paid Bnk Overdraft- Kotak</v>
          </cell>
          <cell r="C1922" t="str">
            <v>EXPENSES</v>
          </cell>
          <cell r="D1922" t="str">
            <v>INCOME STATEMENT</v>
          </cell>
          <cell r="E1922">
            <v>0</v>
          </cell>
          <cell r="F1922">
            <v>0</v>
          </cell>
          <cell r="G1922" t="str">
            <v>EXPENDITURE</v>
          </cell>
          <cell r="H1922" t="str">
            <v>INTEREST AND FINANCE CHARGES</v>
          </cell>
          <cell r="I1922" t="str">
            <v>BANK INTEREST</v>
          </cell>
        </row>
        <row r="1923">
          <cell r="A1923" t="str">
            <v>X301414</v>
          </cell>
          <cell r="B1923" t="str">
            <v>Int Paid Bnk Overdraft- SBOT</v>
          </cell>
          <cell r="C1923" t="str">
            <v>EXPENSES</v>
          </cell>
          <cell r="D1923" t="str">
            <v>INCOME STATEMENT</v>
          </cell>
          <cell r="E1923">
            <v>0</v>
          </cell>
          <cell r="F1923">
            <v>0</v>
          </cell>
          <cell r="G1923" t="str">
            <v>EXPENDITURE</v>
          </cell>
          <cell r="H1923" t="str">
            <v>INTEREST AND FINANCE CHARGES</v>
          </cell>
          <cell r="I1923" t="str">
            <v>BANK INTEREST</v>
          </cell>
        </row>
        <row r="1924">
          <cell r="A1924" t="str">
            <v>X301501</v>
          </cell>
          <cell r="B1924" t="str">
            <v>Int on loan (Gp Co.)</v>
          </cell>
          <cell r="C1924" t="str">
            <v>EXPENSES</v>
          </cell>
          <cell r="D1924" t="str">
            <v>INCOME STATEMENT</v>
          </cell>
          <cell r="E1924">
            <v>0</v>
          </cell>
          <cell r="F1924">
            <v>0</v>
          </cell>
          <cell r="G1924" t="str">
            <v>EXPENDITURE</v>
          </cell>
          <cell r="H1924" t="str">
            <v>INTEREST AND FINANCE CHARGES</v>
          </cell>
          <cell r="I1924" t="str">
            <v>BANK INTEREST</v>
          </cell>
        </row>
        <row r="1925">
          <cell r="A1925" t="str">
            <v>X301502</v>
          </cell>
          <cell r="B1925" t="str">
            <v>Int on Loan (JV)</v>
          </cell>
          <cell r="C1925" t="str">
            <v>EXPENSES</v>
          </cell>
          <cell r="D1925" t="str">
            <v>INCOME STATEMENT</v>
          </cell>
          <cell r="E1925">
            <v>0</v>
          </cell>
          <cell r="F1925">
            <v>0</v>
          </cell>
          <cell r="G1925" t="str">
            <v>EXPENDITURE</v>
          </cell>
          <cell r="H1925" t="str">
            <v>INTEREST AND FINANCE CHARGES</v>
          </cell>
          <cell r="I1925" t="str">
            <v>BANK INTEREST</v>
          </cell>
        </row>
        <row r="1926">
          <cell r="A1926" t="str">
            <v>X302001</v>
          </cell>
          <cell r="B1926" t="str">
            <v>Interest on Others</v>
          </cell>
          <cell r="C1926" t="str">
            <v>EXPENSES</v>
          </cell>
          <cell r="D1926" t="str">
            <v>INCOME STATEMENT</v>
          </cell>
          <cell r="E1926">
            <v>0</v>
          </cell>
          <cell r="F1926">
            <v>0</v>
          </cell>
          <cell r="G1926" t="str">
            <v>EXPENDITURE</v>
          </cell>
          <cell r="H1926" t="str">
            <v>INTEREST AND FINANCE CHARGES</v>
          </cell>
          <cell r="I1926" t="str">
            <v>OTHER FINANCE CHARGES</v>
          </cell>
        </row>
        <row r="1927">
          <cell r="A1927" t="str">
            <v>X302101</v>
          </cell>
          <cell r="B1927" t="str">
            <v>Interest on Others- Customers on Refund</v>
          </cell>
          <cell r="C1927" t="str">
            <v>EXPENSES</v>
          </cell>
          <cell r="D1927" t="str">
            <v>INCOME STATEMENT</v>
          </cell>
          <cell r="E1927">
            <v>0</v>
          </cell>
          <cell r="F1927">
            <v>0</v>
          </cell>
          <cell r="G1927" t="str">
            <v>EXPENDITURE</v>
          </cell>
          <cell r="H1927" t="str">
            <v>INTEREST AND FINANCE CHARGES</v>
          </cell>
          <cell r="I1927" t="str">
            <v>OTHER FINANCE CHARGES</v>
          </cell>
        </row>
        <row r="1928">
          <cell r="A1928" t="str">
            <v>X302201</v>
          </cell>
          <cell r="B1928" t="str">
            <v>Interest on Others- Misc.</v>
          </cell>
          <cell r="C1928" t="str">
            <v>EXPENSES</v>
          </cell>
          <cell r="D1928" t="str">
            <v>INCOME STATEMENT</v>
          </cell>
          <cell r="E1928">
            <v>0</v>
          </cell>
          <cell r="F1928">
            <v>0</v>
          </cell>
          <cell r="G1928" t="str">
            <v>EXPENDITURE</v>
          </cell>
          <cell r="H1928" t="str">
            <v>INTEREST AND FINANCE CHARGES</v>
          </cell>
          <cell r="I1928" t="str">
            <v>OTHER FINANCE CHARGES</v>
          </cell>
        </row>
        <row r="1929">
          <cell r="A1929" t="str">
            <v>X302301</v>
          </cell>
          <cell r="B1929" t="str">
            <v>Interest on Others- Income Tax</v>
          </cell>
          <cell r="C1929" t="str">
            <v>EXPENSES</v>
          </cell>
          <cell r="D1929" t="str">
            <v>INCOME STATEMENT</v>
          </cell>
          <cell r="E1929">
            <v>0</v>
          </cell>
          <cell r="F1929">
            <v>0</v>
          </cell>
          <cell r="G1929" t="str">
            <v>EXPENDITURE</v>
          </cell>
          <cell r="H1929" t="str">
            <v>INTEREST AND FINANCE CHARGES</v>
          </cell>
          <cell r="I1929" t="str">
            <v>OTHER FINANCE CHARGES</v>
          </cell>
        </row>
        <row r="1930">
          <cell r="A1930" t="str">
            <v>X302401</v>
          </cell>
          <cell r="B1930" t="str">
            <v>Interest On Deferred Creditors</v>
          </cell>
          <cell r="C1930" t="str">
            <v>EXPENSES</v>
          </cell>
          <cell r="D1930" t="str">
            <v>INCOME STATEMENT</v>
          </cell>
          <cell r="E1930">
            <v>0</v>
          </cell>
          <cell r="F1930">
            <v>0</v>
          </cell>
          <cell r="G1930" t="str">
            <v>EXPENDITURE</v>
          </cell>
          <cell r="H1930" t="str">
            <v>INTEREST AND FINANCE CHARGES</v>
          </cell>
          <cell r="I1930" t="str">
            <v>OTHER FINANCE CHARGES</v>
          </cell>
        </row>
        <row r="1931">
          <cell r="A1931" t="str">
            <v>X302501</v>
          </cell>
          <cell r="B1931" t="str">
            <v>Int on TDS, FBT, Service Tax</v>
          </cell>
          <cell r="C1931" t="str">
            <v>EXPENSES</v>
          </cell>
          <cell r="D1931" t="str">
            <v>INCOME STATEMENT</v>
          </cell>
          <cell r="E1931">
            <v>0</v>
          </cell>
          <cell r="F1931">
            <v>0</v>
          </cell>
          <cell r="G1931" t="str">
            <v>EXPENDITURE</v>
          </cell>
          <cell r="H1931" t="str">
            <v>INTEREST AND FINANCE CHARGES</v>
          </cell>
          <cell r="I1931" t="str">
            <v>OTHER FINANCE CHARGES</v>
          </cell>
        </row>
        <row r="1932">
          <cell r="A1932" t="str">
            <v>X303001</v>
          </cell>
          <cell r="B1932" t="str">
            <v>Bank Charges</v>
          </cell>
          <cell r="C1932" t="str">
            <v>EXPENSES</v>
          </cell>
          <cell r="D1932" t="str">
            <v>INCOME STATEMENT</v>
          </cell>
          <cell r="E1932">
            <v>0</v>
          </cell>
          <cell r="F1932">
            <v>0</v>
          </cell>
          <cell r="G1932" t="str">
            <v>EXPENDITURE</v>
          </cell>
          <cell r="H1932" t="str">
            <v>INTEREST AND FINANCE CHARGES</v>
          </cell>
          <cell r="I1932" t="str">
            <v>BANK CHARGES</v>
          </cell>
        </row>
        <row r="1933">
          <cell r="A1933" t="str">
            <v>X303002</v>
          </cell>
          <cell r="B1933" t="str">
            <v>Bank Charges- Finance Charges</v>
          </cell>
          <cell r="C1933" t="str">
            <v>EXPENSES</v>
          </cell>
          <cell r="D1933" t="str">
            <v>INCOME STATEMENT</v>
          </cell>
          <cell r="E1933">
            <v>0</v>
          </cell>
          <cell r="F1933">
            <v>0</v>
          </cell>
          <cell r="G1933" t="str">
            <v>EXPENDITURE</v>
          </cell>
          <cell r="H1933" t="str">
            <v>INTEREST AND FINANCE CHARGES</v>
          </cell>
          <cell r="I1933" t="str">
            <v>BANK CHARGES</v>
          </cell>
        </row>
        <row r="1934">
          <cell r="A1934" t="str">
            <v>X303003</v>
          </cell>
          <cell r="B1934" t="str">
            <v>Bank Charges- Escrow Fee</v>
          </cell>
          <cell r="C1934" t="str">
            <v>EXPENSES</v>
          </cell>
          <cell r="D1934" t="str">
            <v>INCOME STATEMENT</v>
          </cell>
          <cell r="E1934">
            <v>0</v>
          </cell>
          <cell r="F1934">
            <v>0</v>
          </cell>
          <cell r="G1934" t="str">
            <v>EXPENDITURE</v>
          </cell>
          <cell r="H1934" t="str">
            <v>INTEREST AND FINANCE CHARGES</v>
          </cell>
          <cell r="I1934" t="str">
            <v>BANK CHARGES</v>
          </cell>
        </row>
        <row r="1935">
          <cell r="A1935" t="str">
            <v>X303004</v>
          </cell>
          <cell r="B1935" t="str">
            <v>Bank Charges- BCTT Cash Withdrawal</v>
          </cell>
          <cell r="C1935" t="str">
            <v>EXPENSES</v>
          </cell>
          <cell r="D1935" t="str">
            <v>INCOME STATEMENT</v>
          </cell>
          <cell r="E1935">
            <v>0</v>
          </cell>
          <cell r="F1935">
            <v>0</v>
          </cell>
          <cell r="G1935" t="str">
            <v>EXPENDITURE</v>
          </cell>
          <cell r="H1935" t="str">
            <v>INTEREST AND FINANCE CHARGES</v>
          </cell>
          <cell r="I1935" t="str">
            <v>BANK CHARGES</v>
          </cell>
        </row>
        <row r="1936">
          <cell r="A1936" t="str">
            <v>X303005</v>
          </cell>
          <cell r="B1936" t="str">
            <v>Credit Card Charges</v>
          </cell>
          <cell r="C1936" t="str">
            <v>EXPENSES</v>
          </cell>
          <cell r="D1936" t="str">
            <v>INCOME STATEMENT</v>
          </cell>
          <cell r="E1936">
            <v>0</v>
          </cell>
          <cell r="F1936">
            <v>0</v>
          </cell>
          <cell r="G1936" t="str">
            <v>EXPENDITURE</v>
          </cell>
          <cell r="H1936" t="str">
            <v>INTEREST AND FINANCE CHARGES</v>
          </cell>
          <cell r="I1936" t="str">
            <v>BANK CHARGES</v>
          </cell>
        </row>
        <row r="1937">
          <cell r="A1937" t="str">
            <v>X303101</v>
          </cell>
          <cell r="B1937" t="str">
            <v>Commission On Bank Guarantee</v>
          </cell>
          <cell r="C1937" t="str">
            <v>EXPENSES</v>
          </cell>
          <cell r="D1937" t="str">
            <v>INCOME STATEMENT</v>
          </cell>
          <cell r="E1937">
            <v>0</v>
          </cell>
          <cell r="F1937">
            <v>0</v>
          </cell>
          <cell r="G1937" t="str">
            <v>EXPENDITURE</v>
          </cell>
          <cell r="H1937" t="str">
            <v>INTEREST AND FINANCE CHARGES</v>
          </cell>
          <cell r="I1937" t="str">
            <v>BANK CHARGES</v>
          </cell>
        </row>
        <row r="1938">
          <cell r="A1938" t="str">
            <v>X304001</v>
          </cell>
          <cell r="B1938" t="str">
            <v>Loss on Derivatives</v>
          </cell>
          <cell r="C1938" t="str">
            <v>EXPENSES</v>
          </cell>
          <cell r="D1938" t="str">
            <v>INCOME STATEMENT</v>
          </cell>
          <cell r="E1938">
            <v>0</v>
          </cell>
          <cell r="F1938">
            <v>0</v>
          </cell>
          <cell r="G1938" t="str">
            <v>EXPENDITURE</v>
          </cell>
          <cell r="H1938" t="str">
            <v>INTEREST AND FINANCE CHARGES</v>
          </cell>
          <cell r="I1938" t="str">
            <v>FINANCE CHARGES</v>
          </cell>
        </row>
        <row r="1939">
          <cell r="A1939" t="str">
            <v>X501001</v>
          </cell>
          <cell r="B1939" t="str">
            <v>Rent (Offices)</v>
          </cell>
          <cell r="C1939" t="str">
            <v>EXPENSES</v>
          </cell>
          <cell r="D1939" t="str">
            <v>INCOME STATEMENT</v>
          </cell>
          <cell r="E1939">
            <v>0</v>
          </cell>
          <cell r="F1939">
            <v>0</v>
          </cell>
          <cell r="G1939" t="str">
            <v>EXPENDITURE</v>
          </cell>
          <cell r="H1939" t="str">
            <v>GENERAL AND ADMINISTRATION EXPENSES</v>
          </cell>
          <cell r="I1939" t="str">
            <v>RENT</v>
          </cell>
        </row>
        <row r="1940">
          <cell r="A1940" t="str">
            <v>X501002</v>
          </cell>
          <cell r="B1940" t="str">
            <v>Rent (Employee Residence)</v>
          </cell>
          <cell r="C1940" t="str">
            <v>EXPENSES</v>
          </cell>
          <cell r="D1940" t="str">
            <v>INCOME STATEMENT</v>
          </cell>
          <cell r="E1940">
            <v>0</v>
          </cell>
          <cell r="F1940">
            <v>0</v>
          </cell>
          <cell r="G1940" t="str">
            <v>EXPENDITURE</v>
          </cell>
          <cell r="H1940" t="str">
            <v>GENERAL AND ADMINISTRATION EXPENSES</v>
          </cell>
          <cell r="I1940" t="str">
            <v>RENT</v>
          </cell>
        </row>
        <row r="1941">
          <cell r="A1941" t="str">
            <v>X501003</v>
          </cell>
          <cell r="B1941" t="str">
            <v>Lease Rent- Directors</v>
          </cell>
          <cell r="C1941" t="str">
            <v>EXPENSES</v>
          </cell>
          <cell r="D1941" t="str">
            <v>INCOME STATEMENT</v>
          </cell>
          <cell r="E1941">
            <v>0</v>
          </cell>
          <cell r="F1941">
            <v>0</v>
          </cell>
          <cell r="G1941" t="str">
            <v>EXPENDITURE</v>
          </cell>
          <cell r="H1941" t="str">
            <v>GENERAL AND ADMINISTRATION EXPENSES</v>
          </cell>
          <cell r="I1941" t="str">
            <v>RENT</v>
          </cell>
        </row>
        <row r="1942">
          <cell r="A1942" t="str">
            <v>X501004</v>
          </cell>
          <cell r="B1942" t="str">
            <v>Rent Recovery from employees</v>
          </cell>
          <cell r="C1942" t="str">
            <v>EXPENSES</v>
          </cell>
          <cell r="D1942" t="str">
            <v>INCOME STATEMENT</v>
          </cell>
          <cell r="E1942">
            <v>0</v>
          </cell>
          <cell r="F1942">
            <v>0</v>
          </cell>
          <cell r="G1942" t="str">
            <v>EXPENDITURE</v>
          </cell>
          <cell r="H1942" t="str">
            <v>GENERAL AND ADMINISTRATION EXPENSES</v>
          </cell>
          <cell r="I1942" t="str">
            <v>RENT</v>
          </cell>
        </row>
        <row r="1943">
          <cell r="A1943" t="str">
            <v>X501005</v>
          </cell>
          <cell r="B1943" t="str">
            <v>Lease Rental Charges</v>
          </cell>
          <cell r="C1943" t="str">
            <v>EXPENSES</v>
          </cell>
          <cell r="D1943" t="str">
            <v>INCOME STATEMENT</v>
          </cell>
          <cell r="E1943">
            <v>0</v>
          </cell>
          <cell r="F1943">
            <v>0</v>
          </cell>
          <cell r="G1943" t="str">
            <v>EXPENDITURE</v>
          </cell>
          <cell r="H1943" t="str">
            <v>GENERAL AND ADMINISTRATION EXPENSES</v>
          </cell>
          <cell r="I1943" t="str">
            <v>RENT</v>
          </cell>
        </row>
        <row r="1944">
          <cell r="A1944" t="str">
            <v>X501101</v>
          </cell>
          <cell r="B1944" t="str">
            <v>Rates and taxes</v>
          </cell>
          <cell r="C1944" t="str">
            <v>EXPENSES</v>
          </cell>
          <cell r="D1944" t="str">
            <v>INCOME STATEMENT</v>
          </cell>
          <cell r="E1944">
            <v>0</v>
          </cell>
          <cell r="F1944">
            <v>0</v>
          </cell>
          <cell r="G1944" t="str">
            <v>EXPENDITURE</v>
          </cell>
          <cell r="H1944" t="str">
            <v>GENERAL AND ADMINISTRATION EXPENSES</v>
          </cell>
          <cell r="I1944" t="str">
            <v>RATES AND TAXES</v>
          </cell>
        </row>
        <row r="1945">
          <cell r="A1945" t="str">
            <v>X501102</v>
          </cell>
          <cell r="B1945" t="str">
            <v>Fees &amp; Taxes</v>
          </cell>
          <cell r="C1945" t="str">
            <v>EXPENSES</v>
          </cell>
          <cell r="D1945" t="str">
            <v>INCOME STATEMENT</v>
          </cell>
          <cell r="E1945">
            <v>0</v>
          </cell>
          <cell r="F1945">
            <v>0</v>
          </cell>
          <cell r="G1945" t="str">
            <v>EXPENDITURE</v>
          </cell>
          <cell r="H1945" t="str">
            <v>GENERAL AND ADMINISTRATION EXPENSES</v>
          </cell>
          <cell r="I1945" t="str">
            <v>RATES AND TAXES</v>
          </cell>
        </row>
        <row r="1946">
          <cell r="A1946" t="str">
            <v>X501103</v>
          </cell>
          <cell r="B1946" t="str">
            <v>House Tax- Dlf Centre (Narindra Pla</v>
          </cell>
          <cell r="C1946" t="str">
            <v>EXPENSES</v>
          </cell>
          <cell r="D1946" t="str">
            <v>INCOME STATEMENT</v>
          </cell>
          <cell r="E1946">
            <v>0</v>
          </cell>
          <cell r="F1946">
            <v>0</v>
          </cell>
          <cell r="G1946" t="str">
            <v>EXPENDITURE</v>
          </cell>
          <cell r="H1946" t="str">
            <v>GENERAL AND ADMINISTRATION EXPENSES</v>
          </cell>
          <cell r="I1946" t="str">
            <v>RATES AND TAXES</v>
          </cell>
        </row>
        <row r="1947">
          <cell r="A1947" t="str">
            <v>X501104</v>
          </cell>
          <cell r="B1947" t="str">
            <v>House Tax- F Block,Connaught Place</v>
          </cell>
          <cell r="C1947" t="str">
            <v>EXPENSES</v>
          </cell>
          <cell r="D1947" t="str">
            <v>INCOME STATEMENT</v>
          </cell>
          <cell r="E1947">
            <v>0</v>
          </cell>
          <cell r="F1947">
            <v>0</v>
          </cell>
          <cell r="G1947" t="str">
            <v>EXPENDITURE</v>
          </cell>
          <cell r="H1947" t="str">
            <v>GENERAL AND ADMINISTRATION EXPENSES</v>
          </cell>
          <cell r="I1947" t="str">
            <v>RATES AND TAXES</v>
          </cell>
        </row>
        <row r="1948">
          <cell r="A1948" t="str">
            <v>X501105</v>
          </cell>
          <cell r="B1948" t="str">
            <v>House Tax- F.F.D. Faridabad</v>
          </cell>
          <cell r="C1948" t="str">
            <v>EXPENSES</v>
          </cell>
          <cell r="D1948" t="str">
            <v>INCOME STATEMENT</v>
          </cell>
          <cell r="E1948">
            <v>0</v>
          </cell>
          <cell r="F1948">
            <v>0</v>
          </cell>
          <cell r="G1948" t="str">
            <v>EXPENDITURE</v>
          </cell>
          <cell r="H1948" t="str">
            <v>GENERAL AND ADMINISTRATION EXPENSES</v>
          </cell>
          <cell r="I1948" t="str">
            <v>RATES AND TAXES</v>
          </cell>
        </row>
        <row r="1949">
          <cell r="A1949" t="str">
            <v>X501106</v>
          </cell>
          <cell r="B1949" t="str">
            <v>House Tax- Others</v>
          </cell>
          <cell r="C1949" t="str">
            <v>EXPENSES</v>
          </cell>
          <cell r="D1949" t="str">
            <v>INCOME STATEMENT</v>
          </cell>
          <cell r="E1949">
            <v>0</v>
          </cell>
          <cell r="F1949">
            <v>0</v>
          </cell>
          <cell r="G1949" t="str">
            <v>EXPENDITURE</v>
          </cell>
          <cell r="H1949" t="str">
            <v>GENERAL AND ADMINISTRATION EXPENSES</v>
          </cell>
          <cell r="I1949" t="str">
            <v>RATES AND TAXES</v>
          </cell>
        </row>
        <row r="1950">
          <cell r="A1950" t="str">
            <v>X501107</v>
          </cell>
          <cell r="B1950" t="str">
            <v>Ground Rent</v>
          </cell>
          <cell r="C1950" t="str">
            <v>EXPENSES</v>
          </cell>
          <cell r="D1950" t="str">
            <v>INCOME STATEMENT</v>
          </cell>
          <cell r="E1950">
            <v>0</v>
          </cell>
          <cell r="F1950">
            <v>0</v>
          </cell>
          <cell r="G1950" t="str">
            <v>EXPENDITURE</v>
          </cell>
          <cell r="H1950" t="str">
            <v>GENERAL AND ADMINISTRATION EXPENSES</v>
          </cell>
          <cell r="I1950" t="str">
            <v>RATES AND TAXES</v>
          </cell>
        </row>
        <row r="1951">
          <cell r="A1951" t="str">
            <v>X501108</v>
          </cell>
          <cell r="B1951" t="str">
            <v>Ground Rent- DLF Centre (Narindra Pla</v>
          </cell>
          <cell r="C1951" t="str">
            <v>EXPENSES</v>
          </cell>
          <cell r="D1951" t="str">
            <v>INCOME STATEMENT</v>
          </cell>
          <cell r="E1951">
            <v>0</v>
          </cell>
          <cell r="F1951">
            <v>0</v>
          </cell>
          <cell r="G1951" t="str">
            <v>EXPENDITURE</v>
          </cell>
          <cell r="H1951" t="str">
            <v>GENERAL AND ADMINISTRATION EXPENSES</v>
          </cell>
          <cell r="I1951" t="str">
            <v>RATES AND TAXES</v>
          </cell>
        </row>
        <row r="1952">
          <cell r="A1952" t="str">
            <v>X501109</v>
          </cell>
          <cell r="B1952" t="str">
            <v>Ground Rent- Jhandewalan</v>
          </cell>
          <cell r="C1952" t="str">
            <v>EXPENSES</v>
          </cell>
          <cell r="D1952" t="str">
            <v>INCOME STATEMENT</v>
          </cell>
          <cell r="E1952">
            <v>0</v>
          </cell>
          <cell r="F1952">
            <v>0</v>
          </cell>
          <cell r="G1952" t="str">
            <v>EXPENDITURE</v>
          </cell>
          <cell r="H1952" t="str">
            <v>GENERAL AND ADMINISTRATION EXPENSES</v>
          </cell>
          <cell r="I1952" t="str">
            <v>RATES AND TAXES</v>
          </cell>
        </row>
        <row r="1953">
          <cell r="A1953" t="str">
            <v>X501110</v>
          </cell>
          <cell r="B1953" t="str">
            <v>Ground Rent- Others</v>
          </cell>
          <cell r="C1953" t="str">
            <v>EXPENSES</v>
          </cell>
          <cell r="D1953" t="str">
            <v>INCOME STATEMENT</v>
          </cell>
          <cell r="E1953">
            <v>0</v>
          </cell>
          <cell r="F1953">
            <v>0</v>
          </cell>
          <cell r="G1953" t="str">
            <v>EXPENDITURE</v>
          </cell>
          <cell r="H1953" t="str">
            <v>GENERAL AND ADMINISTRATION EXPENSES</v>
          </cell>
          <cell r="I1953" t="str">
            <v>RATES AND TAXES</v>
          </cell>
        </row>
        <row r="1954">
          <cell r="A1954" t="str">
            <v>X501111</v>
          </cell>
          <cell r="B1954" t="str">
            <v>Haryana Local Area Dev.Tax-Expeses A/C</v>
          </cell>
          <cell r="C1954" t="str">
            <v>EXPENSES</v>
          </cell>
          <cell r="D1954" t="str">
            <v>INCOME STATEMENT</v>
          </cell>
          <cell r="E1954">
            <v>0</v>
          </cell>
          <cell r="F1954">
            <v>0</v>
          </cell>
          <cell r="G1954" t="str">
            <v>EXPENDITURE</v>
          </cell>
          <cell r="H1954" t="str">
            <v>GENERAL AND ADMINISTRATION EXPENSES</v>
          </cell>
          <cell r="I1954" t="str">
            <v>RATES AND TAXES</v>
          </cell>
        </row>
        <row r="1955">
          <cell r="A1955" t="str">
            <v>X501112</v>
          </cell>
          <cell r="B1955" t="str">
            <v>Building Plan Sanction Fee</v>
          </cell>
          <cell r="C1955" t="str">
            <v>EXPENSES</v>
          </cell>
          <cell r="D1955" t="str">
            <v>INCOME STATEMENT</v>
          </cell>
          <cell r="E1955">
            <v>0</v>
          </cell>
          <cell r="F1955">
            <v>0</v>
          </cell>
          <cell r="G1955" t="str">
            <v>EXPENDITURE</v>
          </cell>
          <cell r="H1955" t="str">
            <v>GENERAL AND ADMINISTRATION EXPENSES</v>
          </cell>
          <cell r="I1955" t="str">
            <v>RATES AND TAXES</v>
          </cell>
        </row>
        <row r="1956">
          <cell r="A1956" t="str">
            <v>X501113</v>
          </cell>
          <cell r="B1956" t="str">
            <v>Filing Fees</v>
          </cell>
          <cell r="C1956" t="str">
            <v>EXPENSES</v>
          </cell>
          <cell r="D1956" t="str">
            <v>INCOME STATEMENT</v>
          </cell>
          <cell r="E1956">
            <v>0</v>
          </cell>
          <cell r="F1956">
            <v>0</v>
          </cell>
          <cell r="G1956" t="str">
            <v>EXPENDITURE</v>
          </cell>
          <cell r="H1956" t="str">
            <v>GENERAL AND ADMINISTRATION EXPENSES</v>
          </cell>
          <cell r="I1956" t="str">
            <v>RATES AND TAXES</v>
          </cell>
        </row>
        <row r="1957">
          <cell r="A1957" t="str">
            <v>X501114</v>
          </cell>
          <cell r="B1957" t="str">
            <v>Provision for wealth tax</v>
          </cell>
          <cell r="C1957" t="str">
            <v>EXPENSES</v>
          </cell>
          <cell r="D1957" t="str">
            <v>INCOME STATEMENT</v>
          </cell>
          <cell r="E1957">
            <v>0</v>
          </cell>
          <cell r="F1957">
            <v>0</v>
          </cell>
          <cell r="G1957" t="str">
            <v>EXPENDITURE</v>
          </cell>
          <cell r="H1957" t="str">
            <v>GENERAL AND ADMINISTRATION EXPENSES</v>
          </cell>
          <cell r="I1957" t="str">
            <v>RATES AND TAXES</v>
          </cell>
        </row>
        <row r="1958">
          <cell r="A1958" t="str">
            <v>X501201</v>
          </cell>
          <cell r="B1958" t="str">
            <v>Electricity</v>
          </cell>
          <cell r="C1958" t="str">
            <v>EXPENSES</v>
          </cell>
          <cell r="D1958" t="str">
            <v>INCOME STATEMENT</v>
          </cell>
          <cell r="E1958">
            <v>0</v>
          </cell>
          <cell r="F1958">
            <v>0</v>
          </cell>
          <cell r="G1958" t="str">
            <v>EXPENDITURE</v>
          </cell>
          <cell r="H1958" t="str">
            <v>GENERAL AND ADMINISTRATION EXPENSES</v>
          </cell>
          <cell r="I1958" t="str">
            <v>ELECTRICITY</v>
          </cell>
        </row>
        <row r="1959">
          <cell r="A1959" t="str">
            <v>X501202</v>
          </cell>
          <cell r="B1959" t="str">
            <v>Electricity- Director's Residence</v>
          </cell>
          <cell r="C1959" t="str">
            <v>EXPENSES</v>
          </cell>
          <cell r="D1959" t="str">
            <v>INCOME STATEMENT</v>
          </cell>
          <cell r="E1959">
            <v>0</v>
          </cell>
          <cell r="F1959">
            <v>0</v>
          </cell>
          <cell r="G1959" t="str">
            <v>EXPENDITURE</v>
          </cell>
          <cell r="H1959" t="str">
            <v>GENERAL AND ADMINISTRATION EXPENSES</v>
          </cell>
          <cell r="I1959" t="str">
            <v>ELECTRICITY</v>
          </cell>
        </row>
        <row r="1960">
          <cell r="A1960" t="str">
            <v>X501203</v>
          </cell>
          <cell r="B1960" t="str">
            <v>Water and Electricity</v>
          </cell>
          <cell r="C1960" t="str">
            <v>EXPENSES</v>
          </cell>
          <cell r="D1960" t="str">
            <v>INCOME STATEMENT</v>
          </cell>
          <cell r="E1960">
            <v>0</v>
          </cell>
          <cell r="F1960">
            <v>0</v>
          </cell>
          <cell r="G1960" t="str">
            <v>EXPENDITURE</v>
          </cell>
          <cell r="H1960" t="str">
            <v>GENERAL AND ADMINISTRATION EXPENSES</v>
          </cell>
          <cell r="I1960" t="str">
            <v>ELECTRICITY</v>
          </cell>
        </row>
        <row r="1961">
          <cell r="A1961" t="str">
            <v>X501204</v>
          </cell>
          <cell r="B1961" t="str">
            <v>Power &amp; Fuel</v>
          </cell>
          <cell r="C1961" t="str">
            <v>EXPENSES</v>
          </cell>
          <cell r="D1961" t="str">
            <v>INCOME STATEMENT</v>
          </cell>
          <cell r="E1961">
            <v>0</v>
          </cell>
          <cell r="F1961">
            <v>0</v>
          </cell>
          <cell r="G1961" t="str">
            <v>EXPENDITURE</v>
          </cell>
          <cell r="H1961" t="str">
            <v>GENERAL AND ADMINISTRATION EXPENSES</v>
          </cell>
          <cell r="I1961" t="str">
            <v>POWER AND FUEL</v>
          </cell>
        </row>
        <row r="1962">
          <cell r="A1962" t="str">
            <v>X501205</v>
          </cell>
          <cell r="B1962" t="str">
            <v>DG Running Expenses</v>
          </cell>
          <cell r="C1962" t="str">
            <v>EXPENSES</v>
          </cell>
          <cell r="D1962" t="str">
            <v>INCOME STATEMENT</v>
          </cell>
          <cell r="E1962">
            <v>0</v>
          </cell>
          <cell r="F1962">
            <v>0</v>
          </cell>
          <cell r="G1962" t="str">
            <v>EXPENDITURE</v>
          </cell>
          <cell r="H1962" t="str">
            <v>GENERAL AND ADMINISTRATION EXPENSES</v>
          </cell>
          <cell r="I1962" t="str">
            <v>POWER AND FUEL</v>
          </cell>
        </row>
        <row r="1963">
          <cell r="A1963" t="str">
            <v>X501301</v>
          </cell>
          <cell r="B1963" t="str">
            <v>Entertainment Expense A/C</v>
          </cell>
          <cell r="C1963" t="str">
            <v>EXPENSES</v>
          </cell>
          <cell r="D1963" t="str">
            <v>INCOME STATEMENT</v>
          </cell>
          <cell r="E1963">
            <v>0</v>
          </cell>
          <cell r="F1963">
            <v>0</v>
          </cell>
          <cell r="G1963" t="str">
            <v>EXPENDITURE</v>
          </cell>
          <cell r="H1963" t="str">
            <v>GENERAL AND ADMINISTRATION EXPENSES</v>
          </cell>
          <cell r="I1963" t="str">
            <v>ENTERTAINMENT EXPENSES</v>
          </cell>
        </row>
        <row r="1964">
          <cell r="A1964" t="str">
            <v>X501302</v>
          </cell>
          <cell r="B1964" t="str">
            <v>Entertainment Expenses- Staff</v>
          </cell>
          <cell r="C1964" t="str">
            <v>EXPENSES</v>
          </cell>
          <cell r="D1964" t="str">
            <v>INCOME STATEMENT</v>
          </cell>
          <cell r="E1964">
            <v>0</v>
          </cell>
          <cell r="F1964">
            <v>0</v>
          </cell>
          <cell r="G1964" t="str">
            <v>EXPENDITURE</v>
          </cell>
          <cell r="H1964" t="str">
            <v>GENERAL AND ADMINISTRATION EXPENSES</v>
          </cell>
          <cell r="I1964" t="str">
            <v>ENTERTAINMENT EXPENSES</v>
          </cell>
        </row>
        <row r="1965">
          <cell r="A1965" t="str">
            <v>X501303</v>
          </cell>
          <cell r="B1965" t="str">
            <v>Entertainment Expenses- Staff- At Club</v>
          </cell>
          <cell r="C1965" t="str">
            <v>EXPENSES</v>
          </cell>
          <cell r="D1965" t="str">
            <v>INCOME STATEMENT</v>
          </cell>
          <cell r="E1965">
            <v>0</v>
          </cell>
          <cell r="F1965">
            <v>0</v>
          </cell>
          <cell r="G1965" t="str">
            <v>EXPENDITURE</v>
          </cell>
          <cell r="H1965" t="str">
            <v>GENERAL AND ADMINISTRATION EXPENSES</v>
          </cell>
          <cell r="I1965" t="str">
            <v>ENTERTAINMENT EXPENSES</v>
          </cell>
        </row>
        <row r="1966">
          <cell r="A1966" t="str">
            <v>X501304</v>
          </cell>
          <cell r="B1966" t="str">
            <v>Entertainment Expenses- Staff- Others</v>
          </cell>
          <cell r="C1966" t="str">
            <v>EXPENSES</v>
          </cell>
          <cell r="D1966" t="str">
            <v>INCOME STATEMENT</v>
          </cell>
          <cell r="E1966">
            <v>0</v>
          </cell>
          <cell r="F1966">
            <v>0</v>
          </cell>
          <cell r="G1966" t="str">
            <v>EXPENDITURE</v>
          </cell>
          <cell r="H1966" t="str">
            <v>GENERAL AND ADMINISTRATION EXPENSES</v>
          </cell>
          <cell r="I1966" t="str">
            <v>ENTERTAINMENT EXPENSES</v>
          </cell>
        </row>
        <row r="1967">
          <cell r="A1967" t="str">
            <v>X501305</v>
          </cell>
          <cell r="B1967" t="str">
            <v>Entertainment Expenses- Directors</v>
          </cell>
          <cell r="C1967" t="str">
            <v>EXPENSES</v>
          </cell>
          <cell r="D1967" t="str">
            <v>INCOME STATEMENT</v>
          </cell>
          <cell r="E1967">
            <v>0</v>
          </cell>
          <cell r="F1967">
            <v>0</v>
          </cell>
          <cell r="G1967" t="str">
            <v>EXPENDITURE</v>
          </cell>
          <cell r="H1967" t="str">
            <v>GENERAL AND ADMINISTRATION EXPENSES</v>
          </cell>
          <cell r="I1967" t="str">
            <v>ENTERTAINMENT EXPENSES</v>
          </cell>
        </row>
        <row r="1968">
          <cell r="A1968" t="str">
            <v>X501306</v>
          </cell>
          <cell r="B1968" t="str">
            <v>Entertainment Expenses- Directors- Club</v>
          </cell>
          <cell r="C1968" t="str">
            <v>EXPENSES</v>
          </cell>
          <cell r="D1968" t="str">
            <v>INCOME STATEMENT</v>
          </cell>
          <cell r="E1968">
            <v>0</v>
          </cell>
          <cell r="F1968">
            <v>0</v>
          </cell>
          <cell r="G1968" t="str">
            <v>EXPENDITURE</v>
          </cell>
          <cell r="H1968" t="str">
            <v>GENERAL AND ADMINISTRATION EXPENSES</v>
          </cell>
          <cell r="I1968" t="str">
            <v>ENTERTAINMENT EXPENSES</v>
          </cell>
        </row>
        <row r="1969">
          <cell r="A1969" t="str">
            <v>X501307</v>
          </cell>
          <cell r="B1969" t="str">
            <v>Entertainment Expenses- Director- Others</v>
          </cell>
          <cell r="C1969" t="str">
            <v>EXPENSES</v>
          </cell>
          <cell r="D1969" t="str">
            <v>INCOME STATEMENT</v>
          </cell>
          <cell r="E1969">
            <v>0</v>
          </cell>
          <cell r="F1969">
            <v>0</v>
          </cell>
          <cell r="G1969" t="str">
            <v>EXPENDITURE</v>
          </cell>
          <cell r="H1969" t="str">
            <v>GENERAL AND ADMINISTRATION EXPENSES</v>
          </cell>
          <cell r="I1969" t="str">
            <v>ENTERTAINMENT EXPENSES</v>
          </cell>
        </row>
        <row r="1970">
          <cell r="A1970" t="str">
            <v>X502001</v>
          </cell>
          <cell r="B1970" t="str">
            <v>Repair &amp; Maint(Buil)</v>
          </cell>
          <cell r="C1970" t="str">
            <v>EXPENSES</v>
          </cell>
          <cell r="D1970" t="str">
            <v>INCOME STATEMENT</v>
          </cell>
          <cell r="E1970">
            <v>0</v>
          </cell>
          <cell r="F1970">
            <v>0</v>
          </cell>
          <cell r="G1970" t="str">
            <v>EXPENDITURE</v>
          </cell>
          <cell r="H1970" t="str">
            <v>GENERAL AND ADMINISTRATION EXPENSES</v>
          </cell>
          <cell r="I1970" t="str">
            <v>REPAIRS AND MAINTENANCE</v>
          </cell>
        </row>
        <row r="1971">
          <cell r="A1971" t="str">
            <v>X502002</v>
          </cell>
          <cell r="B1971" t="str">
            <v>Repair &amp; Maint(Buil)- DLF Centre</v>
          </cell>
          <cell r="C1971" t="str">
            <v>EXPENSES</v>
          </cell>
          <cell r="D1971" t="str">
            <v>INCOME STATEMENT</v>
          </cell>
          <cell r="E1971">
            <v>0</v>
          </cell>
          <cell r="F1971">
            <v>0</v>
          </cell>
          <cell r="G1971" t="str">
            <v>EXPENDITURE</v>
          </cell>
          <cell r="H1971" t="str">
            <v>GENERAL AND ADMINISTRATION EXPENSES</v>
          </cell>
          <cell r="I1971" t="str">
            <v>REPAIRS AND MAINTENANCE</v>
          </cell>
        </row>
        <row r="1972">
          <cell r="A1972" t="str">
            <v>X502003</v>
          </cell>
          <cell r="B1972" t="str">
            <v>Repair &amp; Maint(Buil)- Jhandewalan</v>
          </cell>
          <cell r="C1972" t="str">
            <v>EXPENSES</v>
          </cell>
          <cell r="D1972" t="str">
            <v>INCOME STATEMENT</v>
          </cell>
          <cell r="E1972">
            <v>0</v>
          </cell>
          <cell r="F1972">
            <v>0</v>
          </cell>
          <cell r="G1972" t="str">
            <v>EXPENDITURE</v>
          </cell>
          <cell r="H1972" t="str">
            <v>GENERAL AND ADMINISTRATION EXPENSES</v>
          </cell>
          <cell r="I1972" t="str">
            <v>REPAIRS AND MAINTENANCE</v>
          </cell>
        </row>
        <row r="1973">
          <cell r="A1973" t="str">
            <v>X502004</v>
          </cell>
          <cell r="B1973" t="str">
            <v>Repair &amp; Maint(Buil)- Shopping Mall</v>
          </cell>
          <cell r="C1973" t="str">
            <v>EXPENSES</v>
          </cell>
          <cell r="D1973" t="str">
            <v>INCOME STATEMENT</v>
          </cell>
          <cell r="E1973">
            <v>0</v>
          </cell>
          <cell r="F1973">
            <v>0</v>
          </cell>
          <cell r="G1973" t="str">
            <v>EXPENDITURE</v>
          </cell>
          <cell r="H1973" t="str">
            <v>GENERAL AND ADMINISTRATION EXPENSES</v>
          </cell>
          <cell r="I1973" t="str">
            <v>REPAIRS AND MAINTENANCE</v>
          </cell>
        </row>
        <row r="1974">
          <cell r="A1974" t="str">
            <v>X502005</v>
          </cell>
          <cell r="B1974" t="str">
            <v>Repair &amp; Maint(Buil)- Others</v>
          </cell>
          <cell r="C1974" t="str">
            <v>EXPENSES</v>
          </cell>
          <cell r="D1974" t="str">
            <v>INCOME STATEMENT</v>
          </cell>
          <cell r="E1974">
            <v>0</v>
          </cell>
          <cell r="F1974">
            <v>0</v>
          </cell>
          <cell r="G1974" t="str">
            <v>EXPENDITURE</v>
          </cell>
          <cell r="H1974" t="str">
            <v>GENERAL AND ADMINISTRATION EXPENSES</v>
          </cell>
          <cell r="I1974" t="str">
            <v>REPAIRS AND MAINTENANCE</v>
          </cell>
        </row>
        <row r="1975">
          <cell r="A1975" t="str">
            <v>X502101</v>
          </cell>
          <cell r="B1975" t="str">
            <v>Repair &amp; Maint(Mach)</v>
          </cell>
          <cell r="C1975" t="str">
            <v>EXPENSES</v>
          </cell>
          <cell r="D1975" t="str">
            <v>INCOME STATEMENT</v>
          </cell>
          <cell r="E1975">
            <v>0</v>
          </cell>
          <cell r="F1975">
            <v>0</v>
          </cell>
          <cell r="G1975" t="str">
            <v>EXPENDITURE</v>
          </cell>
          <cell r="H1975" t="str">
            <v>GENERAL AND ADMINISTRATION EXPENSES</v>
          </cell>
          <cell r="I1975" t="str">
            <v>REPAIRS AND MAINTENANCE</v>
          </cell>
        </row>
        <row r="1976">
          <cell r="A1976" t="str">
            <v>X502102</v>
          </cell>
          <cell r="B1976" t="str">
            <v>Repair &amp; Maint(Mach)- GENERAL MAINT</v>
          </cell>
          <cell r="C1976" t="str">
            <v>EXPENSES</v>
          </cell>
          <cell r="D1976" t="str">
            <v>INCOME STATEMENT</v>
          </cell>
          <cell r="E1976">
            <v>0</v>
          </cell>
          <cell r="F1976">
            <v>0</v>
          </cell>
          <cell r="G1976" t="str">
            <v>EXPENDITURE</v>
          </cell>
          <cell r="H1976" t="str">
            <v>GENERAL AND ADMINISTRATION EXPENSES</v>
          </cell>
          <cell r="I1976" t="str">
            <v>REPAIRS AND MAINTENANCE</v>
          </cell>
        </row>
        <row r="1977">
          <cell r="A1977" t="str">
            <v>X502103</v>
          </cell>
          <cell r="B1977" t="str">
            <v>Repair &amp; Maint(Mach)- AMC</v>
          </cell>
          <cell r="C1977" t="str">
            <v>EXPENSES</v>
          </cell>
          <cell r="D1977" t="str">
            <v>INCOME STATEMENT</v>
          </cell>
          <cell r="E1977">
            <v>0</v>
          </cell>
          <cell r="F1977">
            <v>0</v>
          </cell>
          <cell r="G1977" t="str">
            <v>EXPENDITURE</v>
          </cell>
          <cell r="H1977" t="str">
            <v>GENERAL AND ADMINISTRATION EXPENSES</v>
          </cell>
          <cell r="I1977" t="str">
            <v>REPAIRS AND MAINTENANCE</v>
          </cell>
        </row>
        <row r="1978">
          <cell r="A1978" t="str">
            <v>X502104</v>
          </cell>
          <cell r="B1978" t="str">
            <v>Repair &amp; Maint(Mach)- FURNITURE</v>
          </cell>
          <cell r="C1978" t="str">
            <v>EXPENSES</v>
          </cell>
          <cell r="D1978" t="str">
            <v>INCOME STATEMENT</v>
          </cell>
          <cell r="E1978">
            <v>0</v>
          </cell>
          <cell r="F1978">
            <v>0</v>
          </cell>
          <cell r="G1978" t="str">
            <v>EXPENDITURE</v>
          </cell>
          <cell r="H1978" t="str">
            <v>GENERAL AND ADMINISTRATION EXPENSES</v>
          </cell>
          <cell r="I1978" t="str">
            <v>REPAIRS AND MAINTENANCE</v>
          </cell>
        </row>
        <row r="1979">
          <cell r="A1979" t="str">
            <v>X502105</v>
          </cell>
          <cell r="B1979" t="str">
            <v>Repair &amp; Maint(Mach)- DG SET</v>
          </cell>
          <cell r="C1979" t="str">
            <v>EXPENSES</v>
          </cell>
          <cell r="D1979" t="str">
            <v>INCOME STATEMENT</v>
          </cell>
          <cell r="E1979">
            <v>0</v>
          </cell>
          <cell r="F1979">
            <v>0</v>
          </cell>
          <cell r="G1979" t="str">
            <v>EXPENDITURE</v>
          </cell>
          <cell r="H1979" t="str">
            <v>GENERAL AND ADMINISTRATION EXPENSES</v>
          </cell>
          <cell r="I1979" t="str">
            <v>REPAIRS AND MAINTENANCE</v>
          </cell>
        </row>
        <row r="1980">
          <cell r="A1980" t="str">
            <v>X502106</v>
          </cell>
          <cell r="B1980" t="str">
            <v>Repair &amp; Maint(Mach)- COMPUTERS</v>
          </cell>
          <cell r="C1980" t="str">
            <v>EXPENSES</v>
          </cell>
          <cell r="D1980" t="str">
            <v>INCOME STATEMENT</v>
          </cell>
          <cell r="E1980">
            <v>0</v>
          </cell>
          <cell r="F1980">
            <v>0</v>
          </cell>
          <cell r="G1980" t="str">
            <v>EXPENDITURE</v>
          </cell>
          <cell r="H1980" t="str">
            <v>GENERAL AND ADMINISTRATION EXPENSES</v>
          </cell>
          <cell r="I1980" t="str">
            <v>REPAIRS AND MAINTENANCE</v>
          </cell>
        </row>
        <row r="1981">
          <cell r="A1981" t="str">
            <v>X502107</v>
          </cell>
          <cell r="B1981" t="str">
            <v>Repair &amp; Maint(Mach)- Electricals</v>
          </cell>
          <cell r="C1981" t="str">
            <v>EXPENSES</v>
          </cell>
          <cell r="D1981" t="str">
            <v>INCOME STATEMENT</v>
          </cell>
          <cell r="E1981">
            <v>0</v>
          </cell>
          <cell r="F1981">
            <v>0</v>
          </cell>
          <cell r="G1981" t="str">
            <v>EXPENDITURE</v>
          </cell>
          <cell r="H1981" t="str">
            <v>GENERAL AND ADMINISTRATION EXPENSES</v>
          </cell>
          <cell r="I1981" t="str">
            <v>REPAIRS AND MAINTENANCE</v>
          </cell>
        </row>
        <row r="1982">
          <cell r="A1982" t="str">
            <v>X502108</v>
          </cell>
          <cell r="B1982" t="str">
            <v>Repair &amp; Maint(Mach)- AIR CONDITIONERS</v>
          </cell>
          <cell r="C1982" t="str">
            <v>EXPENSES</v>
          </cell>
          <cell r="D1982" t="str">
            <v>INCOME STATEMENT</v>
          </cell>
          <cell r="E1982">
            <v>0</v>
          </cell>
          <cell r="F1982">
            <v>0</v>
          </cell>
          <cell r="G1982" t="str">
            <v>EXPENDITURE</v>
          </cell>
          <cell r="H1982" t="str">
            <v>GENERAL AND ADMINISTRATION EXPENSES</v>
          </cell>
          <cell r="I1982" t="str">
            <v>REPAIRS AND MAINTENANCE</v>
          </cell>
        </row>
        <row r="1983">
          <cell r="A1983" t="str">
            <v>X502109</v>
          </cell>
          <cell r="B1983" t="str">
            <v>Repair &amp; Maint(Mach)- Other Equipments</v>
          </cell>
          <cell r="C1983" t="str">
            <v>EXPENSES</v>
          </cell>
          <cell r="D1983" t="str">
            <v>INCOME STATEMENT</v>
          </cell>
          <cell r="E1983">
            <v>0</v>
          </cell>
          <cell r="F1983">
            <v>0</v>
          </cell>
          <cell r="G1983" t="str">
            <v>EXPENDITURE</v>
          </cell>
          <cell r="H1983" t="str">
            <v>GENERAL AND ADMINISTRATION EXPENSES</v>
          </cell>
          <cell r="I1983" t="str">
            <v>REPAIRS AND MAINTENANCE</v>
          </cell>
        </row>
        <row r="1984">
          <cell r="A1984" t="str">
            <v>X502110</v>
          </cell>
          <cell r="B1984" t="str">
            <v>Repair &amp; Maint(Mach)- Others</v>
          </cell>
          <cell r="C1984" t="str">
            <v>EXPENSES</v>
          </cell>
          <cell r="D1984" t="str">
            <v>INCOME STATEMENT</v>
          </cell>
          <cell r="E1984">
            <v>0</v>
          </cell>
          <cell r="F1984">
            <v>0</v>
          </cell>
          <cell r="G1984" t="str">
            <v>EXPENDITURE</v>
          </cell>
          <cell r="H1984" t="str">
            <v>GENERAL AND ADMINISTRATION EXPENSES</v>
          </cell>
          <cell r="I1984" t="str">
            <v>REPAIRS AND MAINTENANCE</v>
          </cell>
        </row>
        <row r="1985">
          <cell r="A1985" t="str">
            <v>X502111</v>
          </cell>
          <cell r="B1985" t="str">
            <v>Repair &amp; Maint(Mach)-Motorcycles</v>
          </cell>
          <cell r="C1985" t="str">
            <v>EXPENSES</v>
          </cell>
          <cell r="D1985" t="str">
            <v>INCOME STATEMENT</v>
          </cell>
          <cell r="E1985">
            <v>0</v>
          </cell>
          <cell r="F1985">
            <v>0</v>
          </cell>
          <cell r="G1985" t="str">
            <v>EXPENDITURE</v>
          </cell>
          <cell r="H1985" t="str">
            <v>GENERAL AND ADMINISTRATION EXPENSES</v>
          </cell>
          <cell r="I1985" t="str">
            <v>REPAIRS AND MAINTENANCE</v>
          </cell>
        </row>
        <row r="1986">
          <cell r="A1986" t="str">
            <v>X502201</v>
          </cell>
          <cell r="B1986" t="str">
            <v>Repair &amp; Maintenance</v>
          </cell>
          <cell r="C1986" t="str">
            <v>EXPENSES</v>
          </cell>
          <cell r="D1986" t="str">
            <v>INCOME STATEMENT</v>
          </cell>
          <cell r="E1986">
            <v>0</v>
          </cell>
          <cell r="F1986">
            <v>0</v>
          </cell>
          <cell r="G1986" t="str">
            <v>EXPENDITURE</v>
          </cell>
          <cell r="H1986" t="str">
            <v>GENERAL AND ADMINISTRATION EXPENSES</v>
          </cell>
          <cell r="I1986" t="str">
            <v>REPAIRS AND MAINTENANCE</v>
          </cell>
        </row>
        <row r="1987">
          <cell r="A1987" t="str">
            <v>X503001-000-000</v>
          </cell>
          <cell r="B1987" t="str">
            <v>R&amp;M Constd prop/colony</v>
          </cell>
          <cell r="C1987" t="str">
            <v>EXPENSES</v>
          </cell>
          <cell r="D1987" t="str">
            <v>INCOME STATEMENT</v>
          </cell>
          <cell r="E1987">
            <v>0</v>
          </cell>
          <cell r="F1987">
            <v>0</v>
          </cell>
          <cell r="G1987" t="str">
            <v>EXPENDITURE</v>
          </cell>
          <cell r="H1987" t="str">
            <v>GENERAL AND ADMINISTRATION EXPENSES</v>
          </cell>
          <cell r="I1987" t="str">
            <v>REPAIRS AND MAINTENANCE</v>
          </cell>
        </row>
        <row r="1988">
          <cell r="A1988" t="str">
            <v>X503001-000-001</v>
          </cell>
          <cell r="B1988" t="str">
            <v>R&amp;M Constd prop/colony- ANKUR VIHAR(DEV)</v>
          </cell>
          <cell r="C1988" t="str">
            <v>EXPENSES</v>
          </cell>
          <cell r="D1988" t="str">
            <v>INCOME STATEMENT</v>
          </cell>
          <cell r="E1988">
            <v>0</v>
          </cell>
          <cell r="F1988">
            <v>0</v>
          </cell>
          <cell r="G1988" t="str">
            <v>EXPENDITURE</v>
          </cell>
          <cell r="H1988" t="str">
            <v>GENERAL AND ADMINISTRATION EXPENSES</v>
          </cell>
          <cell r="I1988" t="str">
            <v>REPAIRS AND MAINTENANCE</v>
          </cell>
        </row>
        <row r="1989">
          <cell r="A1989" t="str">
            <v>X503001-000-004</v>
          </cell>
          <cell r="B1989" t="str">
            <v>R&amp;M Constd prop/colony- BEVERLY PARK-I</v>
          </cell>
          <cell r="C1989" t="str">
            <v>EXPENSES</v>
          </cell>
          <cell r="D1989" t="str">
            <v>INCOME STATEMENT</v>
          </cell>
          <cell r="E1989">
            <v>0</v>
          </cell>
          <cell r="F1989">
            <v>0</v>
          </cell>
          <cell r="G1989" t="str">
            <v>EXPENDITURE</v>
          </cell>
          <cell r="H1989" t="str">
            <v>GENERAL AND ADMINISTRATION EXPENSES</v>
          </cell>
          <cell r="I1989" t="str">
            <v>REPAIRS AND MAINTENANCE</v>
          </cell>
        </row>
        <row r="1990">
          <cell r="A1990" t="str">
            <v>X503001-000-005</v>
          </cell>
          <cell r="B1990" t="str">
            <v>R&amp;M Constd prop/colony- BEVERLY PARK-II</v>
          </cell>
          <cell r="C1990" t="str">
            <v>EXPENSES</v>
          </cell>
          <cell r="D1990" t="str">
            <v>INCOME STATEMENT</v>
          </cell>
          <cell r="E1990">
            <v>0</v>
          </cell>
          <cell r="F1990">
            <v>0</v>
          </cell>
          <cell r="G1990" t="str">
            <v>EXPENDITURE</v>
          </cell>
          <cell r="H1990" t="str">
            <v>GENERAL AND ADMINISTRATION EXPENSES</v>
          </cell>
          <cell r="I1990" t="str">
            <v>REPAIRS AND MAINTENANCE</v>
          </cell>
        </row>
        <row r="1991">
          <cell r="A1991" t="str">
            <v>X503001-000-010</v>
          </cell>
          <cell r="B1991" t="str">
            <v>R&amp;M Constd prop/colony- DILSHAD PLAZA</v>
          </cell>
          <cell r="C1991" t="str">
            <v>EXPENSES</v>
          </cell>
          <cell r="D1991" t="str">
            <v>INCOME STATEMENT</v>
          </cell>
          <cell r="E1991">
            <v>0</v>
          </cell>
          <cell r="F1991">
            <v>0</v>
          </cell>
          <cell r="G1991" t="str">
            <v>EXPENDITURE</v>
          </cell>
          <cell r="H1991" t="str">
            <v>GENERAL AND ADMINISTRATION EXPENSES</v>
          </cell>
          <cell r="I1991" t="str">
            <v>REPAIRS AND MAINTENANCE</v>
          </cell>
        </row>
        <row r="1992">
          <cell r="A1992" t="str">
            <v>X503001-000-013</v>
          </cell>
          <cell r="B1992" t="str">
            <v>R&amp;M Constd prop/colony- HAMILTON COURT</v>
          </cell>
          <cell r="C1992" t="str">
            <v>EXPENSES</v>
          </cell>
          <cell r="D1992" t="str">
            <v>INCOME STATEMENT</v>
          </cell>
          <cell r="E1992">
            <v>0</v>
          </cell>
          <cell r="F1992">
            <v>0</v>
          </cell>
          <cell r="G1992" t="str">
            <v>EXPENDITURE</v>
          </cell>
          <cell r="H1992" t="str">
            <v>GENERAL AND ADMINISTRATION EXPENSES</v>
          </cell>
          <cell r="I1992" t="str">
            <v>REPAIRS AND MAINTENANCE</v>
          </cell>
        </row>
        <row r="1993">
          <cell r="A1993" t="str">
            <v>X503001-000-022</v>
          </cell>
          <cell r="B1993" t="str">
            <v>R&amp;M Constd prop/colony- RICHMOND PARK</v>
          </cell>
          <cell r="C1993" t="str">
            <v>EXPENSES</v>
          </cell>
          <cell r="D1993" t="str">
            <v>INCOME STATEMENT</v>
          </cell>
          <cell r="E1993">
            <v>0</v>
          </cell>
          <cell r="F1993">
            <v>0</v>
          </cell>
          <cell r="G1993" t="str">
            <v>EXPENDITURE</v>
          </cell>
          <cell r="H1993" t="str">
            <v>GENERAL AND ADMINISTRATION EXPENSES</v>
          </cell>
          <cell r="I1993" t="str">
            <v>REPAIRS AND MAINTENANCE</v>
          </cell>
        </row>
        <row r="1994">
          <cell r="A1994" t="str">
            <v>X503001-000-028</v>
          </cell>
          <cell r="B1994" t="str">
            <v>R&amp;M Constd prop/colony- SILVER OAKS</v>
          </cell>
          <cell r="C1994" t="str">
            <v>EXPENSES</v>
          </cell>
          <cell r="D1994" t="str">
            <v>INCOME STATEMENT</v>
          </cell>
          <cell r="E1994">
            <v>0</v>
          </cell>
          <cell r="F1994">
            <v>0</v>
          </cell>
          <cell r="G1994" t="str">
            <v>EXPENDITURE</v>
          </cell>
          <cell r="H1994" t="str">
            <v>GENERAL AND ADMINISTRATION EXPENSES</v>
          </cell>
          <cell r="I1994" t="str">
            <v>REPAIRS AND MAINTENANCE</v>
          </cell>
        </row>
        <row r="1995">
          <cell r="A1995" t="str">
            <v>X503001-000-034</v>
          </cell>
          <cell r="B1995" t="str">
            <v>R&amp;M Constd prop/colony- WINDSOR COURT</v>
          </cell>
          <cell r="C1995" t="str">
            <v>EXPENSES</v>
          </cell>
          <cell r="D1995" t="str">
            <v>INCOME STATEMENT</v>
          </cell>
          <cell r="E1995">
            <v>0</v>
          </cell>
          <cell r="F1995">
            <v>0</v>
          </cell>
          <cell r="G1995" t="str">
            <v>EXPENDITURE</v>
          </cell>
          <cell r="H1995" t="str">
            <v>GENERAL AND ADMINISTRATION EXPENSES</v>
          </cell>
          <cell r="I1995" t="str">
            <v>REPAIRS AND MAINTENANCE</v>
          </cell>
        </row>
        <row r="1996">
          <cell r="A1996" t="str">
            <v>X503001-000-039</v>
          </cell>
          <cell r="B1996" t="str">
            <v>R&amp;M Constd prop/colony- RIDGEWOOD</v>
          </cell>
          <cell r="C1996" t="str">
            <v>EXPENSES</v>
          </cell>
          <cell r="D1996" t="str">
            <v>INCOME STATEMENT</v>
          </cell>
          <cell r="E1996">
            <v>0</v>
          </cell>
          <cell r="F1996">
            <v>0</v>
          </cell>
          <cell r="G1996" t="str">
            <v>EXPENDITURE</v>
          </cell>
          <cell r="H1996" t="str">
            <v>GENERAL AND ADMINISTRATION EXPENSES</v>
          </cell>
          <cell r="I1996" t="str">
            <v>REPAIRS AND MAINTENANCE</v>
          </cell>
        </row>
        <row r="1997">
          <cell r="A1997" t="str">
            <v>X503001-000-046</v>
          </cell>
          <cell r="B1997" t="str">
            <v>R&amp;M Constd prop/colony- PRINCETON</v>
          </cell>
          <cell r="C1997" t="str">
            <v>EXPENSES</v>
          </cell>
          <cell r="D1997" t="str">
            <v>INCOME STATEMENT</v>
          </cell>
          <cell r="E1997">
            <v>0</v>
          </cell>
          <cell r="F1997">
            <v>0</v>
          </cell>
          <cell r="G1997" t="str">
            <v>EXPENDITURE</v>
          </cell>
          <cell r="H1997" t="str">
            <v>GENERAL AND ADMINISTRATION EXPENSES</v>
          </cell>
          <cell r="I1997" t="str">
            <v>REPAIRS AND MAINTENANCE</v>
          </cell>
        </row>
        <row r="1998">
          <cell r="A1998" t="str">
            <v>X503001-000-050</v>
          </cell>
          <cell r="B1998" t="str">
            <v>R&amp;M Constd prop/colony- CARLTON</v>
          </cell>
          <cell r="C1998" t="str">
            <v>EXPENSES</v>
          </cell>
          <cell r="D1998" t="str">
            <v>INCOME STATEMENT</v>
          </cell>
          <cell r="E1998">
            <v>0</v>
          </cell>
          <cell r="F1998">
            <v>0</v>
          </cell>
          <cell r="G1998" t="str">
            <v>EXPENDITURE</v>
          </cell>
          <cell r="H1998" t="str">
            <v>GENERAL AND ADMINISTRATION EXPENSES</v>
          </cell>
          <cell r="I1998" t="str">
            <v>REPAIRS AND MAINTENANCE</v>
          </cell>
        </row>
        <row r="1999">
          <cell r="A1999" t="str">
            <v>X503001-000-055</v>
          </cell>
          <cell r="B1999" t="str">
            <v>R&amp;M Constd prop/colony- BELV.TOWER</v>
          </cell>
          <cell r="C1999" t="str">
            <v>EXPENSES</v>
          </cell>
          <cell r="D1999" t="str">
            <v>INCOME STATEMENT</v>
          </cell>
          <cell r="E1999">
            <v>0</v>
          </cell>
          <cell r="F1999">
            <v>0</v>
          </cell>
          <cell r="G1999" t="str">
            <v>EXPENDITURE</v>
          </cell>
          <cell r="H1999" t="str">
            <v>GENERAL AND ADMINISTRATION EXPENSES</v>
          </cell>
          <cell r="I1999" t="str">
            <v>REPAIRS AND MAINTENANCE</v>
          </cell>
        </row>
        <row r="2000">
          <cell r="A2000" t="str">
            <v>X503001-000-058</v>
          </cell>
          <cell r="B2000" t="str">
            <v>R&amp;M Constd prop/colony- EXCLUSIVE FLOOR</v>
          </cell>
          <cell r="C2000" t="str">
            <v>EXPENSES</v>
          </cell>
          <cell r="D2000" t="str">
            <v>INCOME STATEMENT</v>
          </cell>
          <cell r="E2000">
            <v>0</v>
          </cell>
          <cell r="F2000">
            <v>0</v>
          </cell>
          <cell r="G2000" t="str">
            <v>EXPENDITURE</v>
          </cell>
          <cell r="H2000" t="str">
            <v>GENERAL AND ADMINISTRATION EXPENSES</v>
          </cell>
          <cell r="I2000" t="str">
            <v>REPAIRS AND MAINTENANCE</v>
          </cell>
        </row>
        <row r="2001">
          <cell r="A2001" t="str">
            <v>X503001-000-060</v>
          </cell>
          <cell r="B2001" t="str">
            <v>R&amp;M Constd prop/colony- TRINITY TOWERS</v>
          </cell>
          <cell r="C2001" t="str">
            <v>EXPENSES</v>
          </cell>
          <cell r="D2001" t="str">
            <v>INCOME STATEMENT</v>
          </cell>
          <cell r="E2001">
            <v>0</v>
          </cell>
          <cell r="F2001">
            <v>0</v>
          </cell>
          <cell r="G2001" t="str">
            <v>EXPENDITURE</v>
          </cell>
          <cell r="H2001" t="str">
            <v>GENERAL AND ADMINISTRATION EXPENSES</v>
          </cell>
          <cell r="I2001" t="str">
            <v>REPAIRS AND MAINTENANCE</v>
          </cell>
        </row>
        <row r="2002">
          <cell r="A2002" t="str">
            <v>X503001-000-066</v>
          </cell>
          <cell r="B2002" t="str">
            <v>R&amp;M Constd prop/colony- GREEN VALLEY CON</v>
          </cell>
          <cell r="C2002" t="str">
            <v>EXPENSES</v>
          </cell>
          <cell r="D2002" t="str">
            <v>INCOME STATEMENT</v>
          </cell>
          <cell r="E2002">
            <v>0</v>
          </cell>
          <cell r="F2002">
            <v>0</v>
          </cell>
          <cell r="G2002" t="str">
            <v>EXPENDITURE</v>
          </cell>
          <cell r="H2002" t="str">
            <v>GENERAL AND ADMINISTRATION EXPENSES</v>
          </cell>
          <cell r="I2002" t="str">
            <v>REPAIRS AND MAINTENANCE</v>
          </cell>
        </row>
        <row r="2003">
          <cell r="A2003" t="str">
            <v>X503001-000-108</v>
          </cell>
          <cell r="B2003" t="str">
            <v>R&amp;M Constd prop/colony- REGENCY PARK-II</v>
          </cell>
          <cell r="C2003" t="str">
            <v>EXPENSES</v>
          </cell>
          <cell r="D2003" t="str">
            <v>INCOME STATEMENT</v>
          </cell>
          <cell r="E2003">
            <v>0</v>
          </cell>
          <cell r="F2003">
            <v>0</v>
          </cell>
          <cell r="G2003" t="str">
            <v>EXPENDITURE</v>
          </cell>
          <cell r="H2003" t="str">
            <v>GENERAL AND ADMINISTRATION EXPENSES</v>
          </cell>
          <cell r="I2003" t="str">
            <v>REPAIRS AND MAINTENANCE</v>
          </cell>
        </row>
        <row r="2004">
          <cell r="A2004" t="str">
            <v>X503001-000-116</v>
          </cell>
          <cell r="B2004" t="str">
            <v>R&amp;M Constd prop/colony- DILSHAD 2 (DEV)</v>
          </cell>
          <cell r="C2004" t="str">
            <v>EXPENSES</v>
          </cell>
          <cell r="D2004" t="str">
            <v>INCOME STATEMENT</v>
          </cell>
          <cell r="E2004">
            <v>0</v>
          </cell>
          <cell r="F2004">
            <v>0</v>
          </cell>
          <cell r="G2004" t="str">
            <v>EXPENDITURE</v>
          </cell>
          <cell r="H2004" t="str">
            <v>GENERAL AND ADMINISTRATION EXPENSES</v>
          </cell>
          <cell r="I2004" t="str">
            <v>REPAIRS AND MAINTENANCE</v>
          </cell>
        </row>
        <row r="2005">
          <cell r="A2005" t="str">
            <v>X503101</v>
          </cell>
          <cell r="B2005" t="str">
            <v>Rep &amp; Main(Oth)</v>
          </cell>
          <cell r="C2005" t="str">
            <v>EXPENSES</v>
          </cell>
          <cell r="D2005" t="str">
            <v>INCOME STATEMENT</v>
          </cell>
          <cell r="E2005">
            <v>0</v>
          </cell>
          <cell r="F2005">
            <v>0</v>
          </cell>
          <cell r="G2005" t="str">
            <v>EXPENDITURE</v>
          </cell>
          <cell r="H2005" t="str">
            <v>GENERAL AND ADMINISTRATION EXPENSES</v>
          </cell>
          <cell r="I2005" t="str">
            <v>REPAIRS AND MAINTENANCE</v>
          </cell>
        </row>
        <row r="2006">
          <cell r="A2006" t="str">
            <v>X503102</v>
          </cell>
          <cell r="B2006" t="str">
            <v>Rep &amp; Main(Oth)- SWIMMING POOL</v>
          </cell>
          <cell r="C2006" t="str">
            <v>EXPENSES</v>
          </cell>
          <cell r="D2006" t="str">
            <v>INCOME STATEMENT</v>
          </cell>
          <cell r="E2006">
            <v>0</v>
          </cell>
          <cell r="F2006">
            <v>0</v>
          </cell>
          <cell r="G2006" t="str">
            <v>EXPENDITURE</v>
          </cell>
          <cell r="H2006" t="str">
            <v>GENERAL AND ADMINISTRATION EXPENSES</v>
          </cell>
          <cell r="I2006" t="str">
            <v>REPAIRS AND MAINTENANCE</v>
          </cell>
        </row>
        <row r="2007">
          <cell r="A2007" t="str">
            <v>X503103</v>
          </cell>
          <cell r="B2007" t="str">
            <v>Rep &amp; Main(Oth)- ROAD PH-I,II,III</v>
          </cell>
          <cell r="C2007" t="str">
            <v>EXPENSES</v>
          </cell>
          <cell r="D2007" t="str">
            <v>INCOME STATEMENT</v>
          </cell>
          <cell r="E2007">
            <v>0</v>
          </cell>
          <cell r="F2007">
            <v>0</v>
          </cell>
          <cell r="G2007" t="str">
            <v>EXPENDITURE</v>
          </cell>
          <cell r="H2007" t="str">
            <v>GENERAL AND ADMINISTRATION EXPENSES</v>
          </cell>
          <cell r="I2007" t="str">
            <v>REPAIRS AND MAINTENANCE</v>
          </cell>
        </row>
        <row r="2008">
          <cell r="A2008" t="str">
            <v>X503104</v>
          </cell>
          <cell r="B2008" t="str">
            <v>Rep &amp; Main(Oth)- ROAD PH-IV</v>
          </cell>
          <cell r="C2008" t="str">
            <v>EXPENSES</v>
          </cell>
          <cell r="D2008" t="str">
            <v>INCOME STATEMENT</v>
          </cell>
          <cell r="E2008">
            <v>0</v>
          </cell>
          <cell r="F2008">
            <v>0</v>
          </cell>
          <cell r="G2008" t="str">
            <v>EXPENDITURE</v>
          </cell>
          <cell r="H2008" t="str">
            <v>GENERAL AND ADMINISTRATION EXPENSES</v>
          </cell>
          <cell r="I2008" t="str">
            <v>REPAIRS AND MAINTENANCE</v>
          </cell>
        </row>
        <row r="2009">
          <cell r="A2009" t="str">
            <v>X503105</v>
          </cell>
          <cell r="B2009" t="str">
            <v>Rep &amp; Main(Oth)- WATER SUPPLY -S.O.A</v>
          </cell>
          <cell r="C2009" t="str">
            <v>EXPENSES</v>
          </cell>
          <cell r="D2009" t="str">
            <v>INCOME STATEMENT</v>
          </cell>
          <cell r="E2009">
            <v>0</v>
          </cell>
          <cell r="F2009">
            <v>0</v>
          </cell>
          <cell r="G2009" t="str">
            <v>EXPENDITURE</v>
          </cell>
          <cell r="H2009" t="str">
            <v>GENERAL AND ADMINISTRATION EXPENSES</v>
          </cell>
          <cell r="I2009" t="str">
            <v>REPAIRS AND MAINTENANCE</v>
          </cell>
        </row>
        <row r="2010">
          <cell r="A2010" t="str">
            <v>X503106</v>
          </cell>
          <cell r="B2010" t="str">
            <v>Rep &amp; Main(Oth)- EX. HOMES</v>
          </cell>
          <cell r="C2010" t="str">
            <v>EXPENSES</v>
          </cell>
          <cell r="D2010" t="str">
            <v>INCOME STATEMENT</v>
          </cell>
          <cell r="E2010">
            <v>0</v>
          </cell>
          <cell r="F2010">
            <v>0</v>
          </cell>
          <cell r="G2010" t="str">
            <v>EXPENDITURE</v>
          </cell>
          <cell r="H2010" t="str">
            <v>GENERAL AND ADMINISTRATION EXPENSES</v>
          </cell>
          <cell r="I2010" t="str">
            <v>REPAIRS AND MAINTENANCE</v>
          </cell>
        </row>
        <row r="2011">
          <cell r="A2011" t="str">
            <v>X503107</v>
          </cell>
          <cell r="B2011" t="str">
            <v>Rep &amp; Main(Oth)- PARK N SHOP</v>
          </cell>
          <cell r="C2011" t="str">
            <v>EXPENSES</v>
          </cell>
          <cell r="D2011" t="str">
            <v>INCOME STATEMENT</v>
          </cell>
          <cell r="E2011">
            <v>0</v>
          </cell>
          <cell r="F2011">
            <v>0</v>
          </cell>
          <cell r="G2011" t="str">
            <v>EXPENDITURE</v>
          </cell>
          <cell r="H2011" t="str">
            <v>GENERAL AND ADMINISTRATION EXPENSES</v>
          </cell>
          <cell r="I2011" t="str">
            <v>REPAIRS AND MAINTENANCE</v>
          </cell>
        </row>
        <row r="2012">
          <cell r="A2012" t="str">
            <v>X503108</v>
          </cell>
          <cell r="B2012" t="str">
            <v>Rep &amp; Main(Oth)- STOP N SHOP</v>
          </cell>
          <cell r="C2012" t="str">
            <v>EXPENSES</v>
          </cell>
          <cell r="D2012" t="str">
            <v>INCOME STATEMENT</v>
          </cell>
          <cell r="E2012">
            <v>0</v>
          </cell>
          <cell r="F2012">
            <v>0</v>
          </cell>
          <cell r="G2012" t="str">
            <v>EXPENDITURE</v>
          </cell>
          <cell r="H2012" t="str">
            <v>GENERAL AND ADMINISTRATION EXPENSES</v>
          </cell>
          <cell r="I2012" t="str">
            <v>REPAIRS AND MAINTENANCE</v>
          </cell>
        </row>
        <row r="2013">
          <cell r="A2013" t="str">
            <v>X503109</v>
          </cell>
          <cell r="B2013" t="str">
            <v>Rep &amp; Main(Oth)- STREET LIGHT-PHI,II,III</v>
          </cell>
          <cell r="C2013" t="str">
            <v>EXPENSES</v>
          </cell>
          <cell r="D2013" t="str">
            <v>INCOME STATEMENT</v>
          </cell>
          <cell r="E2013">
            <v>0</v>
          </cell>
          <cell r="F2013">
            <v>0</v>
          </cell>
          <cell r="G2013" t="str">
            <v>EXPENDITURE</v>
          </cell>
          <cell r="H2013" t="str">
            <v>GENERAL AND ADMINISTRATION EXPENSES</v>
          </cell>
          <cell r="I2013" t="str">
            <v>REPAIRS AND MAINTENANCE</v>
          </cell>
        </row>
        <row r="2014">
          <cell r="A2014" t="str">
            <v>X503110</v>
          </cell>
          <cell r="B2014" t="str">
            <v>Rep &amp; Main(Oth)- STREET LIGHT PH-IV</v>
          </cell>
          <cell r="C2014" t="str">
            <v>EXPENSES</v>
          </cell>
          <cell r="D2014" t="str">
            <v>INCOME STATEMENT</v>
          </cell>
          <cell r="E2014">
            <v>0</v>
          </cell>
          <cell r="F2014">
            <v>0</v>
          </cell>
          <cell r="G2014" t="str">
            <v>EXPENDITURE</v>
          </cell>
          <cell r="H2014" t="str">
            <v>GENERAL AND ADMINISTRATION EXPENSES</v>
          </cell>
          <cell r="I2014" t="str">
            <v>REPAIRS AND MAINTENANCE</v>
          </cell>
        </row>
        <row r="2015">
          <cell r="A2015" t="str">
            <v>X503111</v>
          </cell>
          <cell r="B2015" t="str">
            <v>Rep &amp; Main(Oth)- ATH</v>
          </cell>
          <cell r="C2015" t="str">
            <v>EXPENSES</v>
          </cell>
          <cell r="D2015" t="str">
            <v>INCOME STATEMENT</v>
          </cell>
          <cell r="E2015">
            <v>0</v>
          </cell>
          <cell r="F2015">
            <v>0</v>
          </cell>
          <cell r="G2015" t="str">
            <v>EXPENDITURE</v>
          </cell>
          <cell r="H2015" t="str">
            <v>GENERAL AND ADMINISTRATION EXPENSES</v>
          </cell>
          <cell r="I2015" t="str">
            <v>REPAIRS AND MAINTENANCE</v>
          </cell>
        </row>
        <row r="2016">
          <cell r="A2016" t="str">
            <v>X503112</v>
          </cell>
          <cell r="B2016" t="str">
            <v>Rep &amp; Main(Oth)- LAWN &amp; GARDEN PH 1,2,3</v>
          </cell>
          <cell r="C2016" t="str">
            <v>EXPENSES</v>
          </cell>
          <cell r="D2016" t="str">
            <v>INCOME STATEMENT</v>
          </cell>
          <cell r="E2016">
            <v>0</v>
          </cell>
          <cell r="F2016">
            <v>0</v>
          </cell>
          <cell r="G2016" t="str">
            <v>EXPENDITURE</v>
          </cell>
          <cell r="H2016" t="str">
            <v>GENERAL AND ADMINISTRATION EXPENSES</v>
          </cell>
          <cell r="I2016" t="str">
            <v>REPAIRS AND MAINTENANCE</v>
          </cell>
        </row>
        <row r="2017">
          <cell r="A2017" t="str">
            <v>X503113</v>
          </cell>
          <cell r="B2017" t="str">
            <v>Rep &amp; Main(Oth)- LAWN &amp; GARDEN PH 4</v>
          </cell>
          <cell r="C2017" t="str">
            <v>EXPENSES</v>
          </cell>
          <cell r="D2017" t="str">
            <v>INCOME STATEMENT</v>
          </cell>
          <cell r="E2017">
            <v>0</v>
          </cell>
          <cell r="F2017">
            <v>0</v>
          </cell>
          <cell r="G2017" t="str">
            <v>EXPENDITURE</v>
          </cell>
          <cell r="H2017" t="str">
            <v>GENERAL AND ADMINISTRATION EXPENSES</v>
          </cell>
          <cell r="I2017" t="str">
            <v>REPAIRS AND MAINTENANCE</v>
          </cell>
        </row>
        <row r="2018">
          <cell r="A2018" t="str">
            <v>X503114</v>
          </cell>
          <cell r="B2018" t="str">
            <v>Rep &amp; Main(Oth)- EXT. ELECT. PH-I,II,III</v>
          </cell>
          <cell r="C2018" t="str">
            <v>EXPENSES</v>
          </cell>
          <cell r="D2018" t="str">
            <v>INCOME STATEMENT</v>
          </cell>
          <cell r="E2018">
            <v>0</v>
          </cell>
          <cell r="F2018">
            <v>0</v>
          </cell>
          <cell r="G2018" t="str">
            <v>EXPENDITURE</v>
          </cell>
          <cell r="H2018" t="str">
            <v>GENERAL AND ADMINISTRATION EXPENSES</v>
          </cell>
          <cell r="I2018" t="str">
            <v>REPAIRS AND MAINTENANCE</v>
          </cell>
        </row>
        <row r="2019">
          <cell r="A2019" t="str">
            <v>X503115</v>
          </cell>
          <cell r="B2019" t="str">
            <v>Rep &amp; Main(Oth)- EXT. ELECT. PH-IV</v>
          </cell>
          <cell r="C2019" t="str">
            <v>EXPENSES</v>
          </cell>
          <cell r="D2019" t="str">
            <v>INCOME STATEMENT</v>
          </cell>
          <cell r="E2019">
            <v>0</v>
          </cell>
          <cell r="F2019">
            <v>0</v>
          </cell>
          <cell r="G2019" t="str">
            <v>EXPENDITURE</v>
          </cell>
          <cell r="H2019" t="str">
            <v>GENERAL AND ADMINISTRATION EXPENSES</v>
          </cell>
          <cell r="I2019" t="str">
            <v>REPAIRS AND MAINTENANCE</v>
          </cell>
        </row>
        <row r="2020">
          <cell r="A2020" t="str">
            <v>X503116</v>
          </cell>
          <cell r="B2020" t="str">
            <v>Rep &amp; Main(Oth)- SOHNA FARM</v>
          </cell>
          <cell r="C2020" t="str">
            <v>EXPENSES</v>
          </cell>
          <cell r="D2020" t="str">
            <v>INCOME STATEMENT</v>
          </cell>
          <cell r="E2020">
            <v>0</v>
          </cell>
          <cell r="F2020">
            <v>0</v>
          </cell>
          <cell r="G2020" t="str">
            <v>EXPENDITURE</v>
          </cell>
          <cell r="H2020" t="str">
            <v>GENERAL AND ADMINISTRATION EXPENSES</v>
          </cell>
          <cell r="I2020" t="str">
            <v>REPAIRS AND MAINTENANCE</v>
          </cell>
        </row>
        <row r="2021">
          <cell r="A2021" t="str">
            <v>X503117</v>
          </cell>
          <cell r="B2021" t="str">
            <v>Rep &amp; Main(Oth)- WATER SUPPLY PH 1,2,3</v>
          </cell>
          <cell r="C2021" t="str">
            <v>EXPENSES</v>
          </cell>
          <cell r="D2021" t="str">
            <v>INCOME STATEMENT</v>
          </cell>
          <cell r="E2021">
            <v>0</v>
          </cell>
          <cell r="F2021">
            <v>0</v>
          </cell>
          <cell r="G2021" t="str">
            <v>EXPENDITURE</v>
          </cell>
          <cell r="H2021" t="str">
            <v>GENERAL AND ADMINISTRATION EXPENSES</v>
          </cell>
          <cell r="I2021" t="str">
            <v>REPAIRS AND MAINTENANCE</v>
          </cell>
        </row>
        <row r="2022">
          <cell r="A2022" t="str">
            <v>X503118</v>
          </cell>
          <cell r="B2022" t="str">
            <v>Rep &amp; Main(Oth)- WATER SUPPLY PH 4</v>
          </cell>
          <cell r="C2022" t="str">
            <v>EXPENSES</v>
          </cell>
          <cell r="D2022" t="str">
            <v>INCOME STATEMENT</v>
          </cell>
          <cell r="E2022">
            <v>0</v>
          </cell>
          <cell r="F2022">
            <v>0</v>
          </cell>
          <cell r="G2022" t="str">
            <v>EXPENDITURE</v>
          </cell>
          <cell r="H2022" t="str">
            <v>GENERAL AND ADMINISTRATION EXPENSES</v>
          </cell>
          <cell r="I2022" t="str">
            <v>REPAIRS AND MAINTENANCE</v>
          </cell>
        </row>
        <row r="2023">
          <cell r="A2023" t="str">
            <v>X503119</v>
          </cell>
          <cell r="B2023" t="str">
            <v>Rep &amp; Main(Oth)- SEWAGE PH-I,II,III</v>
          </cell>
          <cell r="C2023" t="str">
            <v>EXPENSES</v>
          </cell>
          <cell r="D2023" t="str">
            <v>INCOME STATEMENT</v>
          </cell>
          <cell r="E2023">
            <v>0</v>
          </cell>
          <cell r="F2023">
            <v>0</v>
          </cell>
          <cell r="G2023" t="str">
            <v>EXPENDITURE</v>
          </cell>
          <cell r="H2023" t="str">
            <v>GENERAL AND ADMINISTRATION EXPENSES</v>
          </cell>
          <cell r="I2023" t="str">
            <v>REPAIRS AND MAINTENANCE</v>
          </cell>
        </row>
        <row r="2024">
          <cell r="A2024" t="str">
            <v>X503120</v>
          </cell>
          <cell r="B2024" t="str">
            <v>Rep &amp; Main(Oth)- SEWAGE PH-IV</v>
          </cell>
          <cell r="C2024" t="str">
            <v>EXPENSES</v>
          </cell>
          <cell r="D2024" t="str">
            <v>INCOME STATEMENT</v>
          </cell>
          <cell r="E2024">
            <v>0</v>
          </cell>
          <cell r="F2024">
            <v>0</v>
          </cell>
          <cell r="G2024" t="str">
            <v>EXPENDITURE</v>
          </cell>
          <cell r="H2024" t="str">
            <v>GENERAL AND ADMINISTRATION EXPENSES</v>
          </cell>
          <cell r="I2024" t="str">
            <v>REPAIRS AND MAINTENANCE</v>
          </cell>
        </row>
        <row r="2025">
          <cell r="A2025" t="str">
            <v>X503121</v>
          </cell>
          <cell r="B2025" t="str">
            <v>Rep &amp; Main(Oth)- COMMUNITY CENTRE</v>
          </cell>
          <cell r="C2025" t="str">
            <v>EXPENSES</v>
          </cell>
          <cell r="D2025" t="str">
            <v>INCOME STATEMENT</v>
          </cell>
          <cell r="E2025">
            <v>0</v>
          </cell>
          <cell r="F2025">
            <v>0</v>
          </cell>
          <cell r="G2025" t="str">
            <v>EXPENDITURE</v>
          </cell>
          <cell r="H2025" t="str">
            <v>GENERAL AND ADMINISTRATION EXPENSES</v>
          </cell>
          <cell r="I2025" t="str">
            <v>REPAIRS AND MAINTENANCE</v>
          </cell>
        </row>
        <row r="2026">
          <cell r="A2026" t="str">
            <v>X503122</v>
          </cell>
          <cell r="B2026" t="str">
            <v>Rep &amp; Main(Oth)- S MALL</v>
          </cell>
          <cell r="C2026" t="str">
            <v>EXPENSES</v>
          </cell>
          <cell r="D2026" t="str">
            <v>INCOME STATEMENT</v>
          </cell>
          <cell r="E2026">
            <v>0</v>
          </cell>
          <cell r="F2026">
            <v>0</v>
          </cell>
          <cell r="G2026" t="str">
            <v>EXPENDITURE</v>
          </cell>
          <cell r="H2026" t="str">
            <v>GENERAL AND ADMINISTRATION EXPENSES</v>
          </cell>
          <cell r="I2026" t="str">
            <v>REPAIRS AND MAINTENANCE</v>
          </cell>
        </row>
        <row r="2027">
          <cell r="A2027" t="str">
            <v>X503123</v>
          </cell>
          <cell r="B2027" t="str">
            <v>Rep &amp; Main(Oth)- Ph 1, 2, 3</v>
          </cell>
          <cell r="C2027" t="str">
            <v>EXPENSES</v>
          </cell>
          <cell r="D2027" t="str">
            <v>INCOME STATEMENT</v>
          </cell>
          <cell r="E2027">
            <v>0</v>
          </cell>
          <cell r="F2027">
            <v>0</v>
          </cell>
          <cell r="G2027" t="str">
            <v>EXPENDITURE</v>
          </cell>
          <cell r="H2027" t="str">
            <v>GENERAL AND ADMINISTRATION EXPENSES</v>
          </cell>
          <cell r="I2027" t="str">
            <v>REPAIRS AND MAINTENANCE</v>
          </cell>
        </row>
        <row r="2028">
          <cell r="A2028" t="str">
            <v>X503124</v>
          </cell>
          <cell r="B2028" t="str">
            <v>Rep &amp; Main(Oth)- Ph 4</v>
          </cell>
          <cell r="C2028" t="str">
            <v>EXPENSES</v>
          </cell>
          <cell r="D2028" t="str">
            <v>INCOME STATEMENT</v>
          </cell>
          <cell r="E2028">
            <v>0</v>
          </cell>
          <cell r="F2028">
            <v>0</v>
          </cell>
          <cell r="G2028" t="str">
            <v>EXPENDITURE</v>
          </cell>
          <cell r="H2028" t="str">
            <v>GENERAL AND ADMINISTRATION EXPENSES</v>
          </cell>
          <cell r="I2028" t="str">
            <v>REPAIRS AND MAINTENANCE</v>
          </cell>
        </row>
        <row r="2029">
          <cell r="A2029" t="str">
            <v>X503125</v>
          </cell>
          <cell r="B2029" t="str">
            <v>Rep &amp; Main(Oth)- DLF GARDEN</v>
          </cell>
          <cell r="C2029" t="str">
            <v>EXPENSES</v>
          </cell>
          <cell r="D2029" t="str">
            <v>INCOME STATEMENT</v>
          </cell>
          <cell r="E2029">
            <v>0</v>
          </cell>
          <cell r="F2029">
            <v>0</v>
          </cell>
          <cell r="G2029" t="str">
            <v>EXPENDITURE</v>
          </cell>
          <cell r="H2029" t="str">
            <v>GENERAL AND ADMINISTRATION EXPENSES</v>
          </cell>
          <cell r="I2029" t="str">
            <v>REPAIRS AND MAINTENANCE</v>
          </cell>
        </row>
        <row r="2030">
          <cell r="A2030" t="str">
            <v>X503126</v>
          </cell>
          <cell r="B2030" t="str">
            <v>Rep &amp; Main(Oth)- INTERNET</v>
          </cell>
          <cell r="C2030" t="str">
            <v>EXPENSES</v>
          </cell>
          <cell r="D2030" t="str">
            <v>INCOME STATEMENT</v>
          </cell>
          <cell r="E2030">
            <v>0</v>
          </cell>
          <cell r="F2030">
            <v>0</v>
          </cell>
          <cell r="G2030" t="str">
            <v>EXPENDITURE</v>
          </cell>
          <cell r="H2030" t="str">
            <v>GENERAL AND ADMINISTRATION EXPENSES</v>
          </cell>
          <cell r="I2030" t="str">
            <v>REPAIRS AND MAINTENANCE</v>
          </cell>
        </row>
        <row r="2031">
          <cell r="A2031" t="str">
            <v>X503127</v>
          </cell>
          <cell r="B2031" t="str">
            <v>Rep &amp; Main(Oth)- INFRASTRUCTURE</v>
          </cell>
          <cell r="C2031" t="str">
            <v>EXPENSES</v>
          </cell>
          <cell r="D2031" t="str">
            <v>INCOME STATEMENT</v>
          </cell>
          <cell r="E2031">
            <v>0</v>
          </cell>
          <cell r="F2031">
            <v>0</v>
          </cell>
          <cell r="G2031" t="str">
            <v>EXPENDITURE</v>
          </cell>
          <cell r="H2031" t="str">
            <v>GENERAL AND ADMINISTRATION EXPENSES</v>
          </cell>
          <cell r="I2031" t="str">
            <v>REPAIRS AND MAINTENANCE</v>
          </cell>
        </row>
        <row r="2032">
          <cell r="A2032" t="str">
            <v>X503128</v>
          </cell>
          <cell r="B2032" t="str">
            <v>Rep &amp; Main(Oth)- VAM</v>
          </cell>
          <cell r="C2032" t="str">
            <v>EXPENSES</v>
          </cell>
          <cell r="D2032" t="str">
            <v>INCOME STATEMENT</v>
          </cell>
          <cell r="E2032">
            <v>0</v>
          </cell>
          <cell r="F2032">
            <v>0</v>
          </cell>
          <cell r="G2032" t="str">
            <v>EXPENDITURE</v>
          </cell>
          <cell r="H2032" t="str">
            <v>GENERAL AND ADMINISTRATION EXPENSES</v>
          </cell>
          <cell r="I2032" t="str">
            <v>REPAIRS AND MAINTENANCE</v>
          </cell>
        </row>
        <row r="2033">
          <cell r="A2033" t="str">
            <v>X503129</v>
          </cell>
          <cell r="B2033" t="str">
            <v>Rep &amp; Main(Oth)- HVAC</v>
          </cell>
          <cell r="C2033" t="str">
            <v>EXPENSES</v>
          </cell>
          <cell r="D2033" t="str">
            <v>INCOME STATEMENT</v>
          </cell>
          <cell r="E2033">
            <v>0</v>
          </cell>
          <cell r="F2033">
            <v>0</v>
          </cell>
          <cell r="G2033" t="str">
            <v>EXPENDITURE</v>
          </cell>
          <cell r="H2033" t="str">
            <v>GENERAL AND ADMINISTRATION EXPENSES</v>
          </cell>
          <cell r="I2033" t="str">
            <v>REPAIRS AND MAINTENANCE</v>
          </cell>
        </row>
        <row r="2034">
          <cell r="A2034" t="str">
            <v>X503130</v>
          </cell>
          <cell r="B2034" t="str">
            <v>Rep &amp; Main(Oth)- Parking Maintenance</v>
          </cell>
          <cell r="C2034" t="str">
            <v>EXPENSES</v>
          </cell>
          <cell r="D2034" t="str">
            <v>INCOME STATEMENT</v>
          </cell>
          <cell r="E2034">
            <v>0</v>
          </cell>
          <cell r="F2034">
            <v>0</v>
          </cell>
          <cell r="G2034" t="str">
            <v>EXPENDITURE</v>
          </cell>
          <cell r="H2034" t="str">
            <v>GENERAL AND ADMINISTRATION EXPENSES</v>
          </cell>
          <cell r="I2034" t="str">
            <v>REPAIRS AND MAINTENANCE</v>
          </cell>
        </row>
        <row r="2035">
          <cell r="A2035" t="str">
            <v>X503201</v>
          </cell>
          <cell r="B2035" t="str">
            <v>Office Maintenance Charges</v>
          </cell>
          <cell r="C2035" t="str">
            <v>EXPENSES</v>
          </cell>
          <cell r="D2035" t="str">
            <v>INCOME STATEMENT</v>
          </cell>
          <cell r="E2035">
            <v>0</v>
          </cell>
          <cell r="F2035">
            <v>0</v>
          </cell>
          <cell r="G2035" t="str">
            <v>EXPENDITURE</v>
          </cell>
          <cell r="H2035" t="str">
            <v>GENERAL AND ADMINISTRATION EXPENSES</v>
          </cell>
          <cell r="I2035" t="str">
            <v>REPAIRS AND MAINTENANCE</v>
          </cell>
        </row>
        <row r="2036">
          <cell r="A2036" t="str">
            <v>X503202</v>
          </cell>
          <cell r="B2036" t="str">
            <v>Water and Sewarage Charges</v>
          </cell>
          <cell r="C2036" t="str">
            <v>EXPENSES</v>
          </cell>
          <cell r="D2036" t="str">
            <v>INCOME STATEMENT</v>
          </cell>
          <cell r="E2036">
            <v>0</v>
          </cell>
          <cell r="F2036">
            <v>0</v>
          </cell>
          <cell r="G2036" t="str">
            <v>EXPENDITURE</v>
          </cell>
          <cell r="H2036" t="str">
            <v>GENERAL AND ADMINISTRATION EXPENSES</v>
          </cell>
          <cell r="I2036" t="str">
            <v>REPAIRS AND MAINTENANCE</v>
          </cell>
        </row>
        <row r="2037">
          <cell r="A2037" t="str">
            <v>X504001-001</v>
          </cell>
          <cell r="B2037" t="str">
            <v>Insurance</v>
          </cell>
          <cell r="C2037" t="str">
            <v>EXPENSES</v>
          </cell>
          <cell r="D2037" t="str">
            <v>INCOME STATEMENT</v>
          </cell>
          <cell r="E2037">
            <v>0</v>
          </cell>
          <cell r="F2037">
            <v>0</v>
          </cell>
          <cell r="G2037" t="str">
            <v>EXPENDITURE</v>
          </cell>
          <cell r="H2037" t="str">
            <v>OTHER EXPENSES</v>
          </cell>
          <cell r="I2037" t="str">
            <v>INSURANCE EXPENSES</v>
          </cell>
        </row>
        <row r="2038">
          <cell r="A2038" t="str">
            <v>X504001-002</v>
          </cell>
          <cell r="B2038" t="str">
            <v>Insurance- Vehicles</v>
          </cell>
          <cell r="C2038" t="str">
            <v>EXPENSES</v>
          </cell>
          <cell r="D2038" t="str">
            <v>INCOME STATEMENT</v>
          </cell>
          <cell r="E2038">
            <v>0</v>
          </cell>
          <cell r="F2038">
            <v>0</v>
          </cell>
          <cell r="G2038" t="str">
            <v>EXPENDITURE</v>
          </cell>
          <cell r="H2038" t="str">
            <v>OTHER EXPENSES</v>
          </cell>
          <cell r="I2038" t="str">
            <v>INSURANCE EXPENSES</v>
          </cell>
        </row>
        <row r="2039">
          <cell r="A2039" t="str">
            <v>X504001-003</v>
          </cell>
          <cell r="B2039" t="str">
            <v>Insurance- Buildings</v>
          </cell>
          <cell r="C2039" t="str">
            <v>EXPENSES</v>
          </cell>
          <cell r="D2039" t="str">
            <v>INCOME STATEMENT</v>
          </cell>
          <cell r="E2039">
            <v>0</v>
          </cell>
          <cell r="F2039">
            <v>0</v>
          </cell>
          <cell r="G2039" t="str">
            <v>EXPENDITURE</v>
          </cell>
          <cell r="H2039" t="str">
            <v>OTHER EXPENSES</v>
          </cell>
          <cell r="I2039" t="str">
            <v>INSURANCE EXPENSES</v>
          </cell>
        </row>
        <row r="2040">
          <cell r="A2040" t="str">
            <v>X504001-004</v>
          </cell>
          <cell r="B2040" t="str">
            <v>Insurance- Machinery And Other Fas</v>
          </cell>
          <cell r="C2040" t="str">
            <v>EXPENSES</v>
          </cell>
          <cell r="D2040" t="str">
            <v>INCOME STATEMENT</v>
          </cell>
          <cell r="E2040">
            <v>0</v>
          </cell>
          <cell r="F2040">
            <v>0</v>
          </cell>
          <cell r="G2040" t="str">
            <v>EXPENDITURE</v>
          </cell>
          <cell r="H2040" t="str">
            <v>OTHER EXPENSES</v>
          </cell>
          <cell r="I2040" t="str">
            <v>INSURANCE EXPENSES</v>
          </cell>
        </row>
        <row r="2041">
          <cell r="A2041" t="str">
            <v>X504001-005</v>
          </cell>
          <cell r="B2041" t="str">
            <v>Insurance- Others</v>
          </cell>
          <cell r="C2041" t="str">
            <v>EXPENSES</v>
          </cell>
          <cell r="D2041" t="str">
            <v>INCOME STATEMENT</v>
          </cell>
          <cell r="E2041">
            <v>0</v>
          </cell>
          <cell r="F2041">
            <v>0</v>
          </cell>
          <cell r="G2041" t="str">
            <v>EXPENDITURE</v>
          </cell>
          <cell r="H2041" t="str">
            <v>OTHER EXPENSES</v>
          </cell>
          <cell r="I2041" t="str">
            <v>INSURANCE EXPENSES</v>
          </cell>
        </row>
        <row r="2042">
          <cell r="A2042" t="str">
            <v>X505001</v>
          </cell>
          <cell r="B2042" t="str">
            <v>Commission and brokerage- Sales</v>
          </cell>
          <cell r="C2042" t="str">
            <v>EXPENSES</v>
          </cell>
          <cell r="D2042" t="str">
            <v>INCOME STATEMENT</v>
          </cell>
          <cell r="E2042">
            <v>0</v>
          </cell>
          <cell r="F2042">
            <v>0</v>
          </cell>
          <cell r="G2042" t="str">
            <v>EXPENDITURE</v>
          </cell>
          <cell r="H2042" t="str">
            <v>OTHER EXPENSES</v>
          </cell>
          <cell r="I2042" t="str">
            <v>COMMISSION AND BROKERAGE</v>
          </cell>
        </row>
        <row r="2043">
          <cell r="A2043" t="str">
            <v>X505002</v>
          </cell>
          <cell r="B2043" t="str">
            <v>Commission and brokerage- Rent</v>
          </cell>
          <cell r="C2043" t="str">
            <v>EXPENSES</v>
          </cell>
          <cell r="D2043" t="str">
            <v>INCOME STATEMENT</v>
          </cell>
          <cell r="E2043">
            <v>0</v>
          </cell>
          <cell r="F2043">
            <v>0</v>
          </cell>
          <cell r="G2043" t="str">
            <v>EXPENDITURE</v>
          </cell>
          <cell r="H2043" t="str">
            <v>OTHER EXPENSES</v>
          </cell>
          <cell r="I2043" t="str">
            <v>COMMISSION AND BROKERAGE</v>
          </cell>
        </row>
        <row r="2044">
          <cell r="A2044" t="str">
            <v>X506001-001</v>
          </cell>
          <cell r="B2044" t="str">
            <v>Adver and publicity</v>
          </cell>
          <cell r="C2044" t="str">
            <v>EXPENSES</v>
          </cell>
          <cell r="D2044" t="str">
            <v>INCOME STATEMENT</v>
          </cell>
          <cell r="E2044">
            <v>0</v>
          </cell>
          <cell r="F2044">
            <v>0</v>
          </cell>
          <cell r="G2044" t="str">
            <v>EXPENDITURE</v>
          </cell>
          <cell r="H2044" t="str">
            <v>GENERAL AND ADMINISTRATION EXPENSES</v>
          </cell>
          <cell r="I2044" t="str">
            <v>ADVERTISEMENT AND PROMOTION</v>
          </cell>
        </row>
        <row r="2045">
          <cell r="A2045" t="str">
            <v>X506001-002</v>
          </cell>
          <cell r="B2045" t="str">
            <v>Adver And Publicity- Indian Newspprs</v>
          </cell>
          <cell r="C2045" t="str">
            <v>EXPENSES</v>
          </cell>
          <cell r="D2045" t="str">
            <v>INCOME STATEMENT</v>
          </cell>
          <cell r="E2045">
            <v>0</v>
          </cell>
          <cell r="F2045">
            <v>0</v>
          </cell>
          <cell r="G2045" t="str">
            <v>EXPENDITURE</v>
          </cell>
          <cell r="H2045" t="str">
            <v>GENERAL AND ADMINISTRATION EXPENSES</v>
          </cell>
          <cell r="I2045" t="str">
            <v>ADVERTISEMENT AND PROMOTION</v>
          </cell>
        </row>
        <row r="2046">
          <cell r="A2046" t="str">
            <v>X506001-003</v>
          </cell>
          <cell r="B2046" t="str">
            <v>Adver And Publicity- Foreign News Papers</v>
          </cell>
          <cell r="C2046" t="str">
            <v>EXPENSES</v>
          </cell>
          <cell r="D2046" t="str">
            <v>INCOME STATEMENT</v>
          </cell>
          <cell r="E2046">
            <v>0</v>
          </cell>
          <cell r="F2046">
            <v>0</v>
          </cell>
          <cell r="G2046" t="str">
            <v>EXPENDITURE</v>
          </cell>
          <cell r="H2046" t="str">
            <v>GENERAL AND ADMINISTRATION EXPENSES</v>
          </cell>
          <cell r="I2046" t="str">
            <v>ADVERTISEMENT AND PROMOTION</v>
          </cell>
        </row>
        <row r="2047">
          <cell r="A2047" t="str">
            <v>X506001-004</v>
          </cell>
          <cell r="B2047" t="str">
            <v>Adver And Publicity- Indian Magazines</v>
          </cell>
          <cell r="C2047" t="str">
            <v>EXPENSES</v>
          </cell>
          <cell r="D2047" t="str">
            <v>INCOME STATEMENT</v>
          </cell>
          <cell r="E2047">
            <v>0</v>
          </cell>
          <cell r="F2047">
            <v>0</v>
          </cell>
          <cell r="G2047" t="str">
            <v>EXPENDITURE</v>
          </cell>
          <cell r="H2047" t="str">
            <v>GENERAL AND ADMINISTRATION EXPENSES</v>
          </cell>
          <cell r="I2047" t="str">
            <v>ADVERTISEMENT AND PROMOTION</v>
          </cell>
        </row>
        <row r="2048">
          <cell r="A2048" t="str">
            <v>X506001-005</v>
          </cell>
          <cell r="B2048" t="str">
            <v>Adver And Publicity- Hoardings &amp; Banners</v>
          </cell>
          <cell r="C2048" t="str">
            <v>EXPENSES</v>
          </cell>
          <cell r="D2048" t="str">
            <v>INCOME STATEMENT</v>
          </cell>
          <cell r="E2048">
            <v>0</v>
          </cell>
          <cell r="F2048">
            <v>0</v>
          </cell>
          <cell r="G2048" t="str">
            <v>EXPENDITURE</v>
          </cell>
          <cell r="H2048" t="str">
            <v>GENERAL AND ADMINISTRATION EXPENSES</v>
          </cell>
          <cell r="I2048" t="str">
            <v>ADVERTISEMENT AND PROMOTION</v>
          </cell>
        </row>
        <row r="2049">
          <cell r="A2049" t="str">
            <v>X506001-006</v>
          </cell>
          <cell r="B2049" t="str">
            <v>Adver And Publicity- Others</v>
          </cell>
          <cell r="C2049" t="str">
            <v>EXPENSES</v>
          </cell>
          <cell r="D2049" t="str">
            <v>INCOME STATEMENT</v>
          </cell>
          <cell r="E2049">
            <v>0</v>
          </cell>
          <cell r="F2049">
            <v>0</v>
          </cell>
          <cell r="G2049" t="str">
            <v>EXPENDITURE</v>
          </cell>
          <cell r="H2049" t="str">
            <v>GENERAL AND ADMINISTRATION EXPENSES</v>
          </cell>
          <cell r="I2049" t="str">
            <v>ADVERTISEMENT AND PROMOTION</v>
          </cell>
        </row>
        <row r="2050">
          <cell r="A2050" t="str">
            <v>X506001-007</v>
          </cell>
          <cell r="B2050" t="str">
            <v>Adver And Publicity- Television</v>
          </cell>
          <cell r="C2050" t="str">
            <v>EXPENSES</v>
          </cell>
          <cell r="D2050" t="str">
            <v>INCOME STATEMENT</v>
          </cell>
          <cell r="E2050">
            <v>0</v>
          </cell>
          <cell r="F2050">
            <v>0</v>
          </cell>
          <cell r="G2050" t="str">
            <v>EXPENDITURE</v>
          </cell>
          <cell r="H2050" t="str">
            <v>GENERAL AND ADMINISTRATION EXPENSES</v>
          </cell>
          <cell r="I2050" t="str">
            <v>ADVERTISEMENT AND PROMOTION</v>
          </cell>
        </row>
        <row r="2051">
          <cell r="A2051" t="str">
            <v>X506001-008</v>
          </cell>
          <cell r="B2051" t="str">
            <v>Adver And Publicity- Exhibition Expenses</v>
          </cell>
          <cell r="C2051" t="str">
            <v>EXPENSES</v>
          </cell>
          <cell r="D2051" t="str">
            <v>INCOME STATEMENT</v>
          </cell>
          <cell r="E2051">
            <v>0</v>
          </cell>
          <cell r="F2051">
            <v>0</v>
          </cell>
          <cell r="G2051" t="str">
            <v>EXPENDITURE</v>
          </cell>
          <cell r="H2051" t="str">
            <v>GENERAL AND ADMINISTRATION EXPENSES</v>
          </cell>
          <cell r="I2051" t="str">
            <v>ADVERTISEMENT AND PROMOTION</v>
          </cell>
        </row>
        <row r="2052">
          <cell r="A2052" t="str">
            <v>X506001-009</v>
          </cell>
          <cell r="B2052" t="str">
            <v>Adver And Publicity- Cable</v>
          </cell>
          <cell r="C2052" t="str">
            <v>EXPENSES</v>
          </cell>
          <cell r="D2052" t="str">
            <v>INCOME STATEMENT</v>
          </cell>
          <cell r="E2052">
            <v>0</v>
          </cell>
          <cell r="F2052">
            <v>0</v>
          </cell>
          <cell r="G2052" t="str">
            <v>EXPENDITURE</v>
          </cell>
          <cell r="H2052" t="str">
            <v>GENERAL AND ADMINISTRATION EXPENSES</v>
          </cell>
          <cell r="I2052" t="str">
            <v>ADVERTISEMENT AND PROMOTION</v>
          </cell>
        </row>
        <row r="2053">
          <cell r="A2053" t="str">
            <v>X506001-010</v>
          </cell>
          <cell r="B2053" t="str">
            <v>Adver And Publicity-Joint Promotions</v>
          </cell>
          <cell r="C2053" t="str">
            <v>EXPENSES</v>
          </cell>
          <cell r="D2053" t="str">
            <v>INCOME STATEMENT</v>
          </cell>
          <cell r="E2053">
            <v>0</v>
          </cell>
          <cell r="F2053">
            <v>0</v>
          </cell>
          <cell r="G2053" t="str">
            <v>EXPENDITURE</v>
          </cell>
          <cell r="H2053" t="str">
            <v>GENERAL AND ADMINISTRATION EXPENSES</v>
          </cell>
          <cell r="I2053" t="str">
            <v>ADVERTISEMENT AND PROMOTION</v>
          </cell>
        </row>
        <row r="2054">
          <cell r="A2054" t="str">
            <v>X507001</v>
          </cell>
          <cell r="B2054" t="str">
            <v>TraveIling and conveyance</v>
          </cell>
          <cell r="C2054" t="str">
            <v>EXPENSES</v>
          </cell>
          <cell r="D2054" t="str">
            <v>INCOME STATEMENT</v>
          </cell>
          <cell r="E2054">
            <v>0</v>
          </cell>
          <cell r="F2054">
            <v>0</v>
          </cell>
          <cell r="G2054" t="str">
            <v>EXPENDITURE</v>
          </cell>
          <cell r="H2054" t="str">
            <v>GENERAL AND ADMINISTRATION EXPENSES</v>
          </cell>
          <cell r="I2054" t="str">
            <v>TRAVEL AND CONVEYANCE</v>
          </cell>
        </row>
        <row r="2055">
          <cell r="A2055" t="str">
            <v>X507101-001</v>
          </cell>
          <cell r="B2055" t="str">
            <v>Travelling Exps. (Staff) Domestic</v>
          </cell>
          <cell r="C2055" t="str">
            <v>EXPENSES</v>
          </cell>
          <cell r="D2055" t="str">
            <v>INCOME STATEMENT</v>
          </cell>
          <cell r="E2055">
            <v>0</v>
          </cell>
          <cell r="F2055">
            <v>0</v>
          </cell>
          <cell r="G2055" t="str">
            <v>EXPENDITURE</v>
          </cell>
          <cell r="H2055" t="str">
            <v>GENERAL AND ADMINISTRATION EXPENSES</v>
          </cell>
          <cell r="I2055" t="str">
            <v>TRAVEL AND CONVEYANCE</v>
          </cell>
        </row>
        <row r="2056">
          <cell r="A2056" t="str">
            <v>X507101-002</v>
          </cell>
          <cell r="B2056" t="str">
            <v>Travelling Exps. (Staff) Domestic- Fare</v>
          </cell>
          <cell r="C2056" t="str">
            <v>EXPENSES</v>
          </cell>
          <cell r="D2056" t="str">
            <v>INCOME STATEMENT</v>
          </cell>
          <cell r="E2056">
            <v>0</v>
          </cell>
          <cell r="F2056">
            <v>0</v>
          </cell>
          <cell r="G2056" t="str">
            <v>EXPENDITURE</v>
          </cell>
          <cell r="H2056" t="str">
            <v>GENERAL AND ADMINISTRATION EXPENSES</v>
          </cell>
          <cell r="I2056" t="str">
            <v>TRAVEL AND CONVEYANCE</v>
          </cell>
        </row>
        <row r="2057">
          <cell r="A2057" t="str">
            <v>X507101-003</v>
          </cell>
          <cell r="B2057" t="str">
            <v>Travelling Exps. (Staff) Domestic- Hotel</v>
          </cell>
          <cell r="C2057" t="str">
            <v>EXPENSES</v>
          </cell>
          <cell r="D2057" t="str">
            <v>INCOME STATEMENT</v>
          </cell>
          <cell r="E2057">
            <v>0</v>
          </cell>
          <cell r="F2057">
            <v>0</v>
          </cell>
          <cell r="G2057" t="str">
            <v>EXPENDITURE</v>
          </cell>
          <cell r="H2057" t="str">
            <v>GENERAL AND ADMINISTRATION EXPENSES</v>
          </cell>
          <cell r="I2057" t="str">
            <v>TRAVEL AND CONVEYANCE</v>
          </cell>
        </row>
        <row r="2058">
          <cell r="A2058" t="str">
            <v>X507101-004</v>
          </cell>
          <cell r="B2058" t="str">
            <v>Travelling Exps. (Staff) Domestic- D.A.</v>
          </cell>
          <cell r="C2058" t="str">
            <v>EXPENSES</v>
          </cell>
          <cell r="D2058" t="str">
            <v>INCOME STATEMENT</v>
          </cell>
          <cell r="E2058">
            <v>0</v>
          </cell>
          <cell r="F2058">
            <v>0</v>
          </cell>
          <cell r="G2058" t="str">
            <v>EXPENDITURE</v>
          </cell>
          <cell r="H2058" t="str">
            <v>GENERAL AND ADMINISTRATION EXPENSES</v>
          </cell>
          <cell r="I2058" t="str">
            <v>TRAVEL AND CONVEYANCE</v>
          </cell>
        </row>
        <row r="2059">
          <cell r="A2059" t="str">
            <v>X507101-005</v>
          </cell>
          <cell r="B2059" t="str">
            <v>Travelling Exps. (Staff) Domestic- Conv.</v>
          </cell>
          <cell r="C2059" t="str">
            <v>EXPENSES</v>
          </cell>
          <cell r="D2059" t="str">
            <v>INCOME STATEMENT</v>
          </cell>
          <cell r="E2059">
            <v>0</v>
          </cell>
          <cell r="F2059">
            <v>0</v>
          </cell>
          <cell r="G2059" t="str">
            <v>EXPENDITURE</v>
          </cell>
          <cell r="H2059" t="str">
            <v>GENERAL AND ADMINISTRATION EXPENSES</v>
          </cell>
          <cell r="I2059" t="str">
            <v>TRAVEL AND CONVEYANCE</v>
          </cell>
        </row>
        <row r="2060">
          <cell r="A2060" t="str">
            <v>X507101-006</v>
          </cell>
          <cell r="B2060" t="str">
            <v>Travelling Exps. (Staff) Domestic- Other</v>
          </cell>
          <cell r="C2060" t="str">
            <v>EXPENSES</v>
          </cell>
          <cell r="D2060" t="str">
            <v>INCOME STATEMENT</v>
          </cell>
          <cell r="E2060">
            <v>0</v>
          </cell>
          <cell r="F2060">
            <v>0</v>
          </cell>
          <cell r="G2060" t="str">
            <v>EXPENDITURE</v>
          </cell>
          <cell r="H2060" t="str">
            <v>GENERAL AND ADMINISTRATION EXPENSES</v>
          </cell>
          <cell r="I2060" t="str">
            <v>TRAVEL AND CONVEYANCE</v>
          </cell>
        </row>
        <row r="2061">
          <cell r="A2061" t="str">
            <v>X507102-001</v>
          </cell>
          <cell r="B2061" t="str">
            <v>Travelling Exps. (Dir) Domestic</v>
          </cell>
          <cell r="C2061" t="str">
            <v>EXPENSES</v>
          </cell>
          <cell r="D2061" t="str">
            <v>INCOME STATEMENT</v>
          </cell>
          <cell r="E2061">
            <v>0</v>
          </cell>
          <cell r="F2061">
            <v>0</v>
          </cell>
          <cell r="G2061" t="str">
            <v>EXPENDITURE</v>
          </cell>
          <cell r="H2061" t="str">
            <v>GENERAL AND ADMINISTRATION EXPENSES</v>
          </cell>
          <cell r="I2061" t="str">
            <v>TRAVEL AND CONVEYANCE</v>
          </cell>
        </row>
        <row r="2062">
          <cell r="A2062" t="str">
            <v>X507102-002</v>
          </cell>
          <cell r="B2062" t="str">
            <v>Travelling Exps. (Dir) Domestic-Fare</v>
          </cell>
          <cell r="C2062" t="str">
            <v>EXPENSES</v>
          </cell>
          <cell r="D2062" t="str">
            <v>INCOME STATEMENT</v>
          </cell>
          <cell r="E2062">
            <v>0</v>
          </cell>
          <cell r="F2062">
            <v>0</v>
          </cell>
          <cell r="G2062" t="str">
            <v>EXPENDITURE</v>
          </cell>
          <cell r="H2062" t="str">
            <v>GENERAL AND ADMINISTRATION EXPENSES</v>
          </cell>
          <cell r="I2062" t="str">
            <v>TRAVEL AND CONVEYANCE</v>
          </cell>
        </row>
        <row r="2063">
          <cell r="A2063" t="str">
            <v>X507102-003</v>
          </cell>
          <cell r="B2063" t="str">
            <v>Travelling Exps. (Dir) Domestic- Hotel</v>
          </cell>
          <cell r="C2063" t="str">
            <v>EXPENSES</v>
          </cell>
          <cell r="D2063" t="str">
            <v>INCOME STATEMENT</v>
          </cell>
          <cell r="E2063">
            <v>0</v>
          </cell>
          <cell r="F2063">
            <v>0</v>
          </cell>
          <cell r="G2063" t="str">
            <v>EXPENDITURE</v>
          </cell>
          <cell r="H2063" t="str">
            <v>GENERAL AND ADMINISTRATION EXPENSES</v>
          </cell>
          <cell r="I2063" t="str">
            <v>TRAVEL AND CONVEYANCE</v>
          </cell>
        </row>
        <row r="2064">
          <cell r="A2064" t="str">
            <v>X507102-004</v>
          </cell>
          <cell r="B2064" t="str">
            <v>Travelling Exps. (Dir) Domestic- Conveya</v>
          </cell>
          <cell r="C2064" t="str">
            <v>EXPENSES</v>
          </cell>
          <cell r="D2064" t="str">
            <v>INCOME STATEMENT</v>
          </cell>
          <cell r="E2064">
            <v>0</v>
          </cell>
          <cell r="F2064">
            <v>0</v>
          </cell>
          <cell r="G2064" t="str">
            <v>EXPENDITURE</v>
          </cell>
          <cell r="H2064" t="str">
            <v>GENERAL AND ADMINISTRATION EXPENSES</v>
          </cell>
          <cell r="I2064" t="str">
            <v>TRAVEL AND CONVEYANCE</v>
          </cell>
        </row>
        <row r="2065">
          <cell r="A2065" t="str">
            <v>X507102-005</v>
          </cell>
          <cell r="B2065" t="str">
            <v>Travelling Exps. (Dir) Domestic- Others</v>
          </cell>
          <cell r="C2065" t="str">
            <v>EXPENSES</v>
          </cell>
          <cell r="D2065" t="str">
            <v>INCOME STATEMENT</v>
          </cell>
          <cell r="E2065">
            <v>0</v>
          </cell>
          <cell r="F2065">
            <v>0</v>
          </cell>
          <cell r="G2065" t="str">
            <v>EXPENDITURE</v>
          </cell>
          <cell r="H2065" t="str">
            <v>GENERAL AND ADMINISTRATION EXPENSES</v>
          </cell>
          <cell r="I2065" t="str">
            <v>TRAVEL AND CONVEYANCE</v>
          </cell>
        </row>
        <row r="2066">
          <cell r="A2066" t="str">
            <v>X507201-001</v>
          </cell>
          <cell r="B2066" t="str">
            <v>Foreign Travelling (Staff)</v>
          </cell>
          <cell r="C2066" t="str">
            <v>EXPENSES</v>
          </cell>
          <cell r="D2066" t="str">
            <v>INCOME STATEMENT</v>
          </cell>
          <cell r="E2066">
            <v>0</v>
          </cell>
          <cell r="F2066">
            <v>0</v>
          </cell>
          <cell r="G2066" t="str">
            <v>EXPENDITURE</v>
          </cell>
          <cell r="H2066" t="str">
            <v>GENERAL AND ADMINISTRATION EXPENSES</v>
          </cell>
          <cell r="I2066" t="str">
            <v>TRAVEL AND CONVEYANCE</v>
          </cell>
        </row>
        <row r="2067">
          <cell r="A2067" t="str">
            <v>X507201-002</v>
          </cell>
          <cell r="B2067" t="str">
            <v>Foreign Travelling (Staff)- Currency</v>
          </cell>
          <cell r="C2067" t="str">
            <v>EXPENSES</v>
          </cell>
          <cell r="D2067" t="str">
            <v>INCOME STATEMENT</v>
          </cell>
          <cell r="E2067">
            <v>0</v>
          </cell>
          <cell r="F2067">
            <v>0</v>
          </cell>
          <cell r="G2067" t="str">
            <v>EXPENDITURE</v>
          </cell>
          <cell r="H2067" t="str">
            <v>GENERAL AND ADMINISTRATION EXPENSES</v>
          </cell>
          <cell r="I2067" t="str">
            <v>TRAVEL AND CONVEYANCE</v>
          </cell>
        </row>
        <row r="2068">
          <cell r="A2068" t="str">
            <v>X507201-003</v>
          </cell>
          <cell r="B2068" t="str">
            <v>Foreign Travelling (Staff)- Fare</v>
          </cell>
          <cell r="C2068" t="str">
            <v>EXPENSES</v>
          </cell>
          <cell r="D2068" t="str">
            <v>INCOME STATEMENT</v>
          </cell>
          <cell r="E2068">
            <v>0</v>
          </cell>
          <cell r="F2068">
            <v>0</v>
          </cell>
          <cell r="G2068" t="str">
            <v>EXPENDITURE</v>
          </cell>
          <cell r="H2068" t="str">
            <v>GENERAL AND ADMINISTRATION EXPENSES</v>
          </cell>
          <cell r="I2068" t="str">
            <v>TRAVEL AND CONVEYANCE</v>
          </cell>
        </row>
        <row r="2069">
          <cell r="A2069" t="str">
            <v>X507201-004</v>
          </cell>
          <cell r="B2069" t="str">
            <v>Foreign Travelling (Staff)- Visa &amp; Taxes</v>
          </cell>
          <cell r="C2069" t="str">
            <v>EXPENSES</v>
          </cell>
          <cell r="D2069" t="str">
            <v>INCOME STATEMENT</v>
          </cell>
          <cell r="E2069">
            <v>0</v>
          </cell>
          <cell r="F2069">
            <v>0</v>
          </cell>
          <cell r="G2069" t="str">
            <v>EXPENDITURE</v>
          </cell>
          <cell r="H2069" t="str">
            <v>GENERAL AND ADMINISTRATION EXPENSES</v>
          </cell>
          <cell r="I2069" t="str">
            <v>TRAVEL AND CONVEYANCE</v>
          </cell>
        </row>
        <row r="2070">
          <cell r="A2070" t="str">
            <v>X507201-005</v>
          </cell>
          <cell r="B2070" t="str">
            <v>Foreign Travelling (Staff)- Others</v>
          </cell>
          <cell r="C2070" t="str">
            <v>EXPENSES</v>
          </cell>
          <cell r="D2070" t="str">
            <v>INCOME STATEMENT</v>
          </cell>
          <cell r="E2070">
            <v>0</v>
          </cell>
          <cell r="F2070">
            <v>0</v>
          </cell>
          <cell r="G2070" t="str">
            <v>EXPENDITURE</v>
          </cell>
          <cell r="H2070" t="str">
            <v>GENERAL AND ADMINISTRATION EXPENSES</v>
          </cell>
          <cell r="I2070" t="str">
            <v>TRAVEL AND CONVEYANCE</v>
          </cell>
        </row>
        <row r="2071">
          <cell r="A2071" t="str">
            <v>X507201-006</v>
          </cell>
          <cell r="B2071" t="str">
            <v>Foreign Travelling (Staff)- Hotel Exp</v>
          </cell>
          <cell r="C2071" t="str">
            <v>EXPENSES</v>
          </cell>
          <cell r="D2071" t="str">
            <v>INCOME STATEMENT</v>
          </cell>
          <cell r="E2071">
            <v>0</v>
          </cell>
          <cell r="F2071">
            <v>0</v>
          </cell>
          <cell r="G2071" t="str">
            <v>EXPENDITURE</v>
          </cell>
          <cell r="H2071" t="str">
            <v>GENERAL AND ADMINISTRATION EXPENSES</v>
          </cell>
          <cell r="I2071" t="str">
            <v>TRAVEL AND CONVEYANCE</v>
          </cell>
        </row>
        <row r="2072">
          <cell r="A2072" t="str">
            <v>X507201-007</v>
          </cell>
          <cell r="B2072" t="str">
            <v>Foreign Travelling (Staff)- Local Convey</v>
          </cell>
          <cell r="C2072" t="str">
            <v>EXPENSES</v>
          </cell>
          <cell r="D2072" t="str">
            <v>INCOME STATEMENT</v>
          </cell>
          <cell r="E2072">
            <v>0</v>
          </cell>
          <cell r="F2072">
            <v>0</v>
          </cell>
          <cell r="G2072" t="str">
            <v>EXPENDITURE</v>
          </cell>
          <cell r="H2072" t="str">
            <v>GENERAL AND ADMINISTRATION EXPENSES</v>
          </cell>
          <cell r="I2072" t="str">
            <v>TRAVEL AND CONVEYANCE</v>
          </cell>
        </row>
        <row r="2073">
          <cell r="A2073" t="str">
            <v>X507201-008</v>
          </cell>
          <cell r="B2073" t="str">
            <v>Foreign Travelling (Staff)- Medic. Prem.</v>
          </cell>
          <cell r="C2073" t="str">
            <v>EXPENSES</v>
          </cell>
          <cell r="D2073" t="str">
            <v>INCOME STATEMENT</v>
          </cell>
          <cell r="E2073">
            <v>0</v>
          </cell>
          <cell r="F2073">
            <v>0</v>
          </cell>
          <cell r="G2073" t="str">
            <v>EXPENDITURE</v>
          </cell>
          <cell r="H2073" t="str">
            <v>GENERAL AND ADMINISTRATION EXPENSES</v>
          </cell>
          <cell r="I2073" t="str">
            <v>TRAVEL AND CONVEYANCE</v>
          </cell>
        </row>
        <row r="2074">
          <cell r="A2074" t="str">
            <v>X507202-001</v>
          </cell>
          <cell r="B2074" t="str">
            <v>Directors Foreign Travelling</v>
          </cell>
          <cell r="C2074" t="str">
            <v>EXPENSES</v>
          </cell>
          <cell r="D2074" t="str">
            <v>INCOME STATEMENT</v>
          </cell>
          <cell r="E2074">
            <v>0</v>
          </cell>
          <cell r="F2074">
            <v>0</v>
          </cell>
          <cell r="G2074" t="str">
            <v>EXPENDITURE</v>
          </cell>
          <cell r="H2074" t="str">
            <v>GENERAL AND ADMINISTRATION EXPENSES</v>
          </cell>
          <cell r="I2074" t="str">
            <v>TRAVEL AND CONVEYANCE</v>
          </cell>
        </row>
        <row r="2075">
          <cell r="A2075" t="str">
            <v>X507202-002</v>
          </cell>
          <cell r="B2075" t="str">
            <v>Directors Foreign Travelling- Currency</v>
          </cell>
          <cell r="C2075" t="str">
            <v>EXPENSES</v>
          </cell>
          <cell r="D2075" t="str">
            <v>INCOME STATEMENT</v>
          </cell>
          <cell r="E2075">
            <v>0</v>
          </cell>
          <cell r="F2075">
            <v>0</v>
          </cell>
          <cell r="G2075" t="str">
            <v>EXPENDITURE</v>
          </cell>
          <cell r="H2075" t="str">
            <v>GENERAL AND ADMINISTRATION EXPENSES</v>
          </cell>
          <cell r="I2075" t="str">
            <v>TRAVEL AND CONVEYANCE</v>
          </cell>
        </row>
        <row r="2076">
          <cell r="A2076" t="str">
            <v>X507202-003</v>
          </cell>
          <cell r="B2076" t="str">
            <v>Directors Foreign Travelling- Fare</v>
          </cell>
          <cell r="C2076" t="str">
            <v>EXPENSES</v>
          </cell>
          <cell r="D2076" t="str">
            <v>INCOME STATEMENT</v>
          </cell>
          <cell r="E2076">
            <v>0</v>
          </cell>
          <cell r="F2076">
            <v>0</v>
          </cell>
          <cell r="G2076" t="str">
            <v>EXPENDITURE</v>
          </cell>
          <cell r="H2076" t="str">
            <v>GENERAL AND ADMINISTRATION EXPENSES</v>
          </cell>
          <cell r="I2076" t="str">
            <v>TRAVEL AND CONVEYANCE</v>
          </cell>
        </row>
        <row r="2077">
          <cell r="A2077" t="str">
            <v>X507202-004</v>
          </cell>
          <cell r="B2077" t="str">
            <v>Directors Foreign Travelling- Visa &amp; Tax</v>
          </cell>
          <cell r="C2077" t="str">
            <v>EXPENSES</v>
          </cell>
          <cell r="D2077" t="str">
            <v>INCOME STATEMENT</v>
          </cell>
          <cell r="E2077">
            <v>0</v>
          </cell>
          <cell r="F2077">
            <v>0</v>
          </cell>
          <cell r="G2077" t="str">
            <v>EXPENDITURE</v>
          </cell>
          <cell r="H2077" t="str">
            <v>GENERAL AND ADMINISTRATION EXPENSES</v>
          </cell>
          <cell r="I2077" t="str">
            <v>TRAVEL AND CONVEYANCE</v>
          </cell>
        </row>
        <row r="2078">
          <cell r="A2078" t="str">
            <v>X507202-005</v>
          </cell>
          <cell r="B2078" t="str">
            <v>Directors Foreign Travelling- Others</v>
          </cell>
          <cell r="C2078" t="str">
            <v>EXPENSES</v>
          </cell>
          <cell r="D2078" t="str">
            <v>INCOME STATEMENT</v>
          </cell>
          <cell r="E2078">
            <v>0</v>
          </cell>
          <cell r="F2078">
            <v>0</v>
          </cell>
          <cell r="G2078" t="str">
            <v>EXPENDITURE</v>
          </cell>
          <cell r="H2078" t="str">
            <v>GENERAL AND ADMINISTRATION EXPENSES</v>
          </cell>
          <cell r="I2078" t="str">
            <v>TRAVEL AND CONVEYANCE</v>
          </cell>
        </row>
        <row r="2079">
          <cell r="A2079" t="str">
            <v>X507202-006</v>
          </cell>
          <cell r="B2079" t="str">
            <v>Directors Foreign Travelling- Hotel Exps</v>
          </cell>
          <cell r="C2079" t="str">
            <v>EXPENSES</v>
          </cell>
          <cell r="D2079" t="str">
            <v>INCOME STATEMENT</v>
          </cell>
          <cell r="E2079">
            <v>0</v>
          </cell>
          <cell r="F2079">
            <v>0</v>
          </cell>
          <cell r="G2079" t="str">
            <v>EXPENDITURE</v>
          </cell>
          <cell r="H2079" t="str">
            <v>GENERAL AND ADMINISTRATION EXPENSES</v>
          </cell>
          <cell r="I2079" t="str">
            <v>TRAVEL AND CONVEYANCE</v>
          </cell>
        </row>
        <row r="2080">
          <cell r="A2080" t="str">
            <v>X507202-007</v>
          </cell>
          <cell r="B2080" t="str">
            <v>Directors Foreign Travelling- Local Conv</v>
          </cell>
          <cell r="C2080" t="str">
            <v>EXPENSES</v>
          </cell>
          <cell r="D2080" t="str">
            <v>INCOME STATEMENT</v>
          </cell>
          <cell r="E2080">
            <v>0</v>
          </cell>
          <cell r="F2080">
            <v>0</v>
          </cell>
          <cell r="G2080" t="str">
            <v>EXPENDITURE</v>
          </cell>
          <cell r="H2080" t="str">
            <v>GENERAL AND ADMINISTRATION EXPENSES</v>
          </cell>
          <cell r="I2080" t="str">
            <v>TRAVEL AND CONVEYANCE</v>
          </cell>
        </row>
        <row r="2081">
          <cell r="A2081" t="str">
            <v>X507202-008</v>
          </cell>
          <cell r="B2081" t="str">
            <v>Directors Foreign Travelling- Med. Prem</v>
          </cell>
          <cell r="C2081" t="str">
            <v>EXPENSES</v>
          </cell>
          <cell r="D2081" t="str">
            <v>INCOME STATEMENT</v>
          </cell>
          <cell r="E2081">
            <v>0</v>
          </cell>
          <cell r="F2081">
            <v>0</v>
          </cell>
          <cell r="G2081" t="str">
            <v>EXPENDITURE</v>
          </cell>
          <cell r="H2081" t="str">
            <v>GENERAL AND ADMINISTRATION EXPENSES</v>
          </cell>
          <cell r="I2081" t="str">
            <v>TRAVEL AND CONVEYANCE</v>
          </cell>
        </row>
        <row r="2082">
          <cell r="A2082" t="str">
            <v>X507301-001</v>
          </cell>
          <cell r="B2082" t="str">
            <v>Conveyance Exp.</v>
          </cell>
          <cell r="C2082" t="str">
            <v>EXPENSES</v>
          </cell>
          <cell r="D2082" t="str">
            <v>INCOME STATEMENT</v>
          </cell>
          <cell r="E2082">
            <v>0</v>
          </cell>
          <cell r="F2082">
            <v>0</v>
          </cell>
          <cell r="G2082" t="str">
            <v>EXPENDITURE</v>
          </cell>
          <cell r="H2082" t="str">
            <v>GENERAL AND ADMINISTRATION EXPENSES</v>
          </cell>
          <cell r="I2082" t="str">
            <v>TRAVEL AND CONVEYANCE</v>
          </cell>
        </row>
        <row r="2083">
          <cell r="A2083" t="str">
            <v>X507301-002</v>
          </cell>
          <cell r="B2083" t="str">
            <v>Conveyance Exp.- Admn.</v>
          </cell>
          <cell r="C2083" t="str">
            <v>EXPENSES</v>
          </cell>
          <cell r="D2083" t="str">
            <v>INCOME STATEMENT</v>
          </cell>
          <cell r="E2083">
            <v>0</v>
          </cell>
          <cell r="F2083">
            <v>0</v>
          </cell>
          <cell r="G2083" t="str">
            <v>EXPENDITURE</v>
          </cell>
          <cell r="H2083" t="str">
            <v>GENERAL AND ADMINISTRATION EXPENSES</v>
          </cell>
          <cell r="I2083" t="str">
            <v>TRAVEL AND CONVEYANCE</v>
          </cell>
        </row>
        <row r="2084">
          <cell r="A2084" t="str">
            <v>X507301-003</v>
          </cell>
          <cell r="B2084" t="str">
            <v>Conveyance Exp.- Accounts</v>
          </cell>
          <cell r="C2084" t="str">
            <v>EXPENSES</v>
          </cell>
          <cell r="D2084" t="str">
            <v>INCOME STATEMENT</v>
          </cell>
          <cell r="E2084">
            <v>0</v>
          </cell>
          <cell r="F2084">
            <v>0</v>
          </cell>
          <cell r="G2084" t="str">
            <v>EXPENDITURE</v>
          </cell>
          <cell r="H2084" t="str">
            <v>GENERAL AND ADMINISTRATION EXPENSES</v>
          </cell>
          <cell r="I2084" t="str">
            <v>TRAVEL AND CONVEYANCE</v>
          </cell>
        </row>
        <row r="2085">
          <cell r="A2085" t="str">
            <v>X507301-004</v>
          </cell>
          <cell r="B2085" t="str">
            <v>Conveyance Exp.- Taxation</v>
          </cell>
          <cell r="C2085" t="str">
            <v>EXPENSES</v>
          </cell>
          <cell r="D2085" t="str">
            <v>INCOME STATEMENT</v>
          </cell>
          <cell r="E2085">
            <v>0</v>
          </cell>
          <cell r="F2085">
            <v>0</v>
          </cell>
          <cell r="G2085" t="str">
            <v>EXPENDITURE</v>
          </cell>
          <cell r="H2085" t="str">
            <v>GENERAL AND ADMINISTRATION EXPENSES</v>
          </cell>
          <cell r="I2085" t="str">
            <v>TRAVEL AND CONVEYANCE</v>
          </cell>
        </row>
        <row r="2086">
          <cell r="A2086" t="str">
            <v>X507301-005</v>
          </cell>
          <cell r="B2086" t="str">
            <v>Conveyance Exp.- Legal</v>
          </cell>
          <cell r="C2086" t="str">
            <v>EXPENSES</v>
          </cell>
          <cell r="D2086" t="str">
            <v>INCOME STATEMENT</v>
          </cell>
          <cell r="E2086">
            <v>0</v>
          </cell>
          <cell r="F2086">
            <v>0</v>
          </cell>
          <cell r="G2086" t="str">
            <v>EXPENDITURE</v>
          </cell>
          <cell r="H2086" t="str">
            <v>GENERAL AND ADMINISTRATION EXPENSES</v>
          </cell>
          <cell r="I2086" t="str">
            <v>TRAVEL AND CONVEYANCE</v>
          </cell>
        </row>
        <row r="2087">
          <cell r="A2087" t="str">
            <v>X507301-006</v>
          </cell>
          <cell r="B2087" t="str">
            <v>Conveyance Exp.- Md ,Vc And Cmd Office</v>
          </cell>
          <cell r="C2087" t="str">
            <v>EXPENSES</v>
          </cell>
          <cell r="D2087" t="str">
            <v>INCOME STATEMENT</v>
          </cell>
          <cell r="E2087">
            <v>0</v>
          </cell>
          <cell r="F2087">
            <v>0</v>
          </cell>
          <cell r="G2087" t="str">
            <v>EXPENDITURE</v>
          </cell>
          <cell r="H2087" t="str">
            <v>GENERAL AND ADMINISTRATION EXPENSES</v>
          </cell>
          <cell r="I2087" t="str">
            <v>TRAVEL AND CONVEYANCE</v>
          </cell>
        </row>
        <row r="2088">
          <cell r="A2088" t="str">
            <v>X507301-007</v>
          </cell>
          <cell r="B2088" t="str">
            <v>Conveyance Exp.- Corp Affairs</v>
          </cell>
          <cell r="C2088" t="str">
            <v>EXPENSES</v>
          </cell>
          <cell r="D2088" t="str">
            <v>INCOME STATEMENT</v>
          </cell>
          <cell r="E2088">
            <v>0</v>
          </cell>
          <cell r="F2088">
            <v>0</v>
          </cell>
          <cell r="G2088" t="str">
            <v>EXPENDITURE</v>
          </cell>
          <cell r="H2088" t="str">
            <v>GENERAL AND ADMINISTRATION EXPENSES</v>
          </cell>
          <cell r="I2088" t="str">
            <v>TRAVEL AND CONVEYANCE</v>
          </cell>
        </row>
        <row r="2089">
          <cell r="A2089" t="str">
            <v>X507301-008</v>
          </cell>
          <cell r="B2089" t="str">
            <v>Conveyance Exp.- Retainers</v>
          </cell>
          <cell r="C2089" t="str">
            <v>EXPENSES</v>
          </cell>
          <cell r="D2089" t="str">
            <v>INCOME STATEMENT</v>
          </cell>
          <cell r="E2089">
            <v>0</v>
          </cell>
          <cell r="F2089">
            <v>0</v>
          </cell>
          <cell r="G2089" t="str">
            <v>EXPENDITURE</v>
          </cell>
          <cell r="H2089" t="str">
            <v>GENERAL AND ADMINISTRATION EXPENSES</v>
          </cell>
          <cell r="I2089" t="str">
            <v>TRAVEL AND CONVEYANCE</v>
          </cell>
        </row>
        <row r="2090">
          <cell r="A2090" t="str">
            <v>X507301-009</v>
          </cell>
          <cell r="B2090" t="str">
            <v>Conveyance Exp.- Revenue</v>
          </cell>
          <cell r="C2090" t="str">
            <v>EXPENSES</v>
          </cell>
          <cell r="D2090" t="str">
            <v>INCOME STATEMENT</v>
          </cell>
          <cell r="E2090">
            <v>0</v>
          </cell>
          <cell r="F2090">
            <v>0</v>
          </cell>
          <cell r="G2090" t="str">
            <v>EXPENDITURE</v>
          </cell>
          <cell r="H2090" t="str">
            <v>GENERAL AND ADMINISTRATION EXPENSES</v>
          </cell>
          <cell r="I2090" t="str">
            <v>TRAVEL AND CONVEYANCE</v>
          </cell>
        </row>
        <row r="2091">
          <cell r="A2091" t="str">
            <v>X507301-010</v>
          </cell>
          <cell r="B2091" t="str">
            <v>Conveyance Exp.- Co-Ordination</v>
          </cell>
          <cell r="C2091" t="str">
            <v>EXPENSES</v>
          </cell>
          <cell r="D2091" t="str">
            <v>INCOME STATEMENT</v>
          </cell>
          <cell r="E2091">
            <v>0</v>
          </cell>
          <cell r="F2091">
            <v>0</v>
          </cell>
          <cell r="G2091" t="str">
            <v>EXPENDITURE</v>
          </cell>
          <cell r="H2091" t="str">
            <v>GENERAL AND ADMINISTRATION EXPENSES</v>
          </cell>
          <cell r="I2091" t="str">
            <v>TRAVEL AND CONVEYANCE</v>
          </cell>
        </row>
        <row r="2092">
          <cell r="A2092" t="str">
            <v>X507301-011</v>
          </cell>
          <cell r="B2092" t="str">
            <v>Conveyance Exp.- 14-16 AZR</v>
          </cell>
          <cell r="C2092" t="str">
            <v>EXPENSES</v>
          </cell>
          <cell r="D2092" t="str">
            <v>INCOME STATEMENT</v>
          </cell>
          <cell r="E2092">
            <v>0</v>
          </cell>
          <cell r="F2092">
            <v>0</v>
          </cell>
          <cell r="G2092" t="str">
            <v>EXPENDITURE</v>
          </cell>
          <cell r="H2092" t="str">
            <v>GENERAL AND ADMINISTRATION EXPENSES</v>
          </cell>
          <cell r="I2092" t="str">
            <v>TRAVEL AND CONVEYANCE</v>
          </cell>
        </row>
        <row r="2093">
          <cell r="A2093" t="str">
            <v>X507401</v>
          </cell>
          <cell r="B2093" t="str">
            <v>Directors Conveyance</v>
          </cell>
          <cell r="C2093" t="str">
            <v>EXPENSES</v>
          </cell>
          <cell r="D2093" t="str">
            <v>INCOME STATEMENT</v>
          </cell>
          <cell r="E2093">
            <v>0</v>
          </cell>
          <cell r="F2093">
            <v>0</v>
          </cell>
          <cell r="G2093" t="str">
            <v>EXPENDITURE</v>
          </cell>
          <cell r="H2093" t="str">
            <v>GENERAL AND ADMINISTRATION EXPENSES</v>
          </cell>
          <cell r="I2093" t="str">
            <v>TRAVEL AND CONVEYANCE</v>
          </cell>
        </row>
        <row r="2094">
          <cell r="A2094" t="str">
            <v>X508001</v>
          </cell>
          <cell r="B2094" t="str">
            <v>Hire Charges Of Vehicle</v>
          </cell>
          <cell r="C2094" t="str">
            <v>EXPENSES</v>
          </cell>
          <cell r="D2094" t="str">
            <v>INCOME STATEMENT</v>
          </cell>
          <cell r="E2094">
            <v>0</v>
          </cell>
          <cell r="F2094">
            <v>0</v>
          </cell>
          <cell r="G2094" t="str">
            <v>EXPENDITURE</v>
          </cell>
          <cell r="H2094" t="str">
            <v>GENERAL AND ADMINISTRATION EXPENSES</v>
          </cell>
          <cell r="I2094" t="str">
            <v>VEHICLE EXPENSES</v>
          </cell>
        </row>
        <row r="2095">
          <cell r="A2095" t="str">
            <v>X508002</v>
          </cell>
          <cell r="B2095" t="str">
            <v>Hire Charges Vehicle-Directors</v>
          </cell>
          <cell r="C2095" t="str">
            <v>EXPENSES</v>
          </cell>
          <cell r="D2095" t="str">
            <v>INCOME STATEMENT</v>
          </cell>
          <cell r="E2095">
            <v>0</v>
          </cell>
          <cell r="F2095">
            <v>0</v>
          </cell>
          <cell r="G2095" t="str">
            <v>EXPENDITURE</v>
          </cell>
          <cell r="H2095" t="str">
            <v>GENERAL AND ADMINISTRATION EXPENSES</v>
          </cell>
          <cell r="I2095" t="str">
            <v>VEHICLE EXPENSES</v>
          </cell>
        </row>
        <row r="2096">
          <cell r="A2096" t="str">
            <v>X509001-001</v>
          </cell>
          <cell r="B2096" t="str">
            <v>Vehicles running &amp; maint</v>
          </cell>
          <cell r="C2096" t="str">
            <v>EXPENSES</v>
          </cell>
          <cell r="D2096" t="str">
            <v>INCOME STATEMENT</v>
          </cell>
          <cell r="E2096">
            <v>0</v>
          </cell>
          <cell r="F2096">
            <v>0</v>
          </cell>
          <cell r="G2096" t="str">
            <v>EXPENDITURE</v>
          </cell>
          <cell r="H2096" t="str">
            <v>GENERAL AND ADMINISTRATION EXPENSES</v>
          </cell>
          <cell r="I2096" t="str">
            <v>VEHICLE EXPENSES</v>
          </cell>
        </row>
        <row r="2097">
          <cell r="A2097" t="str">
            <v>X509001-002</v>
          </cell>
          <cell r="B2097" t="str">
            <v>Vehicles running &amp; maint- Fuel Exp</v>
          </cell>
          <cell r="C2097" t="str">
            <v>EXPENSES</v>
          </cell>
          <cell r="D2097" t="str">
            <v>INCOME STATEMENT</v>
          </cell>
          <cell r="E2097">
            <v>0</v>
          </cell>
          <cell r="F2097">
            <v>0</v>
          </cell>
          <cell r="G2097" t="str">
            <v>EXPENDITURE</v>
          </cell>
          <cell r="H2097" t="str">
            <v>GENERAL AND ADMINISTRATION EXPENSES</v>
          </cell>
          <cell r="I2097" t="str">
            <v>VEHICLE EXPENSES</v>
          </cell>
        </row>
        <row r="2098">
          <cell r="A2098" t="str">
            <v>X509001-003</v>
          </cell>
          <cell r="B2098" t="str">
            <v>Vehicles running &amp; maint- Repair</v>
          </cell>
          <cell r="C2098" t="str">
            <v>EXPENSES</v>
          </cell>
          <cell r="D2098" t="str">
            <v>INCOME STATEMENT</v>
          </cell>
          <cell r="E2098">
            <v>0</v>
          </cell>
          <cell r="F2098">
            <v>0</v>
          </cell>
          <cell r="G2098" t="str">
            <v>EXPENDITURE</v>
          </cell>
          <cell r="H2098" t="str">
            <v>GENERAL AND ADMINISTRATION EXPENSES</v>
          </cell>
          <cell r="I2098" t="str">
            <v>VEHICLE EXPENSES</v>
          </cell>
        </row>
        <row r="2099">
          <cell r="A2099" t="str">
            <v>X509001-004</v>
          </cell>
          <cell r="B2099" t="str">
            <v>Vehicles running &amp; maint- Driver Salary</v>
          </cell>
          <cell r="C2099" t="str">
            <v>EXPENSES</v>
          </cell>
          <cell r="D2099" t="str">
            <v>INCOME STATEMENT</v>
          </cell>
          <cell r="E2099">
            <v>0</v>
          </cell>
          <cell r="F2099">
            <v>0</v>
          </cell>
          <cell r="G2099" t="str">
            <v>EXPENDITURE</v>
          </cell>
          <cell r="H2099" t="str">
            <v>GENERAL AND ADMINISTRATION EXPENSES</v>
          </cell>
          <cell r="I2099" t="str">
            <v>VEHICLE EXPENSES</v>
          </cell>
        </row>
        <row r="2100">
          <cell r="A2100" t="str">
            <v>X509001-005</v>
          </cell>
          <cell r="B2100" t="str">
            <v>Vehicles running &amp; maint- Road Tax &amp; Fit</v>
          </cell>
          <cell r="C2100" t="str">
            <v>EXPENSES</v>
          </cell>
          <cell r="D2100" t="str">
            <v>INCOME STATEMENT</v>
          </cell>
          <cell r="E2100">
            <v>0</v>
          </cell>
          <cell r="F2100">
            <v>0</v>
          </cell>
          <cell r="G2100" t="str">
            <v>EXPENDITURE</v>
          </cell>
          <cell r="H2100" t="str">
            <v>GENERAL AND ADMINISTRATION EXPENSES</v>
          </cell>
          <cell r="I2100" t="str">
            <v>VEHICLE EXPENSES</v>
          </cell>
        </row>
        <row r="2101">
          <cell r="A2101" t="str">
            <v>X509002</v>
          </cell>
          <cell r="B2101" t="str">
            <v>Vehicle Parking</v>
          </cell>
          <cell r="C2101" t="str">
            <v>EXPENSES</v>
          </cell>
          <cell r="D2101" t="str">
            <v>INCOME STATEMENT</v>
          </cell>
          <cell r="E2101">
            <v>0</v>
          </cell>
          <cell r="F2101">
            <v>0</v>
          </cell>
          <cell r="G2101" t="str">
            <v>EXPENDITURE</v>
          </cell>
          <cell r="H2101" t="str">
            <v>GENERAL AND ADMINISTRATION EXPENSES</v>
          </cell>
          <cell r="I2101" t="str">
            <v>VEHICLE EXPENSES</v>
          </cell>
        </row>
        <row r="2102">
          <cell r="A2102" t="str">
            <v>X509101</v>
          </cell>
          <cell r="B2102" t="str">
            <v>Aircraft running &amp; Maintenance</v>
          </cell>
          <cell r="C2102" t="str">
            <v>EXPENSES</v>
          </cell>
          <cell r="D2102" t="str">
            <v>INCOME STATEMENT</v>
          </cell>
          <cell r="E2102">
            <v>0</v>
          </cell>
          <cell r="F2102">
            <v>0</v>
          </cell>
          <cell r="G2102" t="str">
            <v>EXPENDITURE</v>
          </cell>
          <cell r="H2102" t="str">
            <v>GENERAL AND ADMINISTRATION EXPENSES</v>
          </cell>
          <cell r="I2102" t="str">
            <v>AIRCRAFT RUNNING &amp; MAINTENANCE</v>
          </cell>
        </row>
        <row r="2103">
          <cell r="A2103" t="str">
            <v>X510001-001</v>
          </cell>
          <cell r="B2103" t="str">
            <v>Printing and stationery</v>
          </cell>
          <cell r="C2103" t="str">
            <v>EXPENSES</v>
          </cell>
          <cell r="D2103" t="str">
            <v>INCOME STATEMENT</v>
          </cell>
          <cell r="E2103">
            <v>0</v>
          </cell>
          <cell r="F2103">
            <v>0</v>
          </cell>
          <cell r="G2103" t="str">
            <v>EXPENDITURE</v>
          </cell>
          <cell r="H2103" t="str">
            <v>GENERAL AND ADMINISTRATION EXPENSES</v>
          </cell>
          <cell r="I2103" t="str">
            <v>PRINTING &amp; STATIONERY</v>
          </cell>
        </row>
        <row r="2104">
          <cell r="A2104" t="str">
            <v>X510001-002</v>
          </cell>
          <cell r="B2104" t="str">
            <v>Printing And Stationery-  General</v>
          </cell>
          <cell r="C2104" t="str">
            <v>EXPENSES</v>
          </cell>
          <cell r="D2104" t="str">
            <v>INCOME STATEMENT</v>
          </cell>
          <cell r="E2104">
            <v>0</v>
          </cell>
          <cell r="F2104">
            <v>0</v>
          </cell>
          <cell r="G2104" t="str">
            <v>EXPENDITURE</v>
          </cell>
          <cell r="H2104" t="str">
            <v>GENERAL AND ADMINISTRATION EXPENSES</v>
          </cell>
          <cell r="I2104" t="str">
            <v>PRINTING &amp; STATIONERY</v>
          </cell>
        </row>
        <row r="2105">
          <cell r="A2105" t="str">
            <v>X510001-003</v>
          </cell>
          <cell r="B2105" t="str">
            <v>Printing And Stationery-  Prntd Material</v>
          </cell>
          <cell r="C2105" t="str">
            <v>EXPENSES</v>
          </cell>
          <cell r="D2105" t="str">
            <v>INCOME STATEMENT</v>
          </cell>
          <cell r="E2105">
            <v>0</v>
          </cell>
          <cell r="F2105">
            <v>0</v>
          </cell>
          <cell r="G2105" t="str">
            <v>EXPENDITURE</v>
          </cell>
          <cell r="H2105" t="str">
            <v>GENERAL AND ADMINISTRATION EXPENSES</v>
          </cell>
          <cell r="I2105" t="str">
            <v>PRINTING &amp; STATIONERY</v>
          </cell>
        </row>
        <row r="2106">
          <cell r="A2106" t="str">
            <v>X510001-004</v>
          </cell>
          <cell r="B2106" t="str">
            <v>Printing And Stationery- Computer</v>
          </cell>
          <cell r="C2106" t="str">
            <v>EXPENSES</v>
          </cell>
          <cell r="D2106" t="str">
            <v>INCOME STATEMENT</v>
          </cell>
          <cell r="E2106">
            <v>0</v>
          </cell>
          <cell r="F2106">
            <v>0</v>
          </cell>
          <cell r="G2106" t="str">
            <v>EXPENDITURE</v>
          </cell>
          <cell r="H2106" t="str">
            <v>GENERAL AND ADMINISTRATION EXPENSES</v>
          </cell>
          <cell r="I2106" t="str">
            <v>PRINTING &amp; STATIONERY</v>
          </cell>
        </row>
        <row r="2107">
          <cell r="A2107" t="str">
            <v>X510001-005</v>
          </cell>
          <cell r="B2107" t="str">
            <v>Printing And Stationery- Photocopy Charg</v>
          </cell>
          <cell r="C2107" t="str">
            <v>EXPENSES</v>
          </cell>
          <cell r="D2107" t="str">
            <v>INCOME STATEMENT</v>
          </cell>
          <cell r="E2107">
            <v>0</v>
          </cell>
          <cell r="F2107">
            <v>0</v>
          </cell>
          <cell r="G2107" t="str">
            <v>EXPENDITURE</v>
          </cell>
          <cell r="H2107" t="str">
            <v>GENERAL AND ADMINISTRATION EXPENSES</v>
          </cell>
          <cell r="I2107" t="str">
            <v>PRINTING &amp; STATIONERY</v>
          </cell>
        </row>
        <row r="2108">
          <cell r="A2108" t="str">
            <v>X510001-006</v>
          </cell>
          <cell r="B2108" t="str">
            <v>Printing And Stationery- DUL Prntng</v>
          </cell>
          <cell r="C2108" t="str">
            <v>EXPENSES</v>
          </cell>
          <cell r="D2108" t="str">
            <v>INCOME STATEMENT</v>
          </cell>
          <cell r="E2108">
            <v>0</v>
          </cell>
          <cell r="F2108">
            <v>0</v>
          </cell>
          <cell r="G2108" t="str">
            <v>EXPENDITURE</v>
          </cell>
          <cell r="H2108" t="str">
            <v>GENERAL AND ADMINISTRATION EXPENSES</v>
          </cell>
          <cell r="I2108" t="str">
            <v>PRINTING &amp; STATIONERY</v>
          </cell>
        </row>
        <row r="2109">
          <cell r="A2109" t="str">
            <v>X510001-007</v>
          </cell>
          <cell r="B2109" t="str">
            <v>Printing And Stationery- Common Printing</v>
          </cell>
          <cell r="C2109" t="str">
            <v>EXPENSES</v>
          </cell>
          <cell r="D2109" t="str">
            <v>INCOME STATEMENT</v>
          </cell>
          <cell r="E2109">
            <v>0</v>
          </cell>
          <cell r="F2109">
            <v>0</v>
          </cell>
          <cell r="G2109" t="str">
            <v>EXPENDITURE</v>
          </cell>
          <cell r="H2109" t="str">
            <v>GENERAL AND ADMINISTRATION EXPENSES</v>
          </cell>
          <cell r="I2109" t="str">
            <v>PRINTING &amp; STATIONERY</v>
          </cell>
        </row>
        <row r="2110">
          <cell r="A2110" t="str">
            <v>X511001-001</v>
          </cell>
          <cell r="B2110" t="str">
            <v>Bus. promotion</v>
          </cell>
          <cell r="C2110" t="str">
            <v>EXPENSES</v>
          </cell>
          <cell r="D2110" t="str">
            <v>INCOME STATEMENT</v>
          </cell>
          <cell r="E2110">
            <v>0</v>
          </cell>
          <cell r="F2110">
            <v>0</v>
          </cell>
          <cell r="G2110" t="str">
            <v>EXPENDITURE</v>
          </cell>
          <cell r="H2110" t="str">
            <v>GENERAL AND ADMINISTRATION EXPENSES</v>
          </cell>
          <cell r="I2110" t="str">
            <v>BUSINESS PROMOTION</v>
          </cell>
        </row>
        <row r="2111">
          <cell r="A2111" t="str">
            <v>X511001-002</v>
          </cell>
          <cell r="B2111" t="str">
            <v>Bus. promotion- Hsptality- Co. Guest</v>
          </cell>
          <cell r="C2111" t="str">
            <v>EXPENSES</v>
          </cell>
          <cell r="D2111" t="str">
            <v>INCOME STATEMENT</v>
          </cell>
          <cell r="E2111">
            <v>0</v>
          </cell>
          <cell r="F2111">
            <v>0</v>
          </cell>
          <cell r="G2111" t="str">
            <v>EXPENDITURE</v>
          </cell>
          <cell r="H2111" t="str">
            <v>GENERAL AND ADMINISTRATION EXPENSES</v>
          </cell>
          <cell r="I2111" t="str">
            <v>BUSINESS PROMOTION</v>
          </cell>
        </row>
        <row r="2112">
          <cell r="A2112" t="str">
            <v>X511001-003</v>
          </cell>
          <cell r="B2112" t="str">
            <v>Bus. Promotion- Guest Entertainment</v>
          </cell>
          <cell r="C2112" t="str">
            <v>EXPENSES</v>
          </cell>
          <cell r="D2112" t="str">
            <v>INCOME STATEMENT</v>
          </cell>
          <cell r="E2112">
            <v>0</v>
          </cell>
          <cell r="F2112">
            <v>0</v>
          </cell>
          <cell r="G2112" t="str">
            <v>EXPENDITURE</v>
          </cell>
          <cell r="H2112" t="str">
            <v>GENERAL AND ADMINISTRATION EXPENSES</v>
          </cell>
          <cell r="I2112" t="str">
            <v>BUSINESS PROMOTION</v>
          </cell>
        </row>
        <row r="2113">
          <cell r="A2113" t="str">
            <v>X511001-004</v>
          </cell>
          <cell r="B2113" t="str">
            <v>Bus. Promotion- Guest Entert.- Club</v>
          </cell>
          <cell r="C2113" t="str">
            <v>EXPENSES</v>
          </cell>
          <cell r="D2113" t="str">
            <v>INCOME STATEMENT</v>
          </cell>
          <cell r="E2113">
            <v>0</v>
          </cell>
          <cell r="F2113">
            <v>0</v>
          </cell>
          <cell r="G2113" t="str">
            <v>EXPENDITURE</v>
          </cell>
          <cell r="H2113" t="str">
            <v>GENERAL AND ADMINISTRATION EXPENSES</v>
          </cell>
          <cell r="I2113" t="str">
            <v>BUSINESS PROMOTION</v>
          </cell>
        </row>
        <row r="2114">
          <cell r="A2114" t="str">
            <v>X511001-005</v>
          </cell>
          <cell r="B2114" t="str">
            <v>Bus. Promotion- Prsnt to Guest/Bus Ass</v>
          </cell>
          <cell r="C2114" t="str">
            <v>EXPENSES</v>
          </cell>
          <cell r="D2114" t="str">
            <v>INCOME STATEMENT</v>
          </cell>
          <cell r="E2114">
            <v>0</v>
          </cell>
          <cell r="F2114">
            <v>0</v>
          </cell>
          <cell r="G2114" t="str">
            <v>EXPENDITURE</v>
          </cell>
          <cell r="H2114" t="str">
            <v>GENERAL AND ADMINISTRATION EXPENSES</v>
          </cell>
          <cell r="I2114" t="str">
            <v>BUSINESS PROMOTION</v>
          </cell>
        </row>
        <row r="2115">
          <cell r="A2115" t="str">
            <v>X511001-006</v>
          </cell>
          <cell r="B2115" t="str">
            <v>Bus. Promotion- Contribution To Asso</v>
          </cell>
          <cell r="C2115" t="str">
            <v>EXPENSES</v>
          </cell>
          <cell r="D2115" t="str">
            <v>INCOME STATEMENT</v>
          </cell>
          <cell r="E2115">
            <v>0</v>
          </cell>
          <cell r="F2115">
            <v>0</v>
          </cell>
          <cell r="G2115" t="str">
            <v>EXPENDITURE</v>
          </cell>
          <cell r="H2115" t="str">
            <v>GENERAL AND ADMINISTRATION EXPENSES</v>
          </cell>
          <cell r="I2115" t="str">
            <v>BUSINESS PROMOTION</v>
          </cell>
        </row>
        <row r="2116">
          <cell r="A2116" t="str">
            <v>X511001-007</v>
          </cell>
          <cell r="B2116" t="str">
            <v>Bus. Promotion- Subscrip To Club</v>
          </cell>
          <cell r="C2116" t="str">
            <v>EXPENSES</v>
          </cell>
          <cell r="D2116" t="str">
            <v>INCOME STATEMENT</v>
          </cell>
          <cell r="E2116">
            <v>0</v>
          </cell>
          <cell r="F2116">
            <v>0</v>
          </cell>
          <cell r="G2116" t="str">
            <v>EXPENDITURE</v>
          </cell>
          <cell r="H2116" t="str">
            <v>GENERAL AND ADMINISTRATION EXPENSES</v>
          </cell>
          <cell r="I2116" t="str">
            <v>BUSINESS PROMOTION</v>
          </cell>
        </row>
        <row r="2117">
          <cell r="A2117" t="str">
            <v>X511001-008</v>
          </cell>
          <cell r="B2117" t="str">
            <v>Bus. Promotion- Subscrip To Club-Emp</v>
          </cell>
          <cell r="C2117" t="str">
            <v>EXPENSES</v>
          </cell>
          <cell r="D2117" t="str">
            <v>INCOME STATEMENT</v>
          </cell>
          <cell r="E2117">
            <v>0</v>
          </cell>
          <cell r="F2117">
            <v>0</v>
          </cell>
          <cell r="G2117" t="str">
            <v>EXPENDITURE</v>
          </cell>
          <cell r="H2117" t="str">
            <v>GENERAL AND ADMINISTRATION EXPENSES</v>
          </cell>
          <cell r="I2117" t="str">
            <v>BUSINESS PROMOTION</v>
          </cell>
        </row>
        <row r="2118">
          <cell r="A2118" t="str">
            <v>X511001-009</v>
          </cell>
          <cell r="B2118" t="str">
            <v>Bus. Promotion- Subscrip To Club-Dir</v>
          </cell>
          <cell r="C2118" t="str">
            <v>EXPENSES</v>
          </cell>
          <cell r="D2118" t="str">
            <v>INCOME STATEMENT</v>
          </cell>
          <cell r="E2118">
            <v>0</v>
          </cell>
          <cell r="F2118">
            <v>0</v>
          </cell>
          <cell r="G2118" t="str">
            <v>EXPENDITURE</v>
          </cell>
          <cell r="H2118" t="str">
            <v>GENERAL AND ADMINISTRATION EXPENSES</v>
          </cell>
          <cell r="I2118" t="str">
            <v>BUSINESS PROMOTION</v>
          </cell>
        </row>
        <row r="2119">
          <cell r="A2119" t="str">
            <v>X511001-010</v>
          </cell>
          <cell r="B2119" t="str">
            <v>Bus. Promotion- Subs.For Cr Crd- Emp</v>
          </cell>
          <cell r="C2119" t="str">
            <v>EXPENSES</v>
          </cell>
          <cell r="D2119" t="str">
            <v>INCOME STATEMENT</v>
          </cell>
          <cell r="E2119">
            <v>0</v>
          </cell>
          <cell r="F2119">
            <v>0</v>
          </cell>
          <cell r="G2119" t="str">
            <v>EXPENDITURE</v>
          </cell>
          <cell r="H2119" t="str">
            <v>GENERAL AND ADMINISTRATION EXPENSES</v>
          </cell>
          <cell r="I2119" t="str">
            <v>BUSINESS PROMOTION</v>
          </cell>
        </row>
        <row r="2120">
          <cell r="A2120" t="str">
            <v>X511001-011</v>
          </cell>
          <cell r="B2120" t="str">
            <v>Bus. Promotion- Subs.For Cr Crd- Dir</v>
          </cell>
          <cell r="C2120" t="str">
            <v>EXPENSES</v>
          </cell>
          <cell r="D2120" t="str">
            <v>INCOME STATEMENT</v>
          </cell>
          <cell r="E2120">
            <v>0</v>
          </cell>
          <cell r="F2120">
            <v>0</v>
          </cell>
          <cell r="G2120" t="str">
            <v>EXPENDITURE</v>
          </cell>
          <cell r="H2120" t="str">
            <v>GENERAL AND ADMINISTRATION EXPENSES</v>
          </cell>
          <cell r="I2120" t="str">
            <v>BUSINESS PROMOTION</v>
          </cell>
        </row>
        <row r="2121">
          <cell r="A2121" t="str">
            <v>X511001-012</v>
          </cell>
          <cell r="B2121" t="str">
            <v>Bus. Promotion- Events</v>
          </cell>
          <cell r="C2121" t="str">
            <v>EXPENSES</v>
          </cell>
          <cell r="D2121" t="str">
            <v>INCOME STATEMENT</v>
          </cell>
          <cell r="E2121">
            <v>0</v>
          </cell>
          <cell r="F2121">
            <v>0</v>
          </cell>
          <cell r="G2121" t="str">
            <v>EXPENDITURE</v>
          </cell>
          <cell r="H2121" t="str">
            <v>GENERAL AND ADMINISTRATION EXPENSES</v>
          </cell>
          <cell r="I2121" t="str">
            <v>BUSINESS PROMOTION</v>
          </cell>
        </row>
        <row r="2122">
          <cell r="A2122" t="str">
            <v>X511001-013</v>
          </cell>
          <cell r="B2122" t="str">
            <v>Bus. Promotion- Maint. Of Signage</v>
          </cell>
          <cell r="C2122" t="str">
            <v>EXPENSES</v>
          </cell>
          <cell r="D2122" t="str">
            <v>INCOME STATEMENT</v>
          </cell>
          <cell r="E2122">
            <v>0</v>
          </cell>
          <cell r="F2122">
            <v>0</v>
          </cell>
          <cell r="G2122" t="str">
            <v>EXPENDITURE</v>
          </cell>
          <cell r="H2122" t="str">
            <v>GENERAL AND ADMINISTRATION EXPENSES</v>
          </cell>
          <cell r="I2122" t="str">
            <v>BUSINESS PROMOTION</v>
          </cell>
        </row>
        <row r="2123">
          <cell r="A2123" t="str">
            <v>X511001-014</v>
          </cell>
          <cell r="B2123" t="str">
            <v>H R S (Hospitality Request Slip)</v>
          </cell>
          <cell r="C2123" t="str">
            <v>EXPENSES</v>
          </cell>
          <cell r="D2123" t="str">
            <v>INCOME STATEMENT</v>
          </cell>
          <cell r="E2123">
            <v>0</v>
          </cell>
          <cell r="F2123">
            <v>0</v>
          </cell>
          <cell r="G2123" t="str">
            <v>EXPENDITURE</v>
          </cell>
          <cell r="H2123" t="str">
            <v>GENERAL AND ADMINISTRATION EXPENSES</v>
          </cell>
          <cell r="I2123" t="str">
            <v>BUSINESS PROMOTION</v>
          </cell>
        </row>
        <row r="2124">
          <cell r="A2124" t="str">
            <v>X511001-015</v>
          </cell>
          <cell r="B2124" t="str">
            <v>T B C (Ticket Born By the Company)</v>
          </cell>
          <cell r="C2124" t="str">
            <v>EXPENSES</v>
          </cell>
          <cell r="D2124" t="str">
            <v>INCOME STATEMENT</v>
          </cell>
          <cell r="E2124">
            <v>0</v>
          </cell>
          <cell r="F2124">
            <v>0</v>
          </cell>
          <cell r="G2124" t="str">
            <v>EXPENDITURE</v>
          </cell>
          <cell r="H2124" t="str">
            <v>GENERAL AND ADMINISTRATION EXPENSES</v>
          </cell>
          <cell r="I2124" t="str">
            <v>BUSINESS PROMOTION</v>
          </cell>
        </row>
        <row r="2125">
          <cell r="A2125" t="str">
            <v>X512001</v>
          </cell>
          <cell r="B2125" t="str">
            <v>Communication Exp. Post &amp; Tele</v>
          </cell>
          <cell r="C2125" t="str">
            <v>EXPENSES</v>
          </cell>
          <cell r="D2125" t="str">
            <v>INCOME STATEMENT</v>
          </cell>
          <cell r="E2125">
            <v>0</v>
          </cell>
          <cell r="F2125">
            <v>0</v>
          </cell>
          <cell r="G2125" t="str">
            <v>EXPENDITURE</v>
          </cell>
          <cell r="H2125" t="str">
            <v>GENERAL AND ADMINISTRATION EXPENSES</v>
          </cell>
          <cell r="I2125" t="str">
            <v>COMMUNICATION EXPENSES</v>
          </cell>
        </row>
        <row r="2126">
          <cell r="A2126" t="str">
            <v>X512002</v>
          </cell>
          <cell r="B2126" t="str">
            <v>Communication Exp. Courier</v>
          </cell>
          <cell r="C2126" t="str">
            <v>EXPENSES</v>
          </cell>
          <cell r="D2126" t="str">
            <v>INCOME STATEMENT</v>
          </cell>
          <cell r="E2126">
            <v>0</v>
          </cell>
          <cell r="F2126">
            <v>0</v>
          </cell>
          <cell r="G2126" t="str">
            <v>EXPENDITURE</v>
          </cell>
          <cell r="H2126" t="str">
            <v>GENERAL AND ADMINISTRATION EXPENSES</v>
          </cell>
          <cell r="I2126" t="str">
            <v>COMMUNICATION EXPENSES</v>
          </cell>
        </row>
        <row r="2127">
          <cell r="A2127" t="str">
            <v>X512003</v>
          </cell>
          <cell r="B2127" t="str">
            <v>Communication Exp.Telep</v>
          </cell>
          <cell r="C2127" t="str">
            <v>EXPENSES</v>
          </cell>
          <cell r="D2127" t="str">
            <v>INCOME STATEMENT</v>
          </cell>
          <cell r="E2127">
            <v>0</v>
          </cell>
          <cell r="F2127">
            <v>0</v>
          </cell>
          <cell r="G2127" t="str">
            <v>EXPENDITURE</v>
          </cell>
          <cell r="H2127" t="str">
            <v>GENERAL AND ADMINISTRATION EXPENSES</v>
          </cell>
          <cell r="I2127" t="str">
            <v>COMMUNICATION EXPENSES</v>
          </cell>
        </row>
        <row r="2128">
          <cell r="A2128" t="str">
            <v>X512004</v>
          </cell>
          <cell r="B2128" t="str">
            <v>Communication Exp.Telep- Internet</v>
          </cell>
          <cell r="C2128" t="str">
            <v>EXPENSES</v>
          </cell>
          <cell r="D2128" t="str">
            <v>INCOME STATEMENT</v>
          </cell>
          <cell r="E2128">
            <v>0</v>
          </cell>
          <cell r="F2128">
            <v>0</v>
          </cell>
          <cell r="G2128" t="str">
            <v>EXPENDITURE</v>
          </cell>
          <cell r="H2128" t="str">
            <v>GENERAL AND ADMINISTRATION EXPENSES</v>
          </cell>
          <cell r="I2128" t="str">
            <v>COMMUNICATION EXPENSES</v>
          </cell>
        </row>
        <row r="2129">
          <cell r="A2129" t="str">
            <v>X512005</v>
          </cell>
          <cell r="B2129" t="str">
            <v>Communication Exp.Telep- Internet- Dir</v>
          </cell>
          <cell r="C2129" t="str">
            <v>EXPENSES</v>
          </cell>
          <cell r="D2129" t="str">
            <v>INCOME STATEMENT</v>
          </cell>
          <cell r="E2129">
            <v>0</v>
          </cell>
          <cell r="F2129">
            <v>0</v>
          </cell>
          <cell r="G2129" t="str">
            <v>EXPENDITURE</v>
          </cell>
          <cell r="H2129" t="str">
            <v>GENERAL AND ADMINISTRATION EXPENSES</v>
          </cell>
          <cell r="I2129" t="str">
            <v>COMMUNICATION EXPENSES</v>
          </cell>
        </row>
        <row r="2130">
          <cell r="A2130" t="str">
            <v>X512006</v>
          </cell>
          <cell r="B2130" t="str">
            <v>Communication Exp.-Emp.Mobile &amp;Telephone</v>
          </cell>
          <cell r="C2130" t="str">
            <v>EXPENSES</v>
          </cell>
          <cell r="D2130" t="str">
            <v>INCOME STATEMENT</v>
          </cell>
          <cell r="E2130">
            <v>0</v>
          </cell>
          <cell r="F2130">
            <v>0</v>
          </cell>
          <cell r="G2130" t="str">
            <v>EXPENDITURE</v>
          </cell>
          <cell r="H2130" t="str">
            <v>GENERAL AND ADMINISTRATION EXPENSES</v>
          </cell>
          <cell r="I2130" t="str">
            <v>COMMUNICATION EXPENSES</v>
          </cell>
        </row>
        <row r="2131">
          <cell r="A2131" t="str">
            <v>X513001-001</v>
          </cell>
          <cell r="B2131" t="str">
            <v>Payment to statutory auditors-Audit fees</v>
          </cell>
          <cell r="C2131" t="str">
            <v>EXPENSES</v>
          </cell>
          <cell r="D2131" t="str">
            <v>INCOME STATEMENT</v>
          </cell>
          <cell r="E2131">
            <v>0</v>
          </cell>
          <cell r="F2131">
            <v>0</v>
          </cell>
          <cell r="G2131" t="str">
            <v>EXPENDITURE</v>
          </cell>
          <cell r="H2131" t="str">
            <v>OTHER EXPENSES</v>
          </cell>
          <cell r="I2131" t="str">
            <v>PAYMENT TO AUDITORS</v>
          </cell>
        </row>
        <row r="2132">
          <cell r="A2132" t="str">
            <v>X513001-002</v>
          </cell>
          <cell r="B2132" t="str">
            <v>Payment To Auditors- Certification Fee</v>
          </cell>
          <cell r="C2132" t="str">
            <v>EXPENSES</v>
          </cell>
          <cell r="D2132" t="str">
            <v>INCOME STATEMENT</v>
          </cell>
          <cell r="E2132">
            <v>0</v>
          </cell>
          <cell r="F2132">
            <v>0</v>
          </cell>
          <cell r="G2132" t="str">
            <v>EXPENDITURE</v>
          </cell>
          <cell r="H2132" t="str">
            <v>OTHER EXPENSES</v>
          </cell>
          <cell r="I2132" t="str">
            <v>PAYMENT TO AUDITORS</v>
          </cell>
        </row>
        <row r="2133">
          <cell r="A2133" t="str">
            <v>X513001-003</v>
          </cell>
          <cell r="B2133" t="str">
            <v>Payment to auditors- Tax Audit</v>
          </cell>
          <cell r="C2133" t="str">
            <v>EXPENSES</v>
          </cell>
          <cell r="D2133" t="str">
            <v>INCOME STATEMENT</v>
          </cell>
          <cell r="E2133">
            <v>0</v>
          </cell>
          <cell r="F2133">
            <v>0</v>
          </cell>
          <cell r="G2133" t="str">
            <v>EXPENDITURE</v>
          </cell>
          <cell r="H2133" t="str">
            <v>OTHER EXPENSES</v>
          </cell>
          <cell r="I2133" t="str">
            <v>PAYMENT TO AUDITORS</v>
          </cell>
        </row>
        <row r="2134">
          <cell r="A2134" t="str">
            <v>X513001-004</v>
          </cell>
          <cell r="B2134" t="str">
            <v>Payment to auditors- Internal Audit Fees</v>
          </cell>
          <cell r="C2134" t="str">
            <v>EXPENSES</v>
          </cell>
          <cell r="D2134" t="str">
            <v>INCOME STATEMENT</v>
          </cell>
          <cell r="E2134">
            <v>0</v>
          </cell>
          <cell r="F2134">
            <v>0</v>
          </cell>
          <cell r="G2134" t="str">
            <v>EXPENDITURE</v>
          </cell>
          <cell r="H2134" t="str">
            <v>OTHER EXPENSES</v>
          </cell>
          <cell r="I2134" t="str">
            <v>PAYMENT TO AUDITORS</v>
          </cell>
        </row>
        <row r="2135">
          <cell r="A2135" t="str">
            <v>X513001-005</v>
          </cell>
          <cell r="B2135" t="str">
            <v>Payment To Auditors- Others</v>
          </cell>
          <cell r="C2135" t="str">
            <v>EXPENSES</v>
          </cell>
          <cell r="D2135" t="str">
            <v>INCOME STATEMENT</v>
          </cell>
          <cell r="E2135">
            <v>0</v>
          </cell>
          <cell r="F2135">
            <v>0</v>
          </cell>
          <cell r="G2135" t="str">
            <v>EXPENDITURE</v>
          </cell>
          <cell r="H2135" t="str">
            <v>OTHER EXPENSES</v>
          </cell>
          <cell r="I2135" t="str">
            <v>PAYMENT TO AUDITORS</v>
          </cell>
        </row>
        <row r="2136">
          <cell r="A2136" t="str">
            <v>X514001-001</v>
          </cell>
          <cell r="B2136" t="str">
            <v>Legal and professional</v>
          </cell>
          <cell r="C2136" t="str">
            <v>EXPENSES</v>
          </cell>
          <cell r="D2136" t="str">
            <v>INCOME STATEMENT</v>
          </cell>
          <cell r="E2136">
            <v>0</v>
          </cell>
          <cell r="F2136">
            <v>0</v>
          </cell>
          <cell r="G2136" t="str">
            <v>EXPENDITURE</v>
          </cell>
          <cell r="H2136" t="str">
            <v>OTHER EXPENSES</v>
          </cell>
          <cell r="I2136" t="str">
            <v>LEGAL AND PROFESSIONAL</v>
          </cell>
        </row>
        <row r="2137">
          <cell r="A2137" t="str">
            <v>X514001-002</v>
          </cell>
          <cell r="B2137" t="str">
            <v>Legal And Professional- Archi/Consl Chrg</v>
          </cell>
          <cell r="C2137" t="str">
            <v>EXPENSES</v>
          </cell>
          <cell r="D2137" t="str">
            <v>INCOME STATEMENT</v>
          </cell>
          <cell r="E2137">
            <v>0</v>
          </cell>
          <cell r="F2137">
            <v>0</v>
          </cell>
          <cell r="G2137" t="str">
            <v>EXPENDITURE</v>
          </cell>
          <cell r="H2137" t="str">
            <v>OTHER EXPENSES</v>
          </cell>
          <cell r="I2137" t="str">
            <v>LEGAL AND PROFESSIONAL</v>
          </cell>
        </row>
        <row r="2138">
          <cell r="A2138" t="str">
            <v>X514001-003</v>
          </cell>
          <cell r="B2138" t="str">
            <v>Legal And Professional- Internal Audit</v>
          </cell>
          <cell r="C2138" t="str">
            <v>EXPENSES</v>
          </cell>
          <cell r="D2138" t="str">
            <v>INCOME STATEMENT</v>
          </cell>
          <cell r="E2138">
            <v>0</v>
          </cell>
          <cell r="F2138">
            <v>0</v>
          </cell>
          <cell r="G2138" t="str">
            <v>EXPENDITURE</v>
          </cell>
          <cell r="H2138" t="str">
            <v>OTHER EXPENSES</v>
          </cell>
          <cell r="I2138" t="str">
            <v>LEGAL AND PROFESSIONAL</v>
          </cell>
        </row>
        <row r="2139">
          <cell r="A2139" t="str">
            <v>X514001-004</v>
          </cell>
          <cell r="B2139" t="str">
            <v>Legal And Professional- Retainer Expns</v>
          </cell>
          <cell r="C2139" t="str">
            <v>EXPENSES</v>
          </cell>
          <cell r="D2139" t="str">
            <v>INCOME STATEMENT</v>
          </cell>
          <cell r="E2139">
            <v>0</v>
          </cell>
          <cell r="F2139">
            <v>0</v>
          </cell>
          <cell r="G2139" t="str">
            <v>EXPENDITURE</v>
          </cell>
          <cell r="H2139" t="str">
            <v>OTHER EXPENSES</v>
          </cell>
          <cell r="I2139" t="str">
            <v>LEGAL AND PROFESSIONAL</v>
          </cell>
        </row>
        <row r="2140">
          <cell r="A2140" t="str">
            <v>X514001-005</v>
          </cell>
          <cell r="B2140" t="str">
            <v>Legal And Professional- Reimbursement</v>
          </cell>
          <cell r="C2140" t="str">
            <v>EXPENSES</v>
          </cell>
          <cell r="D2140" t="str">
            <v>INCOME STATEMENT</v>
          </cell>
          <cell r="E2140">
            <v>0</v>
          </cell>
          <cell r="F2140">
            <v>0</v>
          </cell>
          <cell r="G2140" t="str">
            <v>EXPENDITURE</v>
          </cell>
          <cell r="H2140" t="str">
            <v>OTHER EXPENSES</v>
          </cell>
          <cell r="I2140" t="str">
            <v>LEGAL AND PROFESSIONAL</v>
          </cell>
        </row>
        <row r="2141">
          <cell r="A2141" t="str">
            <v>X514001-006</v>
          </cell>
          <cell r="B2141" t="str">
            <v>Legal And Professional- Lawyers Chgs</v>
          </cell>
          <cell r="C2141" t="str">
            <v>EXPENSES</v>
          </cell>
          <cell r="D2141" t="str">
            <v>INCOME STATEMENT</v>
          </cell>
          <cell r="E2141">
            <v>0</v>
          </cell>
          <cell r="F2141">
            <v>0</v>
          </cell>
          <cell r="G2141" t="str">
            <v>EXPENDITURE</v>
          </cell>
          <cell r="H2141" t="str">
            <v>OTHER EXPENSES</v>
          </cell>
          <cell r="I2141" t="str">
            <v>LEGAL AND PROFESSIONAL</v>
          </cell>
        </row>
        <row r="2142">
          <cell r="A2142" t="str">
            <v>X514001-007</v>
          </cell>
          <cell r="B2142" t="str">
            <v>Legal And Professional- Certification Et</v>
          </cell>
          <cell r="C2142" t="str">
            <v>EXPENSES</v>
          </cell>
          <cell r="D2142" t="str">
            <v>INCOME STATEMENT</v>
          </cell>
          <cell r="E2142">
            <v>0</v>
          </cell>
          <cell r="F2142">
            <v>0</v>
          </cell>
          <cell r="G2142" t="str">
            <v>EXPENDITURE</v>
          </cell>
          <cell r="H2142" t="str">
            <v>OTHER EXPENSES</v>
          </cell>
          <cell r="I2142" t="str">
            <v>LEGAL AND PROFESSIONAL</v>
          </cell>
        </row>
        <row r="2143">
          <cell r="A2143" t="str">
            <v>X514001-008</v>
          </cell>
          <cell r="B2143" t="str">
            <v>Legal And Professional- Technical Knwhow</v>
          </cell>
          <cell r="C2143" t="str">
            <v>EXPENSES</v>
          </cell>
          <cell r="D2143" t="str">
            <v>INCOME STATEMENT</v>
          </cell>
          <cell r="E2143">
            <v>0</v>
          </cell>
          <cell r="F2143">
            <v>0</v>
          </cell>
          <cell r="G2143" t="str">
            <v>EXPENDITURE</v>
          </cell>
          <cell r="H2143" t="str">
            <v>OTHER EXPENSES</v>
          </cell>
          <cell r="I2143" t="str">
            <v>LEGAL AND PROFESSIONAL</v>
          </cell>
        </row>
        <row r="2144">
          <cell r="A2144" t="str">
            <v>X514001-009</v>
          </cell>
          <cell r="B2144" t="str">
            <v>Legal And Professional- Co. Law Matter</v>
          </cell>
          <cell r="C2144" t="str">
            <v>EXPENSES</v>
          </cell>
          <cell r="D2144" t="str">
            <v>INCOME STATEMENT</v>
          </cell>
          <cell r="E2144">
            <v>0</v>
          </cell>
          <cell r="F2144">
            <v>0</v>
          </cell>
          <cell r="G2144" t="str">
            <v>EXPENDITURE</v>
          </cell>
          <cell r="H2144" t="str">
            <v>OTHER EXPENSES</v>
          </cell>
          <cell r="I2144" t="str">
            <v>LEGAL AND PROFESSIONAL</v>
          </cell>
        </row>
        <row r="2145">
          <cell r="A2145" t="str">
            <v>X514001-010</v>
          </cell>
          <cell r="B2145" t="str">
            <v>Legal And Professional- Management Servi</v>
          </cell>
          <cell r="C2145" t="str">
            <v>EXPENSES</v>
          </cell>
          <cell r="D2145" t="str">
            <v>INCOME STATEMENT</v>
          </cell>
          <cell r="E2145">
            <v>0</v>
          </cell>
          <cell r="F2145">
            <v>0</v>
          </cell>
          <cell r="G2145" t="str">
            <v>EXPENDITURE</v>
          </cell>
          <cell r="H2145" t="str">
            <v>OTHER EXPENSES</v>
          </cell>
          <cell r="I2145" t="str">
            <v>LEGAL AND PROFESSIONAL</v>
          </cell>
        </row>
        <row r="2146">
          <cell r="A2146" t="str">
            <v>X514001-011</v>
          </cell>
          <cell r="B2146" t="str">
            <v>Legal And Professional- Engg. Services</v>
          </cell>
          <cell r="C2146" t="str">
            <v>EXPENSES</v>
          </cell>
          <cell r="D2146" t="str">
            <v>INCOME STATEMENT</v>
          </cell>
          <cell r="E2146">
            <v>0</v>
          </cell>
          <cell r="F2146">
            <v>0</v>
          </cell>
          <cell r="G2146" t="str">
            <v>EXPENDITURE</v>
          </cell>
          <cell r="H2146" t="str">
            <v>OTHER EXPENSES</v>
          </cell>
          <cell r="I2146" t="str">
            <v>LEGAL AND PROFESSIONAL</v>
          </cell>
        </row>
        <row r="2147">
          <cell r="A2147" t="str">
            <v>X514001-012</v>
          </cell>
          <cell r="B2147" t="str">
            <v>Legal And Professional- Others</v>
          </cell>
          <cell r="C2147" t="str">
            <v>EXPENSES</v>
          </cell>
          <cell r="D2147" t="str">
            <v>INCOME STATEMENT</v>
          </cell>
          <cell r="E2147">
            <v>0</v>
          </cell>
          <cell r="F2147">
            <v>0</v>
          </cell>
          <cell r="G2147" t="str">
            <v>EXPENDITURE</v>
          </cell>
          <cell r="H2147" t="str">
            <v>OTHER EXPENSES</v>
          </cell>
          <cell r="I2147" t="str">
            <v>LEGAL AND PROFESSIONAL</v>
          </cell>
        </row>
        <row r="2148">
          <cell r="A2148" t="str">
            <v>X515001</v>
          </cell>
          <cell r="B2148" t="str">
            <v>Donation and Charity</v>
          </cell>
          <cell r="C2148" t="str">
            <v>EXPENSES</v>
          </cell>
          <cell r="D2148" t="str">
            <v>INCOME STATEMENT</v>
          </cell>
          <cell r="E2148">
            <v>0</v>
          </cell>
          <cell r="F2148">
            <v>0</v>
          </cell>
          <cell r="G2148" t="str">
            <v>EXPENDITURE</v>
          </cell>
          <cell r="H2148" t="str">
            <v>OTHER EXPENSES</v>
          </cell>
          <cell r="I2148" t="str">
            <v>DONATION</v>
          </cell>
        </row>
        <row r="2149">
          <cell r="A2149" t="str">
            <v>X516001</v>
          </cell>
          <cell r="B2149" t="str">
            <v>Claims paid</v>
          </cell>
          <cell r="C2149" t="str">
            <v>EXPENSES</v>
          </cell>
          <cell r="D2149" t="str">
            <v>INCOME STATEMENT</v>
          </cell>
          <cell r="E2149">
            <v>0</v>
          </cell>
          <cell r="F2149">
            <v>0</v>
          </cell>
          <cell r="G2149" t="str">
            <v>EXPENDITURE</v>
          </cell>
          <cell r="H2149" t="str">
            <v>OTHER EXPENSES</v>
          </cell>
          <cell r="I2149" t="str">
            <v>CLAIMS</v>
          </cell>
        </row>
        <row r="2150">
          <cell r="A2150" t="str">
            <v>X517001</v>
          </cell>
          <cell r="B2150" t="str">
            <v>Compensation Paid A/C</v>
          </cell>
          <cell r="C2150" t="str">
            <v>EXPENSES</v>
          </cell>
          <cell r="D2150" t="str">
            <v>INCOME STATEMENT</v>
          </cell>
          <cell r="E2150">
            <v>0</v>
          </cell>
          <cell r="F2150">
            <v>0</v>
          </cell>
          <cell r="G2150" t="str">
            <v>EXPENDITURE</v>
          </cell>
          <cell r="H2150" t="str">
            <v>OTHER EXPENSES</v>
          </cell>
          <cell r="I2150" t="str">
            <v>COMPENSATION</v>
          </cell>
        </row>
        <row r="2151">
          <cell r="A2151" t="str">
            <v>X518001-001</v>
          </cell>
          <cell r="B2151" t="str">
            <v>Expenses London Off</v>
          </cell>
          <cell r="C2151" t="str">
            <v>EXPENSES</v>
          </cell>
          <cell r="D2151" t="str">
            <v>INCOME STATEMENT</v>
          </cell>
          <cell r="E2151">
            <v>0</v>
          </cell>
          <cell r="F2151">
            <v>0</v>
          </cell>
          <cell r="G2151" t="str">
            <v>EXPENDITURE</v>
          </cell>
          <cell r="H2151" t="str">
            <v>OTHER EXPENSES</v>
          </cell>
          <cell r="I2151" t="str">
            <v>EXPENSES AT FOREIGN LIASON OFFICE</v>
          </cell>
        </row>
        <row r="2152">
          <cell r="A2152" t="str">
            <v>X518001-002</v>
          </cell>
          <cell r="B2152" t="str">
            <v>Expenses London Off- Electricity</v>
          </cell>
          <cell r="C2152" t="str">
            <v>EXPENSES</v>
          </cell>
          <cell r="D2152" t="str">
            <v>INCOME STATEMENT</v>
          </cell>
          <cell r="E2152">
            <v>0</v>
          </cell>
          <cell r="F2152">
            <v>0</v>
          </cell>
          <cell r="G2152" t="str">
            <v>EXPENDITURE</v>
          </cell>
          <cell r="H2152" t="str">
            <v>OTHER EXPENSES</v>
          </cell>
          <cell r="I2152" t="str">
            <v>EXPENSES AT FOREIGN LIASON OFFICE</v>
          </cell>
        </row>
        <row r="2153">
          <cell r="A2153" t="str">
            <v>X518001-003</v>
          </cell>
          <cell r="B2153" t="str">
            <v>Expenses London Off- Telephone</v>
          </cell>
          <cell r="C2153" t="str">
            <v>EXPENSES</v>
          </cell>
          <cell r="D2153" t="str">
            <v>INCOME STATEMENT</v>
          </cell>
          <cell r="E2153">
            <v>0</v>
          </cell>
          <cell r="F2153">
            <v>0</v>
          </cell>
          <cell r="G2153" t="str">
            <v>EXPENDITURE</v>
          </cell>
          <cell r="H2153" t="str">
            <v>OTHER EXPENSES</v>
          </cell>
          <cell r="I2153" t="str">
            <v>EXPENSES AT FOREIGN LIASON OFFICE</v>
          </cell>
        </row>
        <row r="2154">
          <cell r="A2154" t="str">
            <v>X518001-004</v>
          </cell>
          <cell r="B2154" t="str">
            <v>Expenses London Off- Bank Charges</v>
          </cell>
          <cell r="C2154" t="str">
            <v>EXPENSES</v>
          </cell>
          <cell r="D2154" t="str">
            <v>INCOME STATEMENT</v>
          </cell>
          <cell r="E2154">
            <v>0</v>
          </cell>
          <cell r="F2154">
            <v>0</v>
          </cell>
          <cell r="G2154" t="str">
            <v>EXPENDITURE</v>
          </cell>
          <cell r="H2154" t="str">
            <v>OTHER EXPENSES</v>
          </cell>
          <cell r="I2154" t="str">
            <v>EXPENSES AT FOREIGN LIASON OFFICE</v>
          </cell>
        </row>
        <row r="2155">
          <cell r="A2155" t="str">
            <v>X518001-005</v>
          </cell>
          <cell r="B2155" t="str">
            <v>Expenses London Off- Vehicle Maint</v>
          </cell>
          <cell r="C2155" t="str">
            <v>EXPENSES</v>
          </cell>
          <cell r="D2155" t="str">
            <v>INCOME STATEMENT</v>
          </cell>
          <cell r="E2155">
            <v>0</v>
          </cell>
          <cell r="F2155">
            <v>0</v>
          </cell>
          <cell r="G2155" t="str">
            <v>EXPENDITURE</v>
          </cell>
          <cell r="H2155" t="str">
            <v>OTHER EXPENSES</v>
          </cell>
          <cell r="I2155" t="str">
            <v>EXPENSES AT FOREIGN LIASON OFFICE</v>
          </cell>
        </row>
        <row r="2156">
          <cell r="A2156" t="str">
            <v>X518001-006</v>
          </cell>
          <cell r="B2156" t="str">
            <v>Expenses London Off- Postage</v>
          </cell>
          <cell r="C2156" t="str">
            <v>EXPENSES</v>
          </cell>
          <cell r="D2156" t="str">
            <v>INCOME STATEMENT</v>
          </cell>
          <cell r="E2156">
            <v>0</v>
          </cell>
          <cell r="F2156">
            <v>0</v>
          </cell>
          <cell r="G2156" t="str">
            <v>EXPENDITURE</v>
          </cell>
          <cell r="H2156" t="str">
            <v>OTHER EXPENSES</v>
          </cell>
          <cell r="I2156" t="str">
            <v>EXPENSES AT FOREIGN LIASON OFFICE</v>
          </cell>
        </row>
        <row r="2157">
          <cell r="A2157" t="str">
            <v>X518001-007</v>
          </cell>
          <cell r="B2157" t="str">
            <v>Expenses London Off- Books And Periodica</v>
          </cell>
          <cell r="C2157" t="str">
            <v>EXPENSES</v>
          </cell>
          <cell r="D2157" t="str">
            <v>INCOME STATEMENT</v>
          </cell>
          <cell r="E2157">
            <v>0</v>
          </cell>
          <cell r="F2157">
            <v>0</v>
          </cell>
          <cell r="G2157" t="str">
            <v>EXPENDITURE</v>
          </cell>
          <cell r="H2157" t="str">
            <v>OTHER EXPENSES</v>
          </cell>
          <cell r="I2157" t="str">
            <v>EXPENSES AT FOREIGN LIASON OFFICE</v>
          </cell>
        </row>
        <row r="2158">
          <cell r="A2158" t="str">
            <v>X518001-008</v>
          </cell>
          <cell r="B2158" t="str">
            <v>Expenses London Off- Comp Repair &amp; Main</v>
          </cell>
          <cell r="C2158" t="str">
            <v>EXPENSES</v>
          </cell>
          <cell r="D2158" t="str">
            <v>INCOME STATEMENT</v>
          </cell>
          <cell r="E2158">
            <v>0</v>
          </cell>
          <cell r="F2158">
            <v>0</v>
          </cell>
          <cell r="G2158" t="str">
            <v>EXPENDITURE</v>
          </cell>
          <cell r="H2158" t="str">
            <v>OTHER EXPENSES</v>
          </cell>
          <cell r="I2158" t="str">
            <v>EXPENSES AT FOREIGN LIASON OFFICE</v>
          </cell>
        </row>
        <row r="2159">
          <cell r="A2159" t="str">
            <v>X518001-009</v>
          </cell>
          <cell r="B2159" t="str">
            <v>Expenses London Off- Vehicle Insurance</v>
          </cell>
          <cell r="C2159" t="str">
            <v>EXPENSES</v>
          </cell>
          <cell r="D2159" t="str">
            <v>INCOME STATEMENT</v>
          </cell>
          <cell r="E2159">
            <v>0</v>
          </cell>
          <cell r="F2159">
            <v>0</v>
          </cell>
          <cell r="G2159" t="str">
            <v>EXPENDITURE</v>
          </cell>
          <cell r="H2159" t="str">
            <v>OTHER EXPENSES</v>
          </cell>
          <cell r="I2159" t="str">
            <v>EXPENSES AT FOREIGN LIASON OFFICE</v>
          </cell>
        </row>
        <row r="2160">
          <cell r="A2160" t="str">
            <v>X518001-010</v>
          </cell>
          <cell r="B2160" t="str">
            <v>Expenses London Off- Others</v>
          </cell>
          <cell r="C2160" t="str">
            <v>EXPENSES</v>
          </cell>
          <cell r="D2160" t="str">
            <v>INCOME STATEMENT</v>
          </cell>
          <cell r="E2160">
            <v>0</v>
          </cell>
          <cell r="F2160">
            <v>0</v>
          </cell>
          <cell r="G2160" t="str">
            <v>EXPENDITURE</v>
          </cell>
          <cell r="H2160" t="str">
            <v>OTHER EXPENSES</v>
          </cell>
          <cell r="I2160" t="str">
            <v>EXPENSES AT FOREIGN LIASON OFFICE</v>
          </cell>
        </row>
        <row r="2161">
          <cell r="A2161" t="str">
            <v>X518001-011</v>
          </cell>
          <cell r="B2161" t="str">
            <v>Expenses London Off- Stationery</v>
          </cell>
          <cell r="C2161" t="str">
            <v>EXPENSES</v>
          </cell>
          <cell r="D2161" t="str">
            <v>INCOME STATEMENT</v>
          </cell>
          <cell r="E2161">
            <v>0</v>
          </cell>
          <cell r="F2161">
            <v>0</v>
          </cell>
          <cell r="G2161" t="str">
            <v>EXPENDITURE</v>
          </cell>
          <cell r="H2161" t="str">
            <v>OTHER EXPENSES</v>
          </cell>
          <cell r="I2161" t="str">
            <v>EXPENSES AT FOREIGN LIASON OFFICE</v>
          </cell>
        </row>
        <row r="2162">
          <cell r="A2162" t="str">
            <v>X518001-012</v>
          </cell>
          <cell r="B2162" t="str">
            <v>Expenses London Off- Property Tax</v>
          </cell>
          <cell r="C2162" t="str">
            <v>EXPENSES</v>
          </cell>
          <cell r="D2162" t="str">
            <v>INCOME STATEMENT</v>
          </cell>
          <cell r="E2162">
            <v>0</v>
          </cell>
          <cell r="F2162">
            <v>0</v>
          </cell>
          <cell r="G2162" t="str">
            <v>EXPENDITURE</v>
          </cell>
          <cell r="H2162" t="str">
            <v>OTHER EXPENSES</v>
          </cell>
          <cell r="I2162" t="str">
            <v>EXPENSES AT FOREIGN LIASON OFFICE</v>
          </cell>
        </row>
        <row r="2163">
          <cell r="A2163" t="str">
            <v>X518001-013</v>
          </cell>
          <cell r="B2163" t="str">
            <v>Expenses London Off- Business Promotion</v>
          </cell>
          <cell r="C2163" t="str">
            <v>EXPENSES</v>
          </cell>
          <cell r="D2163" t="str">
            <v>INCOME STATEMENT</v>
          </cell>
          <cell r="E2163">
            <v>0</v>
          </cell>
          <cell r="F2163">
            <v>0</v>
          </cell>
          <cell r="G2163" t="str">
            <v>EXPENDITURE</v>
          </cell>
          <cell r="H2163" t="str">
            <v>OTHER EXPENSES</v>
          </cell>
          <cell r="I2163" t="str">
            <v>EXPENSES AT FOREIGN LIASON OFFICE</v>
          </cell>
        </row>
        <row r="2164">
          <cell r="A2164" t="str">
            <v>X518001-014</v>
          </cell>
          <cell r="B2164" t="str">
            <v>Expenses London Off- Building Repair</v>
          </cell>
          <cell r="C2164" t="str">
            <v>EXPENSES</v>
          </cell>
          <cell r="D2164" t="str">
            <v>INCOME STATEMENT</v>
          </cell>
          <cell r="E2164">
            <v>0</v>
          </cell>
          <cell r="F2164">
            <v>0</v>
          </cell>
          <cell r="G2164" t="str">
            <v>EXPENDITURE</v>
          </cell>
          <cell r="H2164" t="str">
            <v>OTHER EXPENSES</v>
          </cell>
          <cell r="I2164" t="str">
            <v>EXPENSES AT FOREIGN LIASON OFFICE</v>
          </cell>
        </row>
        <row r="2165">
          <cell r="A2165" t="str">
            <v>X518001-015</v>
          </cell>
          <cell r="B2165" t="str">
            <v>Expenses London Off- Air Condition Repai</v>
          </cell>
          <cell r="C2165" t="str">
            <v>EXPENSES</v>
          </cell>
          <cell r="D2165" t="str">
            <v>INCOME STATEMENT</v>
          </cell>
          <cell r="E2165">
            <v>0</v>
          </cell>
          <cell r="F2165">
            <v>0</v>
          </cell>
          <cell r="G2165" t="str">
            <v>EXPENDITURE</v>
          </cell>
          <cell r="H2165" t="str">
            <v>OTHER EXPENSES</v>
          </cell>
          <cell r="I2165" t="str">
            <v>EXPENSES AT FOREIGN LIASON OFFICE</v>
          </cell>
        </row>
        <row r="2166">
          <cell r="A2166" t="str">
            <v>X518001-016</v>
          </cell>
          <cell r="B2166" t="str">
            <v>Expenses London Off- A M C</v>
          </cell>
          <cell r="C2166" t="str">
            <v>EXPENSES</v>
          </cell>
          <cell r="D2166" t="str">
            <v>INCOME STATEMENT</v>
          </cell>
          <cell r="E2166">
            <v>0</v>
          </cell>
          <cell r="F2166">
            <v>0</v>
          </cell>
          <cell r="G2166" t="str">
            <v>EXPENDITURE</v>
          </cell>
          <cell r="H2166" t="str">
            <v>OTHER EXPENSES</v>
          </cell>
          <cell r="I2166" t="str">
            <v>EXPENSES AT FOREIGN LIASON OFFICE</v>
          </cell>
        </row>
        <row r="2167">
          <cell r="A2167" t="str">
            <v>X518001-017</v>
          </cell>
          <cell r="B2167" t="str">
            <v>Expenses London Off- Building Insurance</v>
          </cell>
          <cell r="C2167" t="str">
            <v>EXPENSES</v>
          </cell>
          <cell r="D2167" t="str">
            <v>INCOME STATEMENT</v>
          </cell>
          <cell r="E2167">
            <v>0</v>
          </cell>
          <cell r="F2167">
            <v>0</v>
          </cell>
          <cell r="G2167" t="str">
            <v>EXPENDITURE</v>
          </cell>
          <cell r="H2167" t="str">
            <v>OTHER EXPENSES</v>
          </cell>
          <cell r="I2167" t="str">
            <v>EXPENSES AT FOREIGN LIASON OFFICE</v>
          </cell>
        </row>
        <row r="2168">
          <cell r="A2168" t="str">
            <v>X518001-018</v>
          </cell>
          <cell r="B2168" t="str">
            <v>Expenses London Off- Professional Fee</v>
          </cell>
          <cell r="C2168" t="str">
            <v>EXPENSES</v>
          </cell>
          <cell r="D2168" t="str">
            <v>INCOME STATEMENT</v>
          </cell>
          <cell r="E2168">
            <v>0</v>
          </cell>
          <cell r="F2168">
            <v>0</v>
          </cell>
          <cell r="G2168" t="str">
            <v>EXPENDITURE</v>
          </cell>
          <cell r="H2168" t="str">
            <v>OTHER EXPENSES</v>
          </cell>
          <cell r="I2168" t="str">
            <v>EXPENSES AT FOREIGN LIASON OFFICE</v>
          </cell>
        </row>
        <row r="2169">
          <cell r="A2169" t="str">
            <v>X519001-001</v>
          </cell>
          <cell r="B2169" t="str">
            <v>Recruitment &amp; Training</v>
          </cell>
          <cell r="C2169" t="str">
            <v>EXPENSES</v>
          </cell>
          <cell r="D2169" t="str">
            <v>INCOME STATEMENT</v>
          </cell>
          <cell r="E2169">
            <v>0</v>
          </cell>
          <cell r="F2169">
            <v>0</v>
          </cell>
          <cell r="G2169" t="str">
            <v>EXPENDITURE</v>
          </cell>
          <cell r="H2169" t="str">
            <v>OTHER EXPENSES</v>
          </cell>
          <cell r="I2169" t="str">
            <v>RECRUITMENT &amp; TRAINING</v>
          </cell>
        </row>
        <row r="2170">
          <cell r="A2170" t="str">
            <v>X519001-002</v>
          </cell>
          <cell r="B2170" t="str">
            <v>Recruitment &amp; Training- Recruitment Exp</v>
          </cell>
          <cell r="C2170" t="str">
            <v>EXPENSES</v>
          </cell>
          <cell r="D2170" t="str">
            <v>INCOME STATEMENT</v>
          </cell>
          <cell r="E2170">
            <v>0</v>
          </cell>
          <cell r="F2170">
            <v>0</v>
          </cell>
          <cell r="G2170" t="str">
            <v>EXPENDITURE</v>
          </cell>
          <cell r="H2170" t="str">
            <v>OTHER EXPENSES</v>
          </cell>
          <cell r="I2170" t="str">
            <v>RECRUITMENT &amp; TRAINING</v>
          </cell>
        </row>
        <row r="2171">
          <cell r="A2171" t="str">
            <v>X519001-003</v>
          </cell>
          <cell r="B2171" t="str">
            <v>Recruitment &amp; Training- Training  Exp</v>
          </cell>
          <cell r="C2171" t="str">
            <v>EXPENSES</v>
          </cell>
          <cell r="D2171" t="str">
            <v>INCOME STATEMENT</v>
          </cell>
          <cell r="E2171">
            <v>0</v>
          </cell>
          <cell r="F2171">
            <v>0</v>
          </cell>
          <cell r="G2171" t="str">
            <v>EXPENDITURE</v>
          </cell>
          <cell r="H2171" t="str">
            <v>OTHER EXPENSES</v>
          </cell>
          <cell r="I2171" t="str">
            <v>RECRUITMENT &amp; TRAINING</v>
          </cell>
        </row>
        <row r="2172">
          <cell r="A2172" t="str">
            <v>X519001-004</v>
          </cell>
          <cell r="B2172" t="str">
            <v>Recruitment &amp; Training- Hospitality Exp</v>
          </cell>
          <cell r="C2172" t="str">
            <v>EXPENSES</v>
          </cell>
          <cell r="D2172" t="str">
            <v>INCOME STATEMENT</v>
          </cell>
          <cell r="E2172">
            <v>0</v>
          </cell>
          <cell r="F2172">
            <v>0</v>
          </cell>
          <cell r="G2172" t="str">
            <v>EXPENDITURE</v>
          </cell>
          <cell r="H2172" t="str">
            <v>OTHER EXPENSES</v>
          </cell>
          <cell r="I2172" t="str">
            <v>RECRUITMENT &amp; TRAINING</v>
          </cell>
        </row>
        <row r="2173">
          <cell r="A2173" t="str">
            <v>X519001-005</v>
          </cell>
          <cell r="B2173" t="str">
            <v>Recruitment &amp; Training- Participation Fe</v>
          </cell>
          <cell r="C2173" t="str">
            <v>EXPENSES</v>
          </cell>
          <cell r="D2173" t="str">
            <v>INCOME STATEMENT</v>
          </cell>
          <cell r="E2173">
            <v>0</v>
          </cell>
          <cell r="F2173">
            <v>0</v>
          </cell>
          <cell r="G2173" t="str">
            <v>EXPENDITURE</v>
          </cell>
          <cell r="H2173" t="str">
            <v>OTHER EXPENSES</v>
          </cell>
          <cell r="I2173" t="str">
            <v>RECRUITMENT &amp; TRAINING</v>
          </cell>
        </row>
        <row r="2174">
          <cell r="A2174" t="str">
            <v>X519101</v>
          </cell>
          <cell r="B2174" t="str">
            <v>Meetings &amp; Seminars</v>
          </cell>
          <cell r="C2174" t="str">
            <v>EXPENSES</v>
          </cell>
          <cell r="D2174" t="str">
            <v>INCOME STATEMENT</v>
          </cell>
          <cell r="E2174">
            <v>0</v>
          </cell>
          <cell r="F2174">
            <v>0</v>
          </cell>
          <cell r="G2174" t="str">
            <v>EXPENDITURE</v>
          </cell>
          <cell r="H2174" t="str">
            <v>OTHER EXPENSES</v>
          </cell>
          <cell r="I2174" t="str">
            <v>RECRUITMENT &amp; TRAINING</v>
          </cell>
        </row>
        <row r="2175">
          <cell r="A2175" t="str">
            <v>X520001</v>
          </cell>
          <cell r="B2175" t="str">
            <v>Prior period expenses</v>
          </cell>
          <cell r="C2175" t="str">
            <v>EXPENSES</v>
          </cell>
          <cell r="D2175" t="str">
            <v>INCOME STATEMENT</v>
          </cell>
          <cell r="E2175">
            <v>0</v>
          </cell>
          <cell r="F2175">
            <v>0</v>
          </cell>
          <cell r="G2175" t="str">
            <v>EXPENDITURE</v>
          </cell>
          <cell r="H2175" t="str">
            <v>OTHER EXPENSES</v>
          </cell>
          <cell r="I2175" t="str">
            <v>PRIOR PERIOD EXPENSES</v>
          </cell>
        </row>
        <row r="2176">
          <cell r="A2176" t="str">
            <v>X520101</v>
          </cell>
          <cell r="B2176" t="str">
            <v>Loss on disposal of fixed assets</v>
          </cell>
          <cell r="C2176" t="str">
            <v>EXPENSES</v>
          </cell>
          <cell r="D2176" t="str">
            <v>INCOME STATEMENT</v>
          </cell>
          <cell r="E2176">
            <v>0</v>
          </cell>
          <cell r="F2176">
            <v>0</v>
          </cell>
          <cell r="G2176" t="str">
            <v>EXPENDITURE</v>
          </cell>
          <cell r="H2176" t="str">
            <v>OTHER EXPENSES</v>
          </cell>
          <cell r="I2176" t="str">
            <v>LOSS ON SALE OF ASSET</v>
          </cell>
        </row>
        <row r="2177">
          <cell r="A2177" t="str">
            <v>X520102</v>
          </cell>
          <cell r="B2177" t="str">
            <v>Loss on disposal of investments(Lng trm)</v>
          </cell>
          <cell r="C2177" t="str">
            <v>EXPENSES</v>
          </cell>
          <cell r="D2177" t="str">
            <v>INCOME STATEMENT</v>
          </cell>
          <cell r="E2177">
            <v>0</v>
          </cell>
          <cell r="F2177">
            <v>0</v>
          </cell>
          <cell r="G2177" t="str">
            <v>EXPENDITURE</v>
          </cell>
          <cell r="H2177" t="str">
            <v>OTHER EXPENSES</v>
          </cell>
          <cell r="I2177" t="str">
            <v>LOSS ON SALE OF INVESTMENT</v>
          </cell>
        </row>
        <row r="2178">
          <cell r="A2178" t="str">
            <v>X520103</v>
          </cell>
          <cell r="B2178" t="str">
            <v>Loss on disposal of inv.(Shrt trm)</v>
          </cell>
          <cell r="C2178" t="str">
            <v>EXPENSES</v>
          </cell>
          <cell r="D2178" t="str">
            <v>INCOME STATEMENT</v>
          </cell>
          <cell r="E2178">
            <v>0</v>
          </cell>
          <cell r="F2178">
            <v>0</v>
          </cell>
          <cell r="G2178" t="str">
            <v>EXPENDITURE</v>
          </cell>
          <cell r="H2178" t="str">
            <v>OTHER EXPENSES</v>
          </cell>
          <cell r="I2178" t="str">
            <v>LOSS ON SALE OF INVESTMENT</v>
          </cell>
        </row>
        <row r="2179">
          <cell r="A2179" t="str">
            <v>X520201</v>
          </cell>
          <cell r="B2179" t="str">
            <v>Assets written off</v>
          </cell>
          <cell r="C2179" t="str">
            <v>EXPENSES</v>
          </cell>
          <cell r="D2179" t="str">
            <v>INCOME STATEMENT</v>
          </cell>
          <cell r="E2179">
            <v>0</v>
          </cell>
          <cell r="F2179">
            <v>0</v>
          </cell>
          <cell r="G2179" t="str">
            <v>EXPENDITURE</v>
          </cell>
          <cell r="H2179" t="str">
            <v>OTHER EXPENSES</v>
          </cell>
          <cell r="I2179" t="str">
            <v>MISCELLANEOUS EXPENDITURE WRITTEN OFF</v>
          </cell>
        </row>
        <row r="2180">
          <cell r="A2180" t="str">
            <v>X520202</v>
          </cell>
          <cell r="B2180" t="str">
            <v>Amount written off</v>
          </cell>
          <cell r="C2180" t="str">
            <v>EXPENSES</v>
          </cell>
          <cell r="D2180" t="str">
            <v>INCOME STATEMENT</v>
          </cell>
          <cell r="E2180">
            <v>0</v>
          </cell>
          <cell r="F2180">
            <v>0</v>
          </cell>
          <cell r="G2180" t="str">
            <v>EXPENDITURE</v>
          </cell>
          <cell r="H2180" t="str">
            <v>OTHER EXPENSES</v>
          </cell>
          <cell r="I2180" t="str">
            <v>MISCELLANEOUS EXPENDITURE WRITTEN OFF</v>
          </cell>
        </row>
        <row r="2181">
          <cell r="A2181" t="str">
            <v>X520203</v>
          </cell>
          <cell r="B2181" t="str">
            <v>Bad Debts Written Off</v>
          </cell>
          <cell r="C2181" t="str">
            <v>EXPENSES</v>
          </cell>
          <cell r="D2181" t="str">
            <v>INCOME STATEMENT</v>
          </cell>
          <cell r="E2181">
            <v>0</v>
          </cell>
          <cell r="F2181">
            <v>0</v>
          </cell>
          <cell r="G2181" t="str">
            <v>EXPENDITURE</v>
          </cell>
          <cell r="H2181" t="str">
            <v>OTHER EXPENSES</v>
          </cell>
          <cell r="I2181" t="str">
            <v>MISCELLANEOUS EXPENDITURE WRITTEN OFF</v>
          </cell>
        </row>
        <row r="2182">
          <cell r="A2182" t="str">
            <v>X520301</v>
          </cell>
          <cell r="B2182" t="str">
            <v>Deferred Revenue Exp. W/Off</v>
          </cell>
          <cell r="C2182" t="str">
            <v>EXPENSES</v>
          </cell>
          <cell r="D2182" t="str">
            <v>INCOME STATEMENT</v>
          </cell>
          <cell r="E2182">
            <v>0</v>
          </cell>
          <cell r="F2182">
            <v>0</v>
          </cell>
          <cell r="G2182" t="str">
            <v>EXPENDITURE</v>
          </cell>
          <cell r="H2182" t="str">
            <v>OTHER EXPENSES</v>
          </cell>
          <cell r="I2182" t="str">
            <v>MISCELLANEOUS EXPENDITURE WRITTEN OFF</v>
          </cell>
        </row>
        <row r="2183">
          <cell r="A2183" t="str">
            <v>X520401</v>
          </cell>
          <cell r="B2183" t="str">
            <v>Obsolete Material Unuseable Written Off</v>
          </cell>
          <cell r="C2183" t="str">
            <v>EXPENSES</v>
          </cell>
          <cell r="D2183" t="str">
            <v>INCOME STATEMENT</v>
          </cell>
          <cell r="E2183">
            <v>0</v>
          </cell>
          <cell r="F2183">
            <v>0</v>
          </cell>
          <cell r="G2183" t="str">
            <v>EXPENDITURE</v>
          </cell>
          <cell r="H2183" t="str">
            <v>OTHER EXPENSES</v>
          </cell>
          <cell r="I2183" t="str">
            <v>MISCELLANEOUS EXPENDITURE WRITTEN OFF</v>
          </cell>
        </row>
        <row r="2184">
          <cell r="A2184" t="str">
            <v>X520402</v>
          </cell>
          <cell r="B2184" t="str">
            <v>Project Abandoned Expenses Written Off</v>
          </cell>
          <cell r="C2184" t="str">
            <v>EXPENSES</v>
          </cell>
          <cell r="D2184" t="str">
            <v>INCOME STATEMENT</v>
          </cell>
          <cell r="E2184">
            <v>0</v>
          </cell>
          <cell r="F2184">
            <v>0</v>
          </cell>
          <cell r="G2184" t="str">
            <v>EXPENDITURE</v>
          </cell>
          <cell r="H2184" t="str">
            <v>OTHER EXPENSES</v>
          </cell>
          <cell r="I2184" t="str">
            <v>MISCELLANEOUS EXPENDITURE WRITTEN OFF</v>
          </cell>
        </row>
        <row r="2185">
          <cell r="A2185" t="str">
            <v>X520501</v>
          </cell>
          <cell r="B2185" t="str">
            <v>Preliminary Expenses w/off</v>
          </cell>
          <cell r="C2185" t="str">
            <v>EXPENSES</v>
          </cell>
          <cell r="D2185" t="str">
            <v>INCOME STATEMENT</v>
          </cell>
          <cell r="E2185">
            <v>0</v>
          </cell>
          <cell r="F2185">
            <v>0</v>
          </cell>
          <cell r="G2185" t="str">
            <v>EXPENDITURE</v>
          </cell>
          <cell r="H2185" t="str">
            <v>OTHER EXPENSES</v>
          </cell>
          <cell r="I2185" t="str">
            <v>MISCELLANEOUS EXPENDITURE WRITTEN OFF</v>
          </cell>
        </row>
        <row r="2186">
          <cell r="A2186" t="str">
            <v>X520502</v>
          </cell>
          <cell r="B2186" t="str">
            <v>Pre-Operative Expenses W/Off</v>
          </cell>
          <cell r="C2186" t="str">
            <v>EXPENSES</v>
          </cell>
          <cell r="D2186" t="str">
            <v>INCOME STATEMENT</v>
          </cell>
          <cell r="E2186">
            <v>0</v>
          </cell>
          <cell r="F2186">
            <v>0</v>
          </cell>
          <cell r="G2186" t="str">
            <v>EXPENDITURE</v>
          </cell>
          <cell r="H2186" t="str">
            <v>OTHER EXPENSES</v>
          </cell>
          <cell r="I2186" t="str">
            <v>MISCELLANEOUS EXPENDITURE WRITTEN OFF</v>
          </cell>
        </row>
        <row r="2187">
          <cell r="A2187" t="str">
            <v>X520503</v>
          </cell>
          <cell r="B2187" t="str">
            <v>Capital Arrangement Fees W/Off</v>
          </cell>
          <cell r="C2187" t="str">
            <v>EXPENSES</v>
          </cell>
          <cell r="D2187" t="str">
            <v>INCOME STATEMENT</v>
          </cell>
          <cell r="E2187">
            <v>0</v>
          </cell>
          <cell r="F2187">
            <v>0</v>
          </cell>
          <cell r="G2187" t="str">
            <v>EXPENDITURE</v>
          </cell>
          <cell r="H2187" t="str">
            <v>OTHER EXPENSES</v>
          </cell>
          <cell r="I2187" t="str">
            <v>MISCELLANEOUS EXPENDITURE WRITTEN OFF</v>
          </cell>
        </row>
        <row r="2188">
          <cell r="A2188" t="str">
            <v>X520601</v>
          </cell>
          <cell r="B2188" t="str">
            <v>Other Amortisation</v>
          </cell>
          <cell r="C2188" t="str">
            <v>EXPENSES</v>
          </cell>
          <cell r="D2188" t="str">
            <v>INCOME STATEMENT</v>
          </cell>
          <cell r="E2188">
            <v>0</v>
          </cell>
          <cell r="F2188">
            <v>0</v>
          </cell>
          <cell r="G2188" t="str">
            <v>EXPENDITURE</v>
          </cell>
          <cell r="H2188" t="str">
            <v>OTHER EXPENSES</v>
          </cell>
          <cell r="I2188" t="str">
            <v>MISCELLANEOUS EXPENDITURE WRITTEN OFF</v>
          </cell>
        </row>
        <row r="2189">
          <cell r="A2189" t="str">
            <v>X520701</v>
          </cell>
          <cell r="B2189" t="str">
            <v>Research &amp; Development W/Off</v>
          </cell>
          <cell r="C2189" t="str">
            <v>EXPENSES</v>
          </cell>
          <cell r="D2189" t="str">
            <v>INCOME STATEMENT</v>
          </cell>
          <cell r="E2189">
            <v>0</v>
          </cell>
          <cell r="F2189">
            <v>0</v>
          </cell>
          <cell r="G2189" t="str">
            <v>EXPENDITURE</v>
          </cell>
          <cell r="H2189" t="str">
            <v>OTHER EXPENSES</v>
          </cell>
          <cell r="I2189" t="str">
            <v>MISCELLANEOUS EXPENDITURE WRITTEN OFF</v>
          </cell>
        </row>
        <row r="2190">
          <cell r="A2190" t="str">
            <v>X521001</v>
          </cell>
          <cell r="B2190" t="str">
            <v>Miscellaneous expenses</v>
          </cell>
          <cell r="C2190" t="str">
            <v>EXPENSES</v>
          </cell>
          <cell r="D2190" t="str">
            <v>INCOME STATEMENT</v>
          </cell>
          <cell r="E2190">
            <v>0</v>
          </cell>
          <cell r="F2190">
            <v>0</v>
          </cell>
          <cell r="G2190" t="str">
            <v>EXPENDITURE</v>
          </cell>
          <cell r="H2190" t="str">
            <v>OTHER EXPENSES</v>
          </cell>
          <cell r="I2190" t="str">
            <v>MISCELLANEOUS EXPENSES</v>
          </cell>
        </row>
        <row r="2191">
          <cell r="A2191" t="str">
            <v>X521002</v>
          </cell>
          <cell r="B2191" t="str">
            <v>Farm Expenses</v>
          </cell>
          <cell r="C2191" t="str">
            <v>EXPENSES</v>
          </cell>
          <cell r="D2191" t="str">
            <v>INCOME STATEMENT</v>
          </cell>
          <cell r="E2191">
            <v>0</v>
          </cell>
          <cell r="F2191">
            <v>0</v>
          </cell>
          <cell r="G2191" t="str">
            <v>EXPENDITURE</v>
          </cell>
          <cell r="H2191" t="str">
            <v>OTHER EXPENSES</v>
          </cell>
          <cell r="I2191" t="str">
            <v>MISCELLANEOUS EXPENSES</v>
          </cell>
        </row>
        <row r="2192">
          <cell r="A2192" t="str">
            <v>X521003</v>
          </cell>
          <cell r="B2192" t="str">
            <v>Farm Development Exp(Mussoorie)</v>
          </cell>
          <cell r="C2192" t="str">
            <v>EXPENSES</v>
          </cell>
          <cell r="D2192" t="str">
            <v>INCOME STATEMENT</v>
          </cell>
          <cell r="E2192">
            <v>0</v>
          </cell>
          <cell r="F2192">
            <v>0</v>
          </cell>
          <cell r="G2192" t="str">
            <v>EXPENDITURE</v>
          </cell>
          <cell r="H2192" t="str">
            <v>OTHER EXPENSES</v>
          </cell>
          <cell r="I2192" t="str">
            <v>MISCELLANEOUS EXPENSES</v>
          </cell>
        </row>
        <row r="2193">
          <cell r="A2193" t="str">
            <v>X521004</v>
          </cell>
          <cell r="B2193" t="str">
            <v>Farm Exps (Mussoorie)</v>
          </cell>
          <cell r="C2193" t="str">
            <v>EXPENSES</v>
          </cell>
          <cell r="D2193" t="str">
            <v>INCOME STATEMENT</v>
          </cell>
          <cell r="E2193">
            <v>0</v>
          </cell>
          <cell r="F2193">
            <v>0</v>
          </cell>
          <cell r="G2193" t="str">
            <v>EXPENDITURE</v>
          </cell>
          <cell r="H2193" t="str">
            <v>OTHER EXPENSES</v>
          </cell>
          <cell r="I2193" t="str">
            <v>MISCELLANEOUS EXPENSES</v>
          </cell>
        </row>
        <row r="2194">
          <cell r="A2194" t="str">
            <v>X521005</v>
          </cell>
          <cell r="B2194" t="str">
            <v>General Charges</v>
          </cell>
          <cell r="C2194" t="str">
            <v>EXPENSES</v>
          </cell>
          <cell r="D2194" t="str">
            <v>INCOME STATEMENT</v>
          </cell>
          <cell r="E2194">
            <v>0</v>
          </cell>
          <cell r="F2194">
            <v>0</v>
          </cell>
          <cell r="G2194" t="str">
            <v>EXPENDITURE</v>
          </cell>
          <cell r="H2194" t="str">
            <v>OTHER EXPENSES</v>
          </cell>
          <cell r="I2194" t="str">
            <v>MISCELLANEOUS EXPENSES</v>
          </cell>
        </row>
        <row r="2195">
          <cell r="A2195" t="str">
            <v>X521006</v>
          </cell>
          <cell r="B2195" t="str">
            <v>Lawns &amp; Garden</v>
          </cell>
          <cell r="C2195" t="str">
            <v>EXPENSES</v>
          </cell>
          <cell r="D2195" t="str">
            <v>INCOME STATEMENT</v>
          </cell>
          <cell r="E2195">
            <v>0</v>
          </cell>
          <cell r="F2195">
            <v>0</v>
          </cell>
          <cell r="G2195" t="str">
            <v>EXPENDITURE</v>
          </cell>
          <cell r="H2195" t="str">
            <v>OTHER EXPENSES</v>
          </cell>
          <cell r="I2195" t="str">
            <v>MISCELLANEOUS EXPENSES</v>
          </cell>
        </row>
        <row r="2196">
          <cell r="A2196" t="str">
            <v>X521007</v>
          </cell>
          <cell r="B2196" t="str">
            <v>Books &amp; Periodicals</v>
          </cell>
          <cell r="C2196" t="str">
            <v>EXPENSES</v>
          </cell>
          <cell r="D2196" t="str">
            <v>INCOME STATEMENT</v>
          </cell>
          <cell r="E2196">
            <v>0</v>
          </cell>
          <cell r="F2196">
            <v>0</v>
          </cell>
          <cell r="G2196" t="str">
            <v>EXPENDITURE</v>
          </cell>
          <cell r="H2196" t="str">
            <v>OTHER EXPENSES</v>
          </cell>
          <cell r="I2196" t="str">
            <v>MISCELLANEOUS EXPENSES</v>
          </cell>
        </row>
        <row r="2197">
          <cell r="A2197" t="str">
            <v>X521008</v>
          </cell>
          <cell r="B2197" t="str">
            <v>Software/ License Exp fee</v>
          </cell>
          <cell r="C2197" t="str">
            <v>EXPENSES</v>
          </cell>
          <cell r="D2197" t="str">
            <v>INCOME STATEMENT</v>
          </cell>
          <cell r="E2197">
            <v>0</v>
          </cell>
          <cell r="F2197">
            <v>0</v>
          </cell>
          <cell r="G2197" t="str">
            <v>EXPENDITURE</v>
          </cell>
          <cell r="H2197" t="str">
            <v>OTHER EXPENSES</v>
          </cell>
          <cell r="I2197" t="str">
            <v>MISCELLANEOUS EXPENSES</v>
          </cell>
        </row>
        <row r="2198">
          <cell r="A2198" t="str">
            <v>X521009</v>
          </cell>
          <cell r="B2198" t="str">
            <v>Sanitation Expenses</v>
          </cell>
          <cell r="C2198" t="str">
            <v>EXPENSES</v>
          </cell>
          <cell r="D2198" t="str">
            <v>INCOME STATEMENT</v>
          </cell>
          <cell r="E2198">
            <v>0</v>
          </cell>
          <cell r="F2198">
            <v>0</v>
          </cell>
          <cell r="G2198" t="str">
            <v>EXPENDITURE</v>
          </cell>
          <cell r="H2198" t="str">
            <v>OTHER EXPENSES</v>
          </cell>
          <cell r="I2198" t="str">
            <v>MISCELLANEOUS EXPENSES</v>
          </cell>
        </row>
        <row r="2199">
          <cell r="A2199" t="str">
            <v>X521010</v>
          </cell>
          <cell r="B2199" t="str">
            <v>Crockery Replacement</v>
          </cell>
          <cell r="C2199" t="str">
            <v>EXPENSES</v>
          </cell>
          <cell r="D2199" t="str">
            <v>INCOME STATEMENT</v>
          </cell>
          <cell r="E2199">
            <v>0</v>
          </cell>
          <cell r="F2199">
            <v>0</v>
          </cell>
          <cell r="G2199" t="str">
            <v>EXPENDITURE</v>
          </cell>
          <cell r="H2199" t="str">
            <v>OTHER EXPENSES</v>
          </cell>
          <cell r="I2199" t="str">
            <v>MISCELLANEOUS EXPENSES</v>
          </cell>
        </row>
        <row r="2200">
          <cell r="A2200" t="str">
            <v>X521011</v>
          </cell>
          <cell r="B2200" t="str">
            <v>Subscription Fee</v>
          </cell>
          <cell r="C2200" t="str">
            <v>EXPENSES</v>
          </cell>
          <cell r="D2200" t="str">
            <v>INCOME STATEMENT</v>
          </cell>
          <cell r="E2200">
            <v>0</v>
          </cell>
          <cell r="F2200">
            <v>0</v>
          </cell>
          <cell r="G2200" t="str">
            <v>EXPENDITURE</v>
          </cell>
          <cell r="H2200" t="str">
            <v>OTHER EXPENSES</v>
          </cell>
          <cell r="I2200" t="str">
            <v>MISCELLANEOUS EXPENSES</v>
          </cell>
        </row>
        <row r="2201">
          <cell r="A2201" t="str">
            <v>X521012</v>
          </cell>
          <cell r="B2201" t="str">
            <v>Subscription Fee- Directors</v>
          </cell>
          <cell r="C2201" t="str">
            <v>EXPENSES</v>
          </cell>
          <cell r="D2201" t="str">
            <v>INCOME STATEMENT</v>
          </cell>
          <cell r="E2201">
            <v>0</v>
          </cell>
          <cell r="F2201">
            <v>0</v>
          </cell>
          <cell r="G2201" t="str">
            <v>EXPENDITURE</v>
          </cell>
          <cell r="H2201" t="str">
            <v>OTHER EXPENSES</v>
          </cell>
          <cell r="I2201" t="str">
            <v>MISCELLANEOUS EXPENSES</v>
          </cell>
        </row>
        <row r="2202">
          <cell r="A2202" t="str">
            <v>X521013</v>
          </cell>
          <cell r="B2202" t="str">
            <v>Tender Fee</v>
          </cell>
          <cell r="C2202" t="str">
            <v>EXPENSES</v>
          </cell>
          <cell r="D2202" t="str">
            <v>INCOME STATEMENT</v>
          </cell>
          <cell r="E2202">
            <v>0</v>
          </cell>
          <cell r="F2202">
            <v>0</v>
          </cell>
          <cell r="G2202" t="str">
            <v>EXPENDITURE</v>
          </cell>
          <cell r="H2202" t="str">
            <v>OTHER EXPENSES</v>
          </cell>
          <cell r="I2202" t="str">
            <v>MISCELLANEOUS EXPENSES</v>
          </cell>
        </row>
        <row r="2203">
          <cell r="A2203" t="str">
            <v>X521014</v>
          </cell>
          <cell r="B2203" t="str">
            <v>Laundry and linen</v>
          </cell>
          <cell r="C2203" t="str">
            <v>EXPENSES</v>
          </cell>
          <cell r="D2203" t="str">
            <v>INCOME STATEMENT</v>
          </cell>
          <cell r="E2203">
            <v>0</v>
          </cell>
          <cell r="F2203">
            <v>0</v>
          </cell>
          <cell r="G2203" t="str">
            <v>EXPENDITURE</v>
          </cell>
          <cell r="H2203" t="str">
            <v>OTHER EXPENSES</v>
          </cell>
          <cell r="I2203" t="str">
            <v>MISCELLANEOUS EXPENSES</v>
          </cell>
        </row>
        <row r="2204">
          <cell r="A2204" t="str">
            <v>X521015</v>
          </cell>
          <cell r="B2204" t="str">
            <v>Orchestra and other hire charges</v>
          </cell>
          <cell r="C2204" t="str">
            <v>EXPENSES</v>
          </cell>
          <cell r="D2204" t="str">
            <v>INCOME STATEMENT</v>
          </cell>
          <cell r="E2204">
            <v>0</v>
          </cell>
          <cell r="F2204">
            <v>0</v>
          </cell>
          <cell r="G2204" t="str">
            <v>EXPENDITURE</v>
          </cell>
          <cell r="H2204" t="str">
            <v>OTHER EXPENSES</v>
          </cell>
          <cell r="I2204" t="str">
            <v>MISCELLANEOUS EXPENSES</v>
          </cell>
        </row>
        <row r="2205">
          <cell r="A2205" t="str">
            <v>X521016</v>
          </cell>
          <cell r="B2205" t="str">
            <v>Golf course horticulture expenses</v>
          </cell>
          <cell r="C2205" t="str">
            <v>EXPENSES</v>
          </cell>
          <cell r="D2205" t="str">
            <v>INCOME STATEMENT</v>
          </cell>
          <cell r="E2205">
            <v>0</v>
          </cell>
          <cell r="F2205">
            <v>0</v>
          </cell>
          <cell r="G2205" t="str">
            <v>EXPENDITURE</v>
          </cell>
          <cell r="H2205" t="str">
            <v>OTHER EXPENSES</v>
          </cell>
          <cell r="I2205" t="str">
            <v>MISCELLANEOUS EXPENSES</v>
          </cell>
        </row>
        <row r="2206">
          <cell r="A2206" t="str">
            <v>X521017</v>
          </cell>
          <cell r="B2206" t="str">
            <v>Revenue Stamps</v>
          </cell>
          <cell r="C2206" t="str">
            <v>EXPENSES</v>
          </cell>
          <cell r="D2206" t="str">
            <v>INCOME STATEMENT</v>
          </cell>
          <cell r="E2206">
            <v>0</v>
          </cell>
          <cell r="F2206">
            <v>0</v>
          </cell>
          <cell r="G2206" t="str">
            <v>EXPENDITURE</v>
          </cell>
          <cell r="H2206" t="str">
            <v>OTHER EXPENSES</v>
          </cell>
          <cell r="I2206" t="str">
            <v>MISCELLANEOUS EXPENSES</v>
          </cell>
        </row>
        <row r="2207">
          <cell r="A2207" t="str">
            <v>X521018</v>
          </cell>
          <cell r="B2207" t="str">
            <v>Carriage Handling</v>
          </cell>
          <cell r="C2207" t="str">
            <v>EXPENSES</v>
          </cell>
          <cell r="D2207" t="str">
            <v>INCOME STATEMENT</v>
          </cell>
          <cell r="E2207">
            <v>0</v>
          </cell>
          <cell r="F2207">
            <v>0</v>
          </cell>
          <cell r="G2207" t="str">
            <v>EXPENDITURE</v>
          </cell>
          <cell r="H2207" t="str">
            <v>OTHER EXPENSES</v>
          </cell>
          <cell r="I2207" t="str">
            <v>MISCELLANEOUS EXPENSES</v>
          </cell>
        </row>
        <row r="2208">
          <cell r="A2208" t="str">
            <v>X521019</v>
          </cell>
          <cell r="B2208" t="str">
            <v>Annual General Meeting/EGM Exps</v>
          </cell>
          <cell r="C2208" t="str">
            <v>EXPENSES</v>
          </cell>
          <cell r="D2208" t="str">
            <v>INCOME STATEMENT</v>
          </cell>
          <cell r="E2208">
            <v>0</v>
          </cell>
          <cell r="F2208">
            <v>0</v>
          </cell>
          <cell r="G2208" t="str">
            <v>EXPENDITURE</v>
          </cell>
          <cell r="H2208" t="str">
            <v>OTHER EXPENSES</v>
          </cell>
          <cell r="I2208" t="str">
            <v>MISCELLANEOUS EXPENSES</v>
          </cell>
        </row>
        <row r="2209">
          <cell r="A2209" t="str">
            <v>X521020</v>
          </cell>
          <cell r="B2209" t="str">
            <v>Director's Sitting Fees</v>
          </cell>
          <cell r="C2209" t="str">
            <v>EXPENSES</v>
          </cell>
          <cell r="D2209" t="str">
            <v>INCOME STATEMENT</v>
          </cell>
          <cell r="E2209">
            <v>0</v>
          </cell>
          <cell r="F2209">
            <v>0</v>
          </cell>
          <cell r="G2209" t="str">
            <v>EXPENDITURE</v>
          </cell>
          <cell r="H2209" t="str">
            <v>OTHER EXPENSES</v>
          </cell>
          <cell r="I2209" t="str">
            <v>MISCELLANEOUS EXPENSES</v>
          </cell>
        </row>
        <row r="2210">
          <cell r="A2210" t="str">
            <v>X521021</v>
          </cell>
          <cell r="B2210" t="str">
            <v>Administration Charges-Others</v>
          </cell>
          <cell r="C2210" t="str">
            <v>EXPENSES</v>
          </cell>
          <cell r="D2210" t="str">
            <v>INCOME STATEMENT</v>
          </cell>
          <cell r="E2210">
            <v>0</v>
          </cell>
          <cell r="F2210">
            <v>0</v>
          </cell>
          <cell r="G2210" t="str">
            <v>EXPENDITURE</v>
          </cell>
          <cell r="H2210" t="str">
            <v>OTHER EXPENSES</v>
          </cell>
          <cell r="I2210" t="str">
            <v>MISCELLANEOUS EXPENSES</v>
          </cell>
        </row>
        <row r="2211">
          <cell r="A2211" t="str">
            <v>X521022</v>
          </cell>
          <cell r="B2211" t="str">
            <v>Testing Charges</v>
          </cell>
          <cell r="C2211" t="str">
            <v>EXPENSES</v>
          </cell>
          <cell r="D2211" t="str">
            <v>INCOME STATEMENT</v>
          </cell>
          <cell r="E2211">
            <v>0</v>
          </cell>
          <cell r="F2211">
            <v>0</v>
          </cell>
          <cell r="G2211" t="str">
            <v>EXPENDITURE</v>
          </cell>
          <cell r="H2211" t="str">
            <v>OTHER EXPENSES</v>
          </cell>
          <cell r="I2211" t="str">
            <v>MISCELLANEOUS EXPENSES</v>
          </cell>
        </row>
        <row r="2212">
          <cell r="A2212" t="str">
            <v>X521023</v>
          </cell>
          <cell r="B2212" t="str">
            <v>Hire Chgs Of Machinery</v>
          </cell>
          <cell r="C2212" t="str">
            <v>EXPENSES</v>
          </cell>
          <cell r="D2212" t="str">
            <v>INCOME STATEMENT</v>
          </cell>
          <cell r="E2212">
            <v>0</v>
          </cell>
          <cell r="F2212">
            <v>0</v>
          </cell>
          <cell r="G2212" t="str">
            <v>EXPENDITURE</v>
          </cell>
          <cell r="H2212" t="str">
            <v>OTHER EXPENSES</v>
          </cell>
          <cell r="I2212" t="str">
            <v>MISCELLANEOUS EXPENSES</v>
          </cell>
        </row>
        <row r="2213">
          <cell r="A2213" t="str">
            <v>X521024</v>
          </cell>
          <cell r="B2213" t="str">
            <v>Hire Charges-Others</v>
          </cell>
          <cell r="C2213" t="str">
            <v>EXPENSES</v>
          </cell>
          <cell r="D2213" t="str">
            <v>INCOME STATEMENT</v>
          </cell>
          <cell r="E2213">
            <v>0</v>
          </cell>
          <cell r="F2213">
            <v>0</v>
          </cell>
          <cell r="G2213" t="str">
            <v>EXPENDITURE</v>
          </cell>
          <cell r="H2213" t="str">
            <v>OTHER EXPENSES</v>
          </cell>
          <cell r="I2213" t="str">
            <v>MISCELLANEOUS EXPENSES</v>
          </cell>
        </row>
        <row r="2214">
          <cell r="A2214" t="str">
            <v>X521025</v>
          </cell>
          <cell r="B2214" t="str">
            <v>Hire Charges-Central Equp.Pool</v>
          </cell>
          <cell r="C2214" t="str">
            <v>EXPENSES</v>
          </cell>
          <cell r="D2214" t="str">
            <v>INCOME STATEMENT</v>
          </cell>
          <cell r="E2214">
            <v>0</v>
          </cell>
          <cell r="F2214">
            <v>0</v>
          </cell>
          <cell r="G2214" t="str">
            <v>EXPENDITURE</v>
          </cell>
          <cell r="H2214" t="str">
            <v>OTHER EXPENSES</v>
          </cell>
          <cell r="I2214" t="str">
            <v>MISCELLANEOUS EXPENSES</v>
          </cell>
        </row>
        <row r="2215">
          <cell r="A2215" t="str">
            <v>X521026</v>
          </cell>
          <cell r="B2215" t="str">
            <v>Freight &amp; Cartage-Others</v>
          </cell>
          <cell r="C2215" t="str">
            <v>EXPENSES</v>
          </cell>
          <cell r="D2215" t="str">
            <v>INCOME STATEMENT</v>
          </cell>
          <cell r="E2215">
            <v>0</v>
          </cell>
          <cell r="F2215">
            <v>0</v>
          </cell>
          <cell r="G2215" t="str">
            <v>EXPENDITURE</v>
          </cell>
          <cell r="H2215" t="str">
            <v>OTHER EXPENSES</v>
          </cell>
          <cell r="I2215" t="str">
            <v>MISCELLANEOUS EXPENSES</v>
          </cell>
        </row>
        <row r="2216">
          <cell r="A2216" t="str">
            <v>X521027</v>
          </cell>
          <cell r="B2216" t="str">
            <v>Security Services (Watch/Guard) Expenses</v>
          </cell>
          <cell r="C2216" t="str">
            <v>EXPENSES</v>
          </cell>
          <cell r="D2216" t="str">
            <v>INCOME STATEMENT</v>
          </cell>
          <cell r="E2216">
            <v>0</v>
          </cell>
          <cell r="F2216">
            <v>0</v>
          </cell>
          <cell r="G2216" t="str">
            <v>EXPENDITURE</v>
          </cell>
          <cell r="H2216" t="str">
            <v>OTHER EXPENSES</v>
          </cell>
          <cell r="I2216" t="str">
            <v>MISCELLANEOUS EXPENSES</v>
          </cell>
        </row>
        <row r="2217">
          <cell r="A2217" t="str">
            <v>X521028</v>
          </cell>
          <cell r="B2217" t="str">
            <v>Demarcation PH-I,II,II,III,IV,GV</v>
          </cell>
          <cell r="C2217" t="str">
            <v>EXPENSES</v>
          </cell>
          <cell r="D2217" t="str">
            <v>INCOME STATEMENT</v>
          </cell>
          <cell r="E2217">
            <v>0</v>
          </cell>
          <cell r="F2217">
            <v>0</v>
          </cell>
          <cell r="G2217" t="str">
            <v>EXPENDITURE</v>
          </cell>
          <cell r="H2217" t="str">
            <v>OTHER EXPENSES</v>
          </cell>
          <cell r="I2217" t="str">
            <v>MISCELLANEOUS EXPENSES</v>
          </cell>
        </row>
        <row r="2218">
          <cell r="A2218" t="str">
            <v>X521029</v>
          </cell>
          <cell r="B2218" t="str">
            <v>Town Services Charges</v>
          </cell>
          <cell r="C2218" t="str">
            <v>EXPENSES</v>
          </cell>
          <cell r="D2218" t="str">
            <v>INCOME STATEMENT</v>
          </cell>
          <cell r="E2218">
            <v>0</v>
          </cell>
          <cell r="F2218">
            <v>0</v>
          </cell>
          <cell r="G2218" t="str">
            <v>EXPENDITURE</v>
          </cell>
          <cell r="H2218" t="str">
            <v>OTHER EXPENSES</v>
          </cell>
          <cell r="I2218" t="str">
            <v>MISCELLANEOUS EXPENSES</v>
          </cell>
        </row>
        <row r="2219">
          <cell r="A2219" t="str">
            <v>X521030</v>
          </cell>
          <cell r="B2219" t="str">
            <v>Software Development Expenses</v>
          </cell>
          <cell r="C2219" t="str">
            <v>EXPENSES</v>
          </cell>
          <cell r="D2219" t="str">
            <v>INCOME STATEMENT</v>
          </cell>
          <cell r="E2219">
            <v>0</v>
          </cell>
          <cell r="F2219">
            <v>0</v>
          </cell>
          <cell r="G2219" t="str">
            <v>EXPENDITURE</v>
          </cell>
          <cell r="H2219" t="str">
            <v>OTHER EXPENSES</v>
          </cell>
          <cell r="I2219" t="str">
            <v>MISCELLANEOUS EXPENSES</v>
          </cell>
        </row>
        <row r="2220">
          <cell r="A2220" t="str">
            <v>X521031</v>
          </cell>
          <cell r="B2220" t="str">
            <v>M/O Lawn &amp; Garden Ph-I,II,III</v>
          </cell>
          <cell r="C2220" t="str">
            <v>EXPENSES</v>
          </cell>
          <cell r="D2220" t="str">
            <v>INCOME STATEMENT</v>
          </cell>
          <cell r="E2220">
            <v>0</v>
          </cell>
          <cell r="F2220">
            <v>0</v>
          </cell>
          <cell r="G2220" t="str">
            <v>EXPENDITURE</v>
          </cell>
          <cell r="H2220" t="str">
            <v>OTHER EXPENSES</v>
          </cell>
          <cell r="I2220" t="str">
            <v>MISCELLANEOUS EXPENSES</v>
          </cell>
        </row>
        <row r="2221">
          <cell r="A2221" t="str">
            <v>X521032</v>
          </cell>
          <cell r="B2221" t="str">
            <v>M/O Lawn &amp; Garden Ph-IV</v>
          </cell>
          <cell r="C2221" t="str">
            <v>EXPENSES</v>
          </cell>
          <cell r="D2221" t="str">
            <v>INCOME STATEMENT</v>
          </cell>
          <cell r="E2221">
            <v>0</v>
          </cell>
          <cell r="F2221">
            <v>0</v>
          </cell>
          <cell r="G2221" t="str">
            <v>EXPENDITURE</v>
          </cell>
          <cell r="H2221" t="str">
            <v>OTHER EXPENSES</v>
          </cell>
          <cell r="I2221" t="str">
            <v>MISCELLANEOUS EXPENSES</v>
          </cell>
        </row>
        <row r="2222">
          <cell r="A2222" t="str">
            <v>X521033</v>
          </cell>
          <cell r="B2222" t="str">
            <v>Consumption of consumables and stores</v>
          </cell>
          <cell r="C2222" t="str">
            <v>EXPENSES</v>
          </cell>
          <cell r="D2222" t="str">
            <v>INCOME STATEMENT</v>
          </cell>
          <cell r="E2222">
            <v>0</v>
          </cell>
          <cell r="F2222">
            <v>0</v>
          </cell>
          <cell r="G2222" t="str">
            <v>EXPENDITURE</v>
          </cell>
          <cell r="H2222" t="str">
            <v>OTHER EXPENSES</v>
          </cell>
          <cell r="I2222" t="str">
            <v>MISCELLANEOUS EXPENSES</v>
          </cell>
        </row>
        <row r="2223">
          <cell r="A2223" t="str">
            <v>X521034</v>
          </cell>
          <cell r="B2223" t="str">
            <v>Uniform Charges A/C</v>
          </cell>
          <cell r="C2223" t="str">
            <v>EXPENSES</v>
          </cell>
          <cell r="D2223" t="str">
            <v>INCOME STATEMENT</v>
          </cell>
          <cell r="E2223">
            <v>0</v>
          </cell>
          <cell r="F2223">
            <v>0</v>
          </cell>
          <cell r="G2223" t="str">
            <v>EXPENDITURE</v>
          </cell>
          <cell r="H2223" t="str">
            <v>OTHER EXPENSES</v>
          </cell>
          <cell r="I2223" t="str">
            <v>MISCELLANEOUS EXPENSES</v>
          </cell>
        </row>
        <row r="2224">
          <cell r="A2224" t="str">
            <v>X521035</v>
          </cell>
          <cell r="B2224" t="str">
            <v>Guest House Expenses</v>
          </cell>
          <cell r="C2224" t="str">
            <v>EXPENSES</v>
          </cell>
          <cell r="D2224" t="str">
            <v>INCOME STATEMENT</v>
          </cell>
          <cell r="E2224">
            <v>0</v>
          </cell>
          <cell r="F2224">
            <v>0</v>
          </cell>
          <cell r="G2224" t="str">
            <v>EXPENDITURE</v>
          </cell>
          <cell r="H2224" t="str">
            <v>OTHER EXPENSES</v>
          </cell>
          <cell r="I2224" t="str">
            <v>MISCELLANEOUS EXPENSES</v>
          </cell>
        </row>
        <row r="2225">
          <cell r="A2225" t="str">
            <v>X521036</v>
          </cell>
          <cell r="B2225" t="str">
            <v>Common Pool/ Inter Unit Expenses</v>
          </cell>
          <cell r="C2225" t="str">
            <v>EXPENSES</v>
          </cell>
          <cell r="D2225" t="str">
            <v>INCOME STATEMENT</v>
          </cell>
          <cell r="E2225">
            <v>0</v>
          </cell>
          <cell r="F2225">
            <v>0</v>
          </cell>
          <cell r="G2225" t="str">
            <v>EXPENDITURE</v>
          </cell>
          <cell r="H2225" t="str">
            <v>OTHER EXPENSES</v>
          </cell>
          <cell r="I2225" t="str">
            <v>MISCELLANEOUS EXPENSES</v>
          </cell>
        </row>
        <row r="2226">
          <cell r="A2226" t="str">
            <v>X521037</v>
          </cell>
          <cell r="B2226" t="str">
            <v>Rebate</v>
          </cell>
          <cell r="C2226" t="str">
            <v>EXPENSES</v>
          </cell>
          <cell r="D2226" t="str">
            <v>INCOME STATEMENT</v>
          </cell>
          <cell r="E2226">
            <v>0</v>
          </cell>
          <cell r="F2226">
            <v>0</v>
          </cell>
          <cell r="G2226" t="str">
            <v>EXPENDITURE</v>
          </cell>
          <cell r="H2226" t="str">
            <v>OTHER EXPENSES</v>
          </cell>
          <cell r="I2226" t="str">
            <v>MISCELLANEOUS EXPENSES</v>
          </cell>
        </row>
        <row r="2227">
          <cell r="A2227" t="str">
            <v>X521038</v>
          </cell>
          <cell r="B2227" t="str">
            <v>Power Back Up Expenses</v>
          </cell>
          <cell r="C2227" t="str">
            <v>EXPENSES</v>
          </cell>
          <cell r="D2227" t="str">
            <v>INCOME STATEMENT</v>
          </cell>
          <cell r="E2227">
            <v>0</v>
          </cell>
          <cell r="F2227">
            <v>0</v>
          </cell>
          <cell r="G2227" t="str">
            <v>EXPENDITURE</v>
          </cell>
          <cell r="H2227" t="str">
            <v>OTHER EXPENSES</v>
          </cell>
          <cell r="I2227" t="str">
            <v>MISCELLANEOUS EXPENSES</v>
          </cell>
        </row>
        <row r="2228">
          <cell r="A2228" t="str">
            <v>X521039</v>
          </cell>
          <cell r="B2228" t="str">
            <v>Sale Tax</v>
          </cell>
          <cell r="C2228" t="str">
            <v>EXPENSES</v>
          </cell>
          <cell r="D2228" t="str">
            <v>INCOME STATEMENT</v>
          </cell>
          <cell r="E2228">
            <v>0</v>
          </cell>
          <cell r="F2228">
            <v>0</v>
          </cell>
          <cell r="G2228" t="str">
            <v>EXPENDITURE</v>
          </cell>
          <cell r="H2228" t="str">
            <v>OTHER EXPENSES</v>
          </cell>
          <cell r="I2228" t="str">
            <v>MISCELLANEOUS EXPENSES</v>
          </cell>
        </row>
        <row r="2229">
          <cell r="A2229" t="str">
            <v>X521040</v>
          </cell>
          <cell r="B2229" t="str">
            <v>Service Tax</v>
          </cell>
          <cell r="C2229" t="str">
            <v>EXPENSES</v>
          </cell>
          <cell r="D2229" t="str">
            <v>INCOME STATEMENT</v>
          </cell>
          <cell r="E2229">
            <v>0</v>
          </cell>
          <cell r="F2229">
            <v>0</v>
          </cell>
          <cell r="G2229" t="str">
            <v>EXPENDITURE</v>
          </cell>
          <cell r="H2229" t="str">
            <v>OTHER EXPENSES</v>
          </cell>
          <cell r="I2229" t="str">
            <v>MISCELLANEOUS EXPENSES</v>
          </cell>
        </row>
        <row r="2230">
          <cell r="A2230" t="str">
            <v>X521041</v>
          </cell>
          <cell r="B2230" t="str">
            <v>Service Tax - Freight</v>
          </cell>
          <cell r="C2230" t="str">
            <v>EXPENSES</v>
          </cell>
          <cell r="D2230" t="str">
            <v>INCOME STATEMENT</v>
          </cell>
          <cell r="E2230">
            <v>0</v>
          </cell>
          <cell r="F2230">
            <v>0</v>
          </cell>
          <cell r="G2230" t="str">
            <v>EXPENDITURE</v>
          </cell>
          <cell r="H2230" t="str">
            <v>OTHER EXPENSES</v>
          </cell>
          <cell r="I2230" t="str">
            <v>MISCELLANEOUS EXPENSES</v>
          </cell>
        </row>
        <row r="2231">
          <cell r="A2231" t="str">
            <v>X521042</v>
          </cell>
          <cell r="B2231" t="str">
            <v>Service Tax - C &amp; F</v>
          </cell>
          <cell r="C2231" t="str">
            <v>EXPENSES</v>
          </cell>
          <cell r="D2231" t="str">
            <v>INCOME STATEMENT</v>
          </cell>
          <cell r="E2231">
            <v>0</v>
          </cell>
          <cell r="F2231">
            <v>0</v>
          </cell>
          <cell r="G2231" t="str">
            <v>EXPENDITURE</v>
          </cell>
          <cell r="H2231" t="str">
            <v>OTHER EXPENSES</v>
          </cell>
          <cell r="I2231" t="str">
            <v>MISCELLANEOUS EXPENSES</v>
          </cell>
        </row>
        <row r="2232">
          <cell r="A2232" t="str">
            <v>X521043</v>
          </cell>
          <cell r="B2232" t="str">
            <v>Transport Tax</v>
          </cell>
          <cell r="C2232" t="str">
            <v>EXPENSES</v>
          </cell>
          <cell r="D2232" t="str">
            <v>INCOME STATEMENT</v>
          </cell>
          <cell r="E2232">
            <v>0</v>
          </cell>
          <cell r="F2232">
            <v>0</v>
          </cell>
          <cell r="G2232" t="str">
            <v>EXPENDITURE</v>
          </cell>
          <cell r="H2232" t="str">
            <v>OTHER EXPENSES</v>
          </cell>
          <cell r="I2232" t="str">
            <v>MISCELLANEOUS EXPENSES</v>
          </cell>
        </row>
        <row r="2233">
          <cell r="A2233" t="str">
            <v>X521044</v>
          </cell>
          <cell r="B2233" t="str">
            <v>Stock Adjustment</v>
          </cell>
          <cell r="C2233" t="str">
            <v>EXPENSES</v>
          </cell>
          <cell r="D2233" t="str">
            <v>INCOME STATEMENT</v>
          </cell>
          <cell r="E2233">
            <v>0</v>
          </cell>
          <cell r="F2233">
            <v>0</v>
          </cell>
          <cell r="G2233" t="str">
            <v>EXPENDITURE</v>
          </cell>
          <cell r="H2233" t="str">
            <v>OTHER EXPENSES</v>
          </cell>
          <cell r="I2233" t="str">
            <v>MISCELLANEOUS EXPENSES</v>
          </cell>
        </row>
        <row r="2234">
          <cell r="A2234" t="str">
            <v>X521045</v>
          </cell>
          <cell r="B2234" t="str">
            <v>Purchase Price Vairance</v>
          </cell>
          <cell r="C2234" t="str">
            <v>EXPENSES</v>
          </cell>
          <cell r="D2234" t="str">
            <v>INCOME STATEMENT</v>
          </cell>
          <cell r="E2234">
            <v>0</v>
          </cell>
          <cell r="F2234">
            <v>0</v>
          </cell>
          <cell r="G2234" t="str">
            <v>EXPENDITURE</v>
          </cell>
          <cell r="H2234" t="str">
            <v>OTHER EXPENSES</v>
          </cell>
          <cell r="I2234" t="str">
            <v>MISCELLANEOUS EXPENSES</v>
          </cell>
        </row>
        <row r="2235">
          <cell r="A2235" t="str">
            <v>X521046</v>
          </cell>
          <cell r="B2235" t="str">
            <v>Hire Charges - Photocopier</v>
          </cell>
          <cell r="C2235" t="str">
            <v>EXPENSES</v>
          </cell>
          <cell r="D2235" t="str">
            <v>INCOME STATEMENT</v>
          </cell>
          <cell r="E2235">
            <v>0</v>
          </cell>
          <cell r="F2235">
            <v>0</v>
          </cell>
          <cell r="G2235" t="str">
            <v>EXPENDITURE</v>
          </cell>
          <cell r="H2235" t="str">
            <v>OTHER EXPENSES</v>
          </cell>
          <cell r="I2235" t="str">
            <v>MISCELLANEOUS EXPENSES</v>
          </cell>
        </row>
        <row r="2236">
          <cell r="A2236" t="str">
            <v>X521047</v>
          </cell>
          <cell r="B2236" t="str">
            <v>Property Tax</v>
          </cell>
          <cell r="C2236" t="str">
            <v>EXPENSES</v>
          </cell>
          <cell r="D2236" t="str">
            <v>INCOME STATEMENT</v>
          </cell>
          <cell r="E2236">
            <v>0</v>
          </cell>
          <cell r="F2236">
            <v>0</v>
          </cell>
          <cell r="G2236" t="str">
            <v>EXPENDITURE</v>
          </cell>
          <cell r="H2236" t="str">
            <v>OTHER EXPENSES</v>
          </cell>
          <cell r="I2236" t="str">
            <v>MISCELLANEOUS EXPENSES</v>
          </cell>
        </row>
        <row r="2237">
          <cell r="A2237" t="str">
            <v>X521048</v>
          </cell>
          <cell r="B2237" t="str">
            <v>Director's Meeting Fees</v>
          </cell>
          <cell r="C2237" t="str">
            <v>EXPENSES</v>
          </cell>
          <cell r="D2237" t="str">
            <v>INCOME STATEMENT</v>
          </cell>
          <cell r="E2237">
            <v>0</v>
          </cell>
          <cell r="F2237">
            <v>0</v>
          </cell>
          <cell r="G2237" t="str">
            <v>EXPENDITURE</v>
          </cell>
          <cell r="H2237" t="str">
            <v>OTHER EXPENSES</v>
          </cell>
          <cell r="I2237" t="str">
            <v>MISCELLANEOUS EXPENSES</v>
          </cell>
        </row>
        <row r="2238">
          <cell r="A2238" t="str">
            <v>X521049</v>
          </cell>
          <cell r="B2238" t="str">
            <v>Reimbursement of Expenses (DCPC)</v>
          </cell>
          <cell r="C2238" t="str">
            <v>EXPENSES</v>
          </cell>
          <cell r="D2238" t="str">
            <v>INCOME STATEMENT</v>
          </cell>
          <cell r="E2238">
            <v>0</v>
          </cell>
          <cell r="F2238">
            <v>0</v>
          </cell>
          <cell r="G2238" t="str">
            <v>EXPENDITURE</v>
          </cell>
          <cell r="H2238" t="str">
            <v>OTHER EXPENSES</v>
          </cell>
          <cell r="I2238" t="str">
            <v>MISCELLANEOUS EXPENSES</v>
          </cell>
        </row>
        <row r="2239">
          <cell r="A2239" t="str">
            <v>X521050</v>
          </cell>
          <cell r="B2239" t="str">
            <v>Hire Charges- Air Conditioners</v>
          </cell>
          <cell r="C2239" t="str">
            <v>EXPENSES</v>
          </cell>
          <cell r="D2239" t="str">
            <v>INCOME STATEMENT</v>
          </cell>
          <cell r="E2239">
            <v>0</v>
          </cell>
          <cell r="F2239">
            <v>0</v>
          </cell>
          <cell r="G2239" t="str">
            <v>EXPENDITURE</v>
          </cell>
          <cell r="H2239" t="str">
            <v>OTHER EXPENSES</v>
          </cell>
          <cell r="I2239" t="str">
            <v>MISCELLANEOUS EXPENSES</v>
          </cell>
        </row>
        <row r="2240">
          <cell r="A2240" t="str">
            <v>X521051</v>
          </cell>
          <cell r="B2240" t="str">
            <v>Office General Expenses</v>
          </cell>
          <cell r="C2240" t="str">
            <v>EXPENSES</v>
          </cell>
          <cell r="D2240" t="str">
            <v>INCOME STATEMENT</v>
          </cell>
          <cell r="E2240">
            <v>0</v>
          </cell>
          <cell r="F2240">
            <v>0</v>
          </cell>
          <cell r="G2240" t="str">
            <v>EXPENDITURE</v>
          </cell>
          <cell r="H2240" t="str">
            <v>OTHER EXPENSES</v>
          </cell>
          <cell r="I2240" t="str">
            <v>MISCELLANEOUS EXPENSES</v>
          </cell>
        </row>
        <row r="2241">
          <cell r="A2241" t="str">
            <v>X521052</v>
          </cell>
          <cell r="B2241" t="str">
            <v>Period Inspection Charges</v>
          </cell>
          <cell r="C2241" t="str">
            <v>EXPENSES</v>
          </cell>
          <cell r="D2241" t="str">
            <v>INCOME STATEMENT</v>
          </cell>
          <cell r="E2241">
            <v>0</v>
          </cell>
          <cell r="F2241">
            <v>0</v>
          </cell>
          <cell r="G2241" t="str">
            <v>EXPENDITURE</v>
          </cell>
          <cell r="H2241" t="str">
            <v>OTHER EXPENSES</v>
          </cell>
          <cell r="I2241" t="str">
            <v>MISCELLANEOUS EXPENSES</v>
          </cell>
        </row>
        <row r="2242">
          <cell r="A2242" t="str">
            <v>X521053</v>
          </cell>
          <cell r="B2242" t="str">
            <v>House Rent Percentage</v>
          </cell>
          <cell r="C2242" t="str">
            <v>EXPENSES</v>
          </cell>
          <cell r="D2242" t="str">
            <v>INCOME STATEMENT</v>
          </cell>
          <cell r="E2242">
            <v>0</v>
          </cell>
          <cell r="F2242">
            <v>0</v>
          </cell>
          <cell r="G2242" t="str">
            <v>EXPENDITURE</v>
          </cell>
          <cell r="H2242" t="str">
            <v>OTHER EXPENSES</v>
          </cell>
          <cell r="I2242" t="str">
            <v>MISCELLANEOUS EXPENSES</v>
          </cell>
        </row>
        <row r="2243">
          <cell r="A2243" t="str">
            <v>X521054</v>
          </cell>
          <cell r="B2243" t="str">
            <v>VPF Percentage</v>
          </cell>
          <cell r="C2243" t="str">
            <v>EXPENSES</v>
          </cell>
          <cell r="D2243" t="str">
            <v>INCOME STATEMENT</v>
          </cell>
          <cell r="E2243">
            <v>0</v>
          </cell>
          <cell r="F2243">
            <v>0</v>
          </cell>
          <cell r="G2243" t="str">
            <v>EXPENDITURE</v>
          </cell>
          <cell r="H2243" t="str">
            <v>OTHER EXPENSES</v>
          </cell>
          <cell r="I2243" t="str">
            <v>MISCELLANEOUS EXPENSES</v>
          </cell>
        </row>
        <row r="2244">
          <cell r="A2244" t="str">
            <v>X521055</v>
          </cell>
          <cell r="B2244" t="str">
            <v>Notice Period Days</v>
          </cell>
          <cell r="C2244" t="str">
            <v>EXPENSES</v>
          </cell>
          <cell r="D2244" t="str">
            <v>INCOME STATEMENT</v>
          </cell>
          <cell r="E2244">
            <v>0</v>
          </cell>
          <cell r="F2244">
            <v>0</v>
          </cell>
          <cell r="G2244" t="str">
            <v>EXPENDITURE</v>
          </cell>
          <cell r="H2244" t="str">
            <v>OTHER EXPENSES</v>
          </cell>
          <cell r="I2244" t="str">
            <v>MISCELLANEOUS EXPENSES</v>
          </cell>
        </row>
        <row r="2245">
          <cell r="A2245" t="str">
            <v>X521056</v>
          </cell>
          <cell r="B2245" t="str">
            <v>Hire Charges- DG Sets</v>
          </cell>
          <cell r="C2245" t="str">
            <v>EXPENSES</v>
          </cell>
          <cell r="D2245" t="str">
            <v>INCOME STATEMENT</v>
          </cell>
          <cell r="E2245">
            <v>0</v>
          </cell>
          <cell r="F2245">
            <v>0</v>
          </cell>
          <cell r="G2245" t="str">
            <v>EXPENDITURE</v>
          </cell>
          <cell r="H2245" t="str">
            <v>OTHER EXPENSES</v>
          </cell>
          <cell r="I2245" t="str">
            <v>MISCELLANEOUS EXPENSES</v>
          </cell>
        </row>
        <row r="2246">
          <cell r="A2246" t="str">
            <v>X521057</v>
          </cell>
          <cell r="B2246" t="str">
            <v>Scrap Expense</v>
          </cell>
          <cell r="C2246" t="str">
            <v>EXPENSES</v>
          </cell>
          <cell r="D2246" t="str">
            <v>INCOME STATEMENT</v>
          </cell>
          <cell r="E2246">
            <v>0</v>
          </cell>
          <cell r="F2246" t="str">
            <v>SCRAP</v>
          </cell>
          <cell r="G2246" t="str">
            <v>EXPENDITURE</v>
          </cell>
          <cell r="H2246" t="str">
            <v>OTHER EXPENSES</v>
          </cell>
          <cell r="I2246" t="str">
            <v>MISCELLANEOUS EXPENSES</v>
          </cell>
        </row>
        <row r="2247">
          <cell r="A2247" t="str">
            <v>X521058</v>
          </cell>
          <cell r="B2247" t="str">
            <v>Provision for Doubtful Debts (Expense)</v>
          </cell>
          <cell r="C2247" t="str">
            <v>EXPENSES</v>
          </cell>
          <cell r="D2247" t="str">
            <v>INCOME STATEMENT</v>
          </cell>
          <cell r="E2247">
            <v>0</v>
          </cell>
          <cell r="F2247">
            <v>0</v>
          </cell>
          <cell r="G2247" t="str">
            <v>EXPENDITURE</v>
          </cell>
          <cell r="H2247" t="str">
            <v>OTHER EXPENSES</v>
          </cell>
          <cell r="I2247" t="str">
            <v>MISCELLANEOUS EXPENSES</v>
          </cell>
        </row>
        <row r="2248">
          <cell r="A2248" t="str">
            <v>X521059</v>
          </cell>
          <cell r="B2248" t="str">
            <v>F&amp;B Consumables</v>
          </cell>
          <cell r="C2248" t="str">
            <v>EXPENSES</v>
          </cell>
          <cell r="D2248" t="str">
            <v>INCOME STATEMENT</v>
          </cell>
          <cell r="E2248">
            <v>0</v>
          </cell>
          <cell r="F2248">
            <v>0</v>
          </cell>
          <cell r="G2248" t="str">
            <v>EXPENDITURE</v>
          </cell>
          <cell r="H2248" t="str">
            <v>OTHER EXPENSES</v>
          </cell>
          <cell r="I2248" t="str">
            <v>MISCELLANEOUS EXPENSES</v>
          </cell>
        </row>
        <row r="2249">
          <cell r="A2249" t="str">
            <v>X521060</v>
          </cell>
          <cell r="B2249" t="str">
            <v>Commission for Tenners</v>
          </cell>
          <cell r="C2249" t="str">
            <v>EXPENSES</v>
          </cell>
          <cell r="D2249" t="str">
            <v>INCOME STATEMENT</v>
          </cell>
          <cell r="E2249">
            <v>0</v>
          </cell>
          <cell r="F2249">
            <v>0</v>
          </cell>
          <cell r="G2249" t="str">
            <v>EXPENDITURE</v>
          </cell>
          <cell r="H2249" t="str">
            <v>OTHER EXPENSES</v>
          </cell>
          <cell r="I2249" t="str">
            <v>MISCELLANEOUS EXPENSES</v>
          </cell>
        </row>
        <row r="2250">
          <cell r="A2250" t="str">
            <v>X521061</v>
          </cell>
          <cell r="B2250" t="str">
            <v>F&amp;B Consumables - Agt. C Form</v>
          </cell>
          <cell r="C2250" t="str">
            <v>EXPENSES</v>
          </cell>
          <cell r="D2250" t="str">
            <v>INCOME STATEMENT</v>
          </cell>
          <cell r="E2250">
            <v>0</v>
          </cell>
          <cell r="F2250">
            <v>0</v>
          </cell>
          <cell r="G2250" t="str">
            <v>EXPENDITURE</v>
          </cell>
          <cell r="H2250" t="str">
            <v>OTHER EXPENSES</v>
          </cell>
          <cell r="I2250" t="str">
            <v>MISCELLANEOUS EXPENSES</v>
          </cell>
        </row>
        <row r="2251">
          <cell r="A2251" t="str">
            <v>X521062</v>
          </cell>
          <cell r="B2251" t="str">
            <v>Conference Expenses</v>
          </cell>
          <cell r="C2251" t="str">
            <v>EXPENSES</v>
          </cell>
          <cell r="D2251" t="str">
            <v>INCOME STATEMENT</v>
          </cell>
          <cell r="E2251">
            <v>0</v>
          </cell>
          <cell r="F2251">
            <v>0</v>
          </cell>
          <cell r="G2251" t="str">
            <v>EXPENDITURE</v>
          </cell>
          <cell r="H2251" t="str">
            <v>OTHER EXPENSES</v>
          </cell>
          <cell r="I2251" t="str">
            <v>MISCELLANEOUS EXPENSES</v>
          </cell>
        </row>
        <row r="2252">
          <cell r="A2252" t="str">
            <v>X521063</v>
          </cell>
          <cell r="B2252" t="str">
            <v>Gifts &amp; Presentations</v>
          </cell>
          <cell r="C2252" t="str">
            <v>EXPENSES</v>
          </cell>
          <cell r="D2252" t="str">
            <v>INCOME STATEMENT</v>
          </cell>
          <cell r="E2252">
            <v>0</v>
          </cell>
          <cell r="F2252">
            <v>0</v>
          </cell>
          <cell r="G2252" t="str">
            <v>EXPENDITURE</v>
          </cell>
          <cell r="H2252" t="str">
            <v>OTHER EXPENSES</v>
          </cell>
          <cell r="I2252" t="str">
            <v>MISCELLANEOUS EXPENSES</v>
          </cell>
        </row>
        <row r="2253">
          <cell r="A2253" t="str">
            <v>X521064</v>
          </cell>
          <cell r="B2253" t="str">
            <v>Online Expense (Credit Cards)</v>
          </cell>
          <cell r="C2253" t="str">
            <v>EXPENSES</v>
          </cell>
          <cell r="D2253" t="str">
            <v>INCOME STATEMENT</v>
          </cell>
          <cell r="E2253">
            <v>0</v>
          </cell>
          <cell r="F2253">
            <v>0</v>
          </cell>
          <cell r="G2253" t="str">
            <v>EXPENDITURE</v>
          </cell>
          <cell r="H2253" t="str">
            <v>OTHER EXPENSES</v>
          </cell>
          <cell r="I2253" t="str">
            <v>MISCELLANEOUS EXPENSES</v>
          </cell>
        </row>
        <row r="2254">
          <cell r="A2254" t="str">
            <v>X521065</v>
          </cell>
          <cell r="B2254" t="str">
            <v>Ticketing Cost</v>
          </cell>
          <cell r="C2254" t="str">
            <v>EXPENSES</v>
          </cell>
          <cell r="D2254" t="str">
            <v>INCOME STATEMENT</v>
          </cell>
          <cell r="E2254">
            <v>0</v>
          </cell>
          <cell r="F2254">
            <v>0</v>
          </cell>
          <cell r="G2254" t="str">
            <v>EXPENDITURE</v>
          </cell>
          <cell r="H2254" t="str">
            <v>OTHER EXPENSES</v>
          </cell>
          <cell r="I2254" t="str">
            <v>MISCELLANEOUS EXPENSES</v>
          </cell>
        </row>
        <row r="2255">
          <cell r="A2255" t="str">
            <v>X521066</v>
          </cell>
          <cell r="B2255" t="str">
            <v>Cinema Licence Fee</v>
          </cell>
          <cell r="C2255" t="str">
            <v>EXPENSES</v>
          </cell>
          <cell r="D2255" t="str">
            <v>INCOME STATEMENT</v>
          </cell>
          <cell r="E2255">
            <v>0</v>
          </cell>
          <cell r="F2255">
            <v>0</v>
          </cell>
          <cell r="G2255" t="str">
            <v>EXPENDITURE</v>
          </cell>
          <cell r="H2255" t="str">
            <v>OTHER EXPENSES</v>
          </cell>
          <cell r="I2255" t="str">
            <v>MISCELLANEOUS EXPENSES</v>
          </cell>
        </row>
        <row r="2256">
          <cell r="A2256" t="str">
            <v>X521067</v>
          </cell>
          <cell r="B2256" t="str">
            <v>Dividend - Preference Shares</v>
          </cell>
          <cell r="C2256" t="str">
            <v>EXPENSES</v>
          </cell>
          <cell r="D2256" t="str">
            <v>INCOME STATEMENT</v>
          </cell>
          <cell r="E2256">
            <v>0</v>
          </cell>
          <cell r="F2256">
            <v>0</v>
          </cell>
          <cell r="G2256" t="str">
            <v>EXPENDITURE</v>
          </cell>
          <cell r="H2256" t="str">
            <v>OTHER EXPENSES</v>
          </cell>
          <cell r="I2256" t="str">
            <v>MISCELLANEOUS EXPENSES</v>
          </cell>
        </row>
        <row r="2257">
          <cell r="A2257" t="str">
            <v>X521068</v>
          </cell>
          <cell r="B2257" t="str">
            <v>EXCHANGE FLUCTUATION RESERVE</v>
          </cell>
          <cell r="C2257" t="str">
            <v>EXPENSES</v>
          </cell>
          <cell r="D2257" t="str">
            <v>INCOME STATEMENT</v>
          </cell>
          <cell r="G2257" t="str">
            <v>EXPENDITURE</v>
          </cell>
          <cell r="H2257" t="str">
            <v>OTHER EXPENSES</v>
          </cell>
          <cell r="I2257" t="str">
            <v>MISCELLANEOUS EXPENSES</v>
          </cell>
        </row>
        <row r="2258">
          <cell r="A2258" t="str">
            <v>X521069</v>
          </cell>
          <cell r="B2258" t="str">
            <v>SOIL TESTING &amp; DESIGN CONSULT.</v>
          </cell>
          <cell r="C2258" t="str">
            <v>EXPENSES</v>
          </cell>
          <cell r="D2258" t="str">
            <v>INCOME STATEMENT</v>
          </cell>
          <cell r="E2258">
            <v>0</v>
          </cell>
          <cell r="G2258" t="str">
            <v>EXPENDITURE</v>
          </cell>
          <cell r="H2258" t="str">
            <v>OTHER EXPENSES</v>
          </cell>
          <cell r="I2258" t="str">
            <v>MISCELLANEOUS EXPENSES</v>
          </cell>
        </row>
        <row r="2259">
          <cell r="A2259" t="str">
            <v>X521070</v>
          </cell>
          <cell r="B2259" t="str">
            <v>DIRECTORS EXPENSES</v>
          </cell>
          <cell r="C2259" t="str">
            <v>EXPENSES</v>
          </cell>
          <cell r="D2259" t="str">
            <v>INCOME STATEMENT</v>
          </cell>
          <cell r="G2259" t="str">
            <v>EXPENDITURE</v>
          </cell>
          <cell r="H2259" t="str">
            <v>OTHER EXPENSES</v>
          </cell>
          <cell r="I2259" t="str">
            <v>MISCELLANEOUS EXPENSES</v>
          </cell>
        </row>
        <row r="2260">
          <cell r="A2260" t="str">
            <v>X521071</v>
          </cell>
          <cell r="B2260" t="str">
            <v>PERFORMANCE PENALTY</v>
          </cell>
          <cell r="C2260" t="str">
            <v>EXPENSES</v>
          </cell>
          <cell r="D2260" t="str">
            <v>INCOME STATEMENT</v>
          </cell>
          <cell r="G2260" t="str">
            <v>EXPENDITURE</v>
          </cell>
          <cell r="H2260" t="str">
            <v>OTHER EXPENSES</v>
          </cell>
          <cell r="I2260" t="str">
            <v>MISCELLANEOUS EXPENSES</v>
          </cell>
        </row>
        <row r="2261">
          <cell r="A2261" t="str">
            <v>X521072</v>
          </cell>
          <cell r="B2261" t="str">
            <v>INVESTMENT ALLOWANCE</v>
          </cell>
          <cell r="C2261" t="str">
            <v>EXPENSES</v>
          </cell>
          <cell r="D2261" t="str">
            <v>INCOME STATEMENT</v>
          </cell>
          <cell r="G2261" t="str">
            <v>EXPENDITURE</v>
          </cell>
          <cell r="H2261" t="str">
            <v>OTHER EXPENSES</v>
          </cell>
          <cell r="I2261" t="str">
            <v>MISCELLANEOUS EXPENSES</v>
          </cell>
        </row>
        <row r="2262">
          <cell r="A2262" t="str">
            <v>X521998</v>
          </cell>
          <cell r="B2262" t="str">
            <v>IB-EXPENSE</v>
          </cell>
          <cell r="C2262" t="str">
            <v>EXPENSES</v>
          </cell>
          <cell r="D2262" t="str">
            <v>INCOME STATEMENT</v>
          </cell>
          <cell r="E2262">
            <v>0</v>
          </cell>
          <cell r="F2262">
            <v>0</v>
          </cell>
          <cell r="G2262" t="str">
            <v>EXPENDITURE</v>
          </cell>
          <cell r="H2262" t="str">
            <v>OTHER EXPENSES</v>
          </cell>
          <cell r="I2262" t="str">
            <v>MISCELLANEOUS EXPENSES</v>
          </cell>
        </row>
        <row r="2263">
          <cell r="A2263" t="str">
            <v>X521999</v>
          </cell>
          <cell r="B2263" t="str">
            <v>Round Off Account</v>
          </cell>
          <cell r="C2263" t="str">
            <v>EXPENSES</v>
          </cell>
          <cell r="D2263" t="str">
            <v>INCOME STATEMENT</v>
          </cell>
          <cell r="E2263">
            <v>0</v>
          </cell>
          <cell r="F2263" t="str">
            <v>ROUNDING OFF</v>
          </cell>
          <cell r="G2263" t="str">
            <v>EXPENDITURE</v>
          </cell>
          <cell r="H2263" t="str">
            <v>OTHER EXPENSES</v>
          </cell>
          <cell r="I2263" t="str">
            <v>MISCELLANEOUS EXPENSES</v>
          </cell>
        </row>
        <row r="2264">
          <cell r="A2264" t="str">
            <v>X601001</v>
          </cell>
          <cell r="B2264" t="str">
            <v>Provision for Income Tax- Current Period</v>
          </cell>
          <cell r="C2264" t="str">
            <v>EXPENSES</v>
          </cell>
          <cell r="D2264" t="str">
            <v>INCOME STATEMENT</v>
          </cell>
          <cell r="E2264">
            <v>0</v>
          </cell>
          <cell r="F2264">
            <v>0</v>
          </cell>
          <cell r="G2264" t="str">
            <v>EXPENDITURE</v>
          </cell>
          <cell r="H2264" t="str">
            <v>TAXES</v>
          </cell>
          <cell r="I2264" t="str">
            <v>TAXES</v>
          </cell>
        </row>
        <row r="2265">
          <cell r="A2265" t="str">
            <v>X601002</v>
          </cell>
          <cell r="B2265" t="str">
            <v>Provision for Income Tax- Prior Period</v>
          </cell>
          <cell r="C2265" t="str">
            <v>EXPENSES</v>
          </cell>
          <cell r="D2265" t="str">
            <v>INCOME STATEMENT</v>
          </cell>
          <cell r="E2265">
            <v>0</v>
          </cell>
          <cell r="F2265">
            <v>0</v>
          </cell>
          <cell r="G2265" t="str">
            <v>EXPENDITURE</v>
          </cell>
          <cell r="H2265" t="str">
            <v>TAXES</v>
          </cell>
          <cell r="I2265" t="str">
            <v>TAXES</v>
          </cell>
        </row>
        <row r="2266">
          <cell r="A2266" t="str">
            <v>X601003</v>
          </cell>
          <cell r="B2266" t="str">
            <v>Fringe Benefit Tax</v>
          </cell>
          <cell r="C2266" t="str">
            <v>EXPENSES</v>
          </cell>
          <cell r="D2266" t="str">
            <v>INCOME STATEMENT</v>
          </cell>
          <cell r="E2266">
            <v>0</v>
          </cell>
          <cell r="F2266">
            <v>0</v>
          </cell>
          <cell r="G2266" t="str">
            <v>EXPENDITURE</v>
          </cell>
          <cell r="H2266" t="str">
            <v>TAXES</v>
          </cell>
          <cell r="I2266" t="str">
            <v>TAXES</v>
          </cell>
        </row>
        <row r="2267">
          <cell r="A2267" t="str">
            <v>X601004</v>
          </cell>
          <cell r="B2267" t="str">
            <v>Deferred Tax Expenses</v>
          </cell>
          <cell r="C2267" t="str">
            <v>EXPENSES</v>
          </cell>
          <cell r="D2267" t="str">
            <v>INCOME STATEMENT</v>
          </cell>
          <cell r="E2267">
            <v>0</v>
          </cell>
          <cell r="F2267">
            <v>0</v>
          </cell>
          <cell r="G2267" t="str">
            <v>EXPENDITURE</v>
          </cell>
          <cell r="H2267" t="str">
            <v>TAXES</v>
          </cell>
          <cell r="I2267" t="str">
            <v>TAXES</v>
          </cell>
        </row>
        <row r="2268">
          <cell r="A2268" t="str">
            <v>X601005</v>
          </cell>
          <cell r="B2268" t="str">
            <v>Staff Welfare (FBT)</v>
          </cell>
          <cell r="C2268" t="str">
            <v>EXPENSES</v>
          </cell>
          <cell r="D2268" t="str">
            <v>INCOME STATEMENT</v>
          </cell>
          <cell r="E2268">
            <v>0</v>
          </cell>
          <cell r="F2268">
            <v>0</v>
          </cell>
          <cell r="G2268" t="str">
            <v>EXPENDITURE</v>
          </cell>
          <cell r="H2268" t="str">
            <v>TAXES</v>
          </cell>
          <cell r="I2268" t="str">
            <v>TAXES</v>
          </cell>
        </row>
        <row r="2269">
          <cell r="A2269" t="str">
            <v>X601006</v>
          </cell>
          <cell r="B2269" t="str">
            <v>Entertainment Tax</v>
          </cell>
          <cell r="C2269" t="str">
            <v>EXPENSES</v>
          </cell>
          <cell r="D2269" t="str">
            <v>INCOME STATEMENT</v>
          </cell>
          <cell r="E2269">
            <v>0</v>
          </cell>
          <cell r="F2269">
            <v>0</v>
          </cell>
          <cell r="G2269" t="str">
            <v>EXPENDITURE</v>
          </cell>
          <cell r="H2269" t="str">
            <v>TAXES</v>
          </cell>
          <cell r="I2269" t="str">
            <v>TAXES</v>
          </cell>
        </row>
        <row r="2270">
          <cell r="A2270" t="str">
            <v>X601007</v>
          </cell>
          <cell r="B2270" t="str">
            <v>I N R Charges</v>
          </cell>
          <cell r="C2270" t="str">
            <v>EXPENSES</v>
          </cell>
          <cell r="D2270" t="str">
            <v>INCOME STATEMENT</v>
          </cell>
          <cell r="E2270">
            <v>0</v>
          </cell>
          <cell r="F2270">
            <v>0</v>
          </cell>
          <cell r="G2270" t="str">
            <v>EXPENDITURE</v>
          </cell>
          <cell r="H2270" t="str">
            <v>TAXES</v>
          </cell>
          <cell r="I2270" t="str">
            <v>TAXES</v>
          </cell>
        </row>
        <row r="2271">
          <cell r="A2271" t="str">
            <v>X601008</v>
          </cell>
          <cell r="B2271" t="str">
            <v>Dividend Distribution Tax</v>
          </cell>
          <cell r="C2271" t="str">
            <v>EXPENSES</v>
          </cell>
          <cell r="D2271" t="str">
            <v>INCOME STATEMENT</v>
          </cell>
          <cell r="E2271">
            <v>0</v>
          </cell>
          <cell r="F2271">
            <v>0</v>
          </cell>
          <cell r="G2271" t="str">
            <v>EXPENDITURE</v>
          </cell>
          <cell r="H2271" t="str">
            <v>TAXES</v>
          </cell>
          <cell r="I2271" t="str">
            <v>TAXES</v>
          </cell>
        </row>
        <row r="2272">
          <cell r="A2272" t="str">
            <v>X701001</v>
          </cell>
          <cell r="B2272" t="str">
            <v>Amortisation- Land- Lease Hold</v>
          </cell>
          <cell r="C2272" t="str">
            <v>EXPENSES</v>
          </cell>
          <cell r="D2272" t="str">
            <v>INCOME STATEMENT</v>
          </cell>
          <cell r="E2272">
            <v>0</v>
          </cell>
          <cell r="F2272">
            <v>0</v>
          </cell>
          <cell r="G2272" t="str">
            <v>EXPENDITURE</v>
          </cell>
          <cell r="H2272" t="str">
            <v>DEPRECIATION</v>
          </cell>
          <cell r="I2272" t="str">
            <v>DEPRECIATION</v>
          </cell>
        </row>
        <row r="2273">
          <cell r="A2273" t="str">
            <v>X701002</v>
          </cell>
          <cell r="B2273" t="str">
            <v>Depreciation- Buildings</v>
          </cell>
          <cell r="C2273" t="str">
            <v>EXPENSES</v>
          </cell>
          <cell r="D2273" t="str">
            <v>INCOME STATEMENT</v>
          </cell>
          <cell r="E2273">
            <v>0</v>
          </cell>
          <cell r="F2273">
            <v>0</v>
          </cell>
          <cell r="G2273" t="str">
            <v>EXPENDITURE</v>
          </cell>
          <cell r="H2273" t="str">
            <v>DEPRECIATION</v>
          </cell>
          <cell r="I2273" t="str">
            <v>DEPRECIATION</v>
          </cell>
        </row>
        <row r="2274">
          <cell r="A2274" t="str">
            <v>X701003</v>
          </cell>
          <cell r="B2274" t="str">
            <v>Depreciation- Plant &amp; Machinery</v>
          </cell>
          <cell r="C2274" t="str">
            <v>EXPENSES</v>
          </cell>
          <cell r="D2274" t="str">
            <v>INCOME STATEMENT</v>
          </cell>
          <cell r="E2274" t="str">
            <v>DEPRECIATION A/C</v>
          </cell>
          <cell r="F2274">
            <v>0</v>
          </cell>
          <cell r="G2274" t="str">
            <v>EXPENDITURE</v>
          </cell>
          <cell r="H2274" t="str">
            <v>DEPRECIATION</v>
          </cell>
          <cell r="I2274" t="str">
            <v>DEPRECIATION</v>
          </cell>
        </row>
        <row r="2275">
          <cell r="A2275" t="str">
            <v>X701004</v>
          </cell>
          <cell r="B2275" t="str">
            <v>Depreciation- Air Conditions</v>
          </cell>
          <cell r="C2275" t="str">
            <v>EXPENSES</v>
          </cell>
          <cell r="D2275" t="str">
            <v>INCOME STATEMENT</v>
          </cell>
          <cell r="E2275">
            <v>0</v>
          </cell>
          <cell r="F2275">
            <v>0</v>
          </cell>
          <cell r="G2275" t="str">
            <v>EXPENDITURE</v>
          </cell>
          <cell r="H2275" t="str">
            <v>DEPRECIATION</v>
          </cell>
          <cell r="I2275" t="str">
            <v>DEPRECIATION</v>
          </cell>
        </row>
        <row r="2276">
          <cell r="A2276" t="str">
            <v>X701005</v>
          </cell>
          <cell r="B2276" t="str">
            <v>Depreciation- Office Equipments</v>
          </cell>
          <cell r="C2276" t="str">
            <v>EXPENSES</v>
          </cell>
          <cell r="D2276" t="str">
            <v>INCOME STATEMENT</v>
          </cell>
          <cell r="E2276">
            <v>0</v>
          </cell>
          <cell r="F2276">
            <v>0</v>
          </cell>
          <cell r="G2276" t="str">
            <v>EXPENDITURE</v>
          </cell>
          <cell r="H2276" t="str">
            <v>DEPRECIATION</v>
          </cell>
          <cell r="I2276" t="str">
            <v>DEPRECIATION</v>
          </cell>
        </row>
        <row r="2277">
          <cell r="A2277" t="str">
            <v>X701006</v>
          </cell>
          <cell r="B2277" t="str">
            <v>Depreciation- Computers &amp; EDP Hardwares</v>
          </cell>
          <cell r="C2277" t="str">
            <v>EXPENSES</v>
          </cell>
          <cell r="D2277" t="str">
            <v>INCOME STATEMENT</v>
          </cell>
          <cell r="E2277" t="str">
            <v>DEPRECIATION A/C</v>
          </cell>
          <cell r="F2277">
            <v>0</v>
          </cell>
          <cell r="G2277" t="str">
            <v>EXPENDITURE</v>
          </cell>
          <cell r="H2277" t="str">
            <v>DEPRECIATION</v>
          </cell>
          <cell r="I2277" t="str">
            <v>DEPRECIATION</v>
          </cell>
        </row>
        <row r="2278">
          <cell r="A2278" t="str">
            <v>X701007</v>
          </cell>
          <cell r="B2278" t="str">
            <v>Depreciation- Networking And Wan Setup</v>
          </cell>
          <cell r="C2278" t="str">
            <v>EXPENSES</v>
          </cell>
          <cell r="D2278" t="str">
            <v>INCOME STATEMENT</v>
          </cell>
          <cell r="E2278">
            <v>0</v>
          </cell>
          <cell r="F2278">
            <v>0</v>
          </cell>
          <cell r="G2278" t="str">
            <v>EXPENDITURE</v>
          </cell>
          <cell r="H2278" t="str">
            <v>DEPRECIATION</v>
          </cell>
          <cell r="I2278" t="str">
            <v>DEPRECIATION</v>
          </cell>
        </row>
        <row r="2279">
          <cell r="A2279" t="str">
            <v>X701008</v>
          </cell>
          <cell r="B2279" t="str">
            <v>Depreciation- Software</v>
          </cell>
          <cell r="C2279" t="str">
            <v>EXPENSES</v>
          </cell>
          <cell r="D2279" t="str">
            <v>INCOME STATEMENT</v>
          </cell>
          <cell r="E2279">
            <v>0</v>
          </cell>
          <cell r="F2279">
            <v>0</v>
          </cell>
          <cell r="G2279" t="str">
            <v>EXPENDITURE</v>
          </cell>
          <cell r="H2279" t="str">
            <v>DEPRECIATION</v>
          </cell>
          <cell r="I2279" t="str">
            <v>DEPRECIATION</v>
          </cell>
        </row>
        <row r="2280">
          <cell r="A2280" t="str">
            <v>X701009</v>
          </cell>
          <cell r="B2280" t="str">
            <v>Depreciation- Furniture And Fixtures</v>
          </cell>
          <cell r="C2280" t="str">
            <v>EXPENSES</v>
          </cell>
          <cell r="D2280" t="str">
            <v>INCOME STATEMENT</v>
          </cell>
          <cell r="E2280" t="str">
            <v>DEPRECIATION A/C</v>
          </cell>
          <cell r="F2280">
            <v>0</v>
          </cell>
          <cell r="G2280" t="str">
            <v>EXPENDITURE</v>
          </cell>
          <cell r="H2280" t="str">
            <v>DEPRECIATION</v>
          </cell>
          <cell r="I2280" t="str">
            <v>DEPRECIATION</v>
          </cell>
        </row>
        <row r="2281">
          <cell r="A2281" t="str">
            <v>X701010</v>
          </cell>
          <cell r="B2281" t="str">
            <v>Depreciation- Vehicles</v>
          </cell>
          <cell r="C2281" t="str">
            <v>EXPENSES</v>
          </cell>
          <cell r="D2281" t="str">
            <v>INCOME STATEMENT</v>
          </cell>
          <cell r="E2281" t="str">
            <v>DEPRECIATION A/C</v>
          </cell>
          <cell r="F2281">
            <v>0</v>
          </cell>
          <cell r="G2281" t="str">
            <v>EXPENDITURE</v>
          </cell>
          <cell r="H2281" t="str">
            <v>DEPRECIATION</v>
          </cell>
          <cell r="I2281" t="str">
            <v>DEPRECIATION</v>
          </cell>
        </row>
        <row r="2282">
          <cell r="A2282" t="str">
            <v>X701011</v>
          </cell>
          <cell r="B2282" t="str">
            <v>Depreciation- Air Craft</v>
          </cell>
          <cell r="C2282" t="str">
            <v>EXPENSES</v>
          </cell>
          <cell r="D2282" t="str">
            <v>INCOME STATEMENT</v>
          </cell>
          <cell r="E2282">
            <v>0</v>
          </cell>
          <cell r="F2282">
            <v>0</v>
          </cell>
          <cell r="G2282" t="str">
            <v>EXPENDITURE</v>
          </cell>
          <cell r="H2282" t="str">
            <v>DEPRECIATION</v>
          </cell>
          <cell r="I2282" t="str">
            <v>DEPRECIATION</v>
          </cell>
        </row>
        <row r="2283">
          <cell r="A2283" t="str">
            <v>X701012</v>
          </cell>
          <cell r="B2283" t="str">
            <v>Depreciation- Stock Properties</v>
          </cell>
          <cell r="C2283" t="str">
            <v>EXPENSES</v>
          </cell>
          <cell r="D2283" t="str">
            <v>INCOME STATEMENT</v>
          </cell>
          <cell r="E2283">
            <v>0</v>
          </cell>
          <cell r="F2283">
            <v>0</v>
          </cell>
          <cell r="G2283" t="str">
            <v>EXPENDITURE</v>
          </cell>
          <cell r="H2283" t="str">
            <v>DEPRECIATION</v>
          </cell>
          <cell r="I2283" t="str">
            <v>DEPRECIATION</v>
          </cell>
        </row>
        <row r="2284">
          <cell r="A2284" t="str">
            <v>X701013</v>
          </cell>
          <cell r="B2284" t="str">
            <v>Depreciation-Others</v>
          </cell>
          <cell r="C2284" t="str">
            <v>EXPENSES</v>
          </cell>
          <cell r="D2284" t="str">
            <v>INCOME STATEMENT</v>
          </cell>
          <cell r="E2284">
            <v>0</v>
          </cell>
          <cell r="F2284">
            <v>0</v>
          </cell>
          <cell r="G2284" t="str">
            <v>EXPENDITURE</v>
          </cell>
          <cell r="H2284" t="str">
            <v>DEPRECIATION</v>
          </cell>
          <cell r="I2284" t="str">
            <v>DEPRECIATION</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NP+L"/>
      <sheetName val="H1vH2 Split"/>
      <sheetName val="KNBS"/>
      <sheetName val="OPrec"/>
      <sheetName val="ProdLine"/>
      <sheetName val="Customer"/>
      <sheetName val="CBI"/>
      <sheetName val="Expenses"/>
      <sheetName val="Manpower"/>
      <sheetName val="CFlow"/>
      <sheetName val="Capex"/>
      <sheetName val="Markets1"/>
      <sheetName val="Markets 3"/>
      <sheetName val="Markets2"/>
    </sheetNames>
    <sheetDataSet>
      <sheetData sheetId="0" refreshError="1">
        <row r="10">
          <cell r="F10" t="str">
            <v>CRUMLIN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Allocation_Prct"/>
      <sheetName val="G_L_DATA"/>
      <sheetName val="MCSP_Product"/>
      <sheetName val="JEs"/>
      <sheetName val="X_Chrg_1058"/>
      <sheetName val="X_Chrg_1074"/>
      <sheetName val="X_Chrg_1290"/>
      <sheetName val="X_Chrg_1292"/>
      <sheetName val="Cost Center"/>
      <sheetName val="Empl Code"/>
      <sheetName val="GL Account"/>
    </sheetNames>
    <sheetDataSet>
      <sheetData sheetId="0" refreshError="1"/>
      <sheetData sheetId="1"/>
      <sheetData sheetId="2" refreshError="1">
        <row r="84">
          <cell r="B84">
            <v>1010</v>
          </cell>
          <cell r="C84">
            <v>2307219.92</v>
          </cell>
          <cell r="D84">
            <v>992236.51</v>
          </cell>
          <cell r="E84">
            <v>536509.86</v>
          </cell>
        </row>
        <row r="85">
          <cell r="B85">
            <v>1058</v>
          </cell>
          <cell r="C85">
            <v>53110.25</v>
          </cell>
          <cell r="D85">
            <v>701.4299274</v>
          </cell>
          <cell r="E85">
            <v>4617.24</v>
          </cell>
        </row>
        <row r="86">
          <cell r="B86">
            <v>1074</v>
          </cell>
          <cell r="C86">
            <v>102503.8474576</v>
          </cell>
          <cell r="D86">
            <v>14580.596800000001</v>
          </cell>
          <cell r="E86">
            <v>20049.36</v>
          </cell>
        </row>
        <row r="87">
          <cell r="B87">
            <v>1290</v>
          </cell>
          <cell r="C87">
            <v>199864.35900550001</v>
          </cell>
          <cell r="D87">
            <v>2620.8786907000003</v>
          </cell>
          <cell r="E87">
            <v>37142.15</v>
          </cell>
        </row>
        <row r="88">
          <cell r="B88">
            <v>1292</v>
          </cell>
          <cell r="C88">
            <v>774549.15153999999</v>
          </cell>
          <cell r="D88">
            <v>61261.282980000004</v>
          </cell>
          <cell r="E88">
            <v>45688.21</v>
          </cell>
        </row>
      </sheetData>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DHS"/>
      <sheetName val="PBC"/>
      <sheetName val="AJE "/>
      <sheetName val="Tickmarks"/>
    </sheetNames>
    <sheetDataSet>
      <sheetData sheetId="0" refreshError="1"/>
      <sheetData sheetId="1" refreshError="1"/>
      <sheetData sheetId="2"/>
      <sheetData sheetId="3" refreshError="1"/>
      <sheetData sheetId="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One year"/>
      <sheetName val="P&amp;L-One Year"/>
      <sheetName val="FA-Schedule"/>
      <sheetName val="Groupings"/>
      <sheetName val="TrialBal"/>
      <sheetName val="Share Application Money"/>
      <sheetName val="Deposits"/>
      <sheetName val="Deffered Tax Liab"/>
      <sheetName val="Advance from Customer"/>
      <sheetName val="Intercompany Services"/>
      <sheetName val="Medical Exp"/>
      <sheetName val="Recruitment Exp"/>
      <sheetName val="Security Exp"/>
      <sheetName val="Conveyance"/>
      <sheetName val="Car Repair &amp; Petrol"/>
      <sheetName val="Travelling Exp"/>
      <sheetName val="Cab Hire Charges"/>
      <sheetName val="Rent &amp; Hire Charges"/>
      <sheetName val="Hire Charges"/>
      <sheetName val="Repair &amp; Maintenance"/>
      <sheetName val="Electricity Charges"/>
      <sheetName val="Insurance"/>
      <sheetName val="Printing &amp; Stationery"/>
      <sheetName val="Books &amp; Periodicals"/>
      <sheetName val="Business Promotion"/>
      <sheetName val="Diwali Exp"/>
      <sheetName val="Office Exp."/>
      <sheetName val="Misc Exp"/>
      <sheetName val="Water Exp"/>
      <sheetName val="Telephone"/>
      <sheetName val="Courier Charges"/>
      <sheetName val="Computer Exp."/>
      <sheetName val="Audit &amp; Accounting"/>
      <sheetName val="Membership &amp; Subs"/>
      <sheetName val="Professional Fee-Other"/>
      <sheetName val="Taxes &amp; Licenses"/>
      <sheetName val="Bank Charges"/>
      <sheetName val="Misc."/>
      <sheetName val="Assets with Dep. upto Sept 06"/>
      <sheetName val="Total OT"/>
      <sheetName val="Salary &amp; Allowances"/>
      <sheetName val="Oct-05"/>
      <sheetName val="Nov-05"/>
      <sheetName val="Dec-05"/>
      <sheetName val="Jan-06 "/>
      <sheetName val="Feb-06"/>
      <sheetName val="Mar-06"/>
      <sheetName val="Apr-06"/>
      <sheetName val="May-06"/>
      <sheetName val="Jun-06"/>
      <sheetName val="Jul-06"/>
      <sheetName val="Aug-06"/>
      <sheetName val="Sep-06"/>
      <sheetName val="Bank book"/>
      <sheetName val="Cash book"/>
      <sheetName val="GT_Cust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One year"/>
      <sheetName val="P&amp;L-One Year"/>
      <sheetName val="FA-Schedule"/>
      <sheetName val="Groupings"/>
      <sheetName val="TrialBal"/>
      <sheetName val="Share Application Money"/>
      <sheetName val="Deposits"/>
      <sheetName val="Deffered Tax Liab"/>
      <sheetName val="Advance from Customer"/>
      <sheetName val="Intercompany Services"/>
      <sheetName val="Medical Exp"/>
      <sheetName val="Recruitment Exp"/>
      <sheetName val="Security Exp"/>
      <sheetName val="Conveyance"/>
      <sheetName val="Car Repair &amp; Petrol"/>
      <sheetName val="Travelling Exp"/>
      <sheetName val="Cab Hire Charges"/>
      <sheetName val="Rent &amp; Hire Charges"/>
      <sheetName val="Hire Charges"/>
      <sheetName val="Repair &amp; Maintenance"/>
      <sheetName val="Electricity Charges"/>
      <sheetName val="Insurance"/>
      <sheetName val="Printing &amp; Stationery"/>
      <sheetName val="Books &amp; Periodicals"/>
      <sheetName val="Business Promotion"/>
      <sheetName val="Diwali Exp"/>
      <sheetName val="Office Exp."/>
      <sheetName val="Misc Exp"/>
      <sheetName val="Water Exp"/>
      <sheetName val="Telephone"/>
      <sheetName val="Courier Charges"/>
      <sheetName val="Computer Exp."/>
      <sheetName val="Audit &amp; Accounting"/>
      <sheetName val="Membership &amp; Subs"/>
      <sheetName val="Professional Fee-Other"/>
      <sheetName val="Taxes &amp; Licenses"/>
      <sheetName val="Bank Charges"/>
      <sheetName val="Misc."/>
      <sheetName val="Assets with Dep. upto Sept 06"/>
      <sheetName val="Total OT"/>
      <sheetName val="Salary &amp; Allowances"/>
      <sheetName val="Oct-05"/>
      <sheetName val="Nov-05"/>
      <sheetName val="Dec-05"/>
      <sheetName val="Jan-06 "/>
      <sheetName val="Feb-06"/>
      <sheetName val="Mar-06"/>
      <sheetName val="Apr-06"/>
      <sheetName val="May-06"/>
      <sheetName val="Jun-06"/>
      <sheetName val="Jul-06"/>
      <sheetName val="Aug-06"/>
      <sheetName val="Sep-06"/>
      <sheetName val="Bank book"/>
      <sheetName val="Cash book"/>
      <sheetName val="GT_Custom"/>
      <sheetName val="EX 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
      <sheetName val="Summary"/>
      <sheetName val="1"/>
      <sheetName val="2"/>
      <sheetName val="3"/>
      <sheetName val="4"/>
      <sheetName val="4(a)"/>
      <sheetName val="4 Kaushik"/>
      <sheetName val="4(a) Kaushik"/>
      <sheetName val="4(b)"/>
      <sheetName val="5(a)"/>
      <sheetName val="5(b)"/>
      <sheetName val="6"/>
      <sheetName val="7(a)"/>
      <sheetName val="7(b)"/>
      <sheetName val="7(c)"/>
      <sheetName val="7(d)"/>
      <sheetName val="7(e)"/>
      <sheetName val="7(f)"/>
      <sheetName val="7(g)"/>
      <sheetName val="8"/>
      <sheetName val="9"/>
      <sheetName val="10"/>
      <sheetName val="11"/>
      <sheetName val="12"/>
      <sheetName val="13"/>
      <sheetName val="14"/>
      <sheetName val="15"/>
      <sheetName val="16"/>
      <sheetName val="Clause 21(i)A"/>
      <sheetName val="Clause 21(i)B"/>
      <sheetName val="Clause 22(b)"/>
      <sheetName val="Clause 27(b)"/>
      <sheetName val="7(e)NA"/>
      <sheetName val="7(f)NA"/>
      <sheetName val="7(j)"/>
      <sheetName val="Ratio Workings"/>
      <sheetName val="Clause32work"/>
      <sheetName val="Workings"/>
      <sheetName val="5(a)NA"/>
      <sheetName val="5(b)NA"/>
      <sheetName val="4(a)NA"/>
      <sheetName val="4(b)NA"/>
      <sheetName val="Wrk for PF"/>
      <sheetName val="7(c) NA"/>
      <sheetName val="Sheet1"/>
      <sheetName val="old_serial no."/>
      <sheetName val="tot_ass_9697"/>
      <sheetName val="Ratio _x0016_orkings"/>
      <sheetName val="5_a_"/>
      <sheetName val="coa_ramco_168"/>
      <sheetName val="P &amp; L"/>
      <sheetName val="Bal Sheet"/>
      <sheetName val="defaults"/>
      <sheetName val="header"/>
      <sheetName val="IT_FBT_DDTP"/>
      <sheetName val="MenuData"/>
      <sheetName val="anx3cd01-02 new"/>
      <sheetName val="Subscription"/>
      <sheetName val="4219020-SIE Advert"/>
      <sheetName val="Dont Alter"/>
      <sheetName val="#REF"/>
      <sheetName val="Ledger"/>
      <sheetName val="Invoice"/>
      <sheetName val="Asset Account Assignments"/>
      <sheetName val="Main Sheet"/>
      <sheetName val="Ratio _x005f_x0016_orkings"/>
      <sheetName val="M_List"/>
      <sheetName val="OK_Rep_Code"/>
      <sheetName val="4_Kaushik"/>
      <sheetName val="4(a)_Kaushik"/>
      <sheetName val="Clause_21(i)A"/>
      <sheetName val="Clause_21(i)B"/>
      <sheetName val="Clause_22(b)"/>
      <sheetName val="Clause_27(b)"/>
      <sheetName val="Ratio_Workings"/>
      <sheetName val="Wrk_for_PF"/>
      <sheetName val="7(c)_NA"/>
      <sheetName val="old_serial_no_"/>
      <sheetName val="Ratio_orkings"/>
      <sheetName val="P_&amp;_L"/>
      <sheetName val="Bal_Sheet"/>
      <sheetName val="anx3cd01-02_new"/>
      <sheetName val="4219020-SIE_Advert"/>
      <sheetName val="Dont_Alter"/>
      <sheetName val="Asset_Account_Assignments"/>
      <sheetName val="Main_Sheet"/>
      <sheetName val="CC_Inventory_Assumption"/>
      <sheetName val="Tender Summary"/>
      <sheetName val="FT-05-02IsoBOM"/>
      <sheetName val="Staffing"/>
      <sheetName val="4_Kaushik1"/>
      <sheetName val="4(a)_Kaushik1"/>
      <sheetName val="Clause_21(i)A1"/>
      <sheetName val="Clause_21(i)B1"/>
      <sheetName val="Clause_22(b)1"/>
      <sheetName val="Clause_27(b)1"/>
      <sheetName val="Ratio_Workings1"/>
      <sheetName val="Wrk_for_PF1"/>
      <sheetName val="7(c)_NA1"/>
      <sheetName val="4_Kaushik3"/>
      <sheetName val="4(a)_Kaushik3"/>
      <sheetName val="Clause_21(i)A3"/>
      <sheetName val="Clause_21(i)B3"/>
      <sheetName val="Clause_22(b)3"/>
      <sheetName val="Clause_27(b)3"/>
      <sheetName val="Ratio_Workings3"/>
      <sheetName val="Wrk_for_PF3"/>
      <sheetName val="7(c)_NA3"/>
      <sheetName val="4_Kaushik2"/>
      <sheetName val="4(a)_Kaushik2"/>
      <sheetName val="Clause_21(i)A2"/>
      <sheetName val="Clause_21(i)B2"/>
      <sheetName val="Clause_22(b)2"/>
      <sheetName val="Clause_27(b)2"/>
      <sheetName val="Ratio_Workings2"/>
      <sheetName val="Wrk_for_PF2"/>
      <sheetName val="7(c)_NA2"/>
      <sheetName val="4_Kaushik4"/>
      <sheetName val="4(a)_Kaushik4"/>
      <sheetName val="Clause_21(i)A4"/>
      <sheetName val="Clause_21(i)B4"/>
      <sheetName val="Clause_22(b)4"/>
      <sheetName val="Clause_27(b)4"/>
      <sheetName val="Ratio_Workings4"/>
      <sheetName val="Wrk_for_PF4"/>
      <sheetName val="7(c)_NA4"/>
      <sheetName val="4_Kaushik6"/>
      <sheetName val="4(a)_Kaushik6"/>
      <sheetName val="Clause_21(i)A6"/>
      <sheetName val="Clause_21(i)B6"/>
      <sheetName val="Clause_22(b)6"/>
      <sheetName val="Clause_27(b)6"/>
      <sheetName val="Ratio_Workings6"/>
      <sheetName val="Wrk_for_PF6"/>
      <sheetName val="7(c)_NA6"/>
      <sheetName val="Asset_Account_Assignments2"/>
      <sheetName val="4_Kaushik5"/>
      <sheetName val="4(a)_Kaushik5"/>
      <sheetName val="Clause_21(i)A5"/>
      <sheetName val="Clause_21(i)B5"/>
      <sheetName val="Clause_22(b)5"/>
      <sheetName val="Clause_27(b)5"/>
      <sheetName val="Ratio_Workings5"/>
      <sheetName val="Wrk_for_PF5"/>
      <sheetName val="7(c)_NA5"/>
      <sheetName val="Asset_Account_Assignments1"/>
      <sheetName val="4_Kaushik7"/>
      <sheetName val="4(a)_Kaushik7"/>
      <sheetName val="Clause_21(i)A7"/>
      <sheetName val="Clause_21(i)B7"/>
      <sheetName val="Clause_22(b)7"/>
      <sheetName val="Clause_27(b)7"/>
      <sheetName val="Ratio_Workings7"/>
      <sheetName val="Wrk_for_PF7"/>
      <sheetName val="7(c)_NA7"/>
      <sheetName val="Asset_Account_Assignments3"/>
      <sheetName val="dcf"/>
      <sheetName val="inWords"/>
      <sheetName val="BSheet"/>
      <sheetName val="DEPR"/>
      <sheetName val="Fill this out first..."/>
      <sheetName val="GBW"/>
      <sheetName val="Data"/>
      <sheetName val="A"/>
      <sheetName val="4_Kaushik9"/>
      <sheetName val="4(a)_Kaushik9"/>
      <sheetName val="Clause_21(i)A9"/>
      <sheetName val="Clause_21(i)B9"/>
      <sheetName val="Clause_22(b)9"/>
      <sheetName val="Clause_27(b)9"/>
      <sheetName val="Ratio_Workings9"/>
      <sheetName val="Wrk_for_PF9"/>
      <sheetName val="7(c)_NA9"/>
      <sheetName val="Asset_Account_Assignments5"/>
      <sheetName val="4_Kaushik8"/>
      <sheetName val="4(a)_Kaushik8"/>
      <sheetName val="Clause_21(i)A8"/>
      <sheetName val="Clause_21(i)B8"/>
      <sheetName val="Clause_22(b)8"/>
      <sheetName val="Clause_27(b)8"/>
      <sheetName val="Ratio_Workings8"/>
      <sheetName val="Wrk_for_PF8"/>
      <sheetName val="7(c)_NA8"/>
      <sheetName val="Asset_Account_Assignments4"/>
      <sheetName val="RG1"/>
    </sheetNames>
    <sheetDataSet>
      <sheetData sheetId="0">
        <row r="6">
          <cell r="A6" t="str">
            <v>Bhubaneswar</v>
          </cell>
        </row>
      </sheetData>
      <sheetData sheetId="1"/>
      <sheetData sheetId="2"/>
      <sheetData sheetId="3"/>
      <sheetData sheetId="4"/>
      <sheetData sheetId="5"/>
      <sheetData sheetId="6"/>
      <sheetData sheetId="7"/>
      <sheetData sheetId="8"/>
      <sheetData sheetId="9"/>
      <sheetData sheetId="10" refreshError="1">
        <row r="6">
          <cell r="A6" t="str">
            <v>Bhubaneswar</v>
          </cell>
          <cell r="B6">
            <v>110</v>
          </cell>
          <cell r="C6">
            <v>37018</v>
          </cell>
          <cell r="D6">
            <v>348.95</v>
          </cell>
          <cell r="E6">
            <v>37043</v>
          </cell>
          <cell r="F6">
            <v>430.85</v>
          </cell>
          <cell r="G6">
            <v>37074</v>
          </cell>
          <cell r="H6">
            <v>348.95</v>
          </cell>
          <cell r="I6">
            <v>37105</v>
          </cell>
          <cell r="J6">
            <v>611</v>
          </cell>
          <cell r="K6">
            <v>37134</v>
          </cell>
          <cell r="L6">
            <v>393.2</v>
          </cell>
          <cell r="M6">
            <v>37165</v>
          </cell>
          <cell r="N6">
            <v>318.75</v>
          </cell>
          <cell r="O6">
            <v>37200</v>
          </cell>
          <cell r="P6">
            <v>431</v>
          </cell>
          <cell r="Q6">
            <v>37228</v>
          </cell>
          <cell r="R6">
            <v>444.1</v>
          </cell>
          <cell r="S6">
            <v>37254</v>
          </cell>
          <cell r="T6">
            <v>331.6</v>
          </cell>
          <cell r="U6">
            <v>37287</v>
          </cell>
          <cell r="V6">
            <v>276.75</v>
          </cell>
          <cell r="W6">
            <v>37316</v>
          </cell>
          <cell r="X6">
            <v>413.9</v>
          </cell>
          <cell r="Y6">
            <v>37342</v>
          </cell>
        </row>
        <row r="7">
          <cell r="A7" t="str">
            <v>Calcutta</v>
          </cell>
          <cell r="B7">
            <v>2305.9499999999998</v>
          </cell>
          <cell r="C7">
            <v>37033</v>
          </cell>
          <cell r="D7">
            <v>1695</v>
          </cell>
          <cell r="E7">
            <v>37060</v>
          </cell>
          <cell r="F7">
            <v>1947</v>
          </cell>
          <cell r="G7">
            <v>37091</v>
          </cell>
          <cell r="H7">
            <v>2793</v>
          </cell>
          <cell r="I7">
            <v>37124</v>
          </cell>
          <cell r="J7">
            <v>1897</v>
          </cell>
          <cell r="K7">
            <v>37152</v>
          </cell>
          <cell r="L7">
            <v>1989</v>
          </cell>
          <cell r="M7">
            <v>37183</v>
          </cell>
          <cell r="N7">
            <v>1356</v>
          </cell>
          <cell r="O7">
            <v>37210</v>
          </cell>
          <cell r="P7">
            <v>3761</v>
          </cell>
          <cell r="Q7">
            <v>37245</v>
          </cell>
          <cell r="R7">
            <v>1804</v>
          </cell>
          <cell r="S7">
            <v>37287</v>
          </cell>
          <cell r="T7">
            <v>1167.55</v>
          </cell>
          <cell r="U7">
            <v>37307</v>
          </cell>
          <cell r="V7">
            <v>1317.45</v>
          </cell>
          <cell r="W7">
            <v>37335</v>
          </cell>
          <cell r="X7">
            <v>3067</v>
          </cell>
          <cell r="Y7">
            <v>37358</v>
          </cell>
        </row>
        <row r="8">
          <cell r="A8" t="str">
            <v>Additional Payment</v>
          </cell>
          <cell r="L8">
            <v>607</v>
          </cell>
          <cell r="M8">
            <v>37293</v>
          </cell>
        </row>
        <row r="9">
          <cell r="A9" t="str">
            <v>Durgapur</v>
          </cell>
          <cell r="B9">
            <v>655.8</v>
          </cell>
          <cell r="C9">
            <v>37245</v>
          </cell>
          <cell r="D9">
            <v>686.55</v>
          </cell>
          <cell r="E9">
            <v>37328</v>
          </cell>
          <cell r="F9">
            <v>895.35</v>
          </cell>
          <cell r="G9">
            <v>37328</v>
          </cell>
          <cell r="H9">
            <v>674.25</v>
          </cell>
          <cell r="I9">
            <v>37328</v>
          </cell>
          <cell r="J9">
            <v>746.5</v>
          </cell>
          <cell r="K9">
            <v>37328</v>
          </cell>
          <cell r="L9">
            <v>690.55</v>
          </cell>
          <cell r="M9">
            <v>37328</v>
          </cell>
          <cell r="N9">
            <v>329.95</v>
          </cell>
          <cell r="O9">
            <v>37329</v>
          </cell>
          <cell r="P9">
            <v>362.4</v>
          </cell>
          <cell r="Q9">
            <v>37329</v>
          </cell>
          <cell r="R9">
            <v>368.2</v>
          </cell>
          <cell r="S9">
            <v>37329</v>
          </cell>
          <cell r="T9">
            <v>364.75</v>
          </cell>
          <cell r="U9">
            <v>37314</v>
          </cell>
          <cell r="V9">
            <v>582.9</v>
          </cell>
          <cell r="W9">
            <v>37337</v>
          </cell>
          <cell r="X9">
            <v>524.65</v>
          </cell>
          <cell r="Y9">
            <v>37350</v>
          </cell>
        </row>
        <row r="10">
          <cell r="A10" t="str">
            <v>Guwahati</v>
          </cell>
          <cell r="B10">
            <v>903.6</v>
          </cell>
          <cell r="C10">
            <v>37027</v>
          </cell>
          <cell r="D10">
            <v>870.35</v>
          </cell>
          <cell r="E10">
            <v>37050</v>
          </cell>
          <cell r="F10">
            <v>5916.55</v>
          </cell>
          <cell r="G10">
            <v>37092</v>
          </cell>
          <cell r="H10">
            <v>956</v>
          </cell>
          <cell r="I10">
            <v>37139</v>
          </cell>
          <cell r="J10">
            <v>1981.2</v>
          </cell>
          <cell r="K10">
            <v>37161</v>
          </cell>
          <cell r="L10">
            <v>1842.8</v>
          </cell>
          <cell r="M10">
            <v>37193</v>
          </cell>
          <cell r="N10">
            <v>294.35000000000002</v>
          </cell>
          <cell r="O10">
            <v>37221</v>
          </cell>
          <cell r="P10">
            <v>465</v>
          </cell>
          <cell r="Q10">
            <v>37244</v>
          </cell>
          <cell r="R10">
            <v>388</v>
          </cell>
          <cell r="S10">
            <v>37264</v>
          </cell>
          <cell r="T10">
            <v>536</v>
          </cell>
          <cell r="U10">
            <v>37303</v>
          </cell>
          <cell r="V10">
            <v>695.65</v>
          </cell>
          <cell r="W10">
            <v>37327</v>
          </cell>
          <cell r="X10">
            <v>1538.5</v>
          </cell>
          <cell r="Y10">
            <v>37356</v>
          </cell>
        </row>
        <row r="11">
          <cell r="A11" t="str">
            <v>Patna</v>
          </cell>
          <cell r="B11">
            <v>643</v>
          </cell>
          <cell r="C11">
            <v>37022</v>
          </cell>
          <cell r="D11">
            <v>783</v>
          </cell>
          <cell r="E11">
            <v>37046</v>
          </cell>
          <cell r="F11">
            <v>843</v>
          </cell>
          <cell r="G11">
            <v>37071</v>
          </cell>
          <cell r="H11">
            <v>841</v>
          </cell>
          <cell r="I11">
            <v>37105</v>
          </cell>
          <cell r="J11">
            <v>1207</v>
          </cell>
          <cell r="K11">
            <v>37152</v>
          </cell>
          <cell r="L11">
            <v>1282</v>
          </cell>
          <cell r="M11">
            <v>37182</v>
          </cell>
          <cell r="N11">
            <v>859</v>
          </cell>
          <cell r="O11">
            <v>37223</v>
          </cell>
          <cell r="P11">
            <v>643</v>
          </cell>
          <cell r="Q11">
            <v>37228</v>
          </cell>
          <cell r="R11">
            <v>768.85</v>
          </cell>
          <cell r="S11">
            <v>37256</v>
          </cell>
          <cell r="T11">
            <v>654</v>
          </cell>
          <cell r="U11">
            <v>37313</v>
          </cell>
          <cell r="V11">
            <v>649</v>
          </cell>
          <cell r="W11">
            <v>37342</v>
          </cell>
          <cell r="X11">
            <v>944</v>
          </cell>
          <cell r="Y11">
            <v>37348</v>
          </cell>
        </row>
        <row r="12">
          <cell r="A12" t="str">
            <v>Ranchi</v>
          </cell>
          <cell r="B12">
            <v>861.1</v>
          </cell>
          <cell r="C12">
            <v>37019</v>
          </cell>
          <cell r="D12">
            <v>767.25</v>
          </cell>
          <cell r="E12">
            <v>37041</v>
          </cell>
          <cell r="F12">
            <v>891.05</v>
          </cell>
          <cell r="G12">
            <v>37082</v>
          </cell>
          <cell r="H12">
            <v>970.25</v>
          </cell>
          <cell r="I12">
            <v>37120</v>
          </cell>
          <cell r="J12">
            <v>971.3</v>
          </cell>
          <cell r="K12">
            <v>37152</v>
          </cell>
          <cell r="L12">
            <v>1009.65</v>
          </cell>
          <cell r="M12">
            <v>37179</v>
          </cell>
          <cell r="N12">
            <v>208.1</v>
          </cell>
          <cell r="O12">
            <v>37217</v>
          </cell>
          <cell r="P12">
            <v>538.1</v>
          </cell>
          <cell r="Q12">
            <v>37260</v>
          </cell>
          <cell r="R12">
            <v>564.65</v>
          </cell>
          <cell r="S12">
            <v>37260</v>
          </cell>
          <cell r="T12">
            <v>526.4</v>
          </cell>
          <cell r="U12">
            <v>37326</v>
          </cell>
          <cell r="V12">
            <v>568.29999999999995</v>
          </cell>
          <cell r="W12">
            <v>37326</v>
          </cell>
          <cell r="X12">
            <v>671.35</v>
          </cell>
          <cell r="Y12">
            <v>37349</v>
          </cell>
        </row>
        <row r="13">
          <cell r="A13" t="str">
            <v>Chandigarh</v>
          </cell>
          <cell r="B13">
            <v>808</v>
          </cell>
          <cell r="C13">
            <v>37012</v>
          </cell>
          <cell r="D13">
            <v>939</v>
          </cell>
          <cell r="E13">
            <v>37040</v>
          </cell>
          <cell r="F13">
            <v>4018</v>
          </cell>
          <cell r="G13">
            <v>37071</v>
          </cell>
          <cell r="H13">
            <v>2471</v>
          </cell>
          <cell r="I13">
            <v>37103</v>
          </cell>
          <cell r="J13">
            <v>2096</v>
          </cell>
          <cell r="K13">
            <v>37134</v>
          </cell>
          <cell r="L13">
            <v>1620</v>
          </cell>
          <cell r="M13">
            <v>37165</v>
          </cell>
          <cell r="N13">
            <v>604</v>
          </cell>
          <cell r="O13">
            <v>37194</v>
          </cell>
          <cell r="P13">
            <v>702</v>
          </cell>
          <cell r="Q13">
            <v>37228</v>
          </cell>
          <cell r="R13">
            <v>695</v>
          </cell>
          <cell r="S13">
            <v>37257</v>
          </cell>
          <cell r="T13">
            <v>728</v>
          </cell>
          <cell r="U13">
            <v>37287</v>
          </cell>
          <cell r="V13">
            <v>724</v>
          </cell>
          <cell r="W13">
            <v>37319</v>
          </cell>
          <cell r="X13">
            <v>943</v>
          </cell>
          <cell r="Y13">
            <v>37343</v>
          </cell>
        </row>
        <row r="14">
          <cell r="A14" t="str">
            <v>Delhi North(I)</v>
          </cell>
          <cell r="B14">
            <v>695.15</v>
          </cell>
          <cell r="C14">
            <v>37025</v>
          </cell>
          <cell r="D14">
            <v>935</v>
          </cell>
          <cell r="E14">
            <v>37060</v>
          </cell>
          <cell r="F14">
            <v>2225</v>
          </cell>
          <cell r="G14">
            <v>37091</v>
          </cell>
          <cell r="H14">
            <v>1178</v>
          </cell>
          <cell r="I14">
            <v>37123</v>
          </cell>
          <cell r="J14">
            <v>1476</v>
          </cell>
          <cell r="K14">
            <v>37152</v>
          </cell>
          <cell r="L14">
            <v>1414</v>
          </cell>
          <cell r="M14">
            <v>37175</v>
          </cell>
        </row>
        <row r="15">
          <cell r="A15" t="str">
            <v>Delhi South(II)</v>
          </cell>
          <cell r="B15">
            <v>618</v>
          </cell>
          <cell r="C15">
            <v>37022</v>
          </cell>
          <cell r="D15">
            <v>740</v>
          </cell>
          <cell r="E15">
            <v>37060</v>
          </cell>
          <cell r="F15">
            <v>1727</v>
          </cell>
          <cell r="G15">
            <v>37090</v>
          </cell>
          <cell r="H15">
            <v>1265</v>
          </cell>
          <cell r="I15">
            <v>37123</v>
          </cell>
          <cell r="J15">
            <v>2380</v>
          </cell>
          <cell r="K15">
            <v>37152</v>
          </cell>
          <cell r="L15">
            <v>1729</v>
          </cell>
          <cell r="M15">
            <v>37175</v>
          </cell>
          <cell r="N15">
            <v>667</v>
          </cell>
          <cell r="O15">
            <v>37215</v>
          </cell>
          <cell r="P15">
            <v>1738</v>
          </cell>
          <cell r="Q15">
            <v>37244</v>
          </cell>
          <cell r="R15">
            <v>2046</v>
          </cell>
          <cell r="S15">
            <v>37264</v>
          </cell>
          <cell r="T15">
            <v>2697</v>
          </cell>
          <cell r="U15">
            <v>37295</v>
          </cell>
          <cell r="V15">
            <v>1400</v>
          </cell>
          <cell r="W15">
            <v>37330</v>
          </cell>
          <cell r="X15">
            <v>1449</v>
          </cell>
          <cell r="Y15">
            <v>37343</v>
          </cell>
        </row>
        <row r="16">
          <cell r="A16" t="str">
            <v>Ghaziabad</v>
          </cell>
          <cell r="N16">
            <v>136.5</v>
          </cell>
          <cell r="O16">
            <v>37204</v>
          </cell>
          <cell r="P16">
            <v>327</v>
          </cell>
          <cell r="Q16">
            <v>37238</v>
          </cell>
          <cell r="R16">
            <v>197</v>
          </cell>
          <cell r="S16">
            <v>37264</v>
          </cell>
          <cell r="T16">
            <v>212</v>
          </cell>
          <cell r="U16">
            <v>37294</v>
          </cell>
          <cell r="V16">
            <v>160.5</v>
          </cell>
          <cell r="W16">
            <v>37326</v>
          </cell>
          <cell r="X16">
            <v>200</v>
          </cell>
          <cell r="Y16">
            <v>37349</v>
          </cell>
        </row>
        <row r="17">
          <cell r="A17" t="str">
            <v>Lucknow</v>
          </cell>
          <cell r="B17">
            <v>171.7</v>
          </cell>
          <cell r="C17">
            <v>37022</v>
          </cell>
          <cell r="D17">
            <v>86.45</v>
          </cell>
          <cell r="E17">
            <v>37043</v>
          </cell>
          <cell r="F17">
            <v>247.25</v>
          </cell>
          <cell r="G17">
            <v>37092</v>
          </cell>
          <cell r="H17">
            <v>447.55</v>
          </cell>
          <cell r="I17">
            <v>37127</v>
          </cell>
          <cell r="J17">
            <v>86.45</v>
          </cell>
          <cell r="K17">
            <v>37179</v>
          </cell>
          <cell r="L17">
            <v>93.55</v>
          </cell>
          <cell r="M17">
            <v>37179</v>
          </cell>
          <cell r="T17">
            <v>91</v>
          </cell>
          <cell r="U17">
            <v>37323</v>
          </cell>
          <cell r="V17">
            <v>91</v>
          </cell>
          <cell r="W17">
            <v>37323</v>
          </cell>
          <cell r="X17">
            <v>91</v>
          </cell>
          <cell r="Y17">
            <v>37342</v>
          </cell>
        </row>
        <row r="18">
          <cell r="A18" t="str">
            <v>Kanpur</v>
          </cell>
          <cell r="B18">
            <v>585.80999999999995</v>
          </cell>
          <cell r="C18">
            <v>37012</v>
          </cell>
          <cell r="D18">
            <v>599.21</v>
          </cell>
          <cell r="E18">
            <v>37046</v>
          </cell>
          <cell r="F18">
            <v>617.70000000000005</v>
          </cell>
          <cell r="G18">
            <v>37083</v>
          </cell>
          <cell r="H18">
            <v>1213.5999999999999</v>
          </cell>
          <cell r="I18">
            <v>37117</v>
          </cell>
          <cell r="J18">
            <v>553.80769230769226</v>
          </cell>
          <cell r="K18">
            <v>37144</v>
          </cell>
          <cell r="L18">
            <v>711.65</v>
          </cell>
          <cell r="M18">
            <v>37182</v>
          </cell>
          <cell r="N18">
            <v>273.60000000000002</v>
          </cell>
          <cell r="O18">
            <v>37214</v>
          </cell>
          <cell r="P18">
            <v>600.1</v>
          </cell>
          <cell r="Q18">
            <v>37235</v>
          </cell>
          <cell r="R18">
            <v>770.62</v>
          </cell>
          <cell r="S18">
            <v>37265</v>
          </cell>
          <cell r="T18">
            <v>497.05</v>
          </cell>
          <cell r="U18">
            <v>37300</v>
          </cell>
          <cell r="V18">
            <v>337.65</v>
          </cell>
          <cell r="W18">
            <v>37320</v>
          </cell>
          <cell r="X18">
            <v>449.45</v>
          </cell>
          <cell r="Y18">
            <v>37354</v>
          </cell>
        </row>
        <row r="19">
          <cell r="A19" t="str">
            <v>Bhopal</v>
          </cell>
          <cell r="B19">
            <v>644.25</v>
          </cell>
          <cell r="C19">
            <v>37033</v>
          </cell>
          <cell r="D19">
            <v>525.29999999999995</v>
          </cell>
          <cell r="E19">
            <v>37055</v>
          </cell>
          <cell r="F19">
            <v>717.15</v>
          </cell>
          <cell r="G19">
            <v>37091</v>
          </cell>
          <cell r="H19">
            <v>288.60000000000002</v>
          </cell>
          <cell r="I19">
            <v>37126</v>
          </cell>
          <cell r="J19">
            <v>281</v>
          </cell>
          <cell r="K19">
            <v>37158</v>
          </cell>
          <cell r="L19">
            <v>334.8</v>
          </cell>
          <cell r="M19">
            <v>37187</v>
          </cell>
          <cell r="P19">
            <v>101.9</v>
          </cell>
          <cell r="Q19">
            <v>37245</v>
          </cell>
          <cell r="R19">
            <v>336.25</v>
          </cell>
          <cell r="S19">
            <v>37277</v>
          </cell>
          <cell r="T19">
            <v>378.65</v>
          </cell>
          <cell r="U19">
            <v>37302</v>
          </cell>
          <cell r="V19">
            <v>164.5</v>
          </cell>
          <cell r="W19">
            <v>37334</v>
          </cell>
          <cell r="X19">
            <v>101.9</v>
          </cell>
          <cell r="Y19">
            <v>37363</v>
          </cell>
        </row>
        <row r="20">
          <cell r="A20" t="str">
            <v>Jaipur</v>
          </cell>
          <cell r="B20">
            <v>56.9</v>
          </cell>
          <cell r="C20">
            <v>37014</v>
          </cell>
          <cell r="D20">
            <v>56.9</v>
          </cell>
          <cell r="E20">
            <v>37041</v>
          </cell>
          <cell r="F20">
            <v>53</v>
          </cell>
          <cell r="G20">
            <v>37074</v>
          </cell>
          <cell r="H20">
            <v>126.9</v>
          </cell>
          <cell r="I20">
            <v>37106</v>
          </cell>
          <cell r="J20">
            <v>126.9</v>
          </cell>
          <cell r="K20">
            <v>37141</v>
          </cell>
          <cell r="L20">
            <v>326</v>
          </cell>
          <cell r="M20">
            <v>37162</v>
          </cell>
          <cell r="N20">
            <v>154.4</v>
          </cell>
          <cell r="O20">
            <v>37197</v>
          </cell>
          <cell r="P20">
            <v>56.9</v>
          </cell>
          <cell r="Q20">
            <v>37229</v>
          </cell>
          <cell r="R20">
            <v>99</v>
          </cell>
          <cell r="S20">
            <v>37256</v>
          </cell>
          <cell r="T20">
            <v>56.9</v>
          </cell>
          <cell r="U20">
            <v>37291</v>
          </cell>
          <cell r="V20">
            <v>161.85</v>
          </cell>
          <cell r="W20">
            <v>37321</v>
          </cell>
          <cell r="X20">
            <v>392</v>
          </cell>
          <cell r="Y20">
            <v>37343</v>
          </cell>
        </row>
        <row r="21">
          <cell r="A21" t="str">
            <v>Ahmedabad</v>
          </cell>
          <cell r="B21">
            <v>226</v>
          </cell>
          <cell r="C21">
            <v>37018</v>
          </cell>
          <cell r="D21">
            <v>388</v>
          </cell>
          <cell r="E21">
            <v>37057</v>
          </cell>
          <cell r="F21">
            <v>1353</v>
          </cell>
          <cell r="G21">
            <v>37081</v>
          </cell>
          <cell r="H21">
            <v>681.65</v>
          </cell>
          <cell r="I21">
            <v>37109</v>
          </cell>
          <cell r="J21">
            <v>1205.6500000000001</v>
          </cell>
          <cell r="K21">
            <v>37144</v>
          </cell>
          <cell r="L21">
            <v>930.75</v>
          </cell>
          <cell r="M21">
            <v>37181</v>
          </cell>
          <cell r="N21">
            <v>433.45</v>
          </cell>
          <cell r="O21">
            <v>37237</v>
          </cell>
          <cell r="P21">
            <v>1001.65</v>
          </cell>
          <cell r="Q21">
            <v>37237</v>
          </cell>
          <cell r="R21">
            <v>1119</v>
          </cell>
          <cell r="S21">
            <v>37252</v>
          </cell>
          <cell r="T21">
            <v>683.8</v>
          </cell>
          <cell r="U21">
            <v>37299</v>
          </cell>
          <cell r="V21">
            <v>817</v>
          </cell>
          <cell r="W21">
            <v>37329</v>
          </cell>
          <cell r="X21">
            <v>1083.3499999999999</v>
          </cell>
          <cell r="Y21">
            <v>37345</v>
          </cell>
        </row>
        <row r="22">
          <cell r="A22" t="str">
            <v>Baroda</v>
          </cell>
          <cell r="B22">
            <v>263.05</v>
          </cell>
          <cell r="C22">
            <v>37014</v>
          </cell>
          <cell r="D22">
            <v>256.89999999999998</v>
          </cell>
          <cell r="E22">
            <v>37042</v>
          </cell>
          <cell r="F22">
            <v>987.75</v>
          </cell>
          <cell r="G22">
            <v>37070</v>
          </cell>
          <cell r="H22">
            <v>580.65</v>
          </cell>
          <cell r="I22">
            <v>37099</v>
          </cell>
          <cell r="J22">
            <v>1589.25</v>
          </cell>
          <cell r="K22">
            <v>37138</v>
          </cell>
          <cell r="L22">
            <v>945.45</v>
          </cell>
          <cell r="M22">
            <v>37161</v>
          </cell>
          <cell r="N22">
            <v>163.9</v>
          </cell>
          <cell r="O22">
            <v>37193</v>
          </cell>
          <cell r="P22">
            <v>294.7</v>
          </cell>
          <cell r="Q22">
            <v>37229</v>
          </cell>
          <cell r="R22">
            <v>356.4</v>
          </cell>
          <cell r="S22">
            <v>37258</v>
          </cell>
          <cell r="T22">
            <v>277.85000000000002</v>
          </cell>
          <cell r="U22">
            <v>37286</v>
          </cell>
          <cell r="V22">
            <v>482.6</v>
          </cell>
          <cell r="W22">
            <v>37315</v>
          </cell>
          <cell r="X22">
            <v>307.2</v>
          </cell>
          <cell r="Y22">
            <v>37350</v>
          </cell>
        </row>
        <row r="23">
          <cell r="A23" t="str">
            <v>Nagpur</v>
          </cell>
          <cell r="B23">
            <v>560.5</v>
          </cell>
          <cell r="C23">
            <v>37014</v>
          </cell>
          <cell r="D23">
            <v>628.65</v>
          </cell>
          <cell r="E23">
            <v>37040</v>
          </cell>
          <cell r="F23">
            <v>1078.8</v>
          </cell>
          <cell r="G23">
            <v>37089</v>
          </cell>
          <cell r="H23">
            <v>687</v>
          </cell>
          <cell r="I23">
            <v>37104</v>
          </cell>
          <cell r="J23">
            <v>623</v>
          </cell>
          <cell r="K23">
            <v>37151</v>
          </cell>
          <cell r="L23">
            <v>665</v>
          </cell>
          <cell r="M23">
            <v>37172</v>
          </cell>
          <cell r="N23">
            <v>271</v>
          </cell>
          <cell r="O23">
            <v>37195</v>
          </cell>
          <cell r="P23">
            <v>372</v>
          </cell>
          <cell r="Q23">
            <v>37229</v>
          </cell>
          <cell r="R23">
            <v>359</v>
          </cell>
          <cell r="S23">
            <v>37258</v>
          </cell>
          <cell r="T23">
            <v>468</v>
          </cell>
          <cell r="U23">
            <v>37292</v>
          </cell>
          <cell r="V23">
            <v>428</v>
          </cell>
          <cell r="W23">
            <v>37326</v>
          </cell>
          <cell r="X23">
            <v>430</v>
          </cell>
          <cell r="Y23">
            <v>37349</v>
          </cell>
        </row>
        <row r="24">
          <cell r="A24" t="str">
            <v>Additional Payment</v>
          </cell>
          <cell r="N24">
            <v>68</v>
          </cell>
          <cell r="O24">
            <v>36927</v>
          </cell>
        </row>
        <row r="25">
          <cell r="A25" t="str">
            <v>Mumbai City</v>
          </cell>
          <cell r="B25">
            <v>176</v>
          </cell>
          <cell r="C25">
            <v>37041</v>
          </cell>
          <cell r="D25">
            <v>202.2</v>
          </cell>
          <cell r="E25">
            <v>37041</v>
          </cell>
          <cell r="F25">
            <v>193</v>
          </cell>
          <cell r="G25">
            <v>37071</v>
          </cell>
          <cell r="H25">
            <v>451.45</v>
          </cell>
          <cell r="I25">
            <v>37099</v>
          </cell>
          <cell r="J25">
            <v>294.8</v>
          </cell>
          <cell r="K25">
            <v>37161</v>
          </cell>
          <cell r="L25">
            <v>312.57</v>
          </cell>
          <cell r="M25">
            <v>37193</v>
          </cell>
          <cell r="N25">
            <v>204</v>
          </cell>
          <cell r="O25">
            <v>37232</v>
          </cell>
          <cell r="P25">
            <v>307.45</v>
          </cell>
          <cell r="Q25">
            <v>37253</v>
          </cell>
          <cell r="R25">
            <v>455</v>
          </cell>
          <cell r="S25">
            <v>37285</v>
          </cell>
          <cell r="T25">
            <v>268</v>
          </cell>
          <cell r="U25">
            <v>37315</v>
          </cell>
          <cell r="V25">
            <v>320</v>
          </cell>
          <cell r="W25">
            <v>37343</v>
          </cell>
          <cell r="X25">
            <v>489</v>
          </cell>
          <cell r="Y25">
            <v>37365</v>
          </cell>
        </row>
        <row r="26">
          <cell r="A26" t="str">
            <v>Mumbai Sion</v>
          </cell>
          <cell r="B26">
            <v>166</v>
          </cell>
          <cell r="C26">
            <v>37015</v>
          </cell>
          <cell r="D26">
            <v>478.9</v>
          </cell>
          <cell r="E26">
            <v>37040</v>
          </cell>
          <cell r="F26">
            <v>1407</v>
          </cell>
          <cell r="G26">
            <v>37069</v>
          </cell>
          <cell r="H26">
            <v>416</v>
          </cell>
          <cell r="I26">
            <v>37103</v>
          </cell>
          <cell r="J26">
            <v>707.95</v>
          </cell>
          <cell r="K26">
            <v>37132</v>
          </cell>
          <cell r="L26">
            <v>565</v>
          </cell>
          <cell r="M26">
            <v>37162</v>
          </cell>
          <cell r="N26">
            <v>179.95</v>
          </cell>
          <cell r="O26">
            <v>37194</v>
          </cell>
          <cell r="P26">
            <v>296.5</v>
          </cell>
          <cell r="Q26">
            <v>37223</v>
          </cell>
          <cell r="R26">
            <v>222.2</v>
          </cell>
          <cell r="S26">
            <v>37256</v>
          </cell>
          <cell r="T26">
            <v>179.95</v>
          </cell>
          <cell r="U26">
            <v>37286</v>
          </cell>
          <cell r="V26">
            <v>179</v>
          </cell>
          <cell r="W26">
            <v>37315</v>
          </cell>
          <cell r="X26">
            <v>354.95</v>
          </cell>
          <cell r="Y26">
            <v>37345</v>
          </cell>
        </row>
        <row r="27">
          <cell r="A27" t="str">
            <v>Pune</v>
          </cell>
          <cell r="B27">
            <v>619</v>
          </cell>
          <cell r="C27">
            <v>37050</v>
          </cell>
          <cell r="D27">
            <v>515</v>
          </cell>
          <cell r="E27">
            <v>37050</v>
          </cell>
          <cell r="F27">
            <v>515</v>
          </cell>
          <cell r="G27">
            <v>37085</v>
          </cell>
          <cell r="H27">
            <v>1286.9230769230769</v>
          </cell>
          <cell r="I27">
            <v>37123</v>
          </cell>
          <cell r="J27">
            <v>804</v>
          </cell>
          <cell r="K27">
            <v>37139</v>
          </cell>
          <cell r="L27">
            <v>1722.6</v>
          </cell>
          <cell r="M27">
            <v>37194</v>
          </cell>
          <cell r="N27">
            <v>159.38461538461539</v>
          </cell>
          <cell r="O27">
            <v>37218</v>
          </cell>
          <cell r="P27">
            <v>431.8</v>
          </cell>
          <cell r="Q27">
            <v>37264</v>
          </cell>
          <cell r="R27">
            <v>734.95</v>
          </cell>
          <cell r="S27">
            <v>37264</v>
          </cell>
          <cell r="T27">
            <v>594.19230769230774</v>
          </cell>
          <cell r="U27">
            <v>37319</v>
          </cell>
          <cell r="V27">
            <v>281.61538461538464</v>
          </cell>
          <cell r="W27">
            <v>37319</v>
          </cell>
          <cell r="X27">
            <v>948.5</v>
          </cell>
          <cell r="Y27">
            <v>37376</v>
          </cell>
        </row>
        <row r="28">
          <cell r="A28" t="str">
            <v>Bangalore</v>
          </cell>
          <cell r="B28">
            <v>284.2</v>
          </cell>
          <cell r="C28">
            <v>37025</v>
          </cell>
          <cell r="D28">
            <v>385.5</v>
          </cell>
          <cell r="E28">
            <v>37055</v>
          </cell>
          <cell r="F28">
            <v>589.95000000000005</v>
          </cell>
          <cell r="G28">
            <v>37088</v>
          </cell>
          <cell r="H28">
            <v>754.2</v>
          </cell>
          <cell r="I28">
            <v>37111</v>
          </cell>
          <cell r="J28">
            <v>1016.8</v>
          </cell>
          <cell r="K28">
            <v>37148</v>
          </cell>
          <cell r="L28">
            <v>808.4</v>
          </cell>
          <cell r="M28">
            <v>37174</v>
          </cell>
          <cell r="N28">
            <v>342.9</v>
          </cell>
          <cell r="O28">
            <v>37208</v>
          </cell>
          <cell r="P28">
            <v>344.05</v>
          </cell>
          <cell r="Q28">
            <v>37243</v>
          </cell>
          <cell r="R28">
            <v>448.5</v>
          </cell>
          <cell r="S28">
            <v>37273</v>
          </cell>
          <cell r="T28">
            <v>376.55</v>
          </cell>
          <cell r="U28">
            <v>37300</v>
          </cell>
          <cell r="V28">
            <v>356.75</v>
          </cell>
          <cell r="W28">
            <v>37328</v>
          </cell>
          <cell r="X28">
            <v>277.39999999999998</v>
          </cell>
          <cell r="Y28">
            <v>37358</v>
          </cell>
        </row>
        <row r="29">
          <cell r="A29" t="str">
            <v>Goa</v>
          </cell>
          <cell r="D29">
            <v>370.1</v>
          </cell>
          <cell r="E29">
            <v>37056</v>
          </cell>
          <cell r="F29">
            <v>419.5</v>
          </cell>
          <cell r="G29">
            <v>37088</v>
          </cell>
          <cell r="H29">
            <v>407.1</v>
          </cell>
          <cell r="I29">
            <v>37130</v>
          </cell>
          <cell r="J29">
            <v>490.2</v>
          </cell>
          <cell r="K29">
            <v>37154</v>
          </cell>
          <cell r="L29">
            <v>404.92</v>
          </cell>
          <cell r="M29">
            <v>37193</v>
          </cell>
          <cell r="N29">
            <v>320.5</v>
          </cell>
          <cell r="O29">
            <v>37202</v>
          </cell>
          <cell r="P29">
            <v>471.2</v>
          </cell>
          <cell r="Q29">
            <v>37238</v>
          </cell>
          <cell r="R29">
            <v>172.8</v>
          </cell>
          <cell r="S29">
            <v>37264</v>
          </cell>
          <cell r="T29">
            <v>150.35</v>
          </cell>
          <cell r="U29">
            <v>37306</v>
          </cell>
          <cell r="V29">
            <v>150.35</v>
          </cell>
          <cell r="W29">
            <v>37341</v>
          </cell>
          <cell r="X29">
            <v>159</v>
          </cell>
          <cell r="Y29">
            <v>37368</v>
          </cell>
        </row>
        <row r="30">
          <cell r="A30" t="str">
            <v>Hyderabad</v>
          </cell>
          <cell r="B30">
            <v>429.8</v>
          </cell>
          <cell r="C30">
            <v>37020</v>
          </cell>
          <cell r="D30">
            <v>659.34615384615381</v>
          </cell>
          <cell r="E30">
            <v>37041</v>
          </cell>
          <cell r="F30">
            <v>2297.3461538461538</v>
          </cell>
          <cell r="G30">
            <v>37078</v>
          </cell>
          <cell r="H30">
            <v>971.1</v>
          </cell>
          <cell r="I30">
            <v>37111</v>
          </cell>
          <cell r="J30">
            <v>1074.55</v>
          </cell>
          <cell r="K30">
            <v>37138</v>
          </cell>
          <cell r="L30">
            <v>1071.03</v>
          </cell>
          <cell r="M30">
            <v>37172</v>
          </cell>
          <cell r="N30">
            <v>782.6</v>
          </cell>
          <cell r="O30">
            <v>37198</v>
          </cell>
          <cell r="P30">
            <v>689.25</v>
          </cell>
          <cell r="Q30">
            <v>37232</v>
          </cell>
          <cell r="R30">
            <v>669.4</v>
          </cell>
          <cell r="S30">
            <v>37260</v>
          </cell>
          <cell r="T30">
            <v>918.25</v>
          </cell>
          <cell r="U30">
            <v>37300</v>
          </cell>
          <cell r="V30">
            <v>569.1</v>
          </cell>
          <cell r="W30">
            <v>37321</v>
          </cell>
          <cell r="X30">
            <v>765.55</v>
          </cell>
          <cell r="Y30">
            <v>37349</v>
          </cell>
        </row>
        <row r="31">
          <cell r="A31" t="str">
            <v>Vizag</v>
          </cell>
          <cell r="B31">
            <v>190</v>
          </cell>
          <cell r="C31">
            <v>37015</v>
          </cell>
          <cell r="D31">
            <v>154.9</v>
          </cell>
          <cell r="E31">
            <v>37039</v>
          </cell>
          <cell r="F31">
            <v>1859.85</v>
          </cell>
          <cell r="G31">
            <v>37075</v>
          </cell>
          <cell r="H31">
            <v>348.05</v>
          </cell>
          <cell r="I31">
            <v>37106</v>
          </cell>
          <cell r="J31">
            <v>516.20000000000005</v>
          </cell>
          <cell r="K31">
            <v>37134</v>
          </cell>
          <cell r="L31">
            <v>194.59</v>
          </cell>
          <cell r="M31">
            <v>37160</v>
          </cell>
          <cell r="N31" t="str">
            <v>Not covered under ESI Act</v>
          </cell>
          <cell r="T31">
            <v>108.15</v>
          </cell>
          <cell r="U31">
            <v>37286</v>
          </cell>
          <cell r="V31">
            <v>313</v>
          </cell>
          <cell r="W31">
            <v>37314</v>
          </cell>
          <cell r="X31">
            <v>109.85</v>
          </cell>
          <cell r="Y31">
            <v>37343</v>
          </cell>
        </row>
        <row r="32">
          <cell r="A32" t="str">
            <v>Coimbatore</v>
          </cell>
          <cell r="B32">
            <v>298</v>
          </cell>
          <cell r="C32">
            <v>37019</v>
          </cell>
          <cell r="D32">
            <v>299</v>
          </cell>
          <cell r="E32">
            <v>37049</v>
          </cell>
          <cell r="F32">
            <v>1618</v>
          </cell>
          <cell r="G32">
            <v>37077</v>
          </cell>
          <cell r="H32">
            <v>382</v>
          </cell>
          <cell r="I32">
            <v>37110</v>
          </cell>
          <cell r="J32">
            <v>892</v>
          </cell>
          <cell r="K32">
            <v>37140</v>
          </cell>
          <cell r="L32">
            <v>673</v>
          </cell>
          <cell r="M32">
            <v>37169</v>
          </cell>
          <cell r="N32">
            <v>225</v>
          </cell>
          <cell r="O32">
            <v>37201</v>
          </cell>
          <cell r="P32">
            <v>195</v>
          </cell>
          <cell r="Q32">
            <v>37230</v>
          </cell>
          <cell r="R32">
            <v>351.07692307692309</v>
          </cell>
          <cell r="S32">
            <v>37258</v>
          </cell>
          <cell r="T32">
            <v>195</v>
          </cell>
          <cell r="U32">
            <v>37288</v>
          </cell>
          <cell r="V32">
            <v>431</v>
          </cell>
          <cell r="W32">
            <v>37320</v>
          </cell>
          <cell r="X32">
            <v>257</v>
          </cell>
          <cell r="Y32">
            <v>37348</v>
          </cell>
        </row>
        <row r="33">
          <cell r="A33" t="str">
            <v>Kochi</v>
          </cell>
          <cell r="N33">
            <v>104</v>
          </cell>
          <cell r="O33">
            <v>37193</v>
          </cell>
          <cell r="P33">
            <v>96.95</v>
          </cell>
          <cell r="Q33">
            <v>37224</v>
          </cell>
          <cell r="R33">
            <v>203.9</v>
          </cell>
          <cell r="S33">
            <v>37253</v>
          </cell>
          <cell r="T33">
            <v>279.39999999999998</v>
          </cell>
          <cell r="U33">
            <v>37287</v>
          </cell>
          <cell r="V33">
            <v>310</v>
          </cell>
          <cell r="W33">
            <v>37315</v>
          </cell>
          <cell r="X33">
            <v>450</v>
          </cell>
          <cell r="Y33">
            <v>37343</v>
          </cell>
        </row>
        <row r="34">
          <cell r="A34" t="str">
            <v>Chennai</v>
          </cell>
          <cell r="B34">
            <v>1187</v>
          </cell>
          <cell r="C34">
            <v>37018</v>
          </cell>
          <cell r="D34">
            <v>1072.8</v>
          </cell>
          <cell r="E34">
            <v>37053</v>
          </cell>
          <cell r="F34">
            <v>2308.9499999999998</v>
          </cell>
          <cell r="G34">
            <v>37071</v>
          </cell>
          <cell r="H34">
            <v>1161.4000000000001</v>
          </cell>
          <cell r="I34">
            <v>37102</v>
          </cell>
          <cell r="J34">
            <v>1864.05</v>
          </cell>
          <cell r="K34">
            <v>37134</v>
          </cell>
          <cell r="L34">
            <v>1368.83</v>
          </cell>
          <cell r="M34">
            <v>37169</v>
          </cell>
          <cell r="N34">
            <v>652.70000000000005</v>
          </cell>
          <cell r="O34">
            <v>37198</v>
          </cell>
          <cell r="P34">
            <v>185.25</v>
          </cell>
          <cell r="Q34">
            <v>37228</v>
          </cell>
          <cell r="R34">
            <v>192.05</v>
          </cell>
          <cell r="S34">
            <v>37259</v>
          </cell>
          <cell r="T34">
            <v>440.35</v>
          </cell>
          <cell r="U34">
            <v>37291</v>
          </cell>
          <cell r="V34">
            <v>721.2</v>
          </cell>
          <cell r="W34">
            <v>37320</v>
          </cell>
          <cell r="X34">
            <v>497.2</v>
          </cell>
          <cell r="Y34">
            <v>37349</v>
          </cell>
        </row>
        <row r="35">
          <cell r="A35" t="str">
            <v>Madurai</v>
          </cell>
          <cell r="B35">
            <v>164.6</v>
          </cell>
          <cell r="C35">
            <v>37014</v>
          </cell>
          <cell r="D35">
            <v>333.5</v>
          </cell>
          <cell r="E35">
            <v>37043</v>
          </cell>
          <cell r="F35">
            <v>314.7</v>
          </cell>
          <cell r="G35">
            <v>37075</v>
          </cell>
          <cell r="H35">
            <v>615.5</v>
          </cell>
          <cell r="I35">
            <v>37102</v>
          </cell>
          <cell r="J35">
            <v>565.9</v>
          </cell>
          <cell r="K35">
            <v>37139</v>
          </cell>
          <cell r="L35">
            <v>763</v>
          </cell>
          <cell r="M35">
            <v>37165</v>
          </cell>
          <cell r="N35">
            <v>99.5</v>
          </cell>
          <cell r="O35">
            <v>37194</v>
          </cell>
          <cell r="P35">
            <v>83</v>
          </cell>
          <cell r="Q35">
            <v>37224</v>
          </cell>
          <cell r="R35">
            <v>89.5</v>
          </cell>
          <cell r="S35">
            <v>37253</v>
          </cell>
          <cell r="T35">
            <v>255</v>
          </cell>
          <cell r="U35">
            <v>37287</v>
          </cell>
          <cell r="V35">
            <v>417.7</v>
          </cell>
          <cell r="W35">
            <v>37313</v>
          </cell>
          <cell r="X35">
            <v>1077.5</v>
          </cell>
          <cell r="Y35">
            <v>37342</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nus-Sep-03"/>
      <sheetName val="2003"/>
      <sheetName val="cost centers"/>
      <sheetName val="Stock"/>
      <sheetName val="g"/>
      <sheetName val="m"/>
      <sheetName val="h"/>
      <sheetName val="o NORMS"/>
      <sheetName val="s"/>
      <sheetName val="Balance Sheet-One year"/>
      <sheetName val="Balance_Sheet-One_year"/>
      <sheetName val="Balance_Sheet-One_year1"/>
      <sheetName val="Balance_Sheet-One_year2"/>
      <sheetName val="cost_centers"/>
      <sheetName val="o_NORMS"/>
      <sheetName val="Balance_Sheet-One_year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duction_and_Rebate"/>
      <sheetName val="words"/>
      <sheetName val="PRINT COMMAND"/>
      <sheetName val="TAX DATA"/>
      <sheetName val="Tax Computation Sheet "/>
      <sheetName val="HRA and CLA"/>
      <sheetName val="Tax Computation Sheet-2"/>
      <sheetName val="Professional Tax"/>
      <sheetName val="Income from Previous Employer"/>
      <sheetName val="Sales Comm &amp; TDS Comm 01-02"/>
      <sheetName val="Letter Comission"/>
      <sheetName val="Cost to Co"/>
      <sheetName val="SALARY"/>
      <sheetName val="Ray Ban"/>
      <sheetName val="Grouping TB"/>
      <sheetName val="Trial Bal 310306 (2)"/>
      <sheetName val="Assumptions"/>
    </sheetNames>
    <sheetDataSet>
      <sheetData sheetId="0">
        <row r="8">
          <cell r="C8" t="str">
            <v>NAVEEN SHARMA</v>
          </cell>
          <cell r="D8" t="str">
            <v>ASST. MANAGER - PRODUCTION</v>
          </cell>
          <cell r="E8" t="str">
            <v>MANUFACTURING</v>
          </cell>
          <cell r="F8" t="str">
            <v>PLANT</v>
          </cell>
          <cell r="W8">
            <v>16000</v>
          </cell>
          <cell r="AA8">
            <v>0</v>
          </cell>
          <cell r="AD8">
            <v>16000</v>
          </cell>
          <cell r="BE8">
            <v>0</v>
          </cell>
          <cell r="BF8">
            <v>0</v>
          </cell>
          <cell r="BG8">
            <v>0</v>
          </cell>
          <cell r="BH8">
            <v>0</v>
          </cell>
          <cell r="BI8">
            <v>0</v>
          </cell>
          <cell r="BJ8">
            <v>0</v>
          </cell>
          <cell r="BK8">
            <v>0</v>
          </cell>
          <cell r="BL8">
            <v>0</v>
          </cell>
          <cell r="BM8">
            <v>0</v>
          </cell>
          <cell r="BN8">
            <v>0</v>
          </cell>
          <cell r="BO8">
            <v>10800</v>
          </cell>
          <cell r="BP8">
            <v>0</v>
          </cell>
          <cell r="BQ8">
            <v>0</v>
          </cell>
          <cell r="BR8">
            <v>0</v>
          </cell>
          <cell r="BS8">
            <v>0</v>
          </cell>
          <cell r="BT8">
            <v>0</v>
          </cell>
          <cell r="BU8">
            <v>0</v>
          </cell>
          <cell r="BV8">
            <v>16000</v>
          </cell>
          <cell r="BW8">
            <v>0</v>
          </cell>
          <cell r="BX8">
            <v>0</v>
          </cell>
          <cell r="BY8">
            <v>0</v>
          </cell>
          <cell r="BZ8">
            <v>0</v>
          </cell>
          <cell r="CA8">
            <v>0</v>
          </cell>
          <cell r="CB8">
            <v>0</v>
          </cell>
          <cell r="CC8">
            <v>26800</v>
          </cell>
          <cell r="CD8">
            <v>0</v>
          </cell>
          <cell r="CE8">
            <v>33721</v>
          </cell>
          <cell r="CF8">
            <v>0</v>
          </cell>
          <cell r="CG8">
            <v>0</v>
          </cell>
          <cell r="CH8">
            <v>0</v>
          </cell>
          <cell r="CI8">
            <v>0</v>
          </cell>
          <cell r="CJ8">
            <v>0</v>
          </cell>
        </row>
        <row r="9">
          <cell r="C9" t="str">
            <v>NAVEEN GOSWAMI</v>
          </cell>
          <cell r="D9" t="str">
            <v>ASST. MANAGER - PURCHASE</v>
          </cell>
          <cell r="E9" t="str">
            <v>PURCHASE</v>
          </cell>
          <cell r="F9" t="str">
            <v>PLANT</v>
          </cell>
          <cell r="R9">
            <v>12500</v>
          </cell>
          <cell r="S9">
            <v>20562</v>
          </cell>
          <cell r="W9">
            <v>20000</v>
          </cell>
          <cell r="AC9">
            <v>30000</v>
          </cell>
          <cell r="BE9">
            <v>0</v>
          </cell>
          <cell r="BF9">
            <v>0</v>
          </cell>
          <cell r="BG9">
            <v>0</v>
          </cell>
          <cell r="BH9">
            <v>0</v>
          </cell>
          <cell r="BI9">
            <v>0</v>
          </cell>
          <cell r="BJ9">
            <v>0</v>
          </cell>
          <cell r="BK9">
            <v>0</v>
          </cell>
          <cell r="BL9">
            <v>0</v>
          </cell>
          <cell r="BM9">
            <v>0</v>
          </cell>
          <cell r="BN9">
            <v>0</v>
          </cell>
          <cell r="BO9">
            <v>12960</v>
          </cell>
          <cell r="BP9">
            <v>0</v>
          </cell>
          <cell r="BQ9">
            <v>12500</v>
          </cell>
          <cell r="BR9">
            <v>20562</v>
          </cell>
          <cell r="BS9">
            <v>0</v>
          </cell>
          <cell r="BT9">
            <v>0</v>
          </cell>
          <cell r="BU9">
            <v>0</v>
          </cell>
          <cell r="BV9">
            <v>20000</v>
          </cell>
          <cell r="BW9">
            <v>0</v>
          </cell>
          <cell r="BX9">
            <v>0</v>
          </cell>
          <cell r="BY9">
            <v>0</v>
          </cell>
          <cell r="BZ9">
            <v>0</v>
          </cell>
          <cell r="CA9">
            <v>0</v>
          </cell>
          <cell r="CB9">
            <v>30000</v>
          </cell>
          <cell r="CC9">
            <v>96022</v>
          </cell>
          <cell r="CD9">
            <v>0</v>
          </cell>
          <cell r="CE9">
            <v>35353</v>
          </cell>
          <cell r="CF9">
            <v>0</v>
          </cell>
          <cell r="CG9">
            <v>0</v>
          </cell>
          <cell r="CH9">
            <v>0</v>
          </cell>
          <cell r="CI9">
            <v>0</v>
          </cell>
          <cell r="CJ9">
            <v>0</v>
          </cell>
        </row>
        <row r="10">
          <cell r="C10" t="str">
            <v>AKHIL KHARE</v>
          </cell>
          <cell r="D10" t="str">
            <v>ASST. MANAGER - IT</v>
          </cell>
          <cell r="E10" t="str">
            <v>IM&amp;T</v>
          </cell>
          <cell r="F10" t="str">
            <v>PLANT</v>
          </cell>
          <cell r="G10">
            <v>10000</v>
          </cell>
          <cell r="S10">
            <v>46000</v>
          </cell>
          <cell r="AC10">
            <v>30000</v>
          </cell>
          <cell r="BE10">
            <v>10000</v>
          </cell>
          <cell r="BF10">
            <v>0</v>
          </cell>
          <cell r="BG10">
            <v>0</v>
          </cell>
          <cell r="BH10">
            <v>0</v>
          </cell>
          <cell r="BI10">
            <v>0</v>
          </cell>
          <cell r="BJ10">
            <v>0</v>
          </cell>
          <cell r="BK10">
            <v>0</v>
          </cell>
          <cell r="BL10">
            <v>0</v>
          </cell>
          <cell r="BM10">
            <v>10000</v>
          </cell>
          <cell r="BN10">
            <v>0</v>
          </cell>
          <cell r="BO10">
            <v>9864</v>
          </cell>
          <cell r="BP10">
            <v>0</v>
          </cell>
          <cell r="BQ10">
            <v>0</v>
          </cell>
          <cell r="BR10">
            <v>46000</v>
          </cell>
          <cell r="BS10">
            <v>0</v>
          </cell>
          <cell r="BT10">
            <v>0</v>
          </cell>
          <cell r="BU10">
            <v>0</v>
          </cell>
          <cell r="BV10">
            <v>0</v>
          </cell>
          <cell r="BW10">
            <v>0</v>
          </cell>
          <cell r="BX10">
            <v>0</v>
          </cell>
          <cell r="BY10">
            <v>0</v>
          </cell>
          <cell r="BZ10">
            <v>0</v>
          </cell>
          <cell r="CA10">
            <v>0</v>
          </cell>
          <cell r="CB10">
            <v>30000</v>
          </cell>
          <cell r="CC10">
            <v>85864</v>
          </cell>
          <cell r="CD10">
            <v>0</v>
          </cell>
          <cell r="CE10">
            <v>37088</v>
          </cell>
          <cell r="CF10">
            <v>0</v>
          </cell>
          <cell r="CG10">
            <v>0</v>
          </cell>
          <cell r="CH10">
            <v>0</v>
          </cell>
          <cell r="CI10">
            <v>0</v>
          </cell>
          <cell r="CJ10">
            <v>0</v>
          </cell>
        </row>
        <row r="11">
          <cell r="C11" t="str">
            <v>ADITYA JINDAL</v>
          </cell>
          <cell r="D11" t="str">
            <v>MANAGER - FINANCE</v>
          </cell>
          <cell r="E11" t="str">
            <v>FINANCE</v>
          </cell>
          <cell r="F11" t="str">
            <v>PLANT</v>
          </cell>
          <cell r="G11">
            <v>10000</v>
          </cell>
          <cell r="S11">
            <v>1930</v>
          </cell>
          <cell r="T11">
            <v>5000</v>
          </cell>
          <cell r="V11">
            <v>10000</v>
          </cell>
          <cell r="W11">
            <v>20000</v>
          </cell>
          <cell r="AC11">
            <v>30000</v>
          </cell>
          <cell r="BE11">
            <v>10000</v>
          </cell>
          <cell r="BF11">
            <v>0</v>
          </cell>
          <cell r="BG11">
            <v>0</v>
          </cell>
          <cell r="BH11">
            <v>0</v>
          </cell>
          <cell r="BI11">
            <v>0</v>
          </cell>
          <cell r="BJ11">
            <v>0</v>
          </cell>
          <cell r="BK11">
            <v>0</v>
          </cell>
          <cell r="BL11">
            <v>0</v>
          </cell>
          <cell r="BM11">
            <v>10000</v>
          </cell>
          <cell r="BN11">
            <v>0</v>
          </cell>
          <cell r="BO11">
            <v>27324</v>
          </cell>
          <cell r="BP11">
            <v>0</v>
          </cell>
          <cell r="BQ11">
            <v>0</v>
          </cell>
          <cell r="BR11">
            <v>1930</v>
          </cell>
          <cell r="BS11">
            <v>5000</v>
          </cell>
          <cell r="BT11">
            <v>0</v>
          </cell>
          <cell r="BU11">
            <v>10000</v>
          </cell>
          <cell r="BV11">
            <v>20000</v>
          </cell>
          <cell r="BW11">
            <v>0</v>
          </cell>
          <cell r="BX11">
            <v>0</v>
          </cell>
          <cell r="BY11">
            <v>0</v>
          </cell>
          <cell r="BZ11">
            <v>0</v>
          </cell>
          <cell r="CA11">
            <v>0</v>
          </cell>
          <cell r="CB11">
            <v>30000</v>
          </cell>
          <cell r="CC11">
            <v>94254</v>
          </cell>
          <cell r="CD11">
            <v>0</v>
          </cell>
          <cell r="CE11">
            <v>37102</v>
          </cell>
          <cell r="CF11">
            <v>0</v>
          </cell>
          <cell r="CG11">
            <v>0</v>
          </cell>
          <cell r="CH11">
            <v>0</v>
          </cell>
          <cell r="CI11">
            <v>0</v>
          </cell>
          <cell r="CJ11">
            <v>0</v>
          </cell>
        </row>
        <row r="12">
          <cell r="C12" t="str">
            <v>N.K. CHAUHAN</v>
          </cell>
          <cell r="D12" t="str">
            <v>ASST. MANAGER - LOGISTICS</v>
          </cell>
          <cell r="E12" t="str">
            <v>LOGISTICS / DISTRIBUTION</v>
          </cell>
          <cell r="F12" t="str">
            <v>PLANT</v>
          </cell>
          <cell r="BE12">
            <v>0</v>
          </cell>
          <cell r="BF12">
            <v>0</v>
          </cell>
          <cell r="BG12">
            <v>0</v>
          </cell>
          <cell r="BH12">
            <v>0</v>
          </cell>
          <cell r="BI12">
            <v>0</v>
          </cell>
          <cell r="BJ12">
            <v>0</v>
          </cell>
          <cell r="BK12">
            <v>0</v>
          </cell>
          <cell r="BL12">
            <v>0</v>
          </cell>
          <cell r="BM12">
            <v>0</v>
          </cell>
          <cell r="BN12">
            <v>0</v>
          </cell>
          <cell r="BO12">
            <v>16380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16380</v>
          </cell>
          <cell r="CE12">
            <v>33610</v>
          </cell>
        </row>
        <row r="13">
          <cell r="C13" t="str">
            <v>MOHINDER BALIHAN</v>
          </cell>
          <cell r="D13" t="str">
            <v>ASST. MANAGER - ACCOUNT</v>
          </cell>
          <cell r="E13" t="str">
            <v>FINANCE</v>
          </cell>
          <cell r="F13" t="str">
            <v>PLANT</v>
          </cell>
          <cell r="G13">
            <v>10000</v>
          </cell>
          <cell r="S13">
            <v>22114</v>
          </cell>
          <cell r="T13">
            <v>1500</v>
          </cell>
          <cell r="U13">
            <v>10000</v>
          </cell>
          <cell r="W13">
            <v>20000</v>
          </cell>
          <cell r="AC13">
            <v>30000</v>
          </cell>
          <cell r="BE13">
            <v>10000</v>
          </cell>
          <cell r="BF13">
            <v>0</v>
          </cell>
          <cell r="BG13">
            <v>0</v>
          </cell>
          <cell r="BH13">
            <v>0</v>
          </cell>
          <cell r="BI13">
            <v>0</v>
          </cell>
          <cell r="BJ13">
            <v>0</v>
          </cell>
          <cell r="BK13">
            <v>0</v>
          </cell>
          <cell r="BL13">
            <v>0</v>
          </cell>
          <cell r="BM13">
            <v>10000</v>
          </cell>
          <cell r="BN13">
            <v>0</v>
          </cell>
          <cell r="BO13">
            <v>16596</v>
          </cell>
          <cell r="BP13">
            <v>0</v>
          </cell>
          <cell r="BQ13">
            <v>0</v>
          </cell>
          <cell r="BR13">
            <v>22114</v>
          </cell>
          <cell r="BS13">
            <v>1500</v>
          </cell>
          <cell r="BT13">
            <v>10000</v>
          </cell>
          <cell r="BU13">
            <v>0</v>
          </cell>
          <cell r="BV13">
            <v>20000</v>
          </cell>
          <cell r="BW13">
            <v>0</v>
          </cell>
          <cell r="BX13">
            <v>0</v>
          </cell>
          <cell r="BY13">
            <v>0</v>
          </cell>
          <cell r="BZ13">
            <v>0</v>
          </cell>
          <cell r="CA13">
            <v>0</v>
          </cell>
          <cell r="CB13">
            <v>30000</v>
          </cell>
          <cell r="CC13">
            <v>100210</v>
          </cell>
          <cell r="CD13">
            <v>0</v>
          </cell>
          <cell r="CE13">
            <v>34080</v>
          </cell>
          <cell r="CF13">
            <v>0</v>
          </cell>
          <cell r="CG13">
            <v>0</v>
          </cell>
          <cell r="CH13">
            <v>0</v>
          </cell>
          <cell r="CI13">
            <v>0</v>
          </cell>
          <cell r="CJ13">
            <v>0</v>
          </cell>
        </row>
        <row r="14">
          <cell r="C14" t="str">
            <v>ARUN JOSHI</v>
          </cell>
          <cell r="D14" t="str">
            <v>MANAGER - HUMAN RESOURCES</v>
          </cell>
          <cell r="E14" t="str">
            <v>HUMAN RESOURCES</v>
          </cell>
          <cell r="F14" t="str">
            <v>PLANT</v>
          </cell>
          <cell r="V14">
            <v>700</v>
          </cell>
          <cell r="BE14">
            <v>0</v>
          </cell>
          <cell r="BF14">
            <v>0</v>
          </cell>
          <cell r="BG14">
            <v>0</v>
          </cell>
          <cell r="BH14">
            <v>0</v>
          </cell>
          <cell r="BI14">
            <v>0</v>
          </cell>
          <cell r="BJ14">
            <v>0</v>
          </cell>
          <cell r="BK14">
            <v>0</v>
          </cell>
          <cell r="BL14">
            <v>0</v>
          </cell>
          <cell r="BM14">
            <v>0</v>
          </cell>
          <cell r="BN14">
            <v>0</v>
          </cell>
          <cell r="BO14">
            <v>34848</v>
          </cell>
          <cell r="BP14">
            <v>0</v>
          </cell>
          <cell r="BQ14">
            <v>0</v>
          </cell>
          <cell r="BR14">
            <v>0</v>
          </cell>
          <cell r="BS14">
            <v>0</v>
          </cell>
          <cell r="BT14">
            <v>0</v>
          </cell>
          <cell r="BU14">
            <v>700</v>
          </cell>
          <cell r="BV14">
            <v>0</v>
          </cell>
          <cell r="BW14">
            <v>0</v>
          </cell>
          <cell r="BX14">
            <v>0</v>
          </cell>
          <cell r="BY14">
            <v>0</v>
          </cell>
          <cell r="BZ14">
            <v>0</v>
          </cell>
          <cell r="CA14">
            <v>0</v>
          </cell>
          <cell r="CB14">
            <v>0</v>
          </cell>
          <cell r="CC14">
            <v>35548</v>
          </cell>
          <cell r="CD14">
            <v>0</v>
          </cell>
          <cell r="CE14">
            <v>34017</v>
          </cell>
          <cell r="CF14">
            <v>0</v>
          </cell>
          <cell r="CG14">
            <v>0</v>
          </cell>
          <cell r="CH14">
            <v>0</v>
          </cell>
        </row>
        <row r="15">
          <cell r="C15" t="str">
            <v>M. SRINIVAS</v>
          </cell>
          <cell r="D15" t="str">
            <v>NATIONAL MARKETING MANAGER</v>
          </cell>
          <cell r="E15" t="str">
            <v>MARKETING</v>
          </cell>
          <cell r="F15" t="str">
            <v>PLANT</v>
          </cell>
          <cell r="S15">
            <v>24902</v>
          </cell>
          <cell r="AC15">
            <v>20000</v>
          </cell>
          <cell r="BE15">
            <v>0</v>
          </cell>
          <cell r="BF15">
            <v>0</v>
          </cell>
          <cell r="BG15">
            <v>0</v>
          </cell>
          <cell r="BH15">
            <v>0</v>
          </cell>
          <cell r="BI15">
            <v>0</v>
          </cell>
          <cell r="BJ15">
            <v>0</v>
          </cell>
          <cell r="BK15">
            <v>0</v>
          </cell>
          <cell r="BL15">
            <v>0</v>
          </cell>
          <cell r="BM15">
            <v>0</v>
          </cell>
          <cell r="BN15">
            <v>0</v>
          </cell>
          <cell r="BO15">
            <v>51408</v>
          </cell>
          <cell r="BP15">
            <v>0</v>
          </cell>
          <cell r="BQ15">
            <v>0</v>
          </cell>
          <cell r="BR15">
            <v>24902</v>
          </cell>
          <cell r="BS15">
            <v>0</v>
          </cell>
          <cell r="BT15">
            <v>0</v>
          </cell>
          <cell r="BU15">
            <v>0</v>
          </cell>
          <cell r="BV15">
            <v>0</v>
          </cell>
          <cell r="BW15">
            <v>0</v>
          </cell>
          <cell r="BX15">
            <v>0</v>
          </cell>
          <cell r="BY15">
            <v>0</v>
          </cell>
          <cell r="BZ15">
            <v>0</v>
          </cell>
          <cell r="CA15">
            <v>0</v>
          </cell>
          <cell r="CB15">
            <v>20000</v>
          </cell>
          <cell r="CC15">
            <v>96310</v>
          </cell>
          <cell r="CD15">
            <v>0</v>
          </cell>
          <cell r="CE15">
            <v>35102</v>
          </cell>
          <cell r="CF15">
            <v>0</v>
          </cell>
          <cell r="CG15">
            <v>0</v>
          </cell>
          <cell r="CH15">
            <v>0</v>
          </cell>
          <cell r="CI15">
            <v>0</v>
          </cell>
          <cell r="CJ15">
            <v>0</v>
          </cell>
        </row>
        <row r="16">
          <cell r="C16" t="str">
            <v>KUNAL BOSE</v>
          </cell>
          <cell r="D16" t="str">
            <v>SR. MANAGER - FINANCE</v>
          </cell>
          <cell r="E16" t="str">
            <v>LOGISTICS / DISTRIBUTION</v>
          </cell>
          <cell r="F16" t="str">
            <v>PLANT</v>
          </cell>
          <cell r="T16">
            <v>20000</v>
          </cell>
          <cell r="U16">
            <v>20000</v>
          </cell>
          <cell r="AC16">
            <v>20000</v>
          </cell>
          <cell r="BE16">
            <v>0</v>
          </cell>
          <cell r="BF16">
            <v>0</v>
          </cell>
          <cell r="BG16">
            <v>0</v>
          </cell>
          <cell r="BH16">
            <v>0</v>
          </cell>
          <cell r="BI16">
            <v>0</v>
          </cell>
          <cell r="BJ16">
            <v>0</v>
          </cell>
          <cell r="BK16">
            <v>0</v>
          </cell>
          <cell r="BL16">
            <v>0</v>
          </cell>
          <cell r="BM16">
            <v>0</v>
          </cell>
          <cell r="BN16">
            <v>0</v>
          </cell>
          <cell r="BO16">
            <v>43308</v>
          </cell>
          <cell r="BP16">
            <v>0</v>
          </cell>
          <cell r="BQ16">
            <v>0</v>
          </cell>
          <cell r="BR16">
            <v>0</v>
          </cell>
          <cell r="BS16">
            <v>20000</v>
          </cell>
          <cell r="BT16">
            <v>20000</v>
          </cell>
          <cell r="BU16">
            <v>0</v>
          </cell>
          <cell r="BV16">
            <v>0</v>
          </cell>
          <cell r="BW16">
            <v>0</v>
          </cell>
          <cell r="BX16">
            <v>0</v>
          </cell>
          <cell r="BY16">
            <v>0</v>
          </cell>
          <cell r="BZ16">
            <v>0</v>
          </cell>
          <cell r="CA16">
            <v>0</v>
          </cell>
          <cell r="CB16">
            <v>20000</v>
          </cell>
          <cell r="CC16">
            <v>103308</v>
          </cell>
          <cell r="CD16">
            <v>0</v>
          </cell>
          <cell r="CE16">
            <v>35226</v>
          </cell>
          <cell r="CF16">
            <v>0</v>
          </cell>
          <cell r="CG16">
            <v>0</v>
          </cell>
          <cell r="CH16">
            <v>0</v>
          </cell>
          <cell r="CI16">
            <v>0</v>
          </cell>
          <cell r="CJ16">
            <v>0</v>
          </cell>
        </row>
        <row r="17">
          <cell r="C17" t="str">
            <v>APS BHALLA</v>
          </cell>
          <cell r="D17" t="str">
            <v>NATIONAL SALES MANAGER</v>
          </cell>
          <cell r="E17" t="str">
            <v>SALES</v>
          </cell>
          <cell r="F17" t="str">
            <v>PLANT</v>
          </cell>
          <cell r="G17">
            <v>10000</v>
          </cell>
          <cell r="BE17">
            <v>10000</v>
          </cell>
          <cell r="BF17">
            <v>0</v>
          </cell>
          <cell r="BG17">
            <v>0</v>
          </cell>
          <cell r="BH17">
            <v>0</v>
          </cell>
          <cell r="BI17">
            <v>0</v>
          </cell>
          <cell r="BJ17">
            <v>0</v>
          </cell>
          <cell r="BK17">
            <v>0</v>
          </cell>
          <cell r="BL17">
            <v>0</v>
          </cell>
          <cell r="BM17">
            <v>10000</v>
          </cell>
          <cell r="BN17">
            <v>0</v>
          </cell>
          <cell r="BO17">
            <v>54072</v>
          </cell>
          <cell r="BP17">
            <v>0</v>
          </cell>
          <cell r="BQ17">
            <v>0</v>
          </cell>
          <cell r="BR17">
            <v>0</v>
          </cell>
          <cell r="BS17">
            <v>0</v>
          </cell>
          <cell r="BT17">
            <v>0</v>
          </cell>
          <cell r="BU17">
            <v>0</v>
          </cell>
          <cell r="BV17">
            <v>0</v>
          </cell>
          <cell r="BW17">
            <v>0</v>
          </cell>
          <cell r="BX17">
            <v>0</v>
          </cell>
          <cell r="BY17">
            <v>0</v>
          </cell>
          <cell r="BZ17">
            <v>0</v>
          </cell>
          <cell r="CA17">
            <v>0</v>
          </cell>
          <cell r="CB17">
            <v>0</v>
          </cell>
          <cell r="CC17">
            <v>54072</v>
          </cell>
          <cell r="CE17">
            <v>34200</v>
          </cell>
        </row>
        <row r="18">
          <cell r="C18" t="str">
            <v>ANSHU GUPTA</v>
          </cell>
          <cell r="D18" t="str">
            <v>HEAD - PRODUCTION</v>
          </cell>
          <cell r="E18" t="str">
            <v>PRODUCTION</v>
          </cell>
          <cell r="F18" t="str">
            <v>PLANT</v>
          </cell>
          <cell r="S18">
            <v>10775</v>
          </cell>
          <cell r="AC18">
            <v>20000</v>
          </cell>
          <cell r="BE18">
            <v>0</v>
          </cell>
          <cell r="BF18">
            <v>0</v>
          </cell>
          <cell r="BG18">
            <v>0</v>
          </cell>
          <cell r="BH18">
            <v>0</v>
          </cell>
          <cell r="BI18">
            <v>0</v>
          </cell>
          <cell r="BJ18">
            <v>0</v>
          </cell>
          <cell r="BK18">
            <v>0</v>
          </cell>
          <cell r="BL18">
            <v>0</v>
          </cell>
          <cell r="BM18">
            <v>0</v>
          </cell>
          <cell r="BN18">
            <v>0</v>
          </cell>
          <cell r="BO18">
            <v>55872</v>
          </cell>
          <cell r="BP18">
            <v>0</v>
          </cell>
          <cell r="BQ18">
            <v>0</v>
          </cell>
          <cell r="BR18">
            <v>10775</v>
          </cell>
          <cell r="BS18">
            <v>0</v>
          </cell>
          <cell r="BT18">
            <v>0</v>
          </cell>
          <cell r="BU18">
            <v>0</v>
          </cell>
          <cell r="BV18">
            <v>0</v>
          </cell>
          <cell r="BW18">
            <v>0</v>
          </cell>
          <cell r="BX18">
            <v>0</v>
          </cell>
          <cell r="BY18">
            <v>0</v>
          </cell>
          <cell r="BZ18">
            <v>0</v>
          </cell>
          <cell r="CA18">
            <v>0</v>
          </cell>
          <cell r="CB18">
            <v>20000</v>
          </cell>
          <cell r="CC18">
            <v>86647</v>
          </cell>
          <cell r="CD18">
            <v>0</v>
          </cell>
          <cell r="CE18">
            <v>35282</v>
          </cell>
          <cell r="CF18">
            <v>0</v>
          </cell>
          <cell r="CG18">
            <v>0</v>
          </cell>
          <cell r="CH18">
            <v>0</v>
          </cell>
          <cell r="CI18">
            <v>0</v>
          </cell>
          <cell r="CJ18">
            <v>0</v>
          </cell>
        </row>
        <row r="19">
          <cell r="C19" t="str">
            <v>TEJ NIRMAL SINGH</v>
          </cell>
          <cell r="D19" t="str">
            <v>HEAD - MATERIALS &amp; LOGISTICS</v>
          </cell>
          <cell r="E19" t="str">
            <v>PURCHASE</v>
          </cell>
          <cell r="F19" t="str">
            <v>PLANT</v>
          </cell>
          <cell r="S19">
            <v>9603</v>
          </cell>
          <cell r="AC19">
            <v>20000</v>
          </cell>
          <cell r="BE19">
            <v>0</v>
          </cell>
          <cell r="BF19">
            <v>0</v>
          </cell>
          <cell r="BG19">
            <v>0</v>
          </cell>
          <cell r="BH19">
            <v>0</v>
          </cell>
          <cell r="BI19">
            <v>0</v>
          </cell>
          <cell r="BJ19">
            <v>0</v>
          </cell>
          <cell r="BK19">
            <v>0</v>
          </cell>
          <cell r="BL19">
            <v>0</v>
          </cell>
          <cell r="BM19">
            <v>0</v>
          </cell>
          <cell r="BN19">
            <v>0</v>
          </cell>
          <cell r="BO19">
            <v>65016</v>
          </cell>
          <cell r="BP19">
            <v>0</v>
          </cell>
          <cell r="BQ19">
            <v>0</v>
          </cell>
          <cell r="BR19">
            <v>9603</v>
          </cell>
          <cell r="BS19">
            <v>0</v>
          </cell>
          <cell r="BT19">
            <v>0</v>
          </cell>
          <cell r="BU19">
            <v>0</v>
          </cell>
          <cell r="BV19">
            <v>0</v>
          </cell>
          <cell r="BW19">
            <v>0</v>
          </cell>
          <cell r="BX19">
            <v>0</v>
          </cell>
          <cell r="BY19">
            <v>0</v>
          </cell>
          <cell r="BZ19">
            <v>0</v>
          </cell>
          <cell r="CA19">
            <v>0</v>
          </cell>
          <cell r="CB19">
            <v>20000</v>
          </cell>
          <cell r="CC19">
            <v>94619</v>
          </cell>
          <cell r="CD19">
            <v>0</v>
          </cell>
          <cell r="CE19">
            <v>35190</v>
          </cell>
          <cell r="CF19">
            <v>0</v>
          </cell>
          <cell r="CG19">
            <v>0</v>
          </cell>
          <cell r="CH19">
            <v>0</v>
          </cell>
          <cell r="CI19">
            <v>0</v>
          </cell>
          <cell r="CJ19">
            <v>0</v>
          </cell>
        </row>
        <row r="20">
          <cell r="C20" t="str">
            <v>S.P. CHAUHAN</v>
          </cell>
          <cell r="D20" t="str">
            <v>MANAGER - QUALITY ASSURANCE</v>
          </cell>
          <cell r="E20" t="str">
            <v>QUALITY</v>
          </cell>
          <cell r="F20" t="str">
            <v>PLANT</v>
          </cell>
          <cell r="S20">
            <v>9952</v>
          </cell>
          <cell r="W20">
            <v>20000</v>
          </cell>
          <cell r="AC20">
            <v>40000</v>
          </cell>
          <cell r="BE20">
            <v>0</v>
          </cell>
          <cell r="BF20">
            <v>0</v>
          </cell>
          <cell r="BG20">
            <v>0</v>
          </cell>
          <cell r="BH20">
            <v>0</v>
          </cell>
          <cell r="BI20">
            <v>0</v>
          </cell>
          <cell r="BJ20">
            <v>0</v>
          </cell>
          <cell r="BK20">
            <v>0</v>
          </cell>
          <cell r="BL20">
            <v>0</v>
          </cell>
          <cell r="BM20">
            <v>0</v>
          </cell>
          <cell r="BN20">
            <v>0</v>
          </cell>
          <cell r="BO20">
            <v>32292</v>
          </cell>
          <cell r="BP20">
            <v>0</v>
          </cell>
          <cell r="BQ20">
            <v>0</v>
          </cell>
          <cell r="BR20">
            <v>9952</v>
          </cell>
          <cell r="BS20">
            <v>0</v>
          </cell>
          <cell r="BT20">
            <v>0</v>
          </cell>
          <cell r="BU20">
            <v>0</v>
          </cell>
          <cell r="BV20">
            <v>20000</v>
          </cell>
          <cell r="BW20">
            <v>0</v>
          </cell>
          <cell r="BX20">
            <v>0</v>
          </cell>
          <cell r="BY20">
            <v>0</v>
          </cell>
          <cell r="BZ20">
            <v>0</v>
          </cell>
          <cell r="CA20">
            <v>0</v>
          </cell>
          <cell r="CB20">
            <v>40000</v>
          </cell>
          <cell r="CC20">
            <v>102244</v>
          </cell>
          <cell r="CD20">
            <v>0</v>
          </cell>
          <cell r="CE20">
            <v>33679</v>
          </cell>
          <cell r="CF20">
            <v>0</v>
          </cell>
          <cell r="CG20">
            <v>0</v>
          </cell>
          <cell r="CH20">
            <v>0</v>
          </cell>
          <cell r="CI20">
            <v>0</v>
          </cell>
          <cell r="CJ20">
            <v>0</v>
          </cell>
        </row>
        <row r="21">
          <cell r="C21" t="str">
            <v>SUNIL KUMAR SINGH</v>
          </cell>
          <cell r="D21" t="str">
            <v>SR. MANAGER - LOGISTICS &amp; PLANNING</v>
          </cell>
          <cell r="E21" t="str">
            <v>PLANNING</v>
          </cell>
          <cell r="F21" t="str">
            <v>PLANT</v>
          </cell>
          <cell r="S21">
            <v>22933</v>
          </cell>
          <cell r="AC21">
            <v>20000</v>
          </cell>
          <cell r="BE21">
            <v>0</v>
          </cell>
          <cell r="BF21">
            <v>0</v>
          </cell>
          <cell r="BG21">
            <v>0</v>
          </cell>
          <cell r="BH21">
            <v>0</v>
          </cell>
          <cell r="BI21">
            <v>0</v>
          </cell>
          <cell r="BJ21">
            <v>0</v>
          </cell>
          <cell r="BK21">
            <v>0</v>
          </cell>
          <cell r="BL21">
            <v>0</v>
          </cell>
          <cell r="BM21">
            <v>0</v>
          </cell>
          <cell r="BN21">
            <v>0</v>
          </cell>
          <cell r="BO21">
            <v>43452</v>
          </cell>
          <cell r="BP21">
            <v>0</v>
          </cell>
          <cell r="BQ21">
            <v>0</v>
          </cell>
          <cell r="BR21">
            <v>22933</v>
          </cell>
          <cell r="BS21">
            <v>0</v>
          </cell>
          <cell r="BT21">
            <v>0</v>
          </cell>
          <cell r="BU21">
            <v>0</v>
          </cell>
          <cell r="BV21">
            <v>0</v>
          </cell>
          <cell r="BW21">
            <v>0</v>
          </cell>
          <cell r="BX21">
            <v>0</v>
          </cell>
          <cell r="BY21">
            <v>0</v>
          </cell>
          <cell r="BZ21">
            <v>0</v>
          </cell>
          <cell r="CA21">
            <v>0</v>
          </cell>
          <cell r="CB21">
            <v>20000</v>
          </cell>
          <cell r="CC21">
            <v>86385</v>
          </cell>
          <cell r="CD21">
            <v>0</v>
          </cell>
          <cell r="CE21">
            <v>33946</v>
          </cell>
          <cell r="CF21">
            <v>0</v>
          </cell>
          <cell r="CG21">
            <v>0</v>
          </cell>
          <cell r="CH21">
            <v>0</v>
          </cell>
          <cell r="CI21">
            <v>0</v>
          </cell>
          <cell r="CJ21">
            <v>0</v>
          </cell>
        </row>
        <row r="22">
          <cell r="C22" t="str">
            <v>RAKESH KUMAR</v>
          </cell>
          <cell r="D22" t="str">
            <v>OFFICER - HR</v>
          </cell>
          <cell r="E22" t="str">
            <v>HUMAN RESOURCES</v>
          </cell>
          <cell r="F22" t="str">
            <v>PLANT</v>
          </cell>
          <cell r="S22">
            <v>76000</v>
          </cell>
          <cell r="U22">
            <v>0</v>
          </cell>
          <cell r="BE22">
            <v>0</v>
          </cell>
          <cell r="BF22">
            <v>0</v>
          </cell>
          <cell r="BG22">
            <v>0</v>
          </cell>
          <cell r="BH22">
            <v>0</v>
          </cell>
          <cell r="BI22">
            <v>0</v>
          </cell>
          <cell r="BJ22">
            <v>0</v>
          </cell>
          <cell r="BK22">
            <v>0</v>
          </cell>
          <cell r="BL22">
            <v>0</v>
          </cell>
          <cell r="BM22">
            <v>0</v>
          </cell>
          <cell r="BN22">
            <v>0</v>
          </cell>
          <cell r="BO22">
            <v>12456</v>
          </cell>
          <cell r="BP22">
            <v>0</v>
          </cell>
          <cell r="BQ22">
            <v>0</v>
          </cell>
          <cell r="BR22">
            <v>76000</v>
          </cell>
          <cell r="BS22">
            <v>0</v>
          </cell>
          <cell r="BT22">
            <v>0</v>
          </cell>
          <cell r="BU22">
            <v>0</v>
          </cell>
          <cell r="BV22">
            <v>0</v>
          </cell>
          <cell r="BW22">
            <v>0</v>
          </cell>
          <cell r="BX22">
            <v>0</v>
          </cell>
          <cell r="BY22">
            <v>0</v>
          </cell>
          <cell r="BZ22">
            <v>0</v>
          </cell>
          <cell r="CA22">
            <v>0</v>
          </cell>
          <cell r="CB22">
            <v>0</v>
          </cell>
          <cell r="CC22">
            <v>88456</v>
          </cell>
          <cell r="CD22">
            <v>0</v>
          </cell>
          <cell r="CE22">
            <v>35653</v>
          </cell>
          <cell r="CF22">
            <v>0</v>
          </cell>
          <cell r="CG22">
            <v>0</v>
          </cell>
        </row>
        <row r="23">
          <cell r="C23" t="str">
            <v>SIBAJI MITRA</v>
          </cell>
          <cell r="D23" t="str">
            <v>ACCOUNTS OFFICER</v>
          </cell>
          <cell r="E23" t="str">
            <v>FINANCE CONTROL</v>
          </cell>
          <cell r="F23" t="str">
            <v>PLANT</v>
          </cell>
          <cell r="S23">
            <v>2100</v>
          </cell>
          <cell r="U23">
            <v>30000</v>
          </cell>
          <cell r="BE23">
            <v>0</v>
          </cell>
          <cell r="BF23">
            <v>0</v>
          </cell>
          <cell r="BG23">
            <v>0</v>
          </cell>
          <cell r="BH23">
            <v>0</v>
          </cell>
          <cell r="BI23">
            <v>0</v>
          </cell>
          <cell r="BJ23">
            <v>0</v>
          </cell>
          <cell r="BK23">
            <v>0</v>
          </cell>
          <cell r="BL23">
            <v>0</v>
          </cell>
          <cell r="BM23">
            <v>0</v>
          </cell>
          <cell r="BN23">
            <v>0</v>
          </cell>
          <cell r="BO23">
            <v>13716</v>
          </cell>
          <cell r="BP23">
            <v>0</v>
          </cell>
          <cell r="BQ23">
            <v>0</v>
          </cell>
          <cell r="BR23">
            <v>2100</v>
          </cell>
          <cell r="BS23">
            <v>0</v>
          </cell>
          <cell r="BT23">
            <v>30000</v>
          </cell>
          <cell r="BU23">
            <v>0</v>
          </cell>
          <cell r="BV23">
            <v>0</v>
          </cell>
          <cell r="BW23">
            <v>0</v>
          </cell>
          <cell r="BX23">
            <v>0</v>
          </cell>
          <cell r="BY23">
            <v>0</v>
          </cell>
          <cell r="BZ23">
            <v>0</v>
          </cell>
          <cell r="CA23">
            <v>0</v>
          </cell>
          <cell r="CB23">
            <v>0</v>
          </cell>
          <cell r="CC23">
            <v>45816</v>
          </cell>
          <cell r="CD23">
            <v>0</v>
          </cell>
          <cell r="CE23">
            <v>35278</v>
          </cell>
          <cell r="CF23">
            <v>0</v>
          </cell>
          <cell r="CG23">
            <v>0</v>
          </cell>
        </row>
        <row r="24">
          <cell r="C24" t="str">
            <v>SUNIL KUMAR</v>
          </cell>
          <cell r="D24" t="str">
            <v>DRIVER CUM MESSANGER</v>
          </cell>
          <cell r="E24">
            <v>0</v>
          </cell>
          <cell r="F24" t="str">
            <v>PLANT</v>
          </cell>
          <cell r="BE24">
            <v>0</v>
          </cell>
          <cell r="BF24">
            <v>0</v>
          </cell>
          <cell r="BG24">
            <v>0</v>
          </cell>
          <cell r="BH24">
            <v>0</v>
          </cell>
          <cell r="BI24">
            <v>0</v>
          </cell>
          <cell r="BJ24">
            <v>0</v>
          </cell>
          <cell r="BK24">
            <v>0</v>
          </cell>
          <cell r="BL24">
            <v>0</v>
          </cell>
          <cell r="BM24">
            <v>0</v>
          </cell>
          <cell r="BN24">
            <v>0</v>
          </cell>
          <cell r="BO24">
            <v>7128</v>
          </cell>
          <cell r="BP24">
            <v>0</v>
          </cell>
          <cell r="BQ24">
            <v>0</v>
          </cell>
          <cell r="BR24">
            <v>0</v>
          </cell>
          <cell r="BS24">
            <v>0</v>
          </cell>
          <cell r="BT24">
            <v>0</v>
          </cell>
          <cell r="BU24">
            <v>0</v>
          </cell>
          <cell r="BV24">
            <v>0</v>
          </cell>
          <cell r="BW24">
            <v>0</v>
          </cell>
          <cell r="BX24">
            <v>0</v>
          </cell>
          <cell r="BY24">
            <v>0</v>
          </cell>
          <cell r="BZ24">
            <v>0</v>
          </cell>
          <cell r="CA24">
            <v>0</v>
          </cell>
          <cell r="CB24">
            <v>0</v>
          </cell>
          <cell r="CC24">
            <v>7128</v>
          </cell>
          <cell r="CE24">
            <v>0</v>
          </cell>
        </row>
        <row r="25">
          <cell r="C25" t="str">
            <v>SAMEER SHARMA</v>
          </cell>
          <cell r="D25" t="str">
            <v>CUSTOMER SUPPORT REPRESENTATIVE</v>
          </cell>
          <cell r="E25">
            <v>0</v>
          </cell>
          <cell r="F25" t="str">
            <v>PLANT</v>
          </cell>
          <cell r="BE25">
            <v>0</v>
          </cell>
          <cell r="BF25">
            <v>0</v>
          </cell>
          <cell r="BG25">
            <v>0</v>
          </cell>
          <cell r="BH25">
            <v>0</v>
          </cell>
          <cell r="BI25">
            <v>0</v>
          </cell>
          <cell r="BJ25">
            <v>0</v>
          </cell>
          <cell r="BK25">
            <v>0</v>
          </cell>
          <cell r="BL25">
            <v>0</v>
          </cell>
          <cell r="BM25">
            <v>0</v>
          </cell>
          <cell r="BN25">
            <v>0</v>
          </cell>
          <cell r="BO25">
            <v>7812</v>
          </cell>
          <cell r="BP25">
            <v>0</v>
          </cell>
          <cell r="BQ25">
            <v>0</v>
          </cell>
          <cell r="BR25">
            <v>0</v>
          </cell>
          <cell r="BS25">
            <v>0</v>
          </cell>
          <cell r="BT25">
            <v>0</v>
          </cell>
          <cell r="BU25">
            <v>0</v>
          </cell>
          <cell r="BV25">
            <v>0</v>
          </cell>
          <cell r="BW25">
            <v>0</v>
          </cell>
          <cell r="BX25">
            <v>0</v>
          </cell>
          <cell r="BY25">
            <v>0</v>
          </cell>
          <cell r="BZ25">
            <v>0</v>
          </cell>
          <cell r="CA25">
            <v>0</v>
          </cell>
          <cell r="CB25">
            <v>0</v>
          </cell>
          <cell r="CC25">
            <v>7812</v>
          </cell>
          <cell r="CE25">
            <v>0</v>
          </cell>
        </row>
        <row r="26">
          <cell r="C26" t="str">
            <v>RAJIV TYAGI</v>
          </cell>
          <cell r="D26" t="str">
            <v>SR. OFFICER</v>
          </cell>
          <cell r="E26" t="str">
            <v>MANUFACTURING</v>
          </cell>
          <cell r="F26" t="str">
            <v>PLANT</v>
          </cell>
          <cell r="T26">
            <v>20000</v>
          </cell>
          <cell r="W26">
            <v>5000</v>
          </cell>
          <cell r="AC26">
            <v>0</v>
          </cell>
          <cell r="BE26">
            <v>0</v>
          </cell>
          <cell r="BF26">
            <v>0</v>
          </cell>
          <cell r="BG26">
            <v>0</v>
          </cell>
          <cell r="BH26">
            <v>0</v>
          </cell>
          <cell r="BI26">
            <v>0</v>
          </cell>
          <cell r="BJ26">
            <v>0</v>
          </cell>
          <cell r="BK26">
            <v>0</v>
          </cell>
          <cell r="BL26">
            <v>0</v>
          </cell>
          <cell r="BM26">
            <v>0</v>
          </cell>
          <cell r="BN26">
            <v>0</v>
          </cell>
          <cell r="BO26">
            <v>9648</v>
          </cell>
          <cell r="BP26">
            <v>0</v>
          </cell>
          <cell r="BQ26">
            <v>0</v>
          </cell>
          <cell r="BR26">
            <v>0</v>
          </cell>
          <cell r="BS26">
            <v>20000</v>
          </cell>
          <cell r="BT26">
            <v>0</v>
          </cell>
          <cell r="BU26">
            <v>0</v>
          </cell>
          <cell r="BV26">
            <v>5000</v>
          </cell>
          <cell r="BW26">
            <v>0</v>
          </cell>
          <cell r="BX26">
            <v>0</v>
          </cell>
          <cell r="BY26">
            <v>0</v>
          </cell>
          <cell r="BZ26">
            <v>0</v>
          </cell>
          <cell r="CA26">
            <v>0</v>
          </cell>
          <cell r="CB26">
            <v>0</v>
          </cell>
          <cell r="CC26">
            <v>34648</v>
          </cell>
          <cell r="CD26">
            <v>0</v>
          </cell>
          <cell r="CE26">
            <v>33735</v>
          </cell>
          <cell r="CF26">
            <v>0</v>
          </cell>
          <cell r="CG26">
            <v>0</v>
          </cell>
          <cell r="CH26">
            <v>0</v>
          </cell>
          <cell r="CI26">
            <v>0</v>
          </cell>
          <cell r="CJ26">
            <v>0</v>
          </cell>
        </row>
        <row r="27">
          <cell r="C27" t="str">
            <v>SANJAY SHARMA</v>
          </cell>
          <cell r="D27" t="str">
            <v>OFFICER - QUALITY ASSURANCE</v>
          </cell>
          <cell r="E27" t="str">
            <v>QUALITY</v>
          </cell>
          <cell r="F27" t="str">
            <v>PLANT</v>
          </cell>
          <cell r="S27">
            <v>1593</v>
          </cell>
          <cell r="T27">
            <v>30000</v>
          </cell>
          <cell r="BE27">
            <v>0</v>
          </cell>
          <cell r="BF27">
            <v>0</v>
          </cell>
          <cell r="BG27">
            <v>0</v>
          </cell>
          <cell r="BH27">
            <v>0</v>
          </cell>
          <cell r="BI27">
            <v>0</v>
          </cell>
          <cell r="BJ27">
            <v>0</v>
          </cell>
          <cell r="BK27">
            <v>0</v>
          </cell>
          <cell r="BL27">
            <v>0</v>
          </cell>
          <cell r="BM27">
            <v>0</v>
          </cell>
          <cell r="BN27">
            <v>0</v>
          </cell>
          <cell r="BO27">
            <v>8532</v>
          </cell>
          <cell r="BP27">
            <v>0</v>
          </cell>
          <cell r="BQ27">
            <v>0</v>
          </cell>
          <cell r="BR27">
            <v>1593</v>
          </cell>
          <cell r="BS27">
            <v>30000</v>
          </cell>
          <cell r="BT27">
            <v>0</v>
          </cell>
          <cell r="BU27">
            <v>0</v>
          </cell>
          <cell r="BV27">
            <v>0</v>
          </cell>
          <cell r="BW27">
            <v>0</v>
          </cell>
          <cell r="BX27">
            <v>0</v>
          </cell>
          <cell r="BY27">
            <v>0</v>
          </cell>
          <cell r="BZ27">
            <v>0</v>
          </cell>
          <cell r="CA27">
            <v>0</v>
          </cell>
          <cell r="CB27">
            <v>0</v>
          </cell>
          <cell r="CC27">
            <v>40125</v>
          </cell>
          <cell r="CD27">
            <v>0</v>
          </cell>
          <cell r="CE27">
            <v>33760</v>
          </cell>
          <cell r="CF27">
            <v>0</v>
          </cell>
        </row>
        <row r="28">
          <cell r="C28" t="str">
            <v>T G PAUL</v>
          </cell>
          <cell r="D28" t="str">
            <v>SR. OFFICER - ADMIN. &amp; SECTL. SER.</v>
          </cell>
          <cell r="E28">
            <v>0</v>
          </cell>
          <cell r="F28" t="str">
            <v>PLANT</v>
          </cell>
          <cell r="G28">
            <v>10000</v>
          </cell>
          <cell r="S28">
            <v>61217</v>
          </cell>
          <cell r="AC28">
            <v>25000</v>
          </cell>
          <cell r="BE28">
            <v>10000</v>
          </cell>
          <cell r="BF28">
            <v>0</v>
          </cell>
          <cell r="BG28">
            <v>0</v>
          </cell>
          <cell r="BH28">
            <v>0</v>
          </cell>
          <cell r="BI28">
            <v>0</v>
          </cell>
          <cell r="BJ28">
            <v>0</v>
          </cell>
          <cell r="BK28">
            <v>0</v>
          </cell>
          <cell r="BL28">
            <v>0</v>
          </cell>
          <cell r="BM28">
            <v>10000</v>
          </cell>
          <cell r="BN28">
            <v>0</v>
          </cell>
          <cell r="BO28">
            <v>13680</v>
          </cell>
          <cell r="BP28">
            <v>0</v>
          </cell>
          <cell r="BQ28">
            <v>0</v>
          </cell>
          <cell r="BR28">
            <v>61217</v>
          </cell>
          <cell r="BS28">
            <v>0</v>
          </cell>
          <cell r="BT28">
            <v>0</v>
          </cell>
          <cell r="BU28">
            <v>0</v>
          </cell>
          <cell r="BV28">
            <v>0</v>
          </cell>
          <cell r="BW28">
            <v>0</v>
          </cell>
          <cell r="BX28">
            <v>0</v>
          </cell>
          <cell r="BY28">
            <v>0</v>
          </cell>
          <cell r="BZ28">
            <v>0</v>
          </cell>
          <cell r="CA28">
            <v>0</v>
          </cell>
          <cell r="CB28">
            <v>25000</v>
          </cell>
          <cell r="CC28">
            <v>99897</v>
          </cell>
          <cell r="CD28">
            <v>0</v>
          </cell>
          <cell r="CE28">
            <v>34779</v>
          </cell>
          <cell r="CF28">
            <v>0</v>
          </cell>
          <cell r="CG28">
            <v>0</v>
          </cell>
          <cell r="CH28">
            <v>0</v>
          </cell>
          <cell r="CI28">
            <v>0</v>
          </cell>
          <cell r="CJ28">
            <v>0</v>
          </cell>
        </row>
        <row r="29">
          <cell r="C29" t="str">
            <v>PRADEEP SINGH</v>
          </cell>
          <cell r="D29" t="str">
            <v>SR. OFFICER - PURCHASE</v>
          </cell>
          <cell r="E29" t="str">
            <v>PURCHASING / STORES</v>
          </cell>
          <cell r="F29" t="str">
            <v>PLANT</v>
          </cell>
          <cell r="R29">
            <v>10500</v>
          </cell>
          <cell r="S29">
            <v>7723</v>
          </cell>
          <cell r="T29">
            <v>31000</v>
          </cell>
          <cell r="U29">
            <v>10000</v>
          </cell>
          <cell r="AC29">
            <v>22000</v>
          </cell>
          <cell r="BE29">
            <v>0</v>
          </cell>
          <cell r="BF29">
            <v>0</v>
          </cell>
          <cell r="BG29">
            <v>0</v>
          </cell>
          <cell r="BH29">
            <v>0</v>
          </cell>
          <cell r="BI29">
            <v>0</v>
          </cell>
          <cell r="BJ29">
            <v>0</v>
          </cell>
          <cell r="BK29">
            <v>0</v>
          </cell>
          <cell r="BL29">
            <v>0</v>
          </cell>
          <cell r="BM29">
            <v>0</v>
          </cell>
          <cell r="BN29">
            <v>0</v>
          </cell>
          <cell r="BO29">
            <v>11376</v>
          </cell>
          <cell r="BP29">
            <v>0</v>
          </cell>
          <cell r="BQ29">
            <v>10500</v>
          </cell>
          <cell r="BR29">
            <v>7723</v>
          </cell>
          <cell r="BS29">
            <v>31000</v>
          </cell>
          <cell r="BT29">
            <v>10000</v>
          </cell>
          <cell r="BU29">
            <v>0</v>
          </cell>
          <cell r="BV29">
            <v>0</v>
          </cell>
          <cell r="BW29">
            <v>0</v>
          </cell>
          <cell r="BX29">
            <v>0</v>
          </cell>
          <cell r="BY29">
            <v>0</v>
          </cell>
          <cell r="BZ29">
            <v>0</v>
          </cell>
          <cell r="CA29">
            <v>0</v>
          </cell>
          <cell r="CB29">
            <v>22000</v>
          </cell>
          <cell r="CC29">
            <v>92599</v>
          </cell>
          <cell r="CD29">
            <v>0</v>
          </cell>
          <cell r="CE29">
            <v>33725</v>
          </cell>
          <cell r="CF29">
            <v>0</v>
          </cell>
          <cell r="CG29">
            <v>0</v>
          </cell>
          <cell r="CH29">
            <v>0</v>
          </cell>
          <cell r="CI29">
            <v>0</v>
          </cell>
          <cell r="CJ29">
            <v>0</v>
          </cell>
        </row>
        <row r="30">
          <cell r="C30" t="str">
            <v>VIPUL JAIN</v>
          </cell>
          <cell r="D30" t="str">
            <v>SR. OFFICER - ACCOUNTS</v>
          </cell>
          <cell r="E30" t="str">
            <v>FINANCE</v>
          </cell>
          <cell r="F30" t="str">
            <v>PLANT</v>
          </cell>
          <cell r="S30">
            <v>15000</v>
          </cell>
          <cell r="T30">
            <v>35000</v>
          </cell>
          <cell r="AC30">
            <v>30000</v>
          </cell>
          <cell r="BE30">
            <v>0</v>
          </cell>
          <cell r="BF30">
            <v>0</v>
          </cell>
          <cell r="BG30">
            <v>0</v>
          </cell>
          <cell r="BH30">
            <v>0</v>
          </cell>
          <cell r="BI30">
            <v>0</v>
          </cell>
          <cell r="BJ30">
            <v>0</v>
          </cell>
          <cell r="BK30">
            <v>0</v>
          </cell>
          <cell r="BL30">
            <v>0</v>
          </cell>
          <cell r="BM30">
            <v>0</v>
          </cell>
          <cell r="BN30">
            <v>0</v>
          </cell>
          <cell r="BO30">
            <v>12312</v>
          </cell>
          <cell r="BP30">
            <v>0</v>
          </cell>
          <cell r="BQ30">
            <v>0</v>
          </cell>
          <cell r="BR30">
            <v>15000</v>
          </cell>
          <cell r="BS30">
            <v>35000</v>
          </cell>
          <cell r="BT30">
            <v>0</v>
          </cell>
          <cell r="BU30">
            <v>0</v>
          </cell>
          <cell r="BV30">
            <v>0</v>
          </cell>
          <cell r="BW30">
            <v>0</v>
          </cell>
          <cell r="BX30">
            <v>0</v>
          </cell>
          <cell r="BY30">
            <v>0</v>
          </cell>
          <cell r="BZ30">
            <v>0</v>
          </cell>
          <cell r="CA30">
            <v>0</v>
          </cell>
          <cell r="CB30">
            <v>30000</v>
          </cell>
          <cell r="CC30">
            <v>92312</v>
          </cell>
          <cell r="CD30">
            <v>0</v>
          </cell>
          <cell r="CE30">
            <v>35339</v>
          </cell>
          <cell r="CF30">
            <v>0</v>
          </cell>
          <cell r="CG30">
            <v>0</v>
          </cell>
          <cell r="CH30">
            <v>0</v>
          </cell>
          <cell r="CI30">
            <v>0</v>
          </cell>
          <cell r="CJ30">
            <v>0</v>
          </cell>
        </row>
        <row r="31">
          <cell r="C31" t="str">
            <v>RAJENDER NATHOLIA</v>
          </cell>
          <cell r="D31" t="str">
            <v>ASST. OFFICER - ACCOUNTS</v>
          </cell>
          <cell r="E31" t="str">
            <v>FINANCE</v>
          </cell>
          <cell r="F31" t="str">
            <v>PLANT</v>
          </cell>
          <cell r="S31">
            <v>2849</v>
          </cell>
          <cell r="U31">
            <v>28000</v>
          </cell>
          <cell r="BE31">
            <v>0</v>
          </cell>
          <cell r="BF31">
            <v>0</v>
          </cell>
          <cell r="BG31">
            <v>0</v>
          </cell>
          <cell r="BH31">
            <v>0</v>
          </cell>
          <cell r="BI31">
            <v>0</v>
          </cell>
          <cell r="BJ31">
            <v>0</v>
          </cell>
          <cell r="BK31">
            <v>0</v>
          </cell>
          <cell r="BL31">
            <v>0</v>
          </cell>
          <cell r="BM31">
            <v>0</v>
          </cell>
          <cell r="BN31">
            <v>0</v>
          </cell>
          <cell r="BO31">
            <v>8028</v>
          </cell>
          <cell r="BP31">
            <v>0</v>
          </cell>
          <cell r="BQ31">
            <v>0</v>
          </cell>
          <cell r="BR31">
            <v>2849</v>
          </cell>
          <cell r="BS31">
            <v>0</v>
          </cell>
          <cell r="BT31">
            <v>28000</v>
          </cell>
          <cell r="BU31">
            <v>0</v>
          </cell>
          <cell r="BV31">
            <v>0</v>
          </cell>
          <cell r="BW31">
            <v>0</v>
          </cell>
          <cell r="BX31">
            <v>0</v>
          </cell>
          <cell r="BY31">
            <v>0</v>
          </cell>
          <cell r="BZ31">
            <v>0</v>
          </cell>
          <cell r="CA31">
            <v>0</v>
          </cell>
          <cell r="CB31">
            <v>0</v>
          </cell>
          <cell r="CC31">
            <v>38877</v>
          </cell>
          <cell r="CD31">
            <v>0</v>
          </cell>
          <cell r="CE31">
            <v>35115</v>
          </cell>
          <cell r="CF31">
            <v>0</v>
          </cell>
          <cell r="CG31">
            <v>0</v>
          </cell>
        </row>
        <row r="32">
          <cell r="C32" t="str">
            <v>SANDEEP JAIN</v>
          </cell>
          <cell r="D32" t="str">
            <v>OFFICER - LOGISTICS</v>
          </cell>
          <cell r="E32" t="str">
            <v>PLANNING</v>
          </cell>
          <cell r="F32" t="str">
            <v>PLANT</v>
          </cell>
          <cell r="S32">
            <v>5114</v>
          </cell>
          <cell r="T32">
            <v>34000</v>
          </cell>
          <cell r="BE32">
            <v>0</v>
          </cell>
          <cell r="BF32">
            <v>0</v>
          </cell>
          <cell r="BG32">
            <v>0</v>
          </cell>
          <cell r="BH32">
            <v>0</v>
          </cell>
          <cell r="BI32">
            <v>0</v>
          </cell>
          <cell r="BJ32">
            <v>0</v>
          </cell>
          <cell r="BK32">
            <v>0</v>
          </cell>
          <cell r="BL32">
            <v>0</v>
          </cell>
          <cell r="BM32">
            <v>0</v>
          </cell>
          <cell r="BN32">
            <v>0</v>
          </cell>
          <cell r="BO32">
            <v>9540</v>
          </cell>
          <cell r="BP32">
            <v>0</v>
          </cell>
          <cell r="BQ32">
            <v>0</v>
          </cell>
          <cell r="BR32">
            <v>5114</v>
          </cell>
          <cell r="BS32">
            <v>34000</v>
          </cell>
          <cell r="BT32">
            <v>0</v>
          </cell>
          <cell r="BU32">
            <v>0</v>
          </cell>
          <cell r="BV32">
            <v>0</v>
          </cell>
          <cell r="BW32">
            <v>0</v>
          </cell>
          <cell r="BX32">
            <v>0</v>
          </cell>
          <cell r="BY32">
            <v>0</v>
          </cell>
          <cell r="BZ32">
            <v>0</v>
          </cell>
          <cell r="CA32">
            <v>0</v>
          </cell>
          <cell r="CB32">
            <v>0</v>
          </cell>
          <cell r="CC32">
            <v>48654</v>
          </cell>
          <cell r="CD32">
            <v>0</v>
          </cell>
          <cell r="CE32">
            <v>34571</v>
          </cell>
          <cell r="CF32">
            <v>0</v>
          </cell>
        </row>
        <row r="33">
          <cell r="C33" t="str">
            <v>AMBALIKA CHITKARA</v>
          </cell>
          <cell r="D33" t="str">
            <v>EXECUTIVE TRAINEE - MARKETING</v>
          </cell>
          <cell r="E33" t="str">
            <v>MARKETING</v>
          </cell>
          <cell r="F33" t="str">
            <v>PLANT</v>
          </cell>
          <cell r="BE33">
            <v>0</v>
          </cell>
          <cell r="BF33">
            <v>0</v>
          </cell>
          <cell r="BG33">
            <v>0</v>
          </cell>
          <cell r="BH33">
            <v>0</v>
          </cell>
          <cell r="BI33">
            <v>0</v>
          </cell>
          <cell r="BJ33">
            <v>0</v>
          </cell>
          <cell r="BK33">
            <v>0</v>
          </cell>
          <cell r="BL33">
            <v>0</v>
          </cell>
          <cell r="BM33">
            <v>0</v>
          </cell>
          <cell r="BN33">
            <v>0</v>
          </cell>
          <cell r="BO33">
            <v>5760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5760</v>
          </cell>
          <cell r="CE33">
            <v>37137</v>
          </cell>
        </row>
        <row r="34">
          <cell r="C34" t="str">
            <v>RAMAN MOHAN</v>
          </cell>
          <cell r="D34" t="str">
            <v xml:space="preserve">ASST. OFFICER </v>
          </cell>
          <cell r="E34" t="str">
            <v>IM&amp;T</v>
          </cell>
          <cell r="F34" t="str">
            <v>PLANT</v>
          </cell>
          <cell r="S34">
            <v>1976</v>
          </cell>
          <cell r="T34">
            <v>10000</v>
          </cell>
          <cell r="AC34">
            <v>15000</v>
          </cell>
          <cell r="BE34">
            <v>0</v>
          </cell>
          <cell r="BF34">
            <v>0</v>
          </cell>
          <cell r="BG34">
            <v>0</v>
          </cell>
          <cell r="BH34">
            <v>0</v>
          </cell>
          <cell r="BI34">
            <v>0</v>
          </cell>
          <cell r="BJ34">
            <v>0</v>
          </cell>
          <cell r="BK34">
            <v>0</v>
          </cell>
          <cell r="BL34">
            <v>0</v>
          </cell>
          <cell r="BM34">
            <v>0</v>
          </cell>
          <cell r="BN34">
            <v>0</v>
          </cell>
          <cell r="BO34">
            <v>9144</v>
          </cell>
          <cell r="BP34">
            <v>0</v>
          </cell>
          <cell r="BQ34">
            <v>0</v>
          </cell>
          <cell r="BR34">
            <v>1976</v>
          </cell>
          <cell r="BS34">
            <v>10000</v>
          </cell>
          <cell r="BT34">
            <v>0</v>
          </cell>
          <cell r="BU34">
            <v>0</v>
          </cell>
          <cell r="BV34">
            <v>0</v>
          </cell>
          <cell r="BW34">
            <v>0</v>
          </cell>
          <cell r="BX34">
            <v>0</v>
          </cell>
          <cell r="BY34">
            <v>0</v>
          </cell>
          <cell r="BZ34">
            <v>0</v>
          </cell>
          <cell r="CA34">
            <v>0</v>
          </cell>
          <cell r="CB34">
            <v>15000</v>
          </cell>
          <cell r="CC34">
            <v>36120</v>
          </cell>
          <cell r="CD34">
            <v>0</v>
          </cell>
          <cell r="CE34">
            <v>36798</v>
          </cell>
          <cell r="CF34">
            <v>0</v>
          </cell>
          <cell r="CG34">
            <v>0</v>
          </cell>
          <cell r="CH34">
            <v>0</v>
          </cell>
          <cell r="CI34">
            <v>0</v>
          </cell>
          <cell r="CJ34">
            <v>0</v>
          </cell>
        </row>
        <row r="35">
          <cell r="C35" t="str">
            <v>RAJMOHAN RAMACHANDRAN</v>
          </cell>
          <cell r="D35" t="str">
            <v>ELECTROPLATING ENGG.</v>
          </cell>
          <cell r="E35" t="str">
            <v>PRODUCTION</v>
          </cell>
          <cell r="F35" t="str">
            <v>PLANT</v>
          </cell>
          <cell r="S35">
            <v>37000</v>
          </cell>
          <cell r="BE35">
            <v>0</v>
          </cell>
          <cell r="BF35">
            <v>0</v>
          </cell>
          <cell r="BG35">
            <v>0</v>
          </cell>
          <cell r="BH35">
            <v>0</v>
          </cell>
          <cell r="BI35">
            <v>0</v>
          </cell>
          <cell r="BJ35">
            <v>0</v>
          </cell>
          <cell r="BK35">
            <v>0</v>
          </cell>
          <cell r="BL35">
            <v>0</v>
          </cell>
          <cell r="BM35">
            <v>0</v>
          </cell>
          <cell r="BN35">
            <v>0</v>
          </cell>
          <cell r="BO35">
            <v>9828</v>
          </cell>
          <cell r="BP35">
            <v>0</v>
          </cell>
          <cell r="BQ35">
            <v>0</v>
          </cell>
          <cell r="BR35">
            <v>37000</v>
          </cell>
          <cell r="BS35">
            <v>0</v>
          </cell>
          <cell r="BT35">
            <v>0</v>
          </cell>
          <cell r="BU35">
            <v>0</v>
          </cell>
          <cell r="BV35">
            <v>0</v>
          </cell>
          <cell r="BW35">
            <v>0</v>
          </cell>
          <cell r="BX35">
            <v>0</v>
          </cell>
          <cell r="BY35">
            <v>0</v>
          </cell>
          <cell r="BZ35">
            <v>0</v>
          </cell>
          <cell r="CA35">
            <v>0</v>
          </cell>
          <cell r="CB35">
            <v>0</v>
          </cell>
          <cell r="CC35">
            <v>46828</v>
          </cell>
          <cell r="CD35">
            <v>0</v>
          </cell>
          <cell r="CE35">
            <v>37055</v>
          </cell>
        </row>
        <row r="36">
          <cell r="C36" t="str">
            <v>DEVENDER MEHROTRA</v>
          </cell>
          <cell r="D36" t="str">
            <v>ASTT. MANAGER - PRODUCTION</v>
          </cell>
          <cell r="E36" t="str">
            <v>MANUFACTURING</v>
          </cell>
          <cell r="F36" t="str">
            <v>PLANT</v>
          </cell>
          <cell r="G36">
            <v>10000</v>
          </cell>
          <cell r="S36">
            <v>60000</v>
          </cell>
          <cell r="AC36">
            <v>30000</v>
          </cell>
          <cell r="BE36">
            <v>10000</v>
          </cell>
          <cell r="BF36">
            <v>0</v>
          </cell>
          <cell r="BG36">
            <v>0</v>
          </cell>
          <cell r="BH36">
            <v>0</v>
          </cell>
          <cell r="BI36">
            <v>0</v>
          </cell>
          <cell r="BJ36">
            <v>0</v>
          </cell>
          <cell r="BK36">
            <v>0</v>
          </cell>
          <cell r="BL36">
            <v>0</v>
          </cell>
          <cell r="BM36">
            <v>10000</v>
          </cell>
          <cell r="BN36">
            <v>0</v>
          </cell>
          <cell r="BO36">
            <v>11376</v>
          </cell>
          <cell r="BP36">
            <v>0</v>
          </cell>
          <cell r="BQ36">
            <v>0</v>
          </cell>
          <cell r="BR36">
            <v>60000</v>
          </cell>
          <cell r="BS36">
            <v>0</v>
          </cell>
          <cell r="BT36">
            <v>0</v>
          </cell>
          <cell r="BU36">
            <v>0</v>
          </cell>
          <cell r="BV36">
            <v>0</v>
          </cell>
          <cell r="BW36">
            <v>0</v>
          </cell>
          <cell r="BX36">
            <v>0</v>
          </cell>
          <cell r="BY36">
            <v>0</v>
          </cell>
          <cell r="BZ36">
            <v>0</v>
          </cell>
          <cell r="CA36">
            <v>0</v>
          </cell>
          <cell r="CB36">
            <v>30000</v>
          </cell>
          <cell r="CC36">
            <v>101376</v>
          </cell>
          <cell r="CD36">
            <v>0</v>
          </cell>
          <cell r="CE36">
            <v>35268</v>
          </cell>
          <cell r="CF36">
            <v>0</v>
          </cell>
          <cell r="CG36">
            <v>0</v>
          </cell>
          <cell r="CH36">
            <v>0</v>
          </cell>
          <cell r="CI36">
            <v>0</v>
          </cell>
          <cell r="CJ36">
            <v>0</v>
          </cell>
        </row>
        <row r="37">
          <cell r="C37" t="str">
            <v>R.N. SINGH</v>
          </cell>
          <cell r="D37" t="str">
            <v>ASTT. MANAGER - PLANT MAINTENANCE</v>
          </cell>
          <cell r="E37" t="str">
            <v>UTILITY</v>
          </cell>
          <cell r="F37" t="str">
            <v>PLANT</v>
          </cell>
          <cell r="R37">
            <v>4980</v>
          </cell>
          <cell r="S37">
            <v>31929</v>
          </cell>
          <cell r="T37">
            <v>6000</v>
          </cell>
          <cell r="V37">
            <v>11800</v>
          </cell>
          <cell r="AC37">
            <v>30000</v>
          </cell>
          <cell r="BE37">
            <v>0</v>
          </cell>
          <cell r="BF37">
            <v>0</v>
          </cell>
          <cell r="BG37">
            <v>0</v>
          </cell>
          <cell r="BH37">
            <v>0</v>
          </cell>
          <cell r="BI37">
            <v>0</v>
          </cell>
          <cell r="BJ37">
            <v>0</v>
          </cell>
          <cell r="BK37">
            <v>0</v>
          </cell>
          <cell r="BL37">
            <v>0</v>
          </cell>
          <cell r="BM37">
            <v>0</v>
          </cell>
          <cell r="BN37">
            <v>0</v>
          </cell>
          <cell r="BO37">
            <v>15948</v>
          </cell>
          <cell r="BP37">
            <v>0</v>
          </cell>
          <cell r="BQ37">
            <v>4980</v>
          </cell>
          <cell r="BR37">
            <v>31929</v>
          </cell>
          <cell r="BS37">
            <v>6000</v>
          </cell>
          <cell r="BT37">
            <v>0</v>
          </cell>
          <cell r="BU37">
            <v>11800</v>
          </cell>
          <cell r="BV37">
            <v>0</v>
          </cell>
          <cell r="BW37">
            <v>0</v>
          </cell>
          <cell r="BX37">
            <v>0</v>
          </cell>
          <cell r="BY37">
            <v>0</v>
          </cell>
          <cell r="BZ37">
            <v>0</v>
          </cell>
          <cell r="CA37">
            <v>0</v>
          </cell>
          <cell r="CB37">
            <v>30000</v>
          </cell>
          <cell r="CC37">
            <v>100657</v>
          </cell>
          <cell r="CD37">
            <v>0</v>
          </cell>
          <cell r="CE37">
            <v>33656</v>
          </cell>
          <cell r="CF37">
            <v>0</v>
          </cell>
          <cell r="CG37">
            <v>0</v>
          </cell>
          <cell r="CH37">
            <v>0</v>
          </cell>
          <cell r="CI37">
            <v>0</v>
          </cell>
          <cell r="CJ37">
            <v>0</v>
          </cell>
        </row>
        <row r="38">
          <cell r="C38" t="str">
            <v>H.V.CHOPRA</v>
          </cell>
          <cell r="D38" t="str">
            <v>MANAGING DIRECTOR</v>
          </cell>
          <cell r="E38" t="str">
            <v>MD'S OFFICE</v>
          </cell>
          <cell r="F38" t="str">
            <v>PLANT</v>
          </cell>
          <cell r="AC38">
            <v>0</v>
          </cell>
          <cell r="BE38">
            <v>0</v>
          </cell>
          <cell r="BF38">
            <v>0</v>
          </cell>
          <cell r="BG38">
            <v>0</v>
          </cell>
          <cell r="BH38">
            <v>0</v>
          </cell>
          <cell r="BI38">
            <v>0</v>
          </cell>
          <cell r="BJ38">
            <v>0</v>
          </cell>
          <cell r="BK38">
            <v>0</v>
          </cell>
          <cell r="BL38">
            <v>0</v>
          </cell>
          <cell r="BM38">
            <v>0</v>
          </cell>
          <cell r="BN38">
            <v>0</v>
          </cell>
          <cell r="BO38">
            <v>108504</v>
          </cell>
          <cell r="BP38">
            <v>0</v>
          </cell>
          <cell r="BQ38">
            <v>0</v>
          </cell>
          <cell r="BR38">
            <v>0</v>
          </cell>
          <cell r="BS38">
            <v>0</v>
          </cell>
          <cell r="BT38">
            <v>0</v>
          </cell>
          <cell r="BU38">
            <v>0</v>
          </cell>
          <cell r="BV38">
            <v>0</v>
          </cell>
          <cell r="BW38">
            <v>0</v>
          </cell>
          <cell r="BX38">
            <v>0</v>
          </cell>
          <cell r="BY38">
            <v>0</v>
          </cell>
          <cell r="BZ38">
            <v>0</v>
          </cell>
          <cell r="CA38">
            <v>0</v>
          </cell>
          <cell r="CB38">
            <v>0</v>
          </cell>
          <cell r="CC38">
            <v>108504</v>
          </cell>
          <cell r="CD38">
            <v>0</v>
          </cell>
          <cell r="CE38">
            <v>34912</v>
          </cell>
          <cell r="CF38">
            <v>0</v>
          </cell>
          <cell r="CG38">
            <v>0</v>
          </cell>
          <cell r="CH38">
            <v>0</v>
          </cell>
          <cell r="CI38">
            <v>0</v>
          </cell>
          <cell r="CJ38">
            <v>0</v>
          </cell>
        </row>
        <row r="39">
          <cell r="C39" t="str">
            <v>MOHD.ANANOORE ALAM</v>
          </cell>
          <cell r="D39">
            <v>0</v>
          </cell>
          <cell r="E39" t="str">
            <v>ENGG. SERVICES / UTILITIES</v>
          </cell>
          <cell r="F39" t="str">
            <v>PLANT</v>
          </cell>
          <cell r="S39">
            <v>16623</v>
          </cell>
          <cell r="U39">
            <v>6500</v>
          </cell>
          <cell r="BE39">
            <v>0</v>
          </cell>
          <cell r="BF39">
            <v>0</v>
          </cell>
          <cell r="BG39">
            <v>0</v>
          </cell>
          <cell r="BH39">
            <v>0</v>
          </cell>
          <cell r="BI39">
            <v>0</v>
          </cell>
          <cell r="BJ39">
            <v>0</v>
          </cell>
          <cell r="BK39">
            <v>0</v>
          </cell>
          <cell r="BL39">
            <v>0</v>
          </cell>
          <cell r="BM39">
            <v>0</v>
          </cell>
          <cell r="BN39">
            <v>0</v>
          </cell>
          <cell r="BO39">
            <v>8856</v>
          </cell>
          <cell r="BP39">
            <v>0</v>
          </cell>
          <cell r="BQ39">
            <v>0</v>
          </cell>
          <cell r="BR39">
            <v>16623</v>
          </cell>
          <cell r="BS39">
            <v>0</v>
          </cell>
          <cell r="BT39">
            <v>6500</v>
          </cell>
          <cell r="BU39">
            <v>0</v>
          </cell>
          <cell r="BV39">
            <v>0</v>
          </cell>
          <cell r="BW39">
            <v>0</v>
          </cell>
          <cell r="BX39">
            <v>0</v>
          </cell>
          <cell r="BY39">
            <v>0</v>
          </cell>
          <cell r="BZ39">
            <v>0</v>
          </cell>
          <cell r="CA39">
            <v>0</v>
          </cell>
          <cell r="CB39">
            <v>0</v>
          </cell>
          <cell r="CC39">
            <v>31979</v>
          </cell>
          <cell r="CD39">
            <v>0</v>
          </cell>
          <cell r="CE39">
            <v>33892</v>
          </cell>
          <cell r="CF39">
            <v>0</v>
          </cell>
          <cell r="CG39">
            <v>0</v>
          </cell>
        </row>
        <row r="40">
          <cell r="C40" t="str">
            <v>JASWANT RAI</v>
          </cell>
          <cell r="D40" t="str">
            <v>OFFICER - SECURITY</v>
          </cell>
          <cell r="E40" t="str">
            <v>SECURITY SERVICES</v>
          </cell>
          <cell r="F40" t="str">
            <v>PLANT</v>
          </cell>
          <cell r="S40">
            <v>4334</v>
          </cell>
          <cell r="U40">
            <v>8000</v>
          </cell>
          <cell r="BE40">
            <v>0</v>
          </cell>
          <cell r="BF40">
            <v>0</v>
          </cell>
          <cell r="BG40">
            <v>0</v>
          </cell>
          <cell r="BH40">
            <v>0</v>
          </cell>
          <cell r="BI40">
            <v>0</v>
          </cell>
          <cell r="BJ40">
            <v>0</v>
          </cell>
          <cell r="BK40">
            <v>0</v>
          </cell>
          <cell r="BL40">
            <v>0</v>
          </cell>
          <cell r="BM40">
            <v>0</v>
          </cell>
          <cell r="BN40">
            <v>0</v>
          </cell>
          <cell r="BO40">
            <v>6768</v>
          </cell>
          <cell r="BP40">
            <v>0</v>
          </cell>
          <cell r="BQ40">
            <v>0</v>
          </cell>
          <cell r="BR40">
            <v>4334</v>
          </cell>
          <cell r="BS40">
            <v>0</v>
          </cell>
          <cell r="BT40">
            <v>8000</v>
          </cell>
          <cell r="BU40">
            <v>0</v>
          </cell>
          <cell r="BV40">
            <v>0</v>
          </cell>
          <cell r="BW40">
            <v>0</v>
          </cell>
          <cell r="BX40">
            <v>0</v>
          </cell>
          <cell r="BY40">
            <v>0</v>
          </cell>
          <cell r="BZ40">
            <v>0</v>
          </cell>
          <cell r="CA40">
            <v>0</v>
          </cell>
          <cell r="CB40">
            <v>0</v>
          </cell>
          <cell r="CC40">
            <v>19102</v>
          </cell>
          <cell r="CD40">
            <v>0</v>
          </cell>
          <cell r="CE40">
            <v>33939</v>
          </cell>
          <cell r="CF40">
            <v>0</v>
          </cell>
          <cell r="CG40">
            <v>0</v>
          </cell>
        </row>
        <row r="41">
          <cell r="C41" t="str">
            <v>PADMA CHARAN RAY</v>
          </cell>
          <cell r="D41" t="str">
            <v>SALES EXECUTIVE</v>
          </cell>
          <cell r="E41" t="str">
            <v>SALES</v>
          </cell>
          <cell r="F41" t="str">
            <v>DELHI</v>
          </cell>
          <cell r="AA41">
            <v>60000</v>
          </cell>
          <cell r="AD41">
            <v>60000</v>
          </cell>
          <cell r="BE41">
            <v>0</v>
          </cell>
          <cell r="BF41">
            <v>0</v>
          </cell>
          <cell r="BG41">
            <v>0</v>
          </cell>
          <cell r="BH41">
            <v>0</v>
          </cell>
          <cell r="BI41">
            <v>0</v>
          </cell>
          <cell r="BJ41">
            <v>0</v>
          </cell>
          <cell r="BK41">
            <v>0</v>
          </cell>
          <cell r="BL41">
            <v>0</v>
          </cell>
          <cell r="BM41">
            <v>0</v>
          </cell>
          <cell r="BN41">
            <v>0</v>
          </cell>
          <cell r="BO41">
            <v>7187</v>
          </cell>
          <cell r="BP41">
            <v>0</v>
          </cell>
          <cell r="BQ41">
            <v>0</v>
          </cell>
          <cell r="BR41">
            <v>0</v>
          </cell>
          <cell r="BS41">
            <v>0</v>
          </cell>
          <cell r="BT41">
            <v>0</v>
          </cell>
          <cell r="BU41">
            <v>0</v>
          </cell>
          <cell r="BV41">
            <v>0</v>
          </cell>
          <cell r="BW41">
            <v>0</v>
          </cell>
          <cell r="BX41">
            <v>0</v>
          </cell>
          <cell r="BY41">
            <v>0</v>
          </cell>
          <cell r="BZ41">
            <v>60000</v>
          </cell>
          <cell r="CA41">
            <v>0</v>
          </cell>
          <cell r="CB41">
            <v>0</v>
          </cell>
          <cell r="CC41">
            <v>67187</v>
          </cell>
          <cell r="CD41">
            <v>0</v>
          </cell>
          <cell r="CE41">
            <v>37368</v>
          </cell>
          <cell r="CF41">
            <v>0</v>
          </cell>
          <cell r="CG41">
            <v>0</v>
          </cell>
          <cell r="CH41">
            <v>0</v>
          </cell>
          <cell r="CI41">
            <v>0</v>
          </cell>
          <cell r="CJ41">
            <v>0</v>
          </cell>
        </row>
        <row r="42">
          <cell r="C42" t="str">
            <v>RAJESH KUMAR SAHAY</v>
          </cell>
          <cell r="D42" t="str">
            <v>SALES EXECUTIVE</v>
          </cell>
          <cell r="E42" t="str">
            <v>SALES</v>
          </cell>
          <cell r="F42" t="str">
            <v>DELHI</v>
          </cell>
          <cell r="AA42">
            <v>60000</v>
          </cell>
          <cell r="AD42">
            <v>60000</v>
          </cell>
          <cell r="BE42">
            <v>0</v>
          </cell>
          <cell r="BF42">
            <v>0</v>
          </cell>
          <cell r="BG42">
            <v>0</v>
          </cell>
          <cell r="BH42">
            <v>0</v>
          </cell>
          <cell r="BI42">
            <v>0</v>
          </cell>
          <cell r="BJ42">
            <v>0</v>
          </cell>
          <cell r="BK42">
            <v>0</v>
          </cell>
          <cell r="BL42">
            <v>0</v>
          </cell>
          <cell r="BM42">
            <v>0</v>
          </cell>
          <cell r="BN42">
            <v>0</v>
          </cell>
          <cell r="BO42">
            <v>6169</v>
          </cell>
          <cell r="BP42">
            <v>0</v>
          </cell>
          <cell r="BQ42">
            <v>0</v>
          </cell>
          <cell r="BR42">
            <v>0</v>
          </cell>
          <cell r="BS42">
            <v>0</v>
          </cell>
          <cell r="BT42">
            <v>0</v>
          </cell>
          <cell r="BU42">
            <v>0</v>
          </cell>
          <cell r="BV42">
            <v>0</v>
          </cell>
          <cell r="BW42">
            <v>0</v>
          </cell>
          <cell r="BX42">
            <v>0</v>
          </cell>
          <cell r="BY42">
            <v>0</v>
          </cell>
          <cell r="BZ42">
            <v>60000</v>
          </cell>
          <cell r="CA42">
            <v>0</v>
          </cell>
          <cell r="CB42">
            <v>0</v>
          </cell>
          <cell r="CC42">
            <v>66169</v>
          </cell>
          <cell r="CD42">
            <v>0</v>
          </cell>
          <cell r="CE42">
            <v>37417</v>
          </cell>
          <cell r="CF42">
            <v>0</v>
          </cell>
          <cell r="CG42">
            <v>0</v>
          </cell>
          <cell r="CH42">
            <v>0</v>
          </cell>
          <cell r="CI42">
            <v>0</v>
          </cell>
          <cell r="CJ42">
            <v>0</v>
          </cell>
        </row>
        <row r="43">
          <cell r="C43" t="str">
            <v>VIKAS SWAMI</v>
          </cell>
          <cell r="D43" t="str">
            <v>SALES EXECUTIVE</v>
          </cell>
          <cell r="E43" t="str">
            <v>SALES</v>
          </cell>
          <cell r="F43" t="str">
            <v>DELHI</v>
          </cell>
          <cell r="AA43">
            <v>60000</v>
          </cell>
          <cell r="AD43">
            <v>60000</v>
          </cell>
          <cell r="BE43">
            <v>0</v>
          </cell>
          <cell r="BF43">
            <v>0</v>
          </cell>
          <cell r="BG43">
            <v>0</v>
          </cell>
          <cell r="BH43">
            <v>0</v>
          </cell>
          <cell r="BI43">
            <v>0</v>
          </cell>
          <cell r="BJ43">
            <v>0</v>
          </cell>
          <cell r="BK43">
            <v>0</v>
          </cell>
          <cell r="BL43">
            <v>0</v>
          </cell>
          <cell r="BM43">
            <v>0</v>
          </cell>
          <cell r="BN43">
            <v>0</v>
          </cell>
          <cell r="BO43">
            <v>7187</v>
          </cell>
          <cell r="BP43">
            <v>0</v>
          </cell>
          <cell r="BQ43">
            <v>0</v>
          </cell>
          <cell r="BR43">
            <v>0</v>
          </cell>
          <cell r="BS43">
            <v>0</v>
          </cell>
          <cell r="BT43">
            <v>0</v>
          </cell>
          <cell r="BU43">
            <v>0</v>
          </cell>
          <cell r="BV43">
            <v>0</v>
          </cell>
          <cell r="BW43">
            <v>0</v>
          </cell>
          <cell r="BX43">
            <v>0</v>
          </cell>
          <cell r="BY43">
            <v>0</v>
          </cell>
          <cell r="BZ43">
            <v>60000</v>
          </cell>
          <cell r="CA43">
            <v>0</v>
          </cell>
          <cell r="CB43">
            <v>0</v>
          </cell>
          <cell r="CC43">
            <v>67187</v>
          </cell>
          <cell r="CD43">
            <v>0</v>
          </cell>
          <cell r="CE43">
            <v>37368</v>
          </cell>
          <cell r="CF43">
            <v>0</v>
          </cell>
          <cell r="CG43">
            <v>0</v>
          </cell>
          <cell r="CH43">
            <v>0</v>
          </cell>
          <cell r="CI43">
            <v>0</v>
          </cell>
          <cell r="CJ43">
            <v>0</v>
          </cell>
        </row>
        <row r="44">
          <cell r="C44" t="str">
            <v>SUMEET KAPAHI</v>
          </cell>
          <cell r="D44" t="str">
            <v>SR. SALES EXECUTIVE</v>
          </cell>
          <cell r="E44" t="str">
            <v>SALES</v>
          </cell>
          <cell r="F44" t="str">
            <v>DELHI</v>
          </cell>
          <cell r="S44">
            <v>5858</v>
          </cell>
          <cell r="T44">
            <v>40000</v>
          </cell>
          <cell r="AC44">
            <v>5000</v>
          </cell>
          <cell r="AD44">
            <v>50858</v>
          </cell>
          <cell r="BE44">
            <v>0</v>
          </cell>
          <cell r="BF44">
            <v>0</v>
          </cell>
          <cell r="BG44">
            <v>0</v>
          </cell>
          <cell r="BH44">
            <v>0</v>
          </cell>
          <cell r="BI44">
            <v>0</v>
          </cell>
          <cell r="BJ44">
            <v>0</v>
          </cell>
          <cell r="BK44">
            <v>0</v>
          </cell>
          <cell r="BL44">
            <v>0</v>
          </cell>
          <cell r="BM44">
            <v>0</v>
          </cell>
          <cell r="BN44">
            <v>0</v>
          </cell>
          <cell r="BO44">
            <v>10836</v>
          </cell>
          <cell r="BP44">
            <v>0</v>
          </cell>
          <cell r="BQ44">
            <v>0</v>
          </cell>
          <cell r="BR44">
            <v>5858</v>
          </cell>
          <cell r="BS44">
            <v>40000</v>
          </cell>
          <cell r="BT44">
            <v>0</v>
          </cell>
          <cell r="BU44">
            <v>0</v>
          </cell>
          <cell r="BV44">
            <v>0</v>
          </cell>
          <cell r="BW44">
            <v>0</v>
          </cell>
          <cell r="BX44">
            <v>0</v>
          </cell>
          <cell r="BY44">
            <v>0</v>
          </cell>
          <cell r="BZ44">
            <v>0</v>
          </cell>
          <cell r="CA44">
            <v>0</v>
          </cell>
          <cell r="CB44">
            <v>5000</v>
          </cell>
          <cell r="CC44">
            <v>61694</v>
          </cell>
          <cell r="CD44">
            <v>0</v>
          </cell>
          <cell r="CE44">
            <v>34967</v>
          </cell>
          <cell r="CF44">
            <v>0</v>
          </cell>
          <cell r="CG44">
            <v>0</v>
          </cell>
          <cell r="CH44">
            <v>0</v>
          </cell>
          <cell r="CI44">
            <v>0</v>
          </cell>
          <cell r="CJ44">
            <v>0</v>
          </cell>
        </row>
        <row r="45">
          <cell r="C45" t="str">
            <v>SUBHASH UPADHYAY</v>
          </cell>
          <cell r="D45" t="str">
            <v>SR. SALES EXECUTIVE</v>
          </cell>
          <cell r="E45" t="str">
            <v>SALES</v>
          </cell>
          <cell r="F45" t="str">
            <v>DELHI</v>
          </cell>
          <cell r="R45">
            <v>15000</v>
          </cell>
          <cell r="S45">
            <v>50633</v>
          </cell>
          <cell r="AD45">
            <v>65633</v>
          </cell>
          <cell r="BE45">
            <v>0</v>
          </cell>
          <cell r="BF45">
            <v>0</v>
          </cell>
          <cell r="BG45">
            <v>0</v>
          </cell>
          <cell r="BH45">
            <v>0</v>
          </cell>
          <cell r="BI45">
            <v>0</v>
          </cell>
          <cell r="BJ45">
            <v>0</v>
          </cell>
          <cell r="BK45">
            <v>0</v>
          </cell>
          <cell r="BL45">
            <v>0</v>
          </cell>
          <cell r="BM45">
            <v>0</v>
          </cell>
          <cell r="BN45">
            <v>0</v>
          </cell>
          <cell r="BO45">
            <v>8928</v>
          </cell>
          <cell r="BP45">
            <v>0</v>
          </cell>
          <cell r="BQ45">
            <v>15000</v>
          </cell>
          <cell r="BR45">
            <v>50633</v>
          </cell>
          <cell r="BS45">
            <v>0</v>
          </cell>
          <cell r="BT45">
            <v>0</v>
          </cell>
          <cell r="BU45">
            <v>0</v>
          </cell>
          <cell r="BV45">
            <v>0</v>
          </cell>
          <cell r="BW45">
            <v>0</v>
          </cell>
          <cell r="BX45">
            <v>0</v>
          </cell>
          <cell r="BY45">
            <v>0</v>
          </cell>
          <cell r="BZ45">
            <v>0</v>
          </cell>
          <cell r="CA45">
            <v>0</v>
          </cell>
          <cell r="CB45">
            <v>0</v>
          </cell>
          <cell r="CC45">
            <v>74561</v>
          </cell>
          <cell r="CD45">
            <v>0</v>
          </cell>
          <cell r="CE45">
            <v>35661</v>
          </cell>
          <cell r="CF45">
            <v>0</v>
          </cell>
          <cell r="CG45">
            <v>0</v>
          </cell>
          <cell r="CH45">
            <v>0</v>
          </cell>
          <cell r="CI45">
            <v>0</v>
          </cell>
          <cell r="CJ45">
            <v>0</v>
          </cell>
        </row>
        <row r="46">
          <cell r="C46" t="str">
            <v>SUPREET SINGH ARORA</v>
          </cell>
          <cell r="D46" t="str">
            <v>SR. SALES EXECUTIVE</v>
          </cell>
          <cell r="E46" t="str">
            <v>SALES</v>
          </cell>
          <cell r="F46" t="str">
            <v>CHANDIGARH</v>
          </cell>
          <cell r="S46">
            <v>6954</v>
          </cell>
          <cell r="T46">
            <v>10000</v>
          </cell>
          <cell r="AD46">
            <v>16954</v>
          </cell>
          <cell r="BE46">
            <v>0</v>
          </cell>
          <cell r="BF46">
            <v>0</v>
          </cell>
          <cell r="BG46">
            <v>0</v>
          </cell>
          <cell r="BH46">
            <v>0</v>
          </cell>
          <cell r="BI46">
            <v>0</v>
          </cell>
          <cell r="BJ46">
            <v>0</v>
          </cell>
          <cell r="BK46">
            <v>0</v>
          </cell>
          <cell r="BL46">
            <v>0</v>
          </cell>
          <cell r="BM46">
            <v>0</v>
          </cell>
          <cell r="BN46">
            <v>0</v>
          </cell>
          <cell r="BO46">
            <v>9252</v>
          </cell>
          <cell r="BP46">
            <v>0</v>
          </cell>
          <cell r="BQ46">
            <v>0</v>
          </cell>
          <cell r="BR46">
            <v>6954</v>
          </cell>
          <cell r="BS46">
            <v>10000</v>
          </cell>
          <cell r="BT46">
            <v>0</v>
          </cell>
          <cell r="BU46">
            <v>0</v>
          </cell>
          <cell r="BV46">
            <v>0</v>
          </cell>
          <cell r="BW46">
            <v>0</v>
          </cell>
          <cell r="BX46">
            <v>0</v>
          </cell>
          <cell r="BY46">
            <v>0</v>
          </cell>
          <cell r="BZ46">
            <v>0</v>
          </cell>
          <cell r="CA46">
            <v>0</v>
          </cell>
          <cell r="CB46">
            <v>0</v>
          </cell>
          <cell r="CC46">
            <v>26206</v>
          </cell>
          <cell r="CD46">
            <v>0</v>
          </cell>
          <cell r="CE46">
            <v>34799</v>
          </cell>
          <cell r="CF46">
            <v>0</v>
          </cell>
          <cell r="CG46">
            <v>0</v>
          </cell>
          <cell r="CH46">
            <v>0</v>
          </cell>
          <cell r="CI46">
            <v>0</v>
          </cell>
          <cell r="CJ46">
            <v>0</v>
          </cell>
        </row>
        <row r="47">
          <cell r="C47" t="str">
            <v>AKASH DEEP DEB</v>
          </cell>
          <cell r="D47" t="str">
            <v>SALES EXECUTIVE</v>
          </cell>
          <cell r="E47" t="str">
            <v>SALES</v>
          </cell>
          <cell r="F47" t="str">
            <v>DELHI</v>
          </cell>
          <cell r="S47">
            <v>1328</v>
          </cell>
          <cell r="AD47">
            <v>1328</v>
          </cell>
          <cell r="BE47">
            <v>0</v>
          </cell>
          <cell r="BF47">
            <v>0</v>
          </cell>
          <cell r="BG47">
            <v>0</v>
          </cell>
          <cell r="BH47">
            <v>0</v>
          </cell>
          <cell r="BI47">
            <v>0</v>
          </cell>
          <cell r="BJ47">
            <v>0</v>
          </cell>
          <cell r="BK47">
            <v>0</v>
          </cell>
          <cell r="BL47">
            <v>0</v>
          </cell>
          <cell r="BM47">
            <v>0</v>
          </cell>
          <cell r="BN47">
            <v>0</v>
          </cell>
          <cell r="BO47">
            <v>8172</v>
          </cell>
          <cell r="BP47">
            <v>0</v>
          </cell>
          <cell r="BQ47">
            <v>0</v>
          </cell>
          <cell r="BR47">
            <v>1328</v>
          </cell>
          <cell r="BS47">
            <v>0</v>
          </cell>
          <cell r="BT47">
            <v>0</v>
          </cell>
          <cell r="BU47">
            <v>0</v>
          </cell>
          <cell r="BV47">
            <v>0</v>
          </cell>
          <cell r="BW47">
            <v>0</v>
          </cell>
          <cell r="BX47">
            <v>0</v>
          </cell>
          <cell r="BY47">
            <v>0</v>
          </cell>
          <cell r="BZ47">
            <v>0</v>
          </cell>
          <cell r="CA47">
            <v>0</v>
          </cell>
          <cell r="CB47">
            <v>0</v>
          </cell>
          <cell r="CC47">
            <v>9500</v>
          </cell>
          <cell r="CD47">
            <v>0</v>
          </cell>
          <cell r="CE47">
            <v>37119</v>
          </cell>
          <cell r="CF47">
            <v>0</v>
          </cell>
          <cell r="CG47">
            <v>0</v>
          </cell>
          <cell r="CH47">
            <v>0</v>
          </cell>
          <cell r="CI47">
            <v>0</v>
          </cell>
          <cell r="CJ47">
            <v>0</v>
          </cell>
        </row>
        <row r="48">
          <cell r="C48" t="str">
            <v>SUSHIL KUMAR S. PATEL</v>
          </cell>
          <cell r="D48" t="str">
            <v>SALES EXECUTIVE</v>
          </cell>
          <cell r="E48" t="str">
            <v>SALES</v>
          </cell>
          <cell r="F48" t="str">
            <v>MUMBAI</v>
          </cell>
          <cell r="AA48">
            <v>60000</v>
          </cell>
          <cell r="AD48">
            <v>60000</v>
          </cell>
          <cell r="BE48">
            <v>0</v>
          </cell>
          <cell r="BF48">
            <v>0</v>
          </cell>
          <cell r="BG48">
            <v>0</v>
          </cell>
          <cell r="BH48">
            <v>0</v>
          </cell>
          <cell r="BI48">
            <v>0</v>
          </cell>
          <cell r="BJ48">
            <v>0</v>
          </cell>
          <cell r="BK48">
            <v>0</v>
          </cell>
          <cell r="BL48">
            <v>0</v>
          </cell>
          <cell r="BM48">
            <v>0</v>
          </cell>
          <cell r="BN48">
            <v>0</v>
          </cell>
          <cell r="BO48">
            <v>7250</v>
          </cell>
          <cell r="BP48">
            <v>0</v>
          </cell>
          <cell r="BQ48">
            <v>0</v>
          </cell>
          <cell r="BR48">
            <v>0</v>
          </cell>
          <cell r="BS48">
            <v>0</v>
          </cell>
          <cell r="BT48">
            <v>0</v>
          </cell>
          <cell r="BU48">
            <v>0</v>
          </cell>
          <cell r="BV48">
            <v>0</v>
          </cell>
          <cell r="BW48">
            <v>0</v>
          </cell>
          <cell r="BX48">
            <v>0</v>
          </cell>
          <cell r="BY48">
            <v>0</v>
          </cell>
          <cell r="BZ48">
            <v>60000</v>
          </cell>
          <cell r="CA48">
            <v>0</v>
          </cell>
          <cell r="CB48">
            <v>0</v>
          </cell>
          <cell r="CC48">
            <v>67250</v>
          </cell>
          <cell r="CD48">
            <v>0</v>
          </cell>
          <cell r="CE48">
            <v>37365</v>
          </cell>
          <cell r="CF48">
            <v>0</v>
          </cell>
          <cell r="CG48">
            <v>0</v>
          </cell>
          <cell r="CH48">
            <v>0</v>
          </cell>
          <cell r="CI48">
            <v>0</v>
          </cell>
          <cell r="CJ48">
            <v>0</v>
          </cell>
        </row>
        <row r="49">
          <cell r="C49" t="str">
            <v>MANOJ KUMAR NAYAK</v>
          </cell>
          <cell r="D49" t="str">
            <v>SALES EXECUTIVE</v>
          </cell>
          <cell r="E49" t="str">
            <v>SALES</v>
          </cell>
          <cell r="F49" t="str">
            <v>AHMEDABAD</v>
          </cell>
          <cell r="AD49">
            <v>0</v>
          </cell>
          <cell r="BE49">
            <v>0</v>
          </cell>
          <cell r="BF49">
            <v>0</v>
          </cell>
          <cell r="BG49">
            <v>0</v>
          </cell>
          <cell r="BH49">
            <v>0</v>
          </cell>
          <cell r="BI49">
            <v>0</v>
          </cell>
          <cell r="BJ49">
            <v>0</v>
          </cell>
          <cell r="BK49">
            <v>0</v>
          </cell>
          <cell r="BL49">
            <v>0</v>
          </cell>
          <cell r="BM49">
            <v>0</v>
          </cell>
          <cell r="BN49">
            <v>0</v>
          </cell>
          <cell r="BO49">
            <v>10116</v>
          </cell>
          <cell r="BP49">
            <v>0</v>
          </cell>
          <cell r="BQ49">
            <v>0</v>
          </cell>
          <cell r="BR49">
            <v>0</v>
          </cell>
          <cell r="BS49">
            <v>0</v>
          </cell>
          <cell r="BT49">
            <v>0</v>
          </cell>
          <cell r="BU49">
            <v>0</v>
          </cell>
          <cell r="BV49">
            <v>0</v>
          </cell>
          <cell r="BW49">
            <v>0</v>
          </cell>
          <cell r="BX49">
            <v>0</v>
          </cell>
          <cell r="BY49">
            <v>0</v>
          </cell>
          <cell r="BZ49">
            <v>0</v>
          </cell>
          <cell r="CA49">
            <v>0</v>
          </cell>
          <cell r="CB49">
            <v>0</v>
          </cell>
          <cell r="CC49">
            <v>10116</v>
          </cell>
          <cell r="CD49">
            <v>0</v>
          </cell>
          <cell r="CE49">
            <v>35325</v>
          </cell>
          <cell r="CF49">
            <v>0</v>
          </cell>
          <cell r="CG49">
            <v>0</v>
          </cell>
          <cell r="CH49">
            <v>0</v>
          </cell>
          <cell r="CI49">
            <v>0</v>
          </cell>
          <cell r="CJ49">
            <v>0</v>
          </cell>
        </row>
        <row r="50">
          <cell r="C50" t="str">
            <v>PARTHASARATHY SRINIVASAN</v>
          </cell>
          <cell r="D50" t="str">
            <v>SR. LOGISTICS EXECUTIVE</v>
          </cell>
          <cell r="E50" t="str">
            <v>LOGISTICS, DISTRIBUTION &amp; BRT</v>
          </cell>
          <cell r="F50" t="str">
            <v>MUMBAI</v>
          </cell>
          <cell r="S50">
            <v>10954</v>
          </cell>
          <cell r="T50">
            <v>10000</v>
          </cell>
          <cell r="U50">
            <v>15000</v>
          </cell>
          <cell r="V50">
            <v>5900</v>
          </cell>
          <cell r="W50">
            <v>9431</v>
          </cell>
          <cell r="AD50">
            <v>51285</v>
          </cell>
          <cell r="BE50">
            <v>0</v>
          </cell>
          <cell r="BF50">
            <v>0</v>
          </cell>
          <cell r="BG50">
            <v>0</v>
          </cell>
          <cell r="BH50">
            <v>0</v>
          </cell>
          <cell r="BI50">
            <v>0</v>
          </cell>
          <cell r="BJ50">
            <v>0</v>
          </cell>
          <cell r="BK50">
            <v>0</v>
          </cell>
          <cell r="BL50">
            <v>0</v>
          </cell>
          <cell r="BM50">
            <v>0</v>
          </cell>
          <cell r="BN50">
            <v>0</v>
          </cell>
          <cell r="BO50">
            <v>10836</v>
          </cell>
          <cell r="BP50">
            <v>0</v>
          </cell>
          <cell r="BQ50">
            <v>0</v>
          </cell>
          <cell r="BR50">
            <v>10954</v>
          </cell>
          <cell r="BS50">
            <v>10000</v>
          </cell>
          <cell r="BT50">
            <v>15000</v>
          </cell>
          <cell r="BU50">
            <v>5900</v>
          </cell>
          <cell r="BV50">
            <v>9431</v>
          </cell>
          <cell r="BW50">
            <v>0</v>
          </cell>
          <cell r="BX50">
            <v>0</v>
          </cell>
          <cell r="BY50">
            <v>0</v>
          </cell>
          <cell r="BZ50">
            <v>0</v>
          </cell>
          <cell r="CA50">
            <v>0</v>
          </cell>
          <cell r="CB50">
            <v>0</v>
          </cell>
          <cell r="CC50">
            <v>62121</v>
          </cell>
          <cell r="CD50">
            <v>0</v>
          </cell>
          <cell r="CE50">
            <v>35205</v>
          </cell>
          <cell r="CF50">
            <v>0</v>
          </cell>
          <cell r="CG50">
            <v>0</v>
          </cell>
          <cell r="CH50">
            <v>0</v>
          </cell>
          <cell r="CI50">
            <v>0</v>
          </cell>
          <cell r="CJ50">
            <v>0</v>
          </cell>
        </row>
        <row r="51">
          <cell r="C51" t="str">
            <v>CHANDA MANDAL</v>
          </cell>
          <cell r="D51" t="str">
            <v>SALES EXECUTIVE</v>
          </cell>
          <cell r="E51" t="str">
            <v>SALES</v>
          </cell>
          <cell r="F51" t="str">
            <v>MUMBAI</v>
          </cell>
          <cell r="AD51">
            <v>0</v>
          </cell>
          <cell r="BE51">
            <v>0</v>
          </cell>
          <cell r="BF51">
            <v>0</v>
          </cell>
          <cell r="BG51">
            <v>0</v>
          </cell>
          <cell r="BH51">
            <v>0</v>
          </cell>
          <cell r="BI51">
            <v>0</v>
          </cell>
          <cell r="BJ51">
            <v>0</v>
          </cell>
          <cell r="BK51">
            <v>0</v>
          </cell>
          <cell r="BL51">
            <v>0</v>
          </cell>
          <cell r="BM51">
            <v>0</v>
          </cell>
          <cell r="BN51">
            <v>0</v>
          </cell>
          <cell r="BO51">
            <v>7920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7920</v>
          </cell>
          <cell r="CD51">
            <v>0</v>
          </cell>
          <cell r="CE51">
            <v>36648</v>
          </cell>
          <cell r="CF51">
            <v>0</v>
          </cell>
          <cell r="CG51">
            <v>0</v>
          </cell>
          <cell r="CH51">
            <v>0</v>
          </cell>
          <cell r="CI51">
            <v>0</v>
          </cell>
          <cell r="CJ51">
            <v>0</v>
          </cell>
        </row>
        <row r="52">
          <cell r="C52" t="str">
            <v>ARCHANA SAWANT</v>
          </cell>
          <cell r="D52" t="str">
            <v>CUSTOMER RELATIONS EXEC.</v>
          </cell>
          <cell r="E52">
            <v>0</v>
          </cell>
          <cell r="F52">
            <v>0</v>
          </cell>
          <cell r="S52">
            <v>5264</v>
          </cell>
          <cell r="T52">
            <v>12000</v>
          </cell>
          <cell r="BE52">
            <v>0</v>
          </cell>
          <cell r="BF52">
            <v>0</v>
          </cell>
          <cell r="BG52">
            <v>0</v>
          </cell>
          <cell r="BH52">
            <v>0</v>
          </cell>
          <cell r="BI52">
            <v>0</v>
          </cell>
          <cell r="BJ52">
            <v>0</v>
          </cell>
          <cell r="BK52">
            <v>0</v>
          </cell>
          <cell r="BL52">
            <v>0</v>
          </cell>
          <cell r="BM52">
            <v>0</v>
          </cell>
          <cell r="BN52">
            <v>0</v>
          </cell>
          <cell r="BO52">
            <v>8244</v>
          </cell>
          <cell r="BP52">
            <v>0</v>
          </cell>
          <cell r="BQ52">
            <v>0</v>
          </cell>
          <cell r="BR52">
            <v>5264</v>
          </cell>
          <cell r="BS52">
            <v>12000</v>
          </cell>
          <cell r="BT52">
            <v>0</v>
          </cell>
          <cell r="BU52">
            <v>0</v>
          </cell>
          <cell r="BV52">
            <v>0</v>
          </cell>
          <cell r="BW52">
            <v>0</v>
          </cell>
          <cell r="BX52">
            <v>0</v>
          </cell>
          <cell r="BY52">
            <v>0</v>
          </cell>
          <cell r="BZ52">
            <v>0</v>
          </cell>
          <cell r="CA52">
            <v>0</v>
          </cell>
          <cell r="CB52">
            <v>0</v>
          </cell>
          <cell r="CC52">
            <v>25508</v>
          </cell>
          <cell r="CD52">
            <v>0</v>
          </cell>
          <cell r="CE52">
            <v>0</v>
          </cell>
          <cell r="CF52">
            <v>0</v>
          </cell>
        </row>
        <row r="53">
          <cell r="C53" t="str">
            <v>VIJAY S. GOGATE</v>
          </cell>
          <cell r="D53" t="str">
            <v>SALES EXECUTIVE</v>
          </cell>
          <cell r="E53" t="str">
            <v>SALES</v>
          </cell>
          <cell r="F53" t="str">
            <v>MUMBAI</v>
          </cell>
          <cell r="S53">
            <v>28944</v>
          </cell>
          <cell r="AD53">
            <v>28944</v>
          </cell>
          <cell r="BE53">
            <v>0</v>
          </cell>
          <cell r="BF53">
            <v>0</v>
          </cell>
          <cell r="BG53">
            <v>0</v>
          </cell>
          <cell r="BH53">
            <v>0</v>
          </cell>
          <cell r="BI53">
            <v>0</v>
          </cell>
          <cell r="BJ53">
            <v>0</v>
          </cell>
          <cell r="BK53">
            <v>0</v>
          </cell>
          <cell r="BL53">
            <v>0</v>
          </cell>
          <cell r="BM53">
            <v>0</v>
          </cell>
          <cell r="BN53">
            <v>0</v>
          </cell>
          <cell r="BO53">
            <v>7920</v>
          </cell>
          <cell r="BP53">
            <v>0</v>
          </cell>
          <cell r="BQ53">
            <v>0</v>
          </cell>
          <cell r="BR53">
            <v>28944</v>
          </cell>
          <cell r="BS53">
            <v>0</v>
          </cell>
          <cell r="BT53">
            <v>0</v>
          </cell>
          <cell r="BU53">
            <v>0</v>
          </cell>
          <cell r="BV53">
            <v>0</v>
          </cell>
          <cell r="BW53">
            <v>0</v>
          </cell>
          <cell r="BX53">
            <v>0</v>
          </cell>
          <cell r="BY53">
            <v>0</v>
          </cell>
          <cell r="BZ53">
            <v>0</v>
          </cell>
          <cell r="CA53">
            <v>0</v>
          </cell>
          <cell r="CB53">
            <v>0</v>
          </cell>
          <cell r="CC53">
            <v>36864</v>
          </cell>
          <cell r="CD53">
            <v>0</v>
          </cell>
          <cell r="CE53">
            <v>36698</v>
          </cell>
          <cell r="CF53">
            <v>0</v>
          </cell>
          <cell r="CG53">
            <v>0</v>
          </cell>
          <cell r="CH53">
            <v>0</v>
          </cell>
          <cell r="CI53">
            <v>0</v>
          </cell>
          <cell r="CJ53">
            <v>0</v>
          </cell>
        </row>
        <row r="54">
          <cell r="C54" t="str">
            <v>GHANSHYAM P.BHATT</v>
          </cell>
          <cell r="D54" t="str">
            <v>SALES EXECUTIVE</v>
          </cell>
          <cell r="E54" t="str">
            <v>SALES</v>
          </cell>
          <cell r="F54" t="str">
            <v>MUMBAI</v>
          </cell>
          <cell r="S54">
            <v>25836</v>
          </cell>
          <cell r="AD54">
            <v>25836</v>
          </cell>
          <cell r="BE54">
            <v>0</v>
          </cell>
          <cell r="BF54">
            <v>0</v>
          </cell>
          <cell r="BG54">
            <v>0</v>
          </cell>
          <cell r="BH54">
            <v>0</v>
          </cell>
          <cell r="BI54">
            <v>0</v>
          </cell>
          <cell r="BJ54">
            <v>0</v>
          </cell>
          <cell r="BK54">
            <v>0</v>
          </cell>
          <cell r="BL54">
            <v>0</v>
          </cell>
          <cell r="BM54">
            <v>0</v>
          </cell>
          <cell r="BN54">
            <v>0</v>
          </cell>
          <cell r="BO54">
            <v>8172</v>
          </cell>
          <cell r="BP54">
            <v>0</v>
          </cell>
          <cell r="BQ54">
            <v>0</v>
          </cell>
          <cell r="BR54">
            <v>25836</v>
          </cell>
          <cell r="BS54">
            <v>0</v>
          </cell>
          <cell r="BT54">
            <v>0</v>
          </cell>
          <cell r="BU54">
            <v>0</v>
          </cell>
          <cell r="BV54">
            <v>0</v>
          </cell>
          <cell r="BW54">
            <v>0</v>
          </cell>
          <cell r="BX54">
            <v>0</v>
          </cell>
          <cell r="BY54">
            <v>0</v>
          </cell>
          <cell r="BZ54">
            <v>0</v>
          </cell>
          <cell r="CA54">
            <v>0</v>
          </cell>
          <cell r="CB54">
            <v>0</v>
          </cell>
          <cell r="CC54">
            <v>34008</v>
          </cell>
          <cell r="CD54">
            <v>0</v>
          </cell>
          <cell r="CE54">
            <v>36696</v>
          </cell>
          <cell r="CF54">
            <v>0</v>
          </cell>
          <cell r="CG54">
            <v>0</v>
          </cell>
          <cell r="CH54">
            <v>0</v>
          </cell>
          <cell r="CI54">
            <v>0</v>
          </cell>
          <cell r="CJ54">
            <v>0</v>
          </cell>
        </row>
        <row r="55">
          <cell r="C55" t="str">
            <v>VIPUL T. BHINDE</v>
          </cell>
          <cell r="D55" t="str">
            <v>SALES EXECUTIVE</v>
          </cell>
          <cell r="E55" t="str">
            <v>SALES</v>
          </cell>
          <cell r="F55" t="str">
            <v>MUMBAI</v>
          </cell>
          <cell r="AA55">
            <v>60000</v>
          </cell>
          <cell r="AD55">
            <v>60000</v>
          </cell>
          <cell r="BE55">
            <v>0</v>
          </cell>
          <cell r="BF55">
            <v>0</v>
          </cell>
          <cell r="BG55">
            <v>0</v>
          </cell>
          <cell r="BH55">
            <v>0</v>
          </cell>
          <cell r="BI55">
            <v>0</v>
          </cell>
          <cell r="BJ55">
            <v>0</v>
          </cell>
          <cell r="BK55">
            <v>0</v>
          </cell>
          <cell r="BL55">
            <v>0</v>
          </cell>
          <cell r="BM55">
            <v>0</v>
          </cell>
          <cell r="BN55">
            <v>0</v>
          </cell>
          <cell r="BO55">
            <v>7335</v>
          </cell>
          <cell r="BP55">
            <v>0</v>
          </cell>
          <cell r="BQ55">
            <v>0</v>
          </cell>
          <cell r="BR55">
            <v>0</v>
          </cell>
          <cell r="BS55">
            <v>0</v>
          </cell>
          <cell r="BT55">
            <v>0</v>
          </cell>
          <cell r="BU55">
            <v>0</v>
          </cell>
          <cell r="BV55">
            <v>0</v>
          </cell>
          <cell r="BW55">
            <v>0</v>
          </cell>
          <cell r="BX55">
            <v>0</v>
          </cell>
          <cell r="BY55">
            <v>0</v>
          </cell>
          <cell r="BZ55">
            <v>60000</v>
          </cell>
          <cell r="CA55">
            <v>0</v>
          </cell>
          <cell r="CB55">
            <v>0</v>
          </cell>
          <cell r="CC55">
            <v>67335</v>
          </cell>
          <cell r="CD55">
            <v>0</v>
          </cell>
          <cell r="CE55">
            <v>37361</v>
          </cell>
          <cell r="CF55">
            <v>0</v>
          </cell>
          <cell r="CG55">
            <v>0</v>
          </cell>
          <cell r="CH55">
            <v>0</v>
          </cell>
          <cell r="CI55">
            <v>0</v>
          </cell>
          <cell r="CJ55">
            <v>0</v>
          </cell>
        </row>
        <row r="56">
          <cell r="C56" t="str">
            <v>SUJIT KUMAR PANDEY</v>
          </cell>
          <cell r="D56" t="str">
            <v>SALES EXECUTIVE</v>
          </cell>
          <cell r="E56" t="str">
            <v>SALES</v>
          </cell>
          <cell r="F56" t="str">
            <v>PUNE</v>
          </cell>
          <cell r="S56">
            <v>32447</v>
          </cell>
          <cell r="AD56">
            <v>32447</v>
          </cell>
          <cell r="BE56">
            <v>0</v>
          </cell>
          <cell r="BF56">
            <v>0</v>
          </cell>
          <cell r="BG56">
            <v>0</v>
          </cell>
          <cell r="BH56">
            <v>0</v>
          </cell>
          <cell r="BI56">
            <v>0</v>
          </cell>
          <cell r="BJ56">
            <v>0</v>
          </cell>
          <cell r="BK56">
            <v>0</v>
          </cell>
          <cell r="BL56">
            <v>0</v>
          </cell>
          <cell r="BM56">
            <v>0</v>
          </cell>
          <cell r="BN56">
            <v>0</v>
          </cell>
          <cell r="BO56">
            <v>8172</v>
          </cell>
          <cell r="BP56">
            <v>0</v>
          </cell>
          <cell r="BQ56">
            <v>0</v>
          </cell>
          <cell r="BR56">
            <v>32447</v>
          </cell>
          <cell r="BS56">
            <v>0</v>
          </cell>
          <cell r="BT56">
            <v>0</v>
          </cell>
          <cell r="BU56">
            <v>0</v>
          </cell>
          <cell r="BV56">
            <v>0</v>
          </cell>
          <cell r="BW56">
            <v>0</v>
          </cell>
          <cell r="BX56">
            <v>0</v>
          </cell>
          <cell r="BY56">
            <v>0</v>
          </cell>
          <cell r="BZ56">
            <v>0</v>
          </cell>
          <cell r="CA56">
            <v>0</v>
          </cell>
          <cell r="CB56">
            <v>0</v>
          </cell>
          <cell r="CC56">
            <v>40619</v>
          </cell>
          <cell r="CD56">
            <v>0</v>
          </cell>
          <cell r="CE56">
            <v>36728</v>
          </cell>
          <cell r="CF56">
            <v>0</v>
          </cell>
          <cell r="CG56">
            <v>0</v>
          </cell>
          <cell r="CH56">
            <v>0</v>
          </cell>
          <cell r="CI56">
            <v>0</v>
          </cell>
          <cell r="CJ56">
            <v>0</v>
          </cell>
        </row>
        <row r="57">
          <cell r="C57" t="str">
            <v>IYER VINOD SWAMINATHAN</v>
          </cell>
          <cell r="D57" t="str">
            <v>SALES EXECUTIVE</v>
          </cell>
          <cell r="E57" t="str">
            <v>SALES</v>
          </cell>
          <cell r="F57" t="str">
            <v>PUNE</v>
          </cell>
          <cell r="S57">
            <v>34360</v>
          </cell>
          <cell r="AD57">
            <v>34360</v>
          </cell>
          <cell r="BE57">
            <v>0</v>
          </cell>
          <cell r="BF57">
            <v>0</v>
          </cell>
          <cell r="BG57">
            <v>0</v>
          </cell>
          <cell r="BH57">
            <v>0</v>
          </cell>
          <cell r="BI57">
            <v>0</v>
          </cell>
          <cell r="BJ57">
            <v>0</v>
          </cell>
          <cell r="BK57">
            <v>0</v>
          </cell>
          <cell r="BL57">
            <v>0</v>
          </cell>
          <cell r="BM57">
            <v>0</v>
          </cell>
          <cell r="BN57">
            <v>0</v>
          </cell>
          <cell r="BO57">
            <v>8172</v>
          </cell>
          <cell r="BP57">
            <v>0</v>
          </cell>
          <cell r="BQ57">
            <v>0</v>
          </cell>
          <cell r="BR57">
            <v>34360</v>
          </cell>
          <cell r="BS57">
            <v>0</v>
          </cell>
          <cell r="BT57">
            <v>0</v>
          </cell>
          <cell r="BU57">
            <v>0</v>
          </cell>
          <cell r="BV57">
            <v>0</v>
          </cell>
          <cell r="BW57">
            <v>0</v>
          </cell>
          <cell r="BX57">
            <v>0</v>
          </cell>
          <cell r="BY57">
            <v>0</v>
          </cell>
          <cell r="BZ57">
            <v>0</v>
          </cell>
          <cell r="CA57">
            <v>0</v>
          </cell>
          <cell r="CB57">
            <v>0</v>
          </cell>
          <cell r="CC57">
            <v>42532</v>
          </cell>
          <cell r="CD57">
            <v>0</v>
          </cell>
          <cell r="CE57">
            <v>36651</v>
          </cell>
          <cell r="CF57">
            <v>0</v>
          </cell>
          <cell r="CG57">
            <v>0</v>
          </cell>
          <cell r="CH57">
            <v>0</v>
          </cell>
          <cell r="CI57">
            <v>0</v>
          </cell>
          <cell r="CJ57">
            <v>0</v>
          </cell>
        </row>
        <row r="58">
          <cell r="C58" t="str">
            <v>SHIVANI VASHISHTHA</v>
          </cell>
          <cell r="D58" t="str">
            <v>FACILITATOR - SECTL. SERVICES</v>
          </cell>
          <cell r="E58">
            <v>0</v>
          </cell>
          <cell r="F58" t="str">
            <v>CSO, GURGAON</v>
          </cell>
          <cell r="BE58">
            <v>0</v>
          </cell>
          <cell r="BF58">
            <v>0</v>
          </cell>
          <cell r="BG58">
            <v>0</v>
          </cell>
          <cell r="BH58">
            <v>0</v>
          </cell>
          <cell r="BI58">
            <v>0</v>
          </cell>
          <cell r="BJ58">
            <v>0</v>
          </cell>
          <cell r="BK58">
            <v>0</v>
          </cell>
          <cell r="BL58">
            <v>0</v>
          </cell>
          <cell r="BM58">
            <v>0</v>
          </cell>
          <cell r="BN58">
            <v>0</v>
          </cell>
          <cell r="BO58">
            <v>5796</v>
          </cell>
          <cell r="BP58">
            <v>0</v>
          </cell>
          <cell r="BQ58">
            <v>0</v>
          </cell>
          <cell r="BR58">
            <v>0</v>
          </cell>
          <cell r="BS58">
            <v>0</v>
          </cell>
          <cell r="BT58">
            <v>0</v>
          </cell>
          <cell r="BU58">
            <v>0</v>
          </cell>
          <cell r="BV58">
            <v>0</v>
          </cell>
          <cell r="BW58">
            <v>0</v>
          </cell>
          <cell r="BX58">
            <v>0</v>
          </cell>
          <cell r="BY58">
            <v>0</v>
          </cell>
          <cell r="BZ58">
            <v>0</v>
          </cell>
          <cell r="CA58">
            <v>0</v>
          </cell>
          <cell r="CB58">
            <v>0</v>
          </cell>
          <cell r="CC58">
            <v>5796</v>
          </cell>
          <cell r="CE58">
            <v>0</v>
          </cell>
        </row>
        <row r="59">
          <cell r="C59" t="str">
            <v>RAM DHIRAJ BALMIKI</v>
          </cell>
          <cell r="D59" t="str">
            <v>ATTENDANT CUM PEON</v>
          </cell>
          <cell r="E59">
            <v>0</v>
          </cell>
          <cell r="F59" t="str">
            <v>CSO, GURGAON</v>
          </cell>
          <cell r="BE59">
            <v>0</v>
          </cell>
          <cell r="BF59">
            <v>0</v>
          </cell>
          <cell r="BG59">
            <v>0</v>
          </cell>
          <cell r="BH59">
            <v>0</v>
          </cell>
          <cell r="BI59">
            <v>0</v>
          </cell>
          <cell r="BJ59">
            <v>0</v>
          </cell>
          <cell r="BK59">
            <v>0</v>
          </cell>
          <cell r="BL59">
            <v>0</v>
          </cell>
          <cell r="BM59">
            <v>0</v>
          </cell>
          <cell r="BN59">
            <v>0</v>
          </cell>
          <cell r="BO59">
            <v>5904</v>
          </cell>
          <cell r="BP59">
            <v>0</v>
          </cell>
          <cell r="BQ59">
            <v>0</v>
          </cell>
          <cell r="BR59">
            <v>0</v>
          </cell>
          <cell r="BS59">
            <v>0</v>
          </cell>
          <cell r="BT59">
            <v>0</v>
          </cell>
          <cell r="BU59">
            <v>0</v>
          </cell>
          <cell r="BV59">
            <v>0</v>
          </cell>
          <cell r="BW59">
            <v>0</v>
          </cell>
          <cell r="BX59">
            <v>0</v>
          </cell>
          <cell r="BY59">
            <v>0</v>
          </cell>
          <cell r="BZ59">
            <v>0</v>
          </cell>
          <cell r="CA59">
            <v>0</v>
          </cell>
          <cell r="CB59">
            <v>0</v>
          </cell>
          <cell r="CC59">
            <v>5904</v>
          </cell>
          <cell r="CE59">
            <v>0</v>
          </cell>
        </row>
        <row r="60">
          <cell r="C60" t="str">
            <v>SURESH KUMAR</v>
          </cell>
          <cell r="D60" t="str">
            <v>ATTENDANT CUM PEON</v>
          </cell>
          <cell r="E60">
            <v>0</v>
          </cell>
          <cell r="F60" t="str">
            <v>CSO, GURGAON</v>
          </cell>
          <cell r="BE60">
            <v>0</v>
          </cell>
          <cell r="BF60">
            <v>0</v>
          </cell>
          <cell r="BG60">
            <v>0</v>
          </cell>
          <cell r="BH60">
            <v>0</v>
          </cell>
          <cell r="BI60">
            <v>0</v>
          </cell>
          <cell r="BJ60">
            <v>0</v>
          </cell>
          <cell r="BK60">
            <v>0</v>
          </cell>
          <cell r="BL60">
            <v>0</v>
          </cell>
          <cell r="BM60">
            <v>0</v>
          </cell>
          <cell r="BN60">
            <v>0</v>
          </cell>
          <cell r="BO60">
            <v>4140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4140</v>
          </cell>
          <cell r="CE60">
            <v>0</v>
          </cell>
        </row>
        <row r="61">
          <cell r="C61" t="str">
            <v>DINESH JAIN</v>
          </cell>
          <cell r="D61" t="str">
            <v>COMPANY SECRETARY &amp; LEGAL MGR.</v>
          </cell>
          <cell r="E61" t="str">
            <v>LEGAL</v>
          </cell>
          <cell r="F61" t="str">
            <v>CSO, GURGAON</v>
          </cell>
          <cell r="BE61">
            <v>0</v>
          </cell>
          <cell r="BF61">
            <v>0</v>
          </cell>
          <cell r="BG61">
            <v>0</v>
          </cell>
          <cell r="BH61">
            <v>0</v>
          </cell>
          <cell r="BI61">
            <v>0</v>
          </cell>
          <cell r="BJ61">
            <v>0</v>
          </cell>
          <cell r="BK61">
            <v>0</v>
          </cell>
          <cell r="BL61">
            <v>0</v>
          </cell>
          <cell r="BM61">
            <v>0</v>
          </cell>
          <cell r="BN61">
            <v>0</v>
          </cell>
          <cell r="BO61">
            <v>44352</v>
          </cell>
          <cell r="BP61">
            <v>0</v>
          </cell>
          <cell r="BQ61">
            <v>0</v>
          </cell>
          <cell r="BR61">
            <v>0</v>
          </cell>
          <cell r="BS61">
            <v>0</v>
          </cell>
          <cell r="BT61">
            <v>0</v>
          </cell>
          <cell r="BU61">
            <v>0</v>
          </cell>
          <cell r="BV61">
            <v>0</v>
          </cell>
          <cell r="BW61">
            <v>0</v>
          </cell>
          <cell r="BX61">
            <v>0</v>
          </cell>
          <cell r="BY61">
            <v>0</v>
          </cell>
          <cell r="BZ61">
            <v>0</v>
          </cell>
          <cell r="CA61">
            <v>0</v>
          </cell>
          <cell r="CB61">
            <v>0</v>
          </cell>
          <cell r="CC61">
            <v>44352</v>
          </cell>
          <cell r="CE61">
            <v>36650</v>
          </cell>
        </row>
        <row r="62">
          <cell r="C62" t="str">
            <v>D.K. GOGIA</v>
          </cell>
          <cell r="D62" t="str">
            <v>SR. MANAGER - INSTITUTIONAL SALES</v>
          </cell>
          <cell r="E62" t="str">
            <v>SALES</v>
          </cell>
          <cell r="F62" t="str">
            <v>CSO, GURGAON</v>
          </cell>
          <cell r="S62">
            <v>4220</v>
          </cell>
          <cell r="U62">
            <v>20000</v>
          </cell>
          <cell r="BE62">
            <v>0</v>
          </cell>
          <cell r="BF62">
            <v>0</v>
          </cell>
          <cell r="BG62">
            <v>0</v>
          </cell>
          <cell r="BH62">
            <v>0</v>
          </cell>
          <cell r="BI62">
            <v>0</v>
          </cell>
          <cell r="BJ62">
            <v>0</v>
          </cell>
          <cell r="BK62">
            <v>0</v>
          </cell>
          <cell r="BL62">
            <v>0</v>
          </cell>
          <cell r="BM62">
            <v>0</v>
          </cell>
          <cell r="BN62">
            <v>0</v>
          </cell>
          <cell r="BO62">
            <v>48780</v>
          </cell>
          <cell r="BP62">
            <v>0</v>
          </cell>
          <cell r="BQ62">
            <v>0</v>
          </cell>
          <cell r="BR62">
            <v>4220</v>
          </cell>
          <cell r="BS62">
            <v>0</v>
          </cell>
          <cell r="BT62">
            <v>20000</v>
          </cell>
          <cell r="BU62">
            <v>0</v>
          </cell>
          <cell r="BV62">
            <v>0</v>
          </cell>
          <cell r="BW62">
            <v>0</v>
          </cell>
          <cell r="BX62">
            <v>0</v>
          </cell>
          <cell r="BY62">
            <v>0</v>
          </cell>
          <cell r="BZ62">
            <v>0</v>
          </cell>
          <cell r="CA62">
            <v>0</v>
          </cell>
          <cell r="CB62">
            <v>0</v>
          </cell>
          <cell r="CC62">
            <v>73000</v>
          </cell>
          <cell r="CD62">
            <v>0</v>
          </cell>
          <cell r="CE62">
            <v>34246</v>
          </cell>
          <cell r="CF62">
            <v>0</v>
          </cell>
          <cell r="CG62">
            <v>0</v>
          </cell>
        </row>
        <row r="63">
          <cell r="C63" t="str">
            <v>ZAHEER AHAMED</v>
          </cell>
          <cell r="D63" t="str">
            <v>OFFICER - COMPANY SECTL. SERVICES</v>
          </cell>
          <cell r="E63" t="str">
            <v>LEGAL &amp; REGULATORY AFFAIRS</v>
          </cell>
          <cell r="F63" t="str">
            <v>GURGAON</v>
          </cell>
          <cell r="S63">
            <v>4602</v>
          </cell>
          <cell r="T63">
            <v>10000</v>
          </cell>
          <cell r="U63">
            <v>10000</v>
          </cell>
          <cell r="AC63">
            <v>10000</v>
          </cell>
          <cell r="BE63">
            <v>0</v>
          </cell>
          <cell r="BF63">
            <v>0</v>
          </cell>
          <cell r="BG63">
            <v>0</v>
          </cell>
          <cell r="BH63">
            <v>0</v>
          </cell>
          <cell r="BI63">
            <v>0</v>
          </cell>
          <cell r="BJ63">
            <v>0</v>
          </cell>
          <cell r="BK63">
            <v>0</v>
          </cell>
          <cell r="BL63">
            <v>0</v>
          </cell>
          <cell r="BM63">
            <v>0</v>
          </cell>
          <cell r="BN63">
            <v>0</v>
          </cell>
          <cell r="BO63">
            <v>9756</v>
          </cell>
          <cell r="BP63">
            <v>0</v>
          </cell>
          <cell r="BQ63">
            <v>0</v>
          </cell>
          <cell r="BR63">
            <v>4602</v>
          </cell>
          <cell r="BS63">
            <v>10000</v>
          </cell>
          <cell r="BT63">
            <v>10000</v>
          </cell>
          <cell r="BU63">
            <v>0</v>
          </cell>
          <cell r="BV63">
            <v>0</v>
          </cell>
          <cell r="BW63">
            <v>0</v>
          </cell>
          <cell r="BX63">
            <v>0</v>
          </cell>
          <cell r="BY63">
            <v>0</v>
          </cell>
          <cell r="BZ63">
            <v>0</v>
          </cell>
          <cell r="CA63">
            <v>0</v>
          </cell>
          <cell r="CB63">
            <v>10000</v>
          </cell>
          <cell r="CC63">
            <v>44358</v>
          </cell>
          <cell r="CD63">
            <v>0</v>
          </cell>
          <cell r="CE63">
            <v>34249</v>
          </cell>
          <cell r="CF63">
            <v>0</v>
          </cell>
          <cell r="CG63">
            <v>0</v>
          </cell>
          <cell r="CH63">
            <v>0</v>
          </cell>
          <cell r="CI63">
            <v>0</v>
          </cell>
          <cell r="CJ63">
            <v>0</v>
          </cell>
        </row>
        <row r="64">
          <cell r="C64" t="str">
            <v>HARI KRISHAN SHARMA</v>
          </cell>
          <cell r="D64" t="str">
            <v>ATTENDANT CUM PEON</v>
          </cell>
          <cell r="E64">
            <v>0</v>
          </cell>
          <cell r="F64" t="str">
            <v>CSO, GURGAON</v>
          </cell>
          <cell r="BE64">
            <v>0</v>
          </cell>
          <cell r="BF64">
            <v>0</v>
          </cell>
          <cell r="BG64">
            <v>0</v>
          </cell>
          <cell r="BH64">
            <v>0</v>
          </cell>
          <cell r="BI64">
            <v>0</v>
          </cell>
          <cell r="BJ64">
            <v>0</v>
          </cell>
          <cell r="BK64">
            <v>0</v>
          </cell>
          <cell r="BL64">
            <v>0</v>
          </cell>
          <cell r="BM64">
            <v>0</v>
          </cell>
          <cell r="BN64">
            <v>0</v>
          </cell>
          <cell r="BO64">
            <v>4392</v>
          </cell>
          <cell r="BP64">
            <v>0</v>
          </cell>
          <cell r="BQ64">
            <v>0</v>
          </cell>
          <cell r="BR64">
            <v>0</v>
          </cell>
          <cell r="BS64">
            <v>0</v>
          </cell>
          <cell r="BT64">
            <v>0</v>
          </cell>
          <cell r="BU64">
            <v>0</v>
          </cell>
          <cell r="BV64">
            <v>0</v>
          </cell>
          <cell r="BW64">
            <v>0</v>
          </cell>
          <cell r="BX64">
            <v>0</v>
          </cell>
          <cell r="BY64">
            <v>0</v>
          </cell>
          <cell r="BZ64">
            <v>0</v>
          </cell>
          <cell r="CA64">
            <v>0</v>
          </cell>
          <cell r="CB64">
            <v>0</v>
          </cell>
          <cell r="CC64">
            <v>4392</v>
          </cell>
          <cell r="CE64">
            <v>0</v>
          </cell>
        </row>
        <row r="65">
          <cell r="C65" t="str">
            <v>I.RAHUMATHULLAH</v>
          </cell>
          <cell r="D65" t="str">
            <v>AREA MANAGER</v>
          </cell>
          <cell r="E65" t="str">
            <v>SALES</v>
          </cell>
          <cell r="F65" t="str">
            <v>CHENNAI</v>
          </cell>
          <cell r="S65">
            <v>4937</v>
          </cell>
          <cell r="W65">
            <v>10772</v>
          </cell>
          <cell r="AC65">
            <v>35000</v>
          </cell>
          <cell r="AD65">
            <v>50709</v>
          </cell>
          <cell r="BE65">
            <v>0</v>
          </cell>
          <cell r="BF65">
            <v>0</v>
          </cell>
          <cell r="BG65">
            <v>0</v>
          </cell>
          <cell r="BH65">
            <v>0</v>
          </cell>
          <cell r="BI65">
            <v>0</v>
          </cell>
          <cell r="BJ65">
            <v>0</v>
          </cell>
          <cell r="BK65">
            <v>0</v>
          </cell>
          <cell r="BL65">
            <v>0</v>
          </cell>
          <cell r="BM65">
            <v>0</v>
          </cell>
          <cell r="BN65">
            <v>0</v>
          </cell>
          <cell r="BO65">
            <v>16920</v>
          </cell>
          <cell r="BP65">
            <v>0</v>
          </cell>
          <cell r="BQ65">
            <v>0</v>
          </cell>
          <cell r="BR65">
            <v>4937</v>
          </cell>
          <cell r="BS65">
            <v>0</v>
          </cell>
          <cell r="BT65">
            <v>0</v>
          </cell>
          <cell r="BU65">
            <v>0</v>
          </cell>
          <cell r="BV65">
            <v>10772</v>
          </cell>
          <cell r="BW65">
            <v>0</v>
          </cell>
          <cell r="BX65">
            <v>0</v>
          </cell>
          <cell r="BY65">
            <v>0</v>
          </cell>
          <cell r="BZ65">
            <v>0</v>
          </cell>
          <cell r="CA65">
            <v>0</v>
          </cell>
          <cell r="CB65">
            <v>35000</v>
          </cell>
          <cell r="CC65">
            <v>67629</v>
          </cell>
          <cell r="CD65">
            <v>0</v>
          </cell>
          <cell r="CE65">
            <v>34183</v>
          </cell>
          <cell r="CF65">
            <v>0</v>
          </cell>
          <cell r="CG65">
            <v>0</v>
          </cell>
          <cell r="CH65">
            <v>0</v>
          </cell>
          <cell r="CI65">
            <v>0</v>
          </cell>
          <cell r="CJ65">
            <v>0</v>
          </cell>
        </row>
        <row r="66">
          <cell r="C66" t="str">
            <v>S.ARVIND KUMAR</v>
          </cell>
          <cell r="D66" t="str">
            <v>ASTT. MANAGER - COMMERCIAL</v>
          </cell>
          <cell r="E66" t="str">
            <v>LOGISTICS / DISTRIBUTION</v>
          </cell>
          <cell r="F66" t="str">
            <v>BANGALORE</v>
          </cell>
          <cell r="S66">
            <v>44646</v>
          </cell>
          <cell r="BE66">
            <v>0</v>
          </cell>
          <cell r="BF66">
            <v>0</v>
          </cell>
          <cell r="BG66">
            <v>0</v>
          </cell>
          <cell r="BH66">
            <v>0</v>
          </cell>
          <cell r="BI66">
            <v>0</v>
          </cell>
          <cell r="BJ66">
            <v>0</v>
          </cell>
          <cell r="BK66">
            <v>0</v>
          </cell>
          <cell r="BL66">
            <v>0</v>
          </cell>
          <cell r="BM66">
            <v>0</v>
          </cell>
          <cell r="BN66">
            <v>0</v>
          </cell>
          <cell r="BO66">
            <v>15444</v>
          </cell>
          <cell r="BP66">
            <v>0</v>
          </cell>
          <cell r="BQ66">
            <v>0</v>
          </cell>
          <cell r="BR66">
            <v>44646</v>
          </cell>
          <cell r="BS66">
            <v>0</v>
          </cell>
          <cell r="BT66">
            <v>0</v>
          </cell>
          <cell r="BU66">
            <v>0</v>
          </cell>
          <cell r="BV66">
            <v>0</v>
          </cell>
          <cell r="BW66">
            <v>0</v>
          </cell>
          <cell r="BX66">
            <v>0</v>
          </cell>
          <cell r="BY66">
            <v>0</v>
          </cell>
          <cell r="BZ66">
            <v>0</v>
          </cell>
          <cell r="CA66">
            <v>0</v>
          </cell>
          <cell r="CB66">
            <v>0</v>
          </cell>
          <cell r="CC66">
            <v>60090</v>
          </cell>
          <cell r="CD66">
            <v>0</v>
          </cell>
          <cell r="CE66">
            <v>35194</v>
          </cell>
        </row>
        <row r="67">
          <cell r="C67" t="str">
            <v>A. SUBRAMONIAN</v>
          </cell>
          <cell r="D67" t="str">
            <v xml:space="preserve">SALES EXECUTIVE    </v>
          </cell>
          <cell r="E67" t="str">
            <v>SALES</v>
          </cell>
          <cell r="F67" t="str">
            <v>CHENNAI</v>
          </cell>
          <cell r="AD67">
            <v>0</v>
          </cell>
          <cell r="BE67">
            <v>0</v>
          </cell>
          <cell r="BF67">
            <v>0</v>
          </cell>
          <cell r="BG67">
            <v>0</v>
          </cell>
          <cell r="BH67">
            <v>0</v>
          </cell>
          <cell r="BI67">
            <v>0</v>
          </cell>
          <cell r="BJ67">
            <v>0</v>
          </cell>
          <cell r="BK67">
            <v>0</v>
          </cell>
          <cell r="BL67">
            <v>0</v>
          </cell>
          <cell r="BM67">
            <v>0</v>
          </cell>
          <cell r="BN67">
            <v>0</v>
          </cell>
          <cell r="BO67">
            <v>8820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8820</v>
          </cell>
          <cell r="CD67">
            <v>0</v>
          </cell>
          <cell r="CE67">
            <v>36691</v>
          </cell>
          <cell r="CF67">
            <v>0</v>
          </cell>
          <cell r="CG67">
            <v>0</v>
          </cell>
          <cell r="CH67">
            <v>0</v>
          </cell>
          <cell r="CI67">
            <v>0</v>
          </cell>
          <cell r="CJ67">
            <v>0</v>
          </cell>
        </row>
        <row r="68">
          <cell r="C68" t="str">
            <v>G.VASANTA RAO</v>
          </cell>
          <cell r="D68" t="str">
            <v xml:space="preserve">SALES EXECUTIVE    </v>
          </cell>
          <cell r="E68" t="str">
            <v>SALES</v>
          </cell>
          <cell r="F68" t="str">
            <v>CHENNAI</v>
          </cell>
          <cell r="S68">
            <v>1500</v>
          </cell>
          <cell r="U68">
            <v>50000</v>
          </cell>
          <cell r="AD68">
            <v>51500</v>
          </cell>
          <cell r="BE68">
            <v>0</v>
          </cell>
          <cell r="BF68">
            <v>0</v>
          </cell>
          <cell r="BG68">
            <v>0</v>
          </cell>
          <cell r="BH68">
            <v>0</v>
          </cell>
          <cell r="BI68">
            <v>0</v>
          </cell>
          <cell r="BJ68">
            <v>0</v>
          </cell>
          <cell r="BK68">
            <v>0</v>
          </cell>
          <cell r="BL68">
            <v>0</v>
          </cell>
          <cell r="BM68">
            <v>0</v>
          </cell>
          <cell r="BN68">
            <v>0</v>
          </cell>
          <cell r="BO68">
            <v>7200</v>
          </cell>
          <cell r="BP68">
            <v>0</v>
          </cell>
          <cell r="BQ68">
            <v>0</v>
          </cell>
          <cell r="BR68">
            <v>1500</v>
          </cell>
          <cell r="BS68">
            <v>0</v>
          </cell>
          <cell r="BT68">
            <v>50000</v>
          </cell>
          <cell r="BU68">
            <v>0</v>
          </cell>
          <cell r="BV68">
            <v>0</v>
          </cell>
          <cell r="BW68">
            <v>0</v>
          </cell>
          <cell r="BX68">
            <v>0</v>
          </cell>
          <cell r="BY68">
            <v>0</v>
          </cell>
          <cell r="BZ68">
            <v>0</v>
          </cell>
          <cell r="CA68">
            <v>0</v>
          </cell>
          <cell r="CB68">
            <v>0</v>
          </cell>
          <cell r="CC68">
            <v>58700</v>
          </cell>
          <cell r="CD68">
            <v>0</v>
          </cell>
          <cell r="CE68">
            <v>35846</v>
          </cell>
          <cell r="CF68">
            <v>0</v>
          </cell>
          <cell r="CG68">
            <v>0</v>
          </cell>
          <cell r="CH68">
            <v>0</v>
          </cell>
          <cell r="CI68">
            <v>0</v>
          </cell>
          <cell r="CJ68">
            <v>0</v>
          </cell>
        </row>
        <row r="69">
          <cell r="C69" t="str">
            <v>SABU PAUL</v>
          </cell>
          <cell r="D69" t="str">
            <v>AREA MANAGER</v>
          </cell>
          <cell r="E69" t="str">
            <v>SALES</v>
          </cell>
          <cell r="F69" t="str">
            <v>BANGALORE</v>
          </cell>
          <cell r="AD69">
            <v>0</v>
          </cell>
          <cell r="BE69">
            <v>0</v>
          </cell>
          <cell r="BF69">
            <v>0</v>
          </cell>
          <cell r="BG69">
            <v>0</v>
          </cell>
          <cell r="BH69">
            <v>0</v>
          </cell>
          <cell r="BI69">
            <v>0</v>
          </cell>
          <cell r="BJ69">
            <v>0</v>
          </cell>
          <cell r="BK69">
            <v>0</v>
          </cell>
          <cell r="BL69">
            <v>0</v>
          </cell>
          <cell r="BM69">
            <v>0</v>
          </cell>
          <cell r="BN69">
            <v>0</v>
          </cell>
          <cell r="BO69">
            <v>16416</v>
          </cell>
          <cell r="BP69">
            <v>0</v>
          </cell>
          <cell r="BQ69">
            <v>0</v>
          </cell>
          <cell r="BR69">
            <v>0</v>
          </cell>
          <cell r="BS69">
            <v>0</v>
          </cell>
          <cell r="BT69">
            <v>0</v>
          </cell>
          <cell r="BU69">
            <v>0</v>
          </cell>
          <cell r="BV69">
            <v>0</v>
          </cell>
          <cell r="BW69">
            <v>0</v>
          </cell>
          <cell r="BX69">
            <v>0</v>
          </cell>
          <cell r="BY69">
            <v>0</v>
          </cell>
          <cell r="BZ69">
            <v>0</v>
          </cell>
          <cell r="CA69">
            <v>0</v>
          </cell>
          <cell r="CB69">
            <v>0</v>
          </cell>
          <cell r="CC69">
            <v>16416</v>
          </cell>
          <cell r="CD69">
            <v>0</v>
          </cell>
          <cell r="CE69">
            <v>33779</v>
          </cell>
          <cell r="CF69">
            <v>0</v>
          </cell>
          <cell r="CG69">
            <v>0</v>
          </cell>
          <cell r="CH69">
            <v>0</v>
          </cell>
          <cell r="CI69">
            <v>0</v>
          </cell>
          <cell r="CJ69">
            <v>0</v>
          </cell>
        </row>
        <row r="70">
          <cell r="C70" t="str">
            <v>ANSHUMAN DASH</v>
          </cell>
          <cell r="D70" t="str">
            <v xml:space="preserve">SALES EXECUTIVE    </v>
          </cell>
          <cell r="E70" t="str">
            <v>SALES</v>
          </cell>
          <cell r="F70" t="str">
            <v>BANGALORE</v>
          </cell>
          <cell r="S70">
            <v>2335</v>
          </cell>
          <cell r="AD70">
            <v>2335</v>
          </cell>
          <cell r="BE70">
            <v>0</v>
          </cell>
          <cell r="BF70">
            <v>0</v>
          </cell>
          <cell r="BG70">
            <v>0</v>
          </cell>
          <cell r="BH70">
            <v>0</v>
          </cell>
          <cell r="BI70">
            <v>0</v>
          </cell>
          <cell r="BJ70">
            <v>0</v>
          </cell>
          <cell r="BK70">
            <v>0</v>
          </cell>
          <cell r="BL70">
            <v>0</v>
          </cell>
          <cell r="BM70">
            <v>0</v>
          </cell>
          <cell r="BN70">
            <v>0</v>
          </cell>
          <cell r="BO70">
            <v>8172</v>
          </cell>
          <cell r="BP70">
            <v>0</v>
          </cell>
          <cell r="BQ70">
            <v>0</v>
          </cell>
          <cell r="BR70">
            <v>2335</v>
          </cell>
          <cell r="BS70">
            <v>0</v>
          </cell>
          <cell r="BT70">
            <v>0</v>
          </cell>
          <cell r="BU70">
            <v>0</v>
          </cell>
          <cell r="BV70">
            <v>0</v>
          </cell>
          <cell r="BW70">
            <v>0</v>
          </cell>
          <cell r="BX70">
            <v>0</v>
          </cell>
          <cell r="BY70">
            <v>0</v>
          </cell>
          <cell r="BZ70">
            <v>0</v>
          </cell>
          <cell r="CA70">
            <v>0</v>
          </cell>
          <cell r="CB70">
            <v>0</v>
          </cell>
          <cell r="CC70">
            <v>10507</v>
          </cell>
          <cell r="CD70">
            <v>0</v>
          </cell>
          <cell r="CE70">
            <v>36722</v>
          </cell>
          <cell r="CF70">
            <v>0</v>
          </cell>
          <cell r="CG70">
            <v>0</v>
          </cell>
          <cell r="CH70">
            <v>0</v>
          </cell>
          <cell r="CI70">
            <v>0</v>
          </cell>
          <cell r="CJ70">
            <v>0</v>
          </cell>
        </row>
        <row r="71">
          <cell r="C71" t="str">
            <v>B. R. ANAND</v>
          </cell>
          <cell r="D71" t="str">
            <v xml:space="preserve">SALES EXECUTIVE    </v>
          </cell>
          <cell r="E71" t="str">
            <v>SALES</v>
          </cell>
          <cell r="F71" t="str">
            <v>BANGALORE</v>
          </cell>
          <cell r="AA71">
            <v>60000</v>
          </cell>
          <cell r="AD71">
            <v>60000</v>
          </cell>
          <cell r="BE71">
            <v>0</v>
          </cell>
          <cell r="BF71">
            <v>0</v>
          </cell>
          <cell r="BG71">
            <v>0</v>
          </cell>
          <cell r="BH71">
            <v>0</v>
          </cell>
          <cell r="BI71">
            <v>0</v>
          </cell>
          <cell r="BJ71">
            <v>0</v>
          </cell>
          <cell r="BK71">
            <v>0</v>
          </cell>
          <cell r="BL71">
            <v>0</v>
          </cell>
          <cell r="BM71">
            <v>0</v>
          </cell>
          <cell r="BN71">
            <v>0</v>
          </cell>
          <cell r="BO71">
            <v>7335</v>
          </cell>
          <cell r="BP71">
            <v>0</v>
          </cell>
          <cell r="BQ71">
            <v>0</v>
          </cell>
          <cell r="BR71">
            <v>0</v>
          </cell>
          <cell r="BS71">
            <v>0</v>
          </cell>
          <cell r="BT71">
            <v>0</v>
          </cell>
          <cell r="BU71">
            <v>0</v>
          </cell>
          <cell r="BV71">
            <v>0</v>
          </cell>
          <cell r="BW71">
            <v>0</v>
          </cell>
          <cell r="BX71">
            <v>0</v>
          </cell>
          <cell r="BY71">
            <v>0</v>
          </cell>
          <cell r="BZ71">
            <v>60000</v>
          </cell>
          <cell r="CA71">
            <v>0</v>
          </cell>
          <cell r="CB71">
            <v>0</v>
          </cell>
          <cell r="CC71">
            <v>67335</v>
          </cell>
          <cell r="CD71">
            <v>0</v>
          </cell>
          <cell r="CE71">
            <v>37361</v>
          </cell>
          <cell r="CF71">
            <v>0</v>
          </cell>
          <cell r="CG71">
            <v>0</v>
          </cell>
          <cell r="CH71">
            <v>0</v>
          </cell>
          <cell r="CI71">
            <v>0</v>
          </cell>
          <cell r="CJ71">
            <v>0</v>
          </cell>
        </row>
        <row r="72">
          <cell r="C72" t="str">
            <v>C. KARTHIK</v>
          </cell>
          <cell r="D72" t="str">
            <v xml:space="preserve">SALES EXECUTIVE    </v>
          </cell>
          <cell r="E72" t="str">
            <v>SALES</v>
          </cell>
          <cell r="F72">
            <v>0</v>
          </cell>
          <cell r="AA72">
            <v>60000</v>
          </cell>
          <cell r="AD72">
            <v>60000</v>
          </cell>
          <cell r="BE72">
            <v>0</v>
          </cell>
          <cell r="BF72">
            <v>0</v>
          </cell>
          <cell r="BG72">
            <v>0</v>
          </cell>
          <cell r="BH72">
            <v>0</v>
          </cell>
          <cell r="BI72">
            <v>0</v>
          </cell>
          <cell r="BJ72">
            <v>0</v>
          </cell>
          <cell r="BK72">
            <v>0</v>
          </cell>
          <cell r="BL72">
            <v>0</v>
          </cell>
          <cell r="BM72">
            <v>0</v>
          </cell>
          <cell r="BN72">
            <v>0</v>
          </cell>
          <cell r="BO72">
            <v>7335</v>
          </cell>
          <cell r="BP72">
            <v>0</v>
          </cell>
          <cell r="BQ72">
            <v>0</v>
          </cell>
          <cell r="BR72">
            <v>0</v>
          </cell>
          <cell r="BS72">
            <v>0</v>
          </cell>
          <cell r="BT72">
            <v>0</v>
          </cell>
          <cell r="BU72">
            <v>0</v>
          </cell>
          <cell r="BV72">
            <v>0</v>
          </cell>
          <cell r="BW72">
            <v>0</v>
          </cell>
          <cell r="BX72">
            <v>0</v>
          </cell>
          <cell r="BY72">
            <v>0</v>
          </cell>
          <cell r="BZ72">
            <v>60000</v>
          </cell>
          <cell r="CA72">
            <v>0</v>
          </cell>
          <cell r="CB72">
            <v>0</v>
          </cell>
          <cell r="CC72">
            <v>67335</v>
          </cell>
          <cell r="CD72">
            <v>0</v>
          </cell>
          <cell r="CE72">
            <v>37361</v>
          </cell>
          <cell r="CF72">
            <v>0</v>
          </cell>
          <cell r="CG72">
            <v>0</v>
          </cell>
          <cell r="CH72">
            <v>0</v>
          </cell>
          <cell r="CI72">
            <v>0</v>
          </cell>
          <cell r="CJ72">
            <v>0</v>
          </cell>
        </row>
        <row r="73">
          <cell r="C73" t="str">
            <v>N. CHANDRASHEKAR</v>
          </cell>
          <cell r="D73" t="str">
            <v>SR. SALES EXECUTIVE</v>
          </cell>
          <cell r="E73" t="str">
            <v>SALES</v>
          </cell>
          <cell r="F73" t="str">
            <v>BANGALORE</v>
          </cell>
          <cell r="AD73">
            <v>0</v>
          </cell>
          <cell r="BE73">
            <v>0</v>
          </cell>
          <cell r="BF73">
            <v>0</v>
          </cell>
          <cell r="BG73">
            <v>0</v>
          </cell>
          <cell r="BH73">
            <v>0</v>
          </cell>
          <cell r="BI73">
            <v>0</v>
          </cell>
          <cell r="BJ73">
            <v>0</v>
          </cell>
          <cell r="BK73">
            <v>0</v>
          </cell>
          <cell r="BL73">
            <v>0</v>
          </cell>
          <cell r="BM73">
            <v>0</v>
          </cell>
          <cell r="BN73">
            <v>0</v>
          </cell>
          <cell r="BO73">
            <v>9252</v>
          </cell>
          <cell r="BP73">
            <v>0</v>
          </cell>
          <cell r="BQ73">
            <v>0</v>
          </cell>
          <cell r="BR73">
            <v>0</v>
          </cell>
          <cell r="BS73">
            <v>0</v>
          </cell>
          <cell r="BT73">
            <v>0</v>
          </cell>
          <cell r="BU73">
            <v>0</v>
          </cell>
          <cell r="BV73">
            <v>0</v>
          </cell>
          <cell r="BW73">
            <v>0</v>
          </cell>
          <cell r="BX73">
            <v>0</v>
          </cell>
          <cell r="BY73">
            <v>0</v>
          </cell>
          <cell r="BZ73">
            <v>0</v>
          </cell>
          <cell r="CA73">
            <v>0</v>
          </cell>
          <cell r="CB73">
            <v>0</v>
          </cell>
          <cell r="CC73">
            <v>9252</v>
          </cell>
          <cell r="CD73">
            <v>0</v>
          </cell>
          <cell r="CE73">
            <v>36231</v>
          </cell>
          <cell r="CF73">
            <v>0</v>
          </cell>
          <cell r="CG73">
            <v>0</v>
          </cell>
          <cell r="CH73">
            <v>0</v>
          </cell>
          <cell r="CI73">
            <v>0</v>
          </cell>
          <cell r="CJ73">
            <v>0</v>
          </cell>
        </row>
        <row r="74">
          <cell r="C74" t="str">
            <v>C SHREEMALI</v>
          </cell>
          <cell r="D74" t="str">
            <v xml:space="preserve">SALES EXECUTIVE    </v>
          </cell>
          <cell r="E74" t="str">
            <v>SALES</v>
          </cell>
          <cell r="F74" t="str">
            <v>BANGALORE</v>
          </cell>
          <cell r="S74">
            <v>28383</v>
          </cell>
          <cell r="AD74">
            <v>28383</v>
          </cell>
          <cell r="BE74">
            <v>0</v>
          </cell>
          <cell r="BF74">
            <v>0</v>
          </cell>
          <cell r="BG74">
            <v>0</v>
          </cell>
          <cell r="BH74">
            <v>0</v>
          </cell>
          <cell r="BI74">
            <v>0</v>
          </cell>
          <cell r="BJ74">
            <v>0</v>
          </cell>
          <cell r="BK74">
            <v>0</v>
          </cell>
          <cell r="BL74">
            <v>0</v>
          </cell>
          <cell r="BM74">
            <v>0</v>
          </cell>
          <cell r="BN74">
            <v>0</v>
          </cell>
          <cell r="BO74">
            <v>8172</v>
          </cell>
          <cell r="BP74">
            <v>0</v>
          </cell>
          <cell r="BQ74">
            <v>0</v>
          </cell>
          <cell r="BR74">
            <v>28383</v>
          </cell>
          <cell r="BS74">
            <v>0</v>
          </cell>
          <cell r="BT74">
            <v>0</v>
          </cell>
          <cell r="BU74">
            <v>0</v>
          </cell>
          <cell r="BV74">
            <v>0</v>
          </cell>
          <cell r="BW74">
            <v>0</v>
          </cell>
          <cell r="BX74">
            <v>0</v>
          </cell>
          <cell r="BY74">
            <v>0</v>
          </cell>
          <cell r="BZ74">
            <v>0</v>
          </cell>
          <cell r="CA74">
            <v>0</v>
          </cell>
          <cell r="CB74">
            <v>0</v>
          </cell>
          <cell r="CC74">
            <v>36555</v>
          </cell>
          <cell r="CD74">
            <v>0</v>
          </cell>
          <cell r="CE74">
            <v>36656</v>
          </cell>
          <cell r="CF74">
            <v>0</v>
          </cell>
          <cell r="CG74">
            <v>0</v>
          </cell>
          <cell r="CH74">
            <v>0</v>
          </cell>
          <cell r="CI74">
            <v>0</v>
          </cell>
          <cell r="CJ74">
            <v>0</v>
          </cell>
        </row>
        <row r="75">
          <cell r="C75" t="str">
            <v>S. RAMESH</v>
          </cell>
          <cell r="D75" t="str">
            <v xml:space="preserve">SALES EXECUTIVE    </v>
          </cell>
          <cell r="E75" t="str">
            <v>SALES</v>
          </cell>
          <cell r="F75" t="str">
            <v>BANGALORE</v>
          </cell>
          <cell r="AA75">
            <v>60000</v>
          </cell>
          <cell r="AD75">
            <v>60000</v>
          </cell>
          <cell r="BE75">
            <v>0</v>
          </cell>
          <cell r="BF75">
            <v>0</v>
          </cell>
          <cell r="BG75">
            <v>0</v>
          </cell>
          <cell r="BH75">
            <v>0</v>
          </cell>
          <cell r="BI75">
            <v>0</v>
          </cell>
          <cell r="BJ75">
            <v>0</v>
          </cell>
          <cell r="BK75">
            <v>0</v>
          </cell>
          <cell r="BL75">
            <v>0</v>
          </cell>
          <cell r="BM75">
            <v>0</v>
          </cell>
          <cell r="BN75">
            <v>0</v>
          </cell>
          <cell r="BO75">
            <v>7272</v>
          </cell>
          <cell r="BP75">
            <v>0</v>
          </cell>
          <cell r="BQ75">
            <v>0</v>
          </cell>
          <cell r="BR75">
            <v>0</v>
          </cell>
          <cell r="BS75">
            <v>0</v>
          </cell>
          <cell r="BT75">
            <v>0</v>
          </cell>
          <cell r="BU75">
            <v>0</v>
          </cell>
          <cell r="BV75">
            <v>0</v>
          </cell>
          <cell r="BW75">
            <v>0</v>
          </cell>
          <cell r="BX75">
            <v>0</v>
          </cell>
          <cell r="BY75">
            <v>0</v>
          </cell>
          <cell r="BZ75">
            <v>60000</v>
          </cell>
          <cell r="CA75">
            <v>0</v>
          </cell>
          <cell r="CB75">
            <v>0</v>
          </cell>
          <cell r="CC75">
            <v>67272</v>
          </cell>
          <cell r="CD75">
            <v>0</v>
          </cell>
          <cell r="CE75">
            <v>37364</v>
          </cell>
          <cell r="CF75">
            <v>0</v>
          </cell>
          <cell r="CG75">
            <v>0</v>
          </cell>
          <cell r="CH75">
            <v>0</v>
          </cell>
          <cell r="CI75">
            <v>0</v>
          </cell>
          <cell r="CJ75">
            <v>0</v>
          </cell>
        </row>
        <row r="76">
          <cell r="C76" t="str">
            <v>SANGRAM K. JENA</v>
          </cell>
          <cell r="D76" t="str">
            <v>SR. SALES EXECUTIVE</v>
          </cell>
          <cell r="E76" t="str">
            <v>SALES</v>
          </cell>
          <cell r="F76" t="str">
            <v>CALCUTTA</v>
          </cell>
          <cell r="S76">
            <v>33240</v>
          </cell>
          <cell r="U76">
            <v>20000</v>
          </cell>
          <cell r="AC76">
            <v>20000</v>
          </cell>
          <cell r="AD76">
            <v>73240</v>
          </cell>
          <cell r="BE76">
            <v>0</v>
          </cell>
          <cell r="BF76">
            <v>0</v>
          </cell>
          <cell r="BG76">
            <v>0</v>
          </cell>
          <cell r="BH76">
            <v>0</v>
          </cell>
          <cell r="BI76">
            <v>0</v>
          </cell>
          <cell r="BJ76">
            <v>0</v>
          </cell>
          <cell r="BK76">
            <v>0</v>
          </cell>
          <cell r="BL76">
            <v>0</v>
          </cell>
          <cell r="BM76">
            <v>0</v>
          </cell>
          <cell r="BN76">
            <v>0</v>
          </cell>
          <cell r="BO76">
            <v>9252</v>
          </cell>
          <cell r="BP76">
            <v>0</v>
          </cell>
          <cell r="BQ76">
            <v>0</v>
          </cell>
          <cell r="BR76">
            <v>33240</v>
          </cell>
          <cell r="BS76">
            <v>0</v>
          </cell>
          <cell r="BT76">
            <v>20000</v>
          </cell>
          <cell r="BU76">
            <v>0</v>
          </cell>
          <cell r="BV76">
            <v>0</v>
          </cell>
          <cell r="BW76">
            <v>0</v>
          </cell>
          <cell r="BX76">
            <v>0</v>
          </cell>
          <cell r="BY76">
            <v>0</v>
          </cell>
          <cell r="BZ76">
            <v>0</v>
          </cell>
          <cell r="CA76">
            <v>0</v>
          </cell>
          <cell r="CB76">
            <v>20000</v>
          </cell>
          <cell r="CC76">
            <v>82492</v>
          </cell>
          <cell r="CD76">
            <v>0</v>
          </cell>
          <cell r="CE76">
            <v>35136</v>
          </cell>
          <cell r="CF76">
            <v>0</v>
          </cell>
          <cell r="CG76">
            <v>0</v>
          </cell>
          <cell r="CH76">
            <v>0</v>
          </cell>
          <cell r="CI76">
            <v>0</v>
          </cell>
          <cell r="CJ76">
            <v>0</v>
          </cell>
        </row>
        <row r="77">
          <cell r="C77" t="str">
            <v>ARUP DUTTA</v>
          </cell>
          <cell r="D77" t="str">
            <v>SR. SALES EXECUTIVE</v>
          </cell>
          <cell r="E77" t="str">
            <v>SALES</v>
          </cell>
          <cell r="F77" t="str">
            <v>CALCUTTA</v>
          </cell>
          <cell r="S77">
            <v>14563</v>
          </cell>
          <cell r="T77">
            <v>49300</v>
          </cell>
          <cell r="V77">
            <v>49300</v>
          </cell>
          <cell r="AD77">
            <v>63863</v>
          </cell>
          <cell r="BE77">
            <v>0</v>
          </cell>
          <cell r="BF77">
            <v>0</v>
          </cell>
          <cell r="BG77">
            <v>0</v>
          </cell>
          <cell r="BH77">
            <v>0</v>
          </cell>
          <cell r="BI77">
            <v>0</v>
          </cell>
          <cell r="BJ77">
            <v>0</v>
          </cell>
          <cell r="BK77">
            <v>0</v>
          </cell>
          <cell r="BL77">
            <v>0</v>
          </cell>
          <cell r="BM77">
            <v>0</v>
          </cell>
          <cell r="BN77">
            <v>0</v>
          </cell>
          <cell r="BO77">
            <v>11232</v>
          </cell>
          <cell r="BP77">
            <v>0</v>
          </cell>
          <cell r="BQ77">
            <v>0</v>
          </cell>
          <cell r="BR77">
            <v>14563</v>
          </cell>
          <cell r="BS77">
            <v>49300</v>
          </cell>
          <cell r="BT77">
            <v>0</v>
          </cell>
          <cell r="BU77">
            <v>0</v>
          </cell>
          <cell r="BV77">
            <v>0</v>
          </cell>
          <cell r="BW77">
            <v>0</v>
          </cell>
          <cell r="BX77">
            <v>0</v>
          </cell>
          <cell r="BY77">
            <v>0</v>
          </cell>
          <cell r="BZ77">
            <v>0</v>
          </cell>
          <cell r="CA77">
            <v>0</v>
          </cell>
          <cell r="CB77">
            <v>0</v>
          </cell>
          <cell r="CC77">
            <v>75095</v>
          </cell>
          <cell r="CD77">
            <v>0</v>
          </cell>
          <cell r="CE77">
            <v>35635</v>
          </cell>
          <cell r="CF77">
            <v>0</v>
          </cell>
          <cell r="CG77">
            <v>0</v>
          </cell>
          <cell r="CH77">
            <v>0</v>
          </cell>
          <cell r="CI77">
            <v>0</v>
          </cell>
          <cell r="CJ77">
            <v>0</v>
          </cell>
        </row>
        <row r="78">
          <cell r="C78" t="str">
            <v>SAJAL KR. SAHA</v>
          </cell>
          <cell r="D78" t="str">
            <v xml:space="preserve">SR. OFFICER - STOCKS &amp; DISTRIBUTION </v>
          </cell>
          <cell r="E78" t="str">
            <v>LOGISTICS, DISTRIBUTION &amp; BRT</v>
          </cell>
          <cell r="F78" t="str">
            <v>CALCUTTA</v>
          </cell>
          <cell r="S78">
            <v>10493</v>
          </cell>
          <cell r="T78">
            <v>5500</v>
          </cell>
          <cell r="U78">
            <v>46000</v>
          </cell>
          <cell r="BE78">
            <v>0</v>
          </cell>
          <cell r="BF78">
            <v>0</v>
          </cell>
          <cell r="BG78">
            <v>0</v>
          </cell>
          <cell r="BH78">
            <v>0</v>
          </cell>
          <cell r="BI78">
            <v>0</v>
          </cell>
          <cell r="BJ78">
            <v>0</v>
          </cell>
          <cell r="BK78">
            <v>0</v>
          </cell>
          <cell r="BL78">
            <v>0</v>
          </cell>
          <cell r="BM78">
            <v>0</v>
          </cell>
          <cell r="BN78">
            <v>0</v>
          </cell>
          <cell r="BO78">
            <v>9360</v>
          </cell>
          <cell r="BP78">
            <v>0</v>
          </cell>
          <cell r="BQ78">
            <v>0</v>
          </cell>
          <cell r="BR78">
            <v>10493</v>
          </cell>
          <cell r="BS78">
            <v>5500</v>
          </cell>
          <cell r="BT78">
            <v>46000</v>
          </cell>
          <cell r="BU78">
            <v>0</v>
          </cell>
          <cell r="BV78">
            <v>0</v>
          </cell>
          <cell r="BW78">
            <v>0</v>
          </cell>
          <cell r="BX78">
            <v>0</v>
          </cell>
          <cell r="BY78">
            <v>0</v>
          </cell>
          <cell r="BZ78">
            <v>0</v>
          </cell>
          <cell r="CA78">
            <v>0</v>
          </cell>
          <cell r="CB78">
            <v>0</v>
          </cell>
          <cell r="CC78">
            <v>71353</v>
          </cell>
          <cell r="CD78">
            <v>0</v>
          </cell>
          <cell r="CE78">
            <v>34078</v>
          </cell>
          <cell r="CF78">
            <v>0</v>
          </cell>
          <cell r="CG78">
            <v>0</v>
          </cell>
        </row>
        <row r="79">
          <cell r="C79" t="str">
            <v>C.A. MATHEWS</v>
          </cell>
          <cell r="D79" t="str">
            <v xml:space="preserve">SALES EXECUTIVE    </v>
          </cell>
          <cell r="E79" t="str">
            <v>SALES</v>
          </cell>
          <cell r="F79" t="str">
            <v>BANGALORE</v>
          </cell>
          <cell r="AA79">
            <v>60000</v>
          </cell>
          <cell r="AD79">
            <v>60000</v>
          </cell>
          <cell r="BE79">
            <v>0</v>
          </cell>
          <cell r="BF79">
            <v>0</v>
          </cell>
          <cell r="BG79">
            <v>0</v>
          </cell>
          <cell r="BH79">
            <v>0</v>
          </cell>
          <cell r="BI79">
            <v>0</v>
          </cell>
          <cell r="BJ79">
            <v>0</v>
          </cell>
          <cell r="BK79">
            <v>0</v>
          </cell>
          <cell r="BL79">
            <v>0</v>
          </cell>
          <cell r="BM79">
            <v>0</v>
          </cell>
          <cell r="BN79">
            <v>0</v>
          </cell>
          <cell r="BO79">
            <v>6318</v>
          </cell>
          <cell r="BP79">
            <v>0</v>
          </cell>
          <cell r="BQ79">
            <v>0</v>
          </cell>
          <cell r="BR79">
            <v>0</v>
          </cell>
          <cell r="BS79">
            <v>0</v>
          </cell>
          <cell r="BT79">
            <v>0</v>
          </cell>
          <cell r="BU79">
            <v>0</v>
          </cell>
          <cell r="BV79">
            <v>0</v>
          </cell>
          <cell r="BW79">
            <v>0</v>
          </cell>
          <cell r="BX79">
            <v>0</v>
          </cell>
          <cell r="BY79">
            <v>0</v>
          </cell>
          <cell r="BZ79">
            <v>60000</v>
          </cell>
          <cell r="CA79">
            <v>0</v>
          </cell>
          <cell r="CB79">
            <v>0</v>
          </cell>
          <cell r="CC79">
            <v>66318</v>
          </cell>
          <cell r="CD79">
            <v>0</v>
          </cell>
          <cell r="CE79">
            <v>37410</v>
          </cell>
          <cell r="CF79">
            <v>0</v>
          </cell>
          <cell r="CG79">
            <v>0</v>
          </cell>
          <cell r="CH79">
            <v>0</v>
          </cell>
          <cell r="CI79">
            <v>0</v>
          </cell>
          <cell r="CJ79">
            <v>0</v>
          </cell>
        </row>
        <row r="80">
          <cell r="C80" t="str">
            <v>ARUN K STANLEY</v>
          </cell>
          <cell r="A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row>
        <row r="81">
          <cell r="C81" t="str">
            <v>UDAY BAMBULKAR</v>
          </cell>
          <cell r="A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row>
        <row r="82">
          <cell r="C82" t="str">
            <v>SANJAY TIWARI</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E82">
            <v>0</v>
          </cell>
        </row>
        <row r="83">
          <cell r="C83" t="str">
            <v>P.D.MISHRA</v>
          </cell>
          <cell r="D83" t="str">
            <v>Sr. Officer - HR</v>
          </cell>
          <cell r="E83" t="str">
            <v>Human Resources</v>
          </cell>
          <cell r="F83" t="str">
            <v>PLANT</v>
          </cell>
          <cell r="G83">
            <v>10000</v>
          </cell>
          <cell r="O83">
            <v>10000</v>
          </cell>
          <cell r="T83">
            <v>40000</v>
          </cell>
          <cell r="V83">
            <v>9000</v>
          </cell>
          <cell r="AC83">
            <v>20000</v>
          </cell>
          <cell r="AD83">
            <v>69000</v>
          </cell>
          <cell r="BE83">
            <v>10000</v>
          </cell>
          <cell r="BF83">
            <v>0</v>
          </cell>
          <cell r="BG83">
            <v>0</v>
          </cell>
          <cell r="BH83">
            <v>0</v>
          </cell>
          <cell r="BI83">
            <v>0</v>
          </cell>
          <cell r="BJ83">
            <v>0</v>
          </cell>
          <cell r="BK83">
            <v>0</v>
          </cell>
          <cell r="BL83">
            <v>0</v>
          </cell>
          <cell r="BM83">
            <v>10000</v>
          </cell>
          <cell r="BN83">
            <v>0</v>
          </cell>
          <cell r="BO83">
            <v>12852</v>
          </cell>
          <cell r="BP83">
            <v>0</v>
          </cell>
          <cell r="BQ83">
            <v>0</v>
          </cell>
          <cell r="BR83">
            <v>0</v>
          </cell>
          <cell r="BS83">
            <v>40000</v>
          </cell>
          <cell r="BT83">
            <v>0</v>
          </cell>
          <cell r="BU83">
            <v>9000</v>
          </cell>
          <cell r="BV83">
            <v>0</v>
          </cell>
          <cell r="BW83">
            <v>0</v>
          </cell>
          <cell r="BX83">
            <v>0</v>
          </cell>
          <cell r="BY83">
            <v>0</v>
          </cell>
          <cell r="BZ83">
            <v>0</v>
          </cell>
          <cell r="CA83">
            <v>0</v>
          </cell>
          <cell r="CB83">
            <v>20000</v>
          </cell>
          <cell r="CC83">
            <v>81852</v>
          </cell>
          <cell r="CD83">
            <v>0</v>
          </cell>
          <cell r="CE83">
            <v>0</v>
          </cell>
          <cell r="CF83">
            <v>0</v>
          </cell>
          <cell r="CG83">
            <v>0</v>
          </cell>
          <cell r="CH83">
            <v>0</v>
          </cell>
          <cell r="CI83">
            <v>0</v>
          </cell>
          <cell r="CJ83">
            <v>0</v>
          </cell>
        </row>
        <row r="84">
          <cell r="C84" t="str">
            <v>Dummy2</v>
          </cell>
          <cell r="AD84">
            <v>0</v>
          </cell>
          <cell r="BE84">
            <v>0</v>
          </cell>
          <cell r="BF84">
            <v>0</v>
          </cell>
          <cell r="BG84">
            <v>0</v>
          </cell>
          <cell r="BH84">
            <v>0</v>
          </cell>
          <cell r="BI84">
            <v>0</v>
          </cell>
          <cell r="BJ84">
            <v>0</v>
          </cell>
          <cell r="BK84">
            <v>0</v>
          </cell>
          <cell r="BL84">
            <v>0</v>
          </cell>
          <cell r="BM84">
            <v>0</v>
          </cell>
          <cell r="BN84">
            <v>0</v>
          </cell>
          <cell r="BO84" t="e">
            <v>#N/A</v>
          </cell>
          <cell r="BP84">
            <v>0</v>
          </cell>
          <cell r="BQ84">
            <v>0</v>
          </cell>
          <cell r="BR84">
            <v>0</v>
          </cell>
          <cell r="BS84">
            <v>0</v>
          </cell>
          <cell r="BT84">
            <v>0</v>
          </cell>
          <cell r="BU84">
            <v>0</v>
          </cell>
          <cell r="BV84">
            <v>0</v>
          </cell>
          <cell r="BW84">
            <v>0</v>
          </cell>
          <cell r="BX84">
            <v>0</v>
          </cell>
          <cell r="BY84">
            <v>0</v>
          </cell>
          <cell r="BZ84">
            <v>0</v>
          </cell>
          <cell r="CA84">
            <v>0</v>
          </cell>
          <cell r="CB84">
            <v>0</v>
          </cell>
          <cell r="CC84" t="e">
            <v>#N/A</v>
          </cell>
          <cell r="CD84">
            <v>0</v>
          </cell>
          <cell r="CE84">
            <v>0</v>
          </cell>
          <cell r="CF84">
            <v>0</v>
          </cell>
          <cell r="CG84">
            <v>0</v>
          </cell>
          <cell r="CH84">
            <v>0</v>
          </cell>
          <cell r="CI84">
            <v>0</v>
          </cell>
          <cell r="CJ84">
            <v>0</v>
          </cell>
        </row>
        <row r="85">
          <cell r="C85" t="str">
            <v>Dummy3</v>
          </cell>
          <cell r="AD85">
            <v>0</v>
          </cell>
          <cell r="BE85">
            <v>0</v>
          </cell>
          <cell r="BF85">
            <v>0</v>
          </cell>
          <cell r="BG85">
            <v>0</v>
          </cell>
          <cell r="BH85">
            <v>0</v>
          </cell>
          <cell r="BI85">
            <v>0</v>
          </cell>
          <cell r="BJ85">
            <v>0</v>
          </cell>
          <cell r="BK85">
            <v>0</v>
          </cell>
          <cell r="BL85">
            <v>0</v>
          </cell>
          <cell r="BM85">
            <v>0</v>
          </cell>
          <cell r="BN85">
            <v>0</v>
          </cell>
          <cell r="BO85" t="e">
            <v>#N/A</v>
          </cell>
          <cell r="BP85">
            <v>0</v>
          </cell>
          <cell r="BQ85">
            <v>0</v>
          </cell>
          <cell r="BR85">
            <v>0</v>
          </cell>
          <cell r="BS85">
            <v>0</v>
          </cell>
          <cell r="BT85">
            <v>0</v>
          </cell>
          <cell r="BU85">
            <v>0</v>
          </cell>
          <cell r="BV85">
            <v>0</v>
          </cell>
          <cell r="BW85">
            <v>0</v>
          </cell>
          <cell r="BX85">
            <v>0</v>
          </cell>
          <cell r="BY85">
            <v>0</v>
          </cell>
          <cell r="BZ85">
            <v>0</v>
          </cell>
          <cell r="CA85">
            <v>0</v>
          </cell>
          <cell r="CB85">
            <v>0</v>
          </cell>
          <cell r="CC85" t="e">
            <v>#N/A</v>
          </cell>
          <cell r="CD85">
            <v>0</v>
          </cell>
          <cell r="CE85">
            <v>0</v>
          </cell>
          <cell r="CF85">
            <v>0</v>
          </cell>
          <cell r="CG85">
            <v>0</v>
          </cell>
          <cell r="CH85">
            <v>0</v>
          </cell>
          <cell r="CI85">
            <v>0</v>
          </cell>
          <cell r="CJ85">
            <v>0</v>
          </cell>
        </row>
      </sheetData>
      <sheetData sheetId="1">
        <row r="18">
          <cell r="C18" t="str">
            <v>ONE LAC SIXTY EIGHT THOUSAND TWO HUNDRED FIVE  ONLY</v>
          </cell>
        </row>
      </sheetData>
      <sheetData sheetId="2" refreshError="1"/>
      <sheetData sheetId="3">
        <row r="18">
          <cell r="C18" t="str">
            <v>ONE LAC SIXTY EIGHT THOUSAND TWO HUNDRED FIVE  ONLY</v>
          </cell>
        </row>
      </sheetData>
      <sheetData sheetId="4" refreshError="1"/>
      <sheetData sheetId="5">
        <row r="18">
          <cell r="C18" t="str">
            <v>ONE LAC SIXTY EIGHT THOUSAND TWO HUNDRED FIVE  ONLY</v>
          </cell>
        </row>
      </sheetData>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 I.TAX"/>
      <sheetName val="addition"/>
      <sheetName val="YTD"/>
      <sheetName val="SUMMARY"/>
      <sheetName val="tables"/>
      <sheetName val="Assumptions US-Rev"/>
      <sheetName val="Deduction_and_Rebate"/>
      <sheetName val="words"/>
      <sheetName val="AsstBA2100Mar2003"/>
      <sheetName val="2003"/>
      <sheetName val="addition_I_TAX"/>
      <sheetName val="coa_ramco_168"/>
      <sheetName val="5(a)"/>
      <sheetName val="AG00060"/>
      <sheetName val="Assumptions"/>
      <sheetName val="CRITERIA4"/>
    </sheetNames>
    <sheetDataSet>
      <sheetData sheetId="0" refreshError="1"/>
      <sheetData sheetId="1" refreshError="1"/>
      <sheetData sheetId="2" refreshError="1">
        <row r="2653">
          <cell r="A2653">
            <v>1</v>
          </cell>
        </row>
        <row r="2654">
          <cell r="A2654">
            <v>2</v>
          </cell>
        </row>
        <row r="2655">
          <cell r="A2655">
            <v>3</v>
          </cell>
        </row>
        <row r="2656">
          <cell r="A2656">
            <v>4</v>
          </cell>
        </row>
        <row r="2657">
          <cell r="A2657">
            <v>5</v>
          </cell>
        </row>
        <row r="2658">
          <cell r="A2658">
            <v>6</v>
          </cell>
        </row>
        <row r="2659">
          <cell r="A2659">
            <v>7</v>
          </cell>
        </row>
        <row r="2660">
          <cell r="A2660">
            <v>8</v>
          </cell>
        </row>
        <row r="2661">
          <cell r="A2661">
            <v>9</v>
          </cell>
        </row>
        <row r="2662">
          <cell r="A2662">
            <v>10</v>
          </cell>
        </row>
        <row r="2663">
          <cell r="A2663">
            <v>11</v>
          </cell>
        </row>
        <row r="2664">
          <cell r="A2664">
            <v>12</v>
          </cell>
        </row>
        <row r="2665">
          <cell r="A2665">
            <v>13</v>
          </cell>
        </row>
        <row r="2666">
          <cell r="A2666">
            <v>14</v>
          </cell>
        </row>
        <row r="2667">
          <cell r="A2667">
            <v>15</v>
          </cell>
        </row>
        <row r="2668">
          <cell r="A2668">
            <v>16</v>
          </cell>
        </row>
        <row r="2669">
          <cell r="A2669">
            <v>17</v>
          </cell>
        </row>
        <row r="2670">
          <cell r="A2670">
            <v>18</v>
          </cell>
        </row>
        <row r="2671">
          <cell r="A2671">
            <v>19</v>
          </cell>
        </row>
        <row r="2672">
          <cell r="A2672">
            <v>20</v>
          </cell>
        </row>
        <row r="2674">
          <cell r="A2674">
            <v>21</v>
          </cell>
        </row>
        <row r="2675">
          <cell r="A2675">
            <v>22</v>
          </cell>
        </row>
        <row r="2676">
          <cell r="A2676">
            <v>23</v>
          </cell>
        </row>
        <row r="2677">
          <cell r="A2677">
            <v>24</v>
          </cell>
        </row>
        <row r="2678">
          <cell r="A2678">
            <v>25</v>
          </cell>
        </row>
        <row r="2680">
          <cell r="A2680">
            <v>26</v>
          </cell>
        </row>
        <row r="2681">
          <cell r="A2681">
            <v>27</v>
          </cell>
        </row>
        <row r="2682">
          <cell r="A2682">
            <v>28</v>
          </cell>
        </row>
        <row r="2683">
          <cell r="A2683">
            <v>29</v>
          </cell>
        </row>
        <row r="2684">
          <cell r="A2684">
            <v>30</v>
          </cell>
        </row>
        <row r="2685">
          <cell r="A2685">
            <v>31</v>
          </cell>
        </row>
        <row r="2686">
          <cell r="A2686">
            <v>32</v>
          </cell>
        </row>
        <row r="2687">
          <cell r="A2687">
            <v>33</v>
          </cell>
        </row>
        <row r="2688">
          <cell r="A2688">
            <v>34</v>
          </cell>
        </row>
        <row r="2689">
          <cell r="A2689">
            <v>35</v>
          </cell>
        </row>
        <row r="2690">
          <cell r="A2690">
            <v>36</v>
          </cell>
        </row>
        <row r="2691">
          <cell r="A2691">
            <v>37</v>
          </cell>
        </row>
        <row r="2692">
          <cell r="A2692">
            <v>38</v>
          </cell>
        </row>
        <row r="2694">
          <cell r="A2694">
            <v>39</v>
          </cell>
        </row>
        <row r="2695">
          <cell r="A2695">
            <v>40</v>
          </cell>
        </row>
        <row r="2696">
          <cell r="A2696">
            <v>41</v>
          </cell>
        </row>
        <row r="2697">
          <cell r="A2697">
            <v>42</v>
          </cell>
        </row>
        <row r="2698">
          <cell r="A2698">
            <v>43</v>
          </cell>
        </row>
        <row r="2699">
          <cell r="A2699">
            <v>44</v>
          </cell>
        </row>
        <row r="2700">
          <cell r="A2700">
            <v>45</v>
          </cell>
        </row>
        <row r="2701">
          <cell r="A2701">
            <v>46</v>
          </cell>
        </row>
        <row r="2702">
          <cell r="A2702">
            <v>47</v>
          </cell>
        </row>
        <row r="2703">
          <cell r="A2703">
            <v>48</v>
          </cell>
        </row>
        <row r="2704">
          <cell r="A2704">
            <v>49</v>
          </cell>
        </row>
        <row r="2705">
          <cell r="A2705">
            <v>50</v>
          </cell>
        </row>
        <row r="2706">
          <cell r="A2706">
            <v>51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 01-02 (2)"/>
      <sheetName val="DEP AS PER I.TAX"/>
      <sheetName val="Sheet1"/>
      <sheetName val="DEP-BUILD-ADMN"/>
      <sheetName val="Sheet3"/>
      <sheetName val="Dep 02-03"/>
      <sheetName val="Dep 03-04"/>
      <sheetName val="Add  03-04"/>
      <sheetName val="deletion 03-04"/>
      <sheetName val="deletion"/>
      <sheetName val="Add  02-03"/>
      <sheetName val="Sheet2"/>
      <sheetName val="Asset Register-1000(SAP)"/>
      <sheetName val="Deff_Tax_Sept01"/>
      <sheetName val="YTD"/>
      <sheetName val="DECLARATION"/>
      <sheetName val="comp."/>
      <sheetName val="Groupings BS"/>
      <sheetName val="Dep_01-02_(2)"/>
      <sheetName val="DEP_AS_PER_I_TAX"/>
      <sheetName val="Dep_02-03"/>
      <sheetName val="Dep_03-04"/>
      <sheetName val="Add__03-04"/>
      <sheetName val="deletion_03-04"/>
      <sheetName val="Add__02-03"/>
      <sheetName val="Groupings_BS"/>
      <sheetName val="cclist"/>
      <sheetName val="Asset_Register-1000(SAP)"/>
      <sheetName val="Dep_01-02_(2)1"/>
      <sheetName val="DEP_AS_PER_I_TAX1"/>
      <sheetName val="Dep_02-031"/>
      <sheetName val="Dep_03-041"/>
      <sheetName val="Add__03-041"/>
      <sheetName val="deletion_03-041"/>
      <sheetName val="Add__02-031"/>
      <sheetName val="Asset_Register-1000(SAP)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refreshError="1"/>
      <sheetData sheetId="26" refreshError="1"/>
      <sheetData sheetId="27"/>
      <sheetData sheetId="28"/>
      <sheetData sheetId="29"/>
      <sheetData sheetId="30"/>
      <sheetData sheetId="31"/>
      <sheetData sheetId="32"/>
      <sheetData sheetId="33"/>
      <sheetData sheetId="34"/>
      <sheetData sheetId="3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CHART"/>
      <sheetName val="STATUS REPORT(1)"/>
      <sheetName val="STATUS REPORT (2)"/>
      <sheetName val="CMG NOTICE"/>
      <sheetName val="INDEX"/>
      <sheetName val="INTRODUCTION"/>
      <sheetName val="PROFIT BUDGET"/>
      <sheetName val="STOCK BUDGET"/>
      <sheetName val="PRODUCTION BUDGET"/>
      <sheetName val="FINANCE COST"/>
      <sheetName val="HO C COST"/>
      <sheetName val="MKT COST"/>
      <sheetName val="CAA COST"/>
      <sheetName val="PTE COST"/>
      <sheetName val="EV COST"/>
      <sheetName val="NON OPERATIONAL COST"/>
      <sheetName val="C COST SUMMARY"/>
      <sheetName val="CSUMMARY"/>
      <sheetName val="C COST"/>
      <sheetName val="PROSUM"/>
      <sheetName val="PROSUM1"/>
      <sheetName val="STORE COST"/>
      <sheetName val="PRPOPS"/>
      <sheetName val="EVOPS"/>
      <sheetName val="LINE VII OPS"/>
      <sheetName val="RING EXPN.OPS"/>
      <sheetName val="LEASE RENT"/>
      <sheetName val="INTT PROJ."/>
      <sheetName val="PRODUCTION SALES STOCK"/>
      <sheetName val="PRODUCTION SALES CONT.SUMMARRY"/>
      <sheetName val="SALES CONTRIBUTION"/>
      <sheetName val="ACP"/>
      <sheetName val="XWR"/>
      <sheetName val="INTT ON COMMON BORROWINGS"/>
      <sheetName val="ALC. OF COMM. O.HEADS"/>
      <sheetName val="P&amp;L EV"/>
      <sheetName val="BS EV"/>
      <sheetName val="CASH FLOW"/>
      <sheetName val="P&amp;L ACCOUNT "/>
      <sheetName val="BALANCE SHEET "/>
      <sheetName val="NRE"/>
      <sheetName val="CA CL LOAN"/>
      <sheetName val="TARGET PROFIT"/>
      <sheetName val="SHIFT UTILISATION"/>
      <sheetName val="COST RED."/>
      <sheetName val="GROUPWISE SALES"/>
      <sheetName val="COM-SUM"/>
      <sheetName val="COM-SUM1"/>
      <sheetName val="MSUMMARY"/>
      <sheetName val="CUS PRO SALES1"/>
      <sheetName val="CUS PRO SALES"/>
      <sheetName val="NEW REC. COST"/>
      <sheetName val="Sheet7"/>
      <sheetName val="Sheet8"/>
      <sheetName val="Sheet9"/>
      <sheetName val="Sheet10"/>
      <sheetName val="Sheet11"/>
      <sheetName val="Sheet12"/>
      <sheetName val="Sheet13"/>
      <sheetName val="Sheet14"/>
      <sheetName val="Sheet15"/>
      <sheetName val="Sheet16"/>
      <sheetName val="Module list"/>
      <sheetName val="Factor_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ary Data"/>
      <sheetName val="HRA and CLA"/>
      <sheetName val="Sheet3"/>
      <sheetName val="TAX DATA (2)"/>
      <sheetName val="Sales Comm &amp; TDS Comm 01-02"/>
      <sheetName val="Professional Tax (2)"/>
      <sheetName val="Deduction_and_Rebate"/>
      <sheetName val="TAX DATA"/>
      <sheetName val="print payslip"/>
      <sheetName val="Payslip"/>
      <sheetName val="Cost to Co"/>
      <sheetName val="Format F&amp;F"/>
      <sheetName val="Payslip &amp; Tax Comp."/>
      <sheetName val="Lease Rent Detail"/>
      <sheetName val="formula-2"/>
      <sheetName val="formula"/>
      <sheetName val="Net payable"/>
      <sheetName val="LETTER"/>
      <sheetName val="Sheet-1"/>
      <sheetName val="Account Report-1"/>
      <sheetName val="Account rep-2"/>
      <sheetName val="Account rep.-3"/>
      <sheetName val="loan recovery report"/>
      <sheetName val="reimbursement sumary"/>
      <sheetName val="Words"/>
      <sheetName val="Sheet9"/>
      <sheetName val="SALE 01.04.06 TO 30.09.2006 (3)"/>
      <sheetName val="Outgoing"/>
      <sheetName val="Incoming"/>
      <sheetName val="EXIS-COMBINED"/>
    </sheetNames>
    <sheetDataSet>
      <sheetData sheetId="0">
        <row r="7">
          <cell r="A7">
            <v>1</v>
          </cell>
          <cell r="C7">
            <v>1</v>
          </cell>
          <cell r="D7">
            <v>15</v>
          </cell>
          <cell r="E7" t="str">
            <v>NAVEEN SHARMA</v>
          </cell>
          <cell r="F7" t="str">
            <v>Asst. Manager - Production</v>
          </cell>
          <cell r="G7" t="str">
            <v>Manufacturing</v>
          </cell>
          <cell r="H7" t="str">
            <v>Plant</v>
          </cell>
          <cell r="I7" t="str">
            <v>Executive</v>
          </cell>
          <cell r="J7" t="str">
            <v>Male</v>
          </cell>
          <cell r="K7">
            <v>24816</v>
          </cell>
          <cell r="L7">
            <v>33721</v>
          </cell>
          <cell r="N7" t="str">
            <v>RJ/13238/006</v>
          </cell>
          <cell r="R7" t="str">
            <v>Sh. C.L. Sharma</v>
          </cell>
          <cell r="S7">
            <v>7500</v>
          </cell>
          <cell r="T7">
            <v>3750</v>
          </cell>
          <cell r="U7">
            <v>3750</v>
          </cell>
          <cell r="V7">
            <v>3600</v>
          </cell>
          <cell r="W7">
            <v>1000</v>
          </cell>
          <cell r="X7">
            <v>0</v>
          </cell>
          <cell r="Y7">
            <v>0</v>
          </cell>
          <cell r="Z7">
            <v>0</v>
          </cell>
          <cell r="AA7">
            <v>0</v>
          </cell>
          <cell r="AB7">
            <v>7500</v>
          </cell>
          <cell r="AC7">
            <v>0</v>
          </cell>
          <cell r="AD7">
            <v>0</v>
          </cell>
          <cell r="AE7">
            <v>0</v>
          </cell>
          <cell r="AF7">
            <v>0</v>
          </cell>
          <cell r="AG7">
            <v>0</v>
          </cell>
          <cell r="AH7">
            <v>900</v>
          </cell>
          <cell r="AI7">
            <v>0</v>
          </cell>
          <cell r="AJ7">
            <v>19600</v>
          </cell>
          <cell r="AK7" t="str">
            <v>Mfg. Indirect</v>
          </cell>
          <cell r="AL7">
            <v>0</v>
          </cell>
          <cell r="AM7">
            <v>15</v>
          </cell>
          <cell r="AN7" t="str">
            <v>NAVEEN SHARMA</v>
          </cell>
          <cell r="AO7" t="str">
            <v>Asst. Manager - Production</v>
          </cell>
          <cell r="AP7" t="str">
            <v>Plant</v>
          </cell>
          <cell r="AQ7" t="str">
            <v>Executive</v>
          </cell>
          <cell r="AR7" t="str">
            <v>HDFC  BANK LTD.</v>
          </cell>
          <cell r="AS7" t="str">
            <v>0901050024563</v>
          </cell>
          <cell r="AT7">
            <v>31</v>
          </cell>
          <cell r="AV7">
            <v>7500</v>
          </cell>
          <cell r="AW7">
            <v>3750</v>
          </cell>
          <cell r="AX7">
            <v>3750</v>
          </cell>
          <cell r="AY7">
            <v>3600</v>
          </cell>
          <cell r="AZ7">
            <v>1000</v>
          </cell>
          <cell r="BA7">
            <v>0</v>
          </cell>
          <cell r="BB7">
            <v>0</v>
          </cell>
          <cell r="BC7">
            <v>0</v>
          </cell>
          <cell r="BD7">
            <v>0</v>
          </cell>
          <cell r="BE7">
            <v>7500</v>
          </cell>
          <cell r="BF7">
            <v>0</v>
          </cell>
          <cell r="BG7">
            <v>0</v>
          </cell>
          <cell r="BH7">
            <v>19600</v>
          </cell>
          <cell r="BI7">
            <v>900</v>
          </cell>
          <cell r="BJ7">
            <v>93</v>
          </cell>
          <cell r="BK7">
            <v>1000</v>
          </cell>
          <cell r="BL7">
            <v>0</v>
          </cell>
          <cell r="BM7">
            <v>0</v>
          </cell>
          <cell r="BN7">
            <v>150</v>
          </cell>
          <cell r="BO7">
            <v>0</v>
          </cell>
          <cell r="BP7">
            <v>0</v>
          </cell>
          <cell r="BQ7">
            <v>2778</v>
          </cell>
          <cell r="BR7">
            <v>174</v>
          </cell>
          <cell r="BS7">
            <v>0</v>
          </cell>
          <cell r="BT7">
            <v>0</v>
          </cell>
          <cell r="BU7">
            <v>5095</v>
          </cell>
          <cell r="BV7">
            <v>14505</v>
          </cell>
          <cell r="BW7">
            <v>14505</v>
          </cell>
          <cell r="BX7">
            <v>1020.75</v>
          </cell>
          <cell r="BY7">
            <v>0</v>
          </cell>
          <cell r="BZ7">
            <v>0</v>
          </cell>
          <cell r="CL7" t="str">
            <v>NAVEEN SHARMA</v>
          </cell>
          <cell r="CM7" t="str">
            <v>RJ/13238/006</v>
          </cell>
          <cell r="CN7">
            <v>7500</v>
          </cell>
          <cell r="CO7">
            <v>6500</v>
          </cell>
          <cell r="CP7">
            <v>900</v>
          </cell>
          <cell r="CQ7">
            <v>541</v>
          </cell>
          <cell r="CR7">
            <v>359</v>
          </cell>
          <cell r="CS7">
            <v>82.500000000000014</v>
          </cell>
          <cell r="CT7">
            <v>37.5</v>
          </cell>
          <cell r="CU7">
            <v>0.75</v>
          </cell>
          <cell r="CV7">
            <v>1020.75</v>
          </cell>
          <cell r="CW7">
            <v>0</v>
          </cell>
          <cell r="CX7">
            <v>0</v>
          </cell>
          <cell r="CY7" t="str">
            <v>NAVEEN SHARMA</v>
          </cell>
          <cell r="CZ7">
            <v>7500</v>
          </cell>
          <cell r="DA7">
            <v>3750</v>
          </cell>
          <cell r="DB7">
            <v>3750</v>
          </cell>
          <cell r="DC7">
            <v>15000</v>
          </cell>
          <cell r="DD7">
            <v>0</v>
          </cell>
          <cell r="DE7">
            <v>0</v>
          </cell>
          <cell r="DF7">
            <v>0</v>
          </cell>
          <cell r="DG7">
            <v>0</v>
          </cell>
        </row>
        <row r="8">
          <cell r="A8">
            <v>2</v>
          </cell>
          <cell r="C8">
            <v>2</v>
          </cell>
          <cell r="D8">
            <v>15</v>
          </cell>
          <cell r="E8" t="str">
            <v>NAVEEN GOSWAMI</v>
          </cell>
          <cell r="F8" t="str">
            <v>Asst. Manager - Purchase</v>
          </cell>
          <cell r="G8" t="str">
            <v>PURCHASE</v>
          </cell>
          <cell r="H8" t="str">
            <v>Plant</v>
          </cell>
          <cell r="I8" t="str">
            <v>Executive</v>
          </cell>
          <cell r="K8">
            <v>26147</v>
          </cell>
          <cell r="L8">
            <v>35353</v>
          </cell>
          <cell r="N8" t="str">
            <v>RJ/13238/127</v>
          </cell>
          <cell r="R8" t="str">
            <v>MR.JAGAN NATH GOSWAMI</v>
          </cell>
          <cell r="S8">
            <v>9000</v>
          </cell>
          <cell r="T8">
            <v>4500</v>
          </cell>
          <cell r="U8">
            <v>4500</v>
          </cell>
          <cell r="V8">
            <v>3600</v>
          </cell>
          <cell r="W8">
            <v>1000</v>
          </cell>
          <cell r="X8">
            <v>0</v>
          </cell>
          <cell r="Y8">
            <v>0</v>
          </cell>
          <cell r="AA8">
            <v>0</v>
          </cell>
          <cell r="AB8">
            <v>9000</v>
          </cell>
          <cell r="AC8">
            <v>0</v>
          </cell>
          <cell r="AD8">
            <v>0</v>
          </cell>
          <cell r="AE8">
            <v>0</v>
          </cell>
          <cell r="AF8">
            <v>0</v>
          </cell>
          <cell r="AG8">
            <v>0</v>
          </cell>
          <cell r="AH8">
            <v>1080</v>
          </cell>
          <cell r="AI8">
            <v>0</v>
          </cell>
          <cell r="AJ8">
            <v>22600</v>
          </cell>
          <cell r="AK8" t="str">
            <v>Marketing</v>
          </cell>
          <cell r="AL8">
            <v>0</v>
          </cell>
          <cell r="AM8">
            <v>15</v>
          </cell>
          <cell r="AN8" t="str">
            <v>NAVEEN GOSWAMI</v>
          </cell>
          <cell r="AO8" t="str">
            <v>Asst. Manager - Purchase</v>
          </cell>
          <cell r="AP8" t="str">
            <v>Plant</v>
          </cell>
          <cell r="AQ8" t="str">
            <v>Executive</v>
          </cell>
          <cell r="AR8" t="str">
            <v>HDFC  BANK LTD.</v>
          </cell>
          <cell r="AS8" t="str">
            <v>0901050024512</v>
          </cell>
          <cell r="AT8">
            <v>31</v>
          </cell>
          <cell r="AU8">
            <v>0</v>
          </cell>
          <cell r="AV8">
            <v>9000</v>
          </cell>
          <cell r="AW8">
            <v>4500</v>
          </cell>
          <cell r="AX8">
            <v>4500</v>
          </cell>
          <cell r="AY8">
            <v>3600</v>
          </cell>
          <cell r="AZ8">
            <v>1000</v>
          </cell>
          <cell r="BA8">
            <v>0</v>
          </cell>
          <cell r="BB8">
            <v>0</v>
          </cell>
          <cell r="BC8">
            <v>0</v>
          </cell>
          <cell r="BD8">
            <v>0</v>
          </cell>
          <cell r="BE8">
            <v>9000</v>
          </cell>
          <cell r="BF8">
            <v>0</v>
          </cell>
          <cell r="BG8">
            <v>0</v>
          </cell>
          <cell r="BH8">
            <v>22600</v>
          </cell>
          <cell r="BI8">
            <v>1080</v>
          </cell>
          <cell r="BJ8">
            <v>93</v>
          </cell>
          <cell r="BK8">
            <v>1736</v>
          </cell>
          <cell r="BL8">
            <v>0</v>
          </cell>
          <cell r="BM8">
            <v>0</v>
          </cell>
          <cell r="BN8">
            <v>200</v>
          </cell>
          <cell r="BO8">
            <v>0</v>
          </cell>
          <cell r="BP8">
            <v>0</v>
          </cell>
          <cell r="BQ8">
            <v>2778</v>
          </cell>
          <cell r="BR8">
            <v>174</v>
          </cell>
          <cell r="BS8">
            <v>0</v>
          </cell>
          <cell r="BT8">
            <v>0</v>
          </cell>
          <cell r="BU8">
            <v>6061</v>
          </cell>
          <cell r="BV8">
            <v>16539</v>
          </cell>
          <cell r="BW8">
            <v>16539</v>
          </cell>
          <cell r="BX8">
            <v>1224.9000000000001</v>
          </cell>
          <cell r="BY8">
            <v>0</v>
          </cell>
          <cell r="BZ8">
            <v>0</v>
          </cell>
          <cell r="CA8">
            <v>0</v>
          </cell>
          <cell r="CB8">
            <v>0</v>
          </cell>
          <cell r="CC8">
            <v>0</v>
          </cell>
          <cell r="CD8">
            <v>0</v>
          </cell>
          <cell r="CE8">
            <v>0</v>
          </cell>
          <cell r="CF8">
            <v>0</v>
          </cell>
          <cell r="CG8">
            <v>0</v>
          </cell>
          <cell r="CH8">
            <v>0</v>
          </cell>
          <cell r="CI8">
            <v>0</v>
          </cell>
          <cell r="CJ8">
            <v>0</v>
          </cell>
          <cell r="CK8">
            <v>0</v>
          </cell>
          <cell r="CL8" t="str">
            <v>NAVEEN GOSWAMI</v>
          </cell>
          <cell r="CM8" t="str">
            <v>RJ/13238/127</v>
          </cell>
          <cell r="CN8">
            <v>9000</v>
          </cell>
          <cell r="CO8">
            <v>6500</v>
          </cell>
          <cell r="CP8">
            <v>1080</v>
          </cell>
          <cell r="CQ8">
            <v>541</v>
          </cell>
          <cell r="CR8">
            <v>539</v>
          </cell>
          <cell r="CS8">
            <v>99.000000000000014</v>
          </cell>
          <cell r="CT8">
            <v>45</v>
          </cell>
          <cell r="CU8">
            <v>0.9</v>
          </cell>
          <cell r="CV8">
            <v>1224.9000000000001</v>
          </cell>
          <cell r="CW8">
            <v>0</v>
          </cell>
          <cell r="CX8">
            <v>0</v>
          </cell>
          <cell r="CY8" t="str">
            <v>NAVEEN GOSWAMI</v>
          </cell>
          <cell r="CZ8">
            <v>9000</v>
          </cell>
          <cell r="DA8">
            <v>4500</v>
          </cell>
          <cell r="DB8">
            <v>4500</v>
          </cell>
          <cell r="DC8">
            <v>18000</v>
          </cell>
          <cell r="DD8">
            <v>0</v>
          </cell>
          <cell r="DE8">
            <v>0</v>
          </cell>
          <cell r="DF8">
            <v>0</v>
          </cell>
          <cell r="DG8">
            <v>0</v>
          </cell>
          <cell r="DH8">
            <v>0</v>
          </cell>
          <cell r="DI8">
            <v>0</v>
          </cell>
          <cell r="DJ8">
            <v>0</v>
          </cell>
          <cell r="DK8">
            <v>0</v>
          </cell>
          <cell r="DL8">
            <v>0</v>
          </cell>
          <cell r="DM8">
            <v>0</v>
          </cell>
          <cell r="DN8">
            <v>0</v>
          </cell>
          <cell r="DO8">
            <v>0</v>
          </cell>
          <cell r="DP8">
            <v>0</v>
          </cell>
          <cell r="DQ8">
            <v>0</v>
          </cell>
        </row>
        <row r="9">
          <cell r="A9">
            <v>3</v>
          </cell>
          <cell r="C9">
            <v>3</v>
          </cell>
          <cell r="D9">
            <v>15</v>
          </cell>
          <cell r="E9" t="str">
            <v>AKHIL KHARE</v>
          </cell>
          <cell r="F9" t="str">
            <v>Asst. Manager - IT</v>
          </cell>
          <cell r="G9" t="str">
            <v>IM&amp;T</v>
          </cell>
          <cell r="H9" t="str">
            <v>Plant</v>
          </cell>
          <cell r="I9" t="str">
            <v>Executive</v>
          </cell>
          <cell r="K9">
            <v>27180</v>
          </cell>
          <cell r="L9">
            <v>37088</v>
          </cell>
          <cell r="N9" t="str">
            <v>RJ/13238/187</v>
          </cell>
          <cell r="R9" t="str">
            <v>N.K. KHARE</v>
          </cell>
          <cell r="S9">
            <v>6850</v>
          </cell>
          <cell r="T9">
            <v>0</v>
          </cell>
          <cell r="U9">
            <v>6850</v>
          </cell>
          <cell r="V9">
            <v>3600</v>
          </cell>
          <cell r="W9">
            <v>1000</v>
          </cell>
          <cell r="X9">
            <v>0</v>
          </cell>
          <cell r="Y9">
            <v>0</v>
          </cell>
          <cell r="AA9">
            <v>0</v>
          </cell>
          <cell r="AB9">
            <v>6850</v>
          </cell>
          <cell r="AC9">
            <v>0</v>
          </cell>
          <cell r="AD9">
            <v>0</v>
          </cell>
          <cell r="AE9">
            <v>0</v>
          </cell>
          <cell r="AF9">
            <v>0</v>
          </cell>
          <cell r="AG9">
            <v>0</v>
          </cell>
          <cell r="AH9">
            <v>822</v>
          </cell>
          <cell r="AI9">
            <v>0</v>
          </cell>
          <cell r="AJ9">
            <v>18300</v>
          </cell>
          <cell r="AK9" t="str">
            <v>G&amp;A</v>
          </cell>
          <cell r="AL9">
            <v>0</v>
          </cell>
          <cell r="AM9">
            <v>15</v>
          </cell>
          <cell r="AN9" t="str">
            <v>AKHIL KHARE</v>
          </cell>
          <cell r="AO9" t="str">
            <v>Asst. Manager - IT</v>
          </cell>
          <cell r="AP9" t="str">
            <v>Plant</v>
          </cell>
          <cell r="AQ9" t="str">
            <v>Executive</v>
          </cell>
          <cell r="AR9" t="str">
            <v>HDFC  BANK LTD.</v>
          </cell>
          <cell r="AS9" t="str">
            <v>0901050048145</v>
          </cell>
          <cell r="AT9">
            <v>31</v>
          </cell>
          <cell r="AU9">
            <v>0</v>
          </cell>
          <cell r="AV9">
            <v>6850</v>
          </cell>
          <cell r="AW9">
            <v>0</v>
          </cell>
          <cell r="AX9">
            <v>6850</v>
          </cell>
          <cell r="AY9">
            <v>3600</v>
          </cell>
          <cell r="AZ9">
            <v>1000</v>
          </cell>
          <cell r="BA9">
            <v>0</v>
          </cell>
          <cell r="BB9">
            <v>0</v>
          </cell>
          <cell r="BC9">
            <v>0</v>
          </cell>
          <cell r="BD9">
            <v>0</v>
          </cell>
          <cell r="BE9">
            <v>6850</v>
          </cell>
          <cell r="BF9">
            <v>0</v>
          </cell>
          <cell r="BG9">
            <v>0</v>
          </cell>
          <cell r="BH9">
            <v>18300</v>
          </cell>
          <cell r="BI9">
            <v>822</v>
          </cell>
          <cell r="BJ9">
            <v>0</v>
          </cell>
          <cell r="BK9">
            <v>0</v>
          </cell>
          <cell r="BL9">
            <v>0</v>
          </cell>
          <cell r="BM9">
            <v>0</v>
          </cell>
          <cell r="BN9">
            <v>150</v>
          </cell>
          <cell r="BO9">
            <v>0</v>
          </cell>
          <cell r="BP9">
            <v>0</v>
          </cell>
          <cell r="BQ9">
            <v>0</v>
          </cell>
          <cell r="BR9">
            <v>0</v>
          </cell>
          <cell r="BS9">
            <v>0</v>
          </cell>
          <cell r="BT9">
            <v>0</v>
          </cell>
          <cell r="BU9">
            <v>972</v>
          </cell>
          <cell r="BV9">
            <v>17328</v>
          </cell>
          <cell r="BW9">
            <v>17328</v>
          </cell>
          <cell r="BX9">
            <v>932.28499999999997</v>
          </cell>
          <cell r="BY9">
            <v>0</v>
          </cell>
          <cell r="BZ9">
            <v>0</v>
          </cell>
          <cell r="CA9">
            <v>0</v>
          </cell>
          <cell r="CB9">
            <v>0</v>
          </cell>
          <cell r="CC9">
            <v>0</v>
          </cell>
          <cell r="CD9">
            <v>0</v>
          </cell>
          <cell r="CE9">
            <v>0</v>
          </cell>
          <cell r="CF9">
            <v>0</v>
          </cell>
          <cell r="CG9">
            <v>0</v>
          </cell>
          <cell r="CH9">
            <v>0</v>
          </cell>
          <cell r="CI9">
            <v>0</v>
          </cell>
          <cell r="CJ9">
            <v>0</v>
          </cell>
          <cell r="CK9">
            <v>0</v>
          </cell>
          <cell r="CL9" t="str">
            <v>AKHIL KHARE</v>
          </cell>
          <cell r="CM9" t="str">
            <v>RJ/13238/187</v>
          </cell>
          <cell r="CN9">
            <v>6850</v>
          </cell>
          <cell r="CO9">
            <v>6500</v>
          </cell>
          <cell r="CP9">
            <v>822</v>
          </cell>
          <cell r="CQ9">
            <v>541</v>
          </cell>
          <cell r="CR9">
            <v>281</v>
          </cell>
          <cell r="CS9">
            <v>75.350000000000009</v>
          </cell>
          <cell r="CT9">
            <v>34.25</v>
          </cell>
          <cell r="CU9">
            <v>0.68500000000000005</v>
          </cell>
          <cell r="CV9">
            <v>932.28499999999997</v>
          </cell>
          <cell r="CW9">
            <v>0</v>
          </cell>
          <cell r="CX9">
            <v>0</v>
          </cell>
          <cell r="CY9" t="str">
            <v>AKHIL KHARE</v>
          </cell>
          <cell r="CZ9">
            <v>6850</v>
          </cell>
          <cell r="DA9">
            <v>6850</v>
          </cell>
          <cell r="DB9">
            <v>0</v>
          </cell>
          <cell r="DC9">
            <v>13700</v>
          </cell>
          <cell r="DD9">
            <v>0</v>
          </cell>
          <cell r="DE9">
            <v>0</v>
          </cell>
          <cell r="DF9">
            <v>0</v>
          </cell>
          <cell r="DG9">
            <v>0</v>
          </cell>
          <cell r="DH9">
            <v>0</v>
          </cell>
          <cell r="DI9">
            <v>0</v>
          </cell>
          <cell r="DJ9">
            <v>0</v>
          </cell>
          <cell r="DK9">
            <v>0</v>
          </cell>
          <cell r="DL9">
            <v>0</v>
          </cell>
          <cell r="DM9">
            <v>0</v>
          </cell>
          <cell r="DN9">
            <v>0</v>
          </cell>
          <cell r="DO9">
            <v>0</v>
          </cell>
          <cell r="DP9">
            <v>0</v>
          </cell>
          <cell r="DQ9">
            <v>0</v>
          </cell>
        </row>
        <row r="10">
          <cell r="A10">
            <v>4</v>
          </cell>
          <cell r="C10">
            <v>4</v>
          </cell>
          <cell r="D10">
            <v>16</v>
          </cell>
          <cell r="E10" t="str">
            <v>ADITYA JINDAL</v>
          </cell>
          <cell r="F10" t="str">
            <v>Manager - Finance</v>
          </cell>
          <cell r="G10" t="str">
            <v>Finance</v>
          </cell>
          <cell r="H10" t="str">
            <v>Plant</v>
          </cell>
          <cell r="I10" t="str">
            <v>Executive</v>
          </cell>
          <cell r="K10">
            <v>25355</v>
          </cell>
          <cell r="L10">
            <v>37102</v>
          </cell>
          <cell r="N10" t="str">
            <v>RJ/13238/188</v>
          </cell>
          <cell r="R10" t="str">
            <v>M.K. JINDAL</v>
          </cell>
          <cell r="S10">
            <v>18975</v>
          </cell>
          <cell r="T10">
            <v>9488</v>
          </cell>
          <cell r="U10">
            <v>9487</v>
          </cell>
          <cell r="V10">
            <v>6000</v>
          </cell>
          <cell r="W10">
            <v>1000</v>
          </cell>
          <cell r="X10">
            <v>0</v>
          </cell>
          <cell r="Y10">
            <v>0</v>
          </cell>
          <cell r="AA10">
            <v>0</v>
          </cell>
          <cell r="AB10">
            <v>18975</v>
          </cell>
          <cell r="AC10">
            <v>0</v>
          </cell>
          <cell r="AD10">
            <v>0</v>
          </cell>
          <cell r="AE10">
            <v>0</v>
          </cell>
          <cell r="AF10">
            <v>0</v>
          </cell>
          <cell r="AG10">
            <v>0</v>
          </cell>
          <cell r="AH10">
            <v>2277</v>
          </cell>
          <cell r="AI10">
            <v>0</v>
          </cell>
          <cell r="AJ10">
            <v>44950</v>
          </cell>
          <cell r="AK10" t="str">
            <v>Mfg. Service</v>
          </cell>
          <cell r="AL10">
            <v>0</v>
          </cell>
          <cell r="AM10">
            <v>16</v>
          </cell>
          <cell r="AN10" t="str">
            <v>ADITYA JINDAL</v>
          </cell>
          <cell r="AO10" t="str">
            <v>Manager - Finance</v>
          </cell>
          <cell r="AP10" t="str">
            <v>Plant</v>
          </cell>
          <cell r="AQ10" t="str">
            <v>Executive</v>
          </cell>
          <cell r="AR10" t="str">
            <v>HDFC  BANK LTD.</v>
          </cell>
          <cell r="AS10" t="str">
            <v>0901050047048</v>
          </cell>
          <cell r="AT10">
            <v>31</v>
          </cell>
          <cell r="AU10">
            <v>0</v>
          </cell>
          <cell r="AV10">
            <v>18975</v>
          </cell>
          <cell r="AW10">
            <v>9488</v>
          </cell>
          <cell r="AX10">
            <v>9487</v>
          </cell>
          <cell r="AY10">
            <v>6000</v>
          </cell>
          <cell r="AZ10">
            <v>1000</v>
          </cell>
          <cell r="BA10">
            <v>0</v>
          </cell>
          <cell r="BB10">
            <v>0</v>
          </cell>
          <cell r="BC10">
            <v>0</v>
          </cell>
          <cell r="BD10">
            <v>0</v>
          </cell>
          <cell r="BE10">
            <v>18975</v>
          </cell>
          <cell r="BF10">
            <v>0</v>
          </cell>
          <cell r="BG10">
            <v>0</v>
          </cell>
          <cell r="BH10">
            <v>44950</v>
          </cell>
          <cell r="BI10">
            <v>2277</v>
          </cell>
          <cell r="BJ10">
            <v>0</v>
          </cell>
          <cell r="BK10">
            <v>6920</v>
          </cell>
          <cell r="BL10">
            <v>0</v>
          </cell>
          <cell r="BM10">
            <v>0</v>
          </cell>
          <cell r="BN10">
            <v>200</v>
          </cell>
          <cell r="BO10">
            <v>0</v>
          </cell>
          <cell r="BP10">
            <v>0</v>
          </cell>
          <cell r="BQ10">
            <v>3472</v>
          </cell>
          <cell r="BR10">
            <v>218</v>
          </cell>
          <cell r="BS10">
            <v>0</v>
          </cell>
          <cell r="BT10">
            <v>0</v>
          </cell>
          <cell r="BU10">
            <v>13087</v>
          </cell>
          <cell r="BV10">
            <v>31863</v>
          </cell>
          <cell r="BW10">
            <v>31863</v>
          </cell>
          <cell r="BX10">
            <v>2582.4974999999999</v>
          </cell>
          <cell r="BY10">
            <v>0</v>
          </cell>
          <cell r="BZ10">
            <v>0</v>
          </cell>
          <cell r="CA10">
            <v>0</v>
          </cell>
          <cell r="CB10">
            <v>0</v>
          </cell>
          <cell r="CC10">
            <v>0</v>
          </cell>
          <cell r="CD10">
            <v>0</v>
          </cell>
          <cell r="CE10">
            <v>0</v>
          </cell>
          <cell r="CF10">
            <v>0</v>
          </cell>
          <cell r="CG10">
            <v>0</v>
          </cell>
          <cell r="CH10">
            <v>0</v>
          </cell>
          <cell r="CI10">
            <v>0</v>
          </cell>
          <cell r="CJ10">
            <v>0</v>
          </cell>
          <cell r="CK10">
            <v>0</v>
          </cell>
          <cell r="CL10" t="str">
            <v>ADITYA JINDAL</v>
          </cell>
          <cell r="CM10" t="str">
            <v>RJ/13238/188</v>
          </cell>
          <cell r="CN10">
            <v>18975</v>
          </cell>
          <cell r="CO10">
            <v>6500</v>
          </cell>
          <cell r="CP10">
            <v>2277</v>
          </cell>
          <cell r="CQ10">
            <v>541</v>
          </cell>
          <cell r="CR10">
            <v>1736</v>
          </cell>
          <cell r="CS10">
            <v>208.72500000000002</v>
          </cell>
          <cell r="CT10">
            <v>94.875</v>
          </cell>
          <cell r="CU10">
            <v>1.8975000000000002</v>
          </cell>
          <cell r="CV10">
            <v>2582.4974999999999</v>
          </cell>
          <cell r="CW10">
            <v>0</v>
          </cell>
          <cell r="CX10">
            <v>0</v>
          </cell>
          <cell r="CY10" t="str">
            <v>ADITYA JINDAL</v>
          </cell>
          <cell r="CZ10">
            <v>18975</v>
          </cell>
          <cell r="DA10">
            <v>9487</v>
          </cell>
          <cell r="DB10">
            <v>9488</v>
          </cell>
          <cell r="DC10">
            <v>37950</v>
          </cell>
          <cell r="DD10">
            <v>0</v>
          </cell>
          <cell r="DE10">
            <v>0</v>
          </cell>
          <cell r="DF10">
            <v>0</v>
          </cell>
          <cell r="DG10">
            <v>0</v>
          </cell>
          <cell r="DH10">
            <v>0</v>
          </cell>
          <cell r="DI10">
            <v>0</v>
          </cell>
          <cell r="DJ10">
            <v>0</v>
          </cell>
          <cell r="DK10">
            <v>0</v>
          </cell>
          <cell r="DL10">
            <v>0</v>
          </cell>
          <cell r="DM10">
            <v>0</v>
          </cell>
          <cell r="DN10">
            <v>0</v>
          </cell>
          <cell r="DO10">
            <v>0</v>
          </cell>
          <cell r="DP10">
            <v>0</v>
          </cell>
          <cell r="DQ10">
            <v>0</v>
          </cell>
        </row>
        <row r="11">
          <cell r="A11">
            <v>5</v>
          </cell>
          <cell r="C11">
            <v>5</v>
          </cell>
          <cell r="D11">
            <v>15</v>
          </cell>
          <cell r="E11" t="str">
            <v>N.K. CHAUHAN</v>
          </cell>
          <cell r="F11" t="str">
            <v>Asst. Manager - Logistics</v>
          </cell>
          <cell r="G11" t="str">
            <v>Logistics &amp; Distribution</v>
          </cell>
          <cell r="H11" t="str">
            <v>Plant</v>
          </cell>
          <cell r="I11" t="str">
            <v>Executive</v>
          </cell>
          <cell r="K11">
            <v>22539</v>
          </cell>
          <cell r="L11">
            <v>33610</v>
          </cell>
          <cell r="N11" t="str">
            <v>RJ/13238/001</v>
          </cell>
          <cell r="R11" t="str">
            <v>Mr. Bachh Raj Chauhan</v>
          </cell>
          <cell r="S11">
            <v>11375</v>
          </cell>
          <cell r="T11">
            <v>5688</v>
          </cell>
          <cell r="U11">
            <v>5687</v>
          </cell>
          <cell r="V11">
            <v>3600</v>
          </cell>
          <cell r="W11">
            <v>1000</v>
          </cell>
          <cell r="X11">
            <v>0</v>
          </cell>
          <cell r="Y11">
            <v>0</v>
          </cell>
          <cell r="AA11">
            <v>0</v>
          </cell>
          <cell r="AB11">
            <v>11375</v>
          </cell>
          <cell r="AC11">
            <v>0</v>
          </cell>
          <cell r="AD11">
            <v>0</v>
          </cell>
          <cell r="AE11">
            <v>0</v>
          </cell>
          <cell r="AF11">
            <v>0</v>
          </cell>
          <cell r="AG11">
            <v>0</v>
          </cell>
          <cell r="AH11">
            <v>1365</v>
          </cell>
          <cell r="AI11">
            <v>0</v>
          </cell>
          <cell r="AJ11">
            <v>27350</v>
          </cell>
          <cell r="AK11" t="str">
            <v>Marketing</v>
          </cell>
          <cell r="AL11">
            <v>0</v>
          </cell>
          <cell r="AM11">
            <v>15</v>
          </cell>
          <cell r="AN11" t="str">
            <v>N.K. CHAUHAN</v>
          </cell>
          <cell r="AO11" t="str">
            <v>Asst. Manager - Logistics</v>
          </cell>
          <cell r="AP11" t="str">
            <v>Plant</v>
          </cell>
          <cell r="AQ11" t="str">
            <v>Executive</v>
          </cell>
          <cell r="AR11" t="str">
            <v>HDFC  BANK LTD.</v>
          </cell>
          <cell r="AS11" t="str">
            <v>0901050016767</v>
          </cell>
          <cell r="AT11">
            <v>31</v>
          </cell>
          <cell r="AU11">
            <v>0</v>
          </cell>
          <cell r="AV11">
            <v>11375</v>
          </cell>
          <cell r="AW11">
            <v>5688</v>
          </cell>
          <cell r="AX11">
            <v>5687</v>
          </cell>
          <cell r="AY11">
            <v>3600</v>
          </cell>
          <cell r="AZ11">
            <v>1000</v>
          </cell>
          <cell r="BA11">
            <v>0</v>
          </cell>
          <cell r="BB11">
            <v>0</v>
          </cell>
          <cell r="BC11">
            <v>0</v>
          </cell>
          <cell r="BD11">
            <v>0</v>
          </cell>
          <cell r="BE11">
            <v>11375</v>
          </cell>
          <cell r="BF11">
            <v>0</v>
          </cell>
          <cell r="BG11">
            <v>0</v>
          </cell>
          <cell r="BH11">
            <v>27350</v>
          </cell>
          <cell r="BI11">
            <v>1365</v>
          </cell>
          <cell r="BJ11">
            <v>186</v>
          </cell>
          <cell r="BK11">
            <v>3258</v>
          </cell>
          <cell r="BL11">
            <v>0</v>
          </cell>
          <cell r="BM11">
            <v>0</v>
          </cell>
          <cell r="BN11">
            <v>200</v>
          </cell>
          <cell r="BO11">
            <v>0</v>
          </cell>
          <cell r="BP11">
            <v>0</v>
          </cell>
          <cell r="BQ11">
            <v>2778</v>
          </cell>
          <cell r="BR11">
            <v>174</v>
          </cell>
          <cell r="BS11">
            <v>0</v>
          </cell>
          <cell r="BT11">
            <v>0</v>
          </cell>
          <cell r="BU11">
            <v>7961</v>
          </cell>
          <cell r="BV11">
            <v>19389</v>
          </cell>
          <cell r="BW11">
            <v>19389</v>
          </cell>
          <cell r="BX11">
            <v>1548.1375</v>
          </cell>
          <cell r="BY11">
            <v>0</v>
          </cell>
          <cell r="BZ11">
            <v>0</v>
          </cell>
          <cell r="CA11">
            <v>0</v>
          </cell>
          <cell r="CB11">
            <v>0</v>
          </cell>
          <cell r="CC11">
            <v>0</v>
          </cell>
          <cell r="CD11">
            <v>0</v>
          </cell>
          <cell r="CE11">
            <v>0</v>
          </cell>
          <cell r="CF11">
            <v>0</v>
          </cell>
          <cell r="CG11">
            <v>0</v>
          </cell>
          <cell r="CH11">
            <v>0</v>
          </cell>
          <cell r="CI11">
            <v>0</v>
          </cell>
          <cell r="CJ11">
            <v>0</v>
          </cell>
          <cell r="CK11">
            <v>0</v>
          </cell>
          <cell r="CL11" t="str">
            <v>N.K. CHAUHAN</v>
          </cell>
          <cell r="CM11" t="str">
            <v>RJ/13238/001</v>
          </cell>
          <cell r="CN11">
            <v>11375</v>
          </cell>
          <cell r="CO11">
            <v>6500</v>
          </cell>
          <cell r="CP11">
            <v>1365</v>
          </cell>
          <cell r="CQ11">
            <v>541</v>
          </cell>
          <cell r="CR11">
            <v>824</v>
          </cell>
          <cell r="CS11">
            <v>125.12500000000001</v>
          </cell>
          <cell r="CT11">
            <v>56.875</v>
          </cell>
          <cell r="CU11">
            <v>1.1375</v>
          </cell>
          <cell r="CV11">
            <v>1548.1375</v>
          </cell>
          <cell r="CW11">
            <v>0</v>
          </cell>
          <cell r="CX11">
            <v>0</v>
          </cell>
          <cell r="CY11" t="str">
            <v>N.K. CHAUHAN</v>
          </cell>
          <cell r="CZ11">
            <v>11375</v>
          </cell>
          <cell r="DA11">
            <v>5687</v>
          </cell>
          <cell r="DB11">
            <v>5688</v>
          </cell>
          <cell r="DC11">
            <v>22750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row>
        <row r="12">
          <cell r="A12">
            <v>6</v>
          </cell>
          <cell r="C12">
            <v>6</v>
          </cell>
          <cell r="D12">
            <v>15</v>
          </cell>
          <cell r="E12" t="str">
            <v>MOHINDER BALIHAN</v>
          </cell>
          <cell r="F12" t="str">
            <v>Asst. Manager - Account</v>
          </cell>
          <cell r="G12" t="str">
            <v>Finance</v>
          </cell>
          <cell r="H12" t="str">
            <v>Plant</v>
          </cell>
          <cell r="I12" t="str">
            <v>Executive</v>
          </cell>
          <cell r="K12">
            <v>21315</v>
          </cell>
          <cell r="L12">
            <v>34080</v>
          </cell>
          <cell r="N12" t="str">
            <v>RJ/13238/058</v>
          </cell>
          <cell r="R12" t="str">
            <v>Sh. Munshi Ram</v>
          </cell>
          <cell r="S12">
            <v>11525</v>
          </cell>
          <cell r="T12">
            <v>7025</v>
          </cell>
          <cell r="U12">
            <v>0</v>
          </cell>
          <cell r="V12">
            <v>3600</v>
          </cell>
          <cell r="W12">
            <v>1000</v>
          </cell>
          <cell r="X12">
            <v>1500</v>
          </cell>
          <cell r="Y12">
            <v>0</v>
          </cell>
          <cell r="AA12">
            <v>0</v>
          </cell>
          <cell r="AB12">
            <v>11525</v>
          </cell>
          <cell r="AC12">
            <v>4500</v>
          </cell>
          <cell r="AD12">
            <v>0</v>
          </cell>
          <cell r="AE12">
            <v>0</v>
          </cell>
          <cell r="AF12">
            <v>0</v>
          </cell>
          <cell r="AG12">
            <v>0</v>
          </cell>
          <cell r="AH12">
            <v>1383</v>
          </cell>
          <cell r="AI12">
            <v>0</v>
          </cell>
          <cell r="AJ12">
            <v>24650</v>
          </cell>
          <cell r="AK12" t="str">
            <v>Marketing</v>
          </cell>
          <cell r="AL12">
            <v>0</v>
          </cell>
          <cell r="AM12">
            <v>15</v>
          </cell>
          <cell r="AN12" t="str">
            <v>MOHINDER BALIHAN</v>
          </cell>
          <cell r="AO12" t="str">
            <v>Asst. Manager - Account</v>
          </cell>
          <cell r="AP12" t="str">
            <v>Plant</v>
          </cell>
          <cell r="AQ12" t="str">
            <v>Executive</v>
          </cell>
          <cell r="AR12" t="str">
            <v>HDFC  BANK LTD.</v>
          </cell>
          <cell r="AS12" t="str">
            <v>0271050002216</v>
          </cell>
          <cell r="AT12">
            <v>31</v>
          </cell>
          <cell r="AU12">
            <v>0</v>
          </cell>
          <cell r="AV12">
            <v>11525</v>
          </cell>
          <cell r="AW12">
            <v>7025</v>
          </cell>
          <cell r="AX12">
            <v>0</v>
          </cell>
          <cell r="AY12">
            <v>3600</v>
          </cell>
          <cell r="AZ12">
            <v>1000</v>
          </cell>
          <cell r="BA12">
            <v>1500</v>
          </cell>
          <cell r="BB12">
            <v>0</v>
          </cell>
          <cell r="BC12">
            <v>0</v>
          </cell>
          <cell r="BD12">
            <v>0</v>
          </cell>
          <cell r="BE12">
            <v>11525</v>
          </cell>
          <cell r="BF12">
            <v>4500</v>
          </cell>
          <cell r="BG12">
            <v>0</v>
          </cell>
          <cell r="BH12">
            <v>24650</v>
          </cell>
          <cell r="BI12">
            <v>1383</v>
          </cell>
          <cell r="BJ12">
            <v>93</v>
          </cell>
          <cell r="BK12">
            <v>2505</v>
          </cell>
          <cell r="BL12">
            <v>0</v>
          </cell>
          <cell r="BM12">
            <v>0</v>
          </cell>
          <cell r="BN12">
            <v>200</v>
          </cell>
          <cell r="BO12">
            <v>0</v>
          </cell>
          <cell r="BP12">
            <v>0</v>
          </cell>
          <cell r="BQ12">
            <v>2778</v>
          </cell>
          <cell r="BR12">
            <v>174</v>
          </cell>
          <cell r="BS12">
            <v>0</v>
          </cell>
          <cell r="BT12">
            <v>0</v>
          </cell>
          <cell r="BU12">
            <v>7133</v>
          </cell>
          <cell r="BV12">
            <v>17517</v>
          </cell>
          <cell r="BW12">
            <v>17517</v>
          </cell>
          <cell r="BX12">
            <v>1568.5525</v>
          </cell>
          <cell r="BY12">
            <v>0</v>
          </cell>
          <cell r="BZ12">
            <v>0</v>
          </cell>
          <cell r="CA12">
            <v>0</v>
          </cell>
          <cell r="CB12">
            <v>0</v>
          </cell>
          <cell r="CC12">
            <v>0</v>
          </cell>
          <cell r="CD12">
            <v>0</v>
          </cell>
          <cell r="CE12">
            <v>0</v>
          </cell>
          <cell r="CF12">
            <v>0</v>
          </cell>
          <cell r="CG12">
            <v>0</v>
          </cell>
          <cell r="CH12">
            <v>0</v>
          </cell>
          <cell r="CI12">
            <v>0</v>
          </cell>
          <cell r="CJ12">
            <v>0</v>
          </cell>
          <cell r="CK12">
            <v>0</v>
          </cell>
          <cell r="CL12" t="str">
            <v>MOHINDER BALIHAN</v>
          </cell>
          <cell r="CM12" t="str">
            <v>RJ/13238/058</v>
          </cell>
          <cell r="CN12">
            <v>11525</v>
          </cell>
          <cell r="CO12">
            <v>6500</v>
          </cell>
          <cell r="CP12">
            <v>1383</v>
          </cell>
          <cell r="CQ12">
            <v>541</v>
          </cell>
          <cell r="CR12">
            <v>842</v>
          </cell>
          <cell r="CS12">
            <v>126.77500000000001</v>
          </cell>
          <cell r="CT12">
            <v>57.625</v>
          </cell>
          <cell r="CU12">
            <v>1.1525000000000001</v>
          </cell>
          <cell r="CV12">
            <v>1568.5525</v>
          </cell>
          <cell r="CW12">
            <v>0</v>
          </cell>
          <cell r="CX12">
            <v>0</v>
          </cell>
          <cell r="CY12" t="str">
            <v>MOHINDER BALIHAN</v>
          </cell>
          <cell r="CZ12">
            <v>11525</v>
          </cell>
          <cell r="DA12">
            <v>0</v>
          </cell>
          <cell r="DB12">
            <v>7025</v>
          </cell>
          <cell r="DC12">
            <v>18550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row>
        <row r="13">
          <cell r="A13">
            <v>7</v>
          </cell>
          <cell r="C13">
            <v>7</v>
          </cell>
          <cell r="D13">
            <v>17</v>
          </cell>
          <cell r="E13" t="str">
            <v>ARUN JOSHI</v>
          </cell>
          <cell r="F13" t="str">
            <v>Manager - Human Resources</v>
          </cell>
          <cell r="G13" t="str">
            <v>Human Resources</v>
          </cell>
          <cell r="H13" t="str">
            <v>Plant</v>
          </cell>
          <cell r="I13" t="str">
            <v>Executive</v>
          </cell>
          <cell r="K13">
            <v>25175</v>
          </cell>
          <cell r="L13">
            <v>34017</v>
          </cell>
          <cell r="N13" t="str">
            <v>RJ/13238/050</v>
          </cell>
          <cell r="R13" t="str">
            <v>Mr. U.S. Joshi</v>
          </cell>
          <cell r="S13">
            <v>24200</v>
          </cell>
          <cell r="T13">
            <v>12100</v>
          </cell>
          <cell r="U13">
            <v>12100</v>
          </cell>
          <cell r="V13">
            <v>0</v>
          </cell>
          <cell r="W13">
            <v>1000</v>
          </cell>
          <cell r="X13">
            <v>0</v>
          </cell>
          <cell r="Y13">
            <v>0</v>
          </cell>
          <cell r="AA13">
            <v>0</v>
          </cell>
          <cell r="AB13">
            <v>24200</v>
          </cell>
          <cell r="AC13">
            <v>0</v>
          </cell>
          <cell r="AD13">
            <v>0</v>
          </cell>
          <cell r="AE13">
            <v>0</v>
          </cell>
          <cell r="AF13">
            <v>0</v>
          </cell>
          <cell r="AG13">
            <v>0</v>
          </cell>
          <cell r="AH13">
            <v>2904</v>
          </cell>
          <cell r="AI13">
            <v>0</v>
          </cell>
          <cell r="AJ13">
            <v>49400</v>
          </cell>
          <cell r="AK13" t="str">
            <v>G&amp;A</v>
          </cell>
          <cell r="AL13">
            <v>0</v>
          </cell>
          <cell r="AM13">
            <v>17</v>
          </cell>
          <cell r="AN13" t="str">
            <v>ARUN JOSHI</v>
          </cell>
          <cell r="AO13" t="str">
            <v>Manager - Human Resources</v>
          </cell>
          <cell r="AP13" t="str">
            <v>Plant</v>
          </cell>
          <cell r="AQ13" t="str">
            <v>Executive</v>
          </cell>
          <cell r="AR13" t="str">
            <v>HDFC  BANK LTD.</v>
          </cell>
          <cell r="AS13" t="str">
            <v>0111050000338</v>
          </cell>
          <cell r="AT13">
            <v>31</v>
          </cell>
          <cell r="AU13">
            <v>0</v>
          </cell>
          <cell r="AV13">
            <v>24200</v>
          </cell>
          <cell r="AW13">
            <v>12100</v>
          </cell>
          <cell r="AX13">
            <v>12100</v>
          </cell>
          <cell r="AY13">
            <v>0</v>
          </cell>
          <cell r="AZ13">
            <v>1000</v>
          </cell>
          <cell r="BA13">
            <v>0</v>
          </cell>
          <cell r="BB13">
            <v>0</v>
          </cell>
          <cell r="BC13">
            <v>0</v>
          </cell>
          <cell r="BD13">
            <v>0</v>
          </cell>
          <cell r="BE13">
            <v>24200</v>
          </cell>
          <cell r="BF13">
            <v>0</v>
          </cell>
          <cell r="BG13">
            <v>0</v>
          </cell>
          <cell r="BH13">
            <v>49400</v>
          </cell>
          <cell r="BI13">
            <v>2904</v>
          </cell>
          <cell r="BJ13">
            <v>0</v>
          </cell>
          <cell r="BK13">
            <v>12403</v>
          </cell>
          <cell r="BL13">
            <v>0</v>
          </cell>
          <cell r="BM13">
            <v>0</v>
          </cell>
          <cell r="BN13">
            <v>200</v>
          </cell>
          <cell r="BO13">
            <v>0</v>
          </cell>
          <cell r="BP13">
            <v>0</v>
          </cell>
          <cell r="BQ13">
            <v>4167</v>
          </cell>
          <cell r="BR13">
            <v>262</v>
          </cell>
          <cell r="BS13">
            <v>0</v>
          </cell>
          <cell r="BT13">
            <v>0</v>
          </cell>
          <cell r="BU13">
            <v>19936</v>
          </cell>
          <cell r="BV13">
            <v>29464</v>
          </cell>
          <cell r="BW13">
            <v>29464</v>
          </cell>
          <cell r="BX13">
            <v>3293.62</v>
          </cell>
          <cell r="BY13">
            <v>0</v>
          </cell>
          <cell r="BZ13">
            <v>0</v>
          </cell>
          <cell r="CA13">
            <v>0</v>
          </cell>
          <cell r="CB13">
            <v>0</v>
          </cell>
          <cell r="CC13">
            <v>0</v>
          </cell>
          <cell r="CD13">
            <v>0</v>
          </cell>
          <cell r="CE13">
            <v>0</v>
          </cell>
          <cell r="CF13">
            <v>0</v>
          </cell>
          <cell r="CG13">
            <v>0</v>
          </cell>
          <cell r="CH13">
            <v>0</v>
          </cell>
          <cell r="CI13">
            <v>0</v>
          </cell>
          <cell r="CJ13">
            <v>0</v>
          </cell>
          <cell r="CK13">
            <v>0</v>
          </cell>
          <cell r="CL13" t="str">
            <v>ARUN JOSHI</v>
          </cell>
          <cell r="CM13" t="str">
            <v>RJ/13238/050</v>
          </cell>
          <cell r="CN13">
            <v>24200</v>
          </cell>
          <cell r="CO13">
            <v>6500</v>
          </cell>
          <cell r="CP13">
            <v>2904</v>
          </cell>
          <cell r="CQ13">
            <v>541</v>
          </cell>
          <cell r="CR13">
            <v>2363</v>
          </cell>
          <cell r="CS13">
            <v>266.20000000000005</v>
          </cell>
          <cell r="CT13">
            <v>121</v>
          </cell>
          <cell r="CU13">
            <v>2.42</v>
          </cell>
          <cell r="CV13">
            <v>3293.62</v>
          </cell>
          <cell r="CW13">
            <v>0</v>
          </cell>
          <cell r="CX13">
            <v>0</v>
          </cell>
          <cell r="CY13" t="str">
            <v>ARUN JOSHI</v>
          </cell>
          <cell r="CZ13">
            <v>24200</v>
          </cell>
          <cell r="DA13">
            <v>12100</v>
          </cell>
          <cell r="DB13">
            <v>12100</v>
          </cell>
          <cell r="DC13">
            <v>48400</v>
          </cell>
          <cell r="DD13">
            <v>0</v>
          </cell>
          <cell r="DE13">
            <v>0</v>
          </cell>
          <cell r="DF13">
            <v>0</v>
          </cell>
          <cell r="DG13">
            <v>0</v>
          </cell>
          <cell r="DH13">
            <v>0</v>
          </cell>
          <cell r="DI13">
            <v>0</v>
          </cell>
          <cell r="DJ13">
            <v>0</v>
          </cell>
          <cell r="DK13">
            <v>0</v>
          </cell>
          <cell r="DL13">
            <v>0</v>
          </cell>
          <cell r="DM13">
            <v>0</v>
          </cell>
          <cell r="DN13">
            <v>0</v>
          </cell>
          <cell r="DO13">
            <v>0</v>
          </cell>
          <cell r="DP13">
            <v>0</v>
          </cell>
          <cell r="DQ13">
            <v>0</v>
          </cell>
        </row>
        <row r="14">
          <cell r="A14">
            <v>8</v>
          </cell>
          <cell r="C14">
            <v>8</v>
          </cell>
          <cell r="D14">
            <v>18</v>
          </cell>
          <cell r="E14" t="str">
            <v>M. SRINIVAS</v>
          </cell>
          <cell r="F14" t="str">
            <v>National Marketing Manager</v>
          </cell>
          <cell r="G14" t="str">
            <v>Marketing</v>
          </cell>
          <cell r="H14" t="str">
            <v>Plant</v>
          </cell>
          <cell r="I14" t="str">
            <v>Executive</v>
          </cell>
          <cell r="K14">
            <v>24840</v>
          </cell>
          <cell r="L14">
            <v>35102</v>
          </cell>
          <cell r="N14">
            <v>0</v>
          </cell>
          <cell r="R14">
            <v>0</v>
          </cell>
          <cell r="S14">
            <v>35700</v>
          </cell>
          <cell r="T14">
            <v>26700</v>
          </cell>
          <cell r="U14">
            <v>0</v>
          </cell>
          <cell r="V14">
            <v>0</v>
          </cell>
          <cell r="W14">
            <v>1500</v>
          </cell>
          <cell r="X14">
            <v>0</v>
          </cell>
          <cell r="Y14">
            <v>0</v>
          </cell>
          <cell r="AA14">
            <v>0</v>
          </cell>
          <cell r="AB14">
            <v>35700</v>
          </cell>
          <cell r="AC14">
            <v>9000</v>
          </cell>
          <cell r="AD14">
            <v>0</v>
          </cell>
          <cell r="AE14">
            <v>0</v>
          </cell>
          <cell r="AF14">
            <v>0</v>
          </cell>
          <cell r="AG14">
            <v>0</v>
          </cell>
          <cell r="AH14">
            <v>4284</v>
          </cell>
          <cell r="AI14">
            <v>0</v>
          </cell>
          <cell r="AJ14">
            <v>63900</v>
          </cell>
          <cell r="AK14" t="str">
            <v>Marketing</v>
          </cell>
          <cell r="AL14">
            <v>0</v>
          </cell>
          <cell r="AM14">
            <v>18</v>
          </cell>
          <cell r="AN14" t="str">
            <v>M. SRINIVAS</v>
          </cell>
          <cell r="AO14" t="str">
            <v>National Marketing Manager</v>
          </cell>
          <cell r="AP14" t="str">
            <v>Plant</v>
          </cell>
          <cell r="AQ14" t="str">
            <v>Executive</v>
          </cell>
          <cell r="AR14" t="str">
            <v>HDFC  BANK LTD.</v>
          </cell>
          <cell r="AS14" t="str">
            <v>0271000105301</v>
          </cell>
          <cell r="AT14">
            <v>31</v>
          </cell>
          <cell r="AU14">
            <v>0</v>
          </cell>
          <cell r="AV14">
            <v>35700</v>
          </cell>
          <cell r="AW14">
            <v>26700</v>
          </cell>
          <cell r="AX14">
            <v>0</v>
          </cell>
          <cell r="AY14">
            <v>0</v>
          </cell>
          <cell r="AZ14">
            <v>1500</v>
          </cell>
          <cell r="BA14">
            <v>0</v>
          </cell>
          <cell r="BB14">
            <v>0</v>
          </cell>
          <cell r="BC14">
            <v>0</v>
          </cell>
          <cell r="BD14">
            <v>0</v>
          </cell>
          <cell r="BE14">
            <v>35700</v>
          </cell>
          <cell r="BF14">
            <v>9000</v>
          </cell>
          <cell r="BG14">
            <v>0</v>
          </cell>
          <cell r="BH14">
            <v>63900</v>
          </cell>
          <cell r="BI14">
            <v>4284</v>
          </cell>
          <cell r="BJ14">
            <v>93</v>
          </cell>
          <cell r="BK14">
            <v>20445</v>
          </cell>
          <cell r="BL14">
            <v>0</v>
          </cell>
          <cell r="BM14">
            <v>0</v>
          </cell>
          <cell r="BN14">
            <v>200</v>
          </cell>
          <cell r="BO14">
            <v>0</v>
          </cell>
          <cell r="BP14">
            <v>0</v>
          </cell>
          <cell r="BQ14">
            <v>4861</v>
          </cell>
          <cell r="BR14">
            <v>306</v>
          </cell>
          <cell r="BS14">
            <v>0</v>
          </cell>
          <cell r="BT14">
            <v>0</v>
          </cell>
          <cell r="BU14">
            <v>30189</v>
          </cell>
          <cell r="BV14">
            <v>33711</v>
          </cell>
          <cell r="BW14">
            <v>33711</v>
          </cell>
          <cell r="BX14">
            <v>4858.7699999999995</v>
          </cell>
          <cell r="BY14">
            <v>0</v>
          </cell>
          <cell r="BZ14">
            <v>0</v>
          </cell>
          <cell r="CA14">
            <v>0</v>
          </cell>
          <cell r="CB14">
            <v>0</v>
          </cell>
          <cell r="CC14">
            <v>0</v>
          </cell>
          <cell r="CD14">
            <v>0</v>
          </cell>
          <cell r="CE14">
            <v>0</v>
          </cell>
          <cell r="CF14">
            <v>0</v>
          </cell>
          <cell r="CG14">
            <v>0</v>
          </cell>
          <cell r="CH14">
            <v>0</v>
          </cell>
          <cell r="CI14">
            <v>0</v>
          </cell>
          <cell r="CJ14">
            <v>0</v>
          </cell>
          <cell r="CK14">
            <v>0</v>
          </cell>
          <cell r="CL14" t="str">
            <v>M. SRINIVAS</v>
          </cell>
          <cell r="CM14">
            <v>0</v>
          </cell>
          <cell r="CN14">
            <v>35700</v>
          </cell>
          <cell r="CO14">
            <v>6500</v>
          </cell>
          <cell r="CP14">
            <v>4284</v>
          </cell>
          <cell r="CQ14">
            <v>541</v>
          </cell>
          <cell r="CR14">
            <v>3743</v>
          </cell>
          <cell r="CS14">
            <v>392.70000000000005</v>
          </cell>
          <cell r="CT14">
            <v>178.5</v>
          </cell>
          <cell r="CU14">
            <v>3.5700000000000003</v>
          </cell>
          <cell r="CV14">
            <v>4858.7699999999995</v>
          </cell>
          <cell r="CW14">
            <v>0</v>
          </cell>
          <cell r="CX14">
            <v>0</v>
          </cell>
          <cell r="CY14" t="str">
            <v>M. SRINIVAS</v>
          </cell>
          <cell r="CZ14">
            <v>35700</v>
          </cell>
          <cell r="DA14">
            <v>0</v>
          </cell>
          <cell r="DB14">
            <v>26700</v>
          </cell>
          <cell r="DC14">
            <v>62400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row>
        <row r="15">
          <cell r="A15">
            <v>9</v>
          </cell>
          <cell r="C15">
            <v>9</v>
          </cell>
          <cell r="D15">
            <v>18</v>
          </cell>
          <cell r="E15" t="str">
            <v>KUNAL BOSE</v>
          </cell>
          <cell r="F15" t="str">
            <v>Sr. Manager - Finance</v>
          </cell>
          <cell r="G15" t="str">
            <v>Finance</v>
          </cell>
          <cell r="H15" t="str">
            <v>Plant</v>
          </cell>
          <cell r="I15" t="str">
            <v>Executive</v>
          </cell>
          <cell r="K15">
            <v>23900</v>
          </cell>
          <cell r="L15">
            <v>35226</v>
          </cell>
          <cell r="N15" t="str">
            <v>RJ/13238/113</v>
          </cell>
          <cell r="R15" t="str">
            <v>Mr. Murari Mohan Bose</v>
          </cell>
          <cell r="S15">
            <v>30075</v>
          </cell>
          <cell r="T15">
            <v>20175</v>
          </cell>
          <cell r="U15">
            <v>0</v>
          </cell>
          <cell r="V15">
            <v>0</v>
          </cell>
          <cell r="W15">
            <v>1500</v>
          </cell>
          <cell r="X15">
            <v>0</v>
          </cell>
          <cell r="Y15">
            <v>0</v>
          </cell>
          <cell r="AA15">
            <v>0</v>
          </cell>
          <cell r="AB15">
            <v>30075</v>
          </cell>
          <cell r="AC15">
            <v>9900</v>
          </cell>
          <cell r="AD15">
            <v>0</v>
          </cell>
          <cell r="AE15">
            <v>0</v>
          </cell>
          <cell r="AF15">
            <v>0</v>
          </cell>
          <cell r="AG15">
            <v>0</v>
          </cell>
          <cell r="AH15">
            <v>3609</v>
          </cell>
          <cell r="AI15">
            <v>0</v>
          </cell>
          <cell r="AJ15">
            <v>51750</v>
          </cell>
          <cell r="AK15" t="str">
            <v>Marketing</v>
          </cell>
          <cell r="AL15">
            <v>0</v>
          </cell>
          <cell r="AM15">
            <v>18</v>
          </cell>
          <cell r="AN15" t="str">
            <v>KUNAL BOSE</v>
          </cell>
          <cell r="AO15" t="str">
            <v>Sr. Manager - Finance</v>
          </cell>
          <cell r="AP15" t="str">
            <v>Plant</v>
          </cell>
          <cell r="AQ15" t="str">
            <v>Executive</v>
          </cell>
          <cell r="AR15" t="str">
            <v>HDFC  BANK LTD.</v>
          </cell>
          <cell r="AS15" t="str">
            <v>0031050010460</v>
          </cell>
          <cell r="AT15">
            <v>31</v>
          </cell>
          <cell r="AU15">
            <v>0</v>
          </cell>
          <cell r="AV15">
            <v>30075</v>
          </cell>
          <cell r="AW15">
            <v>20175</v>
          </cell>
          <cell r="AX15">
            <v>0</v>
          </cell>
          <cell r="AY15">
            <v>0</v>
          </cell>
          <cell r="AZ15">
            <v>1500</v>
          </cell>
          <cell r="BA15">
            <v>0</v>
          </cell>
          <cell r="BB15">
            <v>0</v>
          </cell>
          <cell r="BC15">
            <v>0</v>
          </cell>
          <cell r="BD15">
            <v>0</v>
          </cell>
          <cell r="BE15">
            <v>30075</v>
          </cell>
          <cell r="BF15">
            <v>9900</v>
          </cell>
          <cell r="BG15">
            <v>0</v>
          </cell>
          <cell r="BH15">
            <v>51750</v>
          </cell>
          <cell r="BI15">
            <v>3609</v>
          </cell>
          <cell r="BJ15">
            <v>0</v>
          </cell>
          <cell r="BK15">
            <v>15962</v>
          </cell>
          <cell r="BL15">
            <v>0</v>
          </cell>
          <cell r="BM15">
            <v>0</v>
          </cell>
          <cell r="BN15">
            <v>200</v>
          </cell>
          <cell r="BO15">
            <v>0</v>
          </cell>
          <cell r="BP15">
            <v>0</v>
          </cell>
          <cell r="BQ15">
            <v>0</v>
          </cell>
          <cell r="BR15">
            <v>0</v>
          </cell>
          <cell r="BS15">
            <v>0</v>
          </cell>
          <cell r="BT15">
            <v>0</v>
          </cell>
          <cell r="BU15">
            <v>19771</v>
          </cell>
          <cell r="BV15">
            <v>31979</v>
          </cell>
          <cell r="BW15">
            <v>31979</v>
          </cell>
          <cell r="BX15">
            <v>4093.2075</v>
          </cell>
          <cell r="BY15">
            <v>0</v>
          </cell>
          <cell r="BZ15">
            <v>0</v>
          </cell>
          <cell r="CA15">
            <v>0</v>
          </cell>
          <cell r="CB15">
            <v>0</v>
          </cell>
          <cell r="CC15">
            <v>0</v>
          </cell>
          <cell r="CD15">
            <v>0</v>
          </cell>
          <cell r="CE15">
            <v>0</v>
          </cell>
          <cell r="CF15">
            <v>0</v>
          </cell>
          <cell r="CG15">
            <v>0</v>
          </cell>
          <cell r="CH15">
            <v>0</v>
          </cell>
          <cell r="CI15">
            <v>0</v>
          </cell>
          <cell r="CJ15">
            <v>0</v>
          </cell>
          <cell r="CK15">
            <v>0</v>
          </cell>
          <cell r="CL15" t="str">
            <v>KUNAL BOSE</v>
          </cell>
          <cell r="CM15" t="str">
            <v>RJ/13238/113</v>
          </cell>
          <cell r="CN15">
            <v>30075</v>
          </cell>
          <cell r="CO15">
            <v>6500</v>
          </cell>
          <cell r="CP15">
            <v>3609</v>
          </cell>
          <cell r="CQ15">
            <v>541</v>
          </cell>
          <cell r="CR15">
            <v>3068</v>
          </cell>
          <cell r="CS15">
            <v>330.82500000000005</v>
          </cell>
          <cell r="CT15">
            <v>150.375</v>
          </cell>
          <cell r="CU15">
            <v>3.0075000000000003</v>
          </cell>
          <cell r="CV15">
            <v>4093.2075</v>
          </cell>
          <cell r="CW15">
            <v>0</v>
          </cell>
          <cell r="CX15">
            <v>0</v>
          </cell>
          <cell r="CY15" t="str">
            <v>KUNAL BOSE</v>
          </cell>
          <cell r="CZ15">
            <v>30075</v>
          </cell>
          <cell r="DA15">
            <v>0</v>
          </cell>
          <cell r="DB15">
            <v>20175</v>
          </cell>
          <cell r="DC15">
            <v>50250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row>
        <row r="16">
          <cell r="A16">
            <v>10</v>
          </cell>
          <cell r="C16">
            <v>10</v>
          </cell>
          <cell r="D16">
            <v>19</v>
          </cell>
          <cell r="E16" t="str">
            <v>ANSHU GUPTA</v>
          </cell>
          <cell r="F16" t="str">
            <v>Head - Production</v>
          </cell>
          <cell r="G16" t="str">
            <v>Production</v>
          </cell>
          <cell r="H16" t="str">
            <v>Plant</v>
          </cell>
          <cell r="I16" t="str">
            <v>Executive</v>
          </cell>
          <cell r="K16">
            <v>23502</v>
          </cell>
          <cell r="L16">
            <v>35282</v>
          </cell>
          <cell r="N16" t="str">
            <v>RJ/13238/122</v>
          </cell>
          <cell r="R16" t="str">
            <v>Mr. I.S. Gupta</v>
          </cell>
          <cell r="S16">
            <v>38800</v>
          </cell>
          <cell r="T16">
            <v>33380</v>
          </cell>
          <cell r="U16">
            <v>0</v>
          </cell>
          <cell r="V16">
            <v>0</v>
          </cell>
          <cell r="W16">
            <v>1500</v>
          </cell>
          <cell r="X16">
            <v>0</v>
          </cell>
          <cell r="Y16">
            <v>0</v>
          </cell>
          <cell r="AA16">
            <v>0</v>
          </cell>
          <cell r="AB16">
            <v>42680</v>
          </cell>
          <cell r="AC16">
            <v>9300</v>
          </cell>
          <cell r="AD16">
            <v>0</v>
          </cell>
          <cell r="AE16">
            <v>0</v>
          </cell>
          <cell r="AF16">
            <v>0</v>
          </cell>
          <cell r="AG16">
            <v>0</v>
          </cell>
          <cell r="AH16">
            <v>4656</v>
          </cell>
          <cell r="AI16">
            <v>0</v>
          </cell>
          <cell r="AJ16">
            <v>73680</v>
          </cell>
          <cell r="AK16" t="str">
            <v>Mfg. Indirect</v>
          </cell>
          <cell r="AL16">
            <v>0</v>
          </cell>
          <cell r="AM16">
            <v>19</v>
          </cell>
          <cell r="AN16" t="str">
            <v>ANSHU GUPTA</v>
          </cell>
          <cell r="AO16" t="str">
            <v>Head - Production</v>
          </cell>
          <cell r="AP16" t="str">
            <v>Plant</v>
          </cell>
          <cell r="AQ16" t="str">
            <v>Executive</v>
          </cell>
          <cell r="AR16" t="str">
            <v>HDFC  BANK LTD.</v>
          </cell>
          <cell r="AS16" t="str">
            <v>0901000037585</v>
          </cell>
          <cell r="AT16">
            <v>31</v>
          </cell>
          <cell r="AU16">
            <v>0</v>
          </cell>
          <cell r="AV16">
            <v>38800</v>
          </cell>
          <cell r="AW16">
            <v>33380</v>
          </cell>
          <cell r="AX16">
            <v>0</v>
          </cell>
          <cell r="AY16">
            <v>0</v>
          </cell>
          <cell r="AZ16">
            <v>1500</v>
          </cell>
          <cell r="BA16">
            <v>0</v>
          </cell>
          <cell r="BB16">
            <v>0</v>
          </cell>
          <cell r="BC16">
            <v>0</v>
          </cell>
          <cell r="BD16">
            <v>0</v>
          </cell>
          <cell r="BE16">
            <v>42680</v>
          </cell>
          <cell r="BF16">
            <v>9300</v>
          </cell>
          <cell r="BG16">
            <v>0</v>
          </cell>
          <cell r="BH16">
            <v>73680</v>
          </cell>
          <cell r="BI16">
            <v>4656</v>
          </cell>
          <cell r="BJ16">
            <v>0</v>
          </cell>
          <cell r="BK16">
            <v>23773</v>
          </cell>
          <cell r="BL16">
            <v>0</v>
          </cell>
          <cell r="BM16">
            <v>0</v>
          </cell>
          <cell r="BN16">
            <v>200</v>
          </cell>
          <cell r="BO16">
            <v>0</v>
          </cell>
          <cell r="BP16">
            <v>0</v>
          </cell>
          <cell r="BQ16">
            <v>5556</v>
          </cell>
          <cell r="BR16">
            <v>349</v>
          </cell>
          <cell r="BS16">
            <v>0</v>
          </cell>
          <cell r="BT16">
            <v>0</v>
          </cell>
          <cell r="BU16">
            <v>34534</v>
          </cell>
          <cell r="BV16">
            <v>39146</v>
          </cell>
          <cell r="BW16">
            <v>39146</v>
          </cell>
          <cell r="BX16">
            <v>5280.68</v>
          </cell>
          <cell r="BY16">
            <v>0</v>
          </cell>
          <cell r="BZ16">
            <v>0</v>
          </cell>
          <cell r="CA16">
            <v>0</v>
          </cell>
          <cell r="CB16">
            <v>0</v>
          </cell>
          <cell r="CC16">
            <v>0</v>
          </cell>
          <cell r="CD16">
            <v>0</v>
          </cell>
          <cell r="CE16">
            <v>0</v>
          </cell>
          <cell r="CF16">
            <v>0</v>
          </cell>
          <cell r="CG16">
            <v>0</v>
          </cell>
          <cell r="CH16">
            <v>0</v>
          </cell>
          <cell r="CI16">
            <v>0</v>
          </cell>
          <cell r="CJ16">
            <v>0</v>
          </cell>
          <cell r="CK16">
            <v>0</v>
          </cell>
          <cell r="CL16" t="str">
            <v>ANSHU GUPTA</v>
          </cell>
          <cell r="CM16" t="str">
            <v>RJ/13238/122</v>
          </cell>
          <cell r="CN16">
            <v>38800</v>
          </cell>
          <cell r="CO16">
            <v>6500</v>
          </cell>
          <cell r="CP16">
            <v>4656</v>
          </cell>
          <cell r="CQ16">
            <v>541</v>
          </cell>
          <cell r="CR16">
            <v>4115</v>
          </cell>
          <cell r="CS16">
            <v>426.80000000000007</v>
          </cell>
          <cell r="CT16">
            <v>194</v>
          </cell>
          <cell r="CU16">
            <v>3.8800000000000003</v>
          </cell>
          <cell r="CV16">
            <v>5280.68</v>
          </cell>
          <cell r="CW16">
            <v>0</v>
          </cell>
          <cell r="CX16">
            <v>0</v>
          </cell>
          <cell r="CY16" t="str">
            <v>ANSHU GUPTA</v>
          </cell>
          <cell r="CZ16">
            <v>38800</v>
          </cell>
          <cell r="DA16">
            <v>0</v>
          </cell>
          <cell r="DB16">
            <v>33380</v>
          </cell>
          <cell r="DC16">
            <v>72180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row>
        <row r="17">
          <cell r="A17">
            <v>11</v>
          </cell>
          <cell r="C17">
            <v>11</v>
          </cell>
          <cell r="D17">
            <v>19</v>
          </cell>
          <cell r="E17" t="str">
            <v>TEJ NIRMAL SINGH</v>
          </cell>
          <cell r="F17" t="str">
            <v>Head - Materials &amp; Logistics</v>
          </cell>
          <cell r="G17" t="str">
            <v>Material &amp; Logistics</v>
          </cell>
          <cell r="H17" t="str">
            <v>Plant</v>
          </cell>
          <cell r="I17" t="str">
            <v>Executive</v>
          </cell>
          <cell r="K17">
            <v>22865</v>
          </cell>
          <cell r="L17">
            <v>35190</v>
          </cell>
          <cell r="N17" t="str">
            <v>RJ/13238/110</v>
          </cell>
          <cell r="R17" t="str">
            <v>Sh. B.R. Singh Plaha</v>
          </cell>
          <cell r="S17">
            <v>45150</v>
          </cell>
          <cell r="T17">
            <v>37765</v>
          </cell>
          <cell r="U17">
            <v>0</v>
          </cell>
          <cell r="V17">
            <v>0</v>
          </cell>
          <cell r="W17">
            <v>1500</v>
          </cell>
          <cell r="X17">
            <v>0</v>
          </cell>
          <cell r="Y17">
            <v>0</v>
          </cell>
          <cell r="AA17">
            <v>0</v>
          </cell>
          <cell r="AB17">
            <v>49665</v>
          </cell>
          <cell r="AC17">
            <v>11900</v>
          </cell>
          <cell r="AD17">
            <v>0</v>
          </cell>
          <cell r="AE17">
            <v>0</v>
          </cell>
          <cell r="AF17">
            <v>0</v>
          </cell>
          <cell r="AG17">
            <v>0</v>
          </cell>
          <cell r="AH17">
            <v>5418</v>
          </cell>
          <cell r="AI17">
            <v>0</v>
          </cell>
          <cell r="AJ17">
            <v>84415</v>
          </cell>
          <cell r="AK17" t="str">
            <v>G&amp;A</v>
          </cell>
          <cell r="AL17">
            <v>0</v>
          </cell>
          <cell r="AM17">
            <v>19</v>
          </cell>
          <cell r="AN17" t="str">
            <v>TEJ NIRMAL SINGH</v>
          </cell>
          <cell r="AO17" t="str">
            <v>Head - Materials &amp; Logistics</v>
          </cell>
          <cell r="AP17" t="str">
            <v>Plant</v>
          </cell>
          <cell r="AQ17" t="str">
            <v>Executive</v>
          </cell>
          <cell r="AR17" t="str">
            <v>HDFC  BANK LTD.</v>
          </cell>
          <cell r="AS17" t="str">
            <v>0901050024615</v>
          </cell>
          <cell r="AT17">
            <v>31</v>
          </cell>
          <cell r="AU17">
            <v>0</v>
          </cell>
          <cell r="AV17">
            <v>45150</v>
          </cell>
          <cell r="AW17">
            <v>37765</v>
          </cell>
          <cell r="AX17">
            <v>0</v>
          </cell>
          <cell r="AY17">
            <v>0</v>
          </cell>
          <cell r="AZ17">
            <v>1500</v>
          </cell>
          <cell r="BA17">
            <v>0</v>
          </cell>
          <cell r="BB17">
            <v>0</v>
          </cell>
          <cell r="BC17">
            <v>0</v>
          </cell>
          <cell r="BD17">
            <v>0</v>
          </cell>
          <cell r="BE17">
            <v>49665</v>
          </cell>
          <cell r="BF17">
            <v>11900</v>
          </cell>
          <cell r="BG17">
            <v>0</v>
          </cell>
          <cell r="BH17">
            <v>84415</v>
          </cell>
          <cell r="BI17">
            <v>5418</v>
          </cell>
          <cell r="BJ17">
            <v>93</v>
          </cell>
          <cell r="BK17">
            <v>24410</v>
          </cell>
          <cell r="BL17">
            <v>0</v>
          </cell>
          <cell r="BM17">
            <v>0</v>
          </cell>
          <cell r="BN17">
            <v>200</v>
          </cell>
          <cell r="BO17">
            <v>0</v>
          </cell>
          <cell r="BP17">
            <v>0</v>
          </cell>
          <cell r="BQ17">
            <v>5556</v>
          </cell>
          <cell r="BR17">
            <v>349</v>
          </cell>
          <cell r="BS17">
            <v>0</v>
          </cell>
          <cell r="BT17">
            <v>0</v>
          </cell>
          <cell r="BU17">
            <v>36026</v>
          </cell>
          <cell r="BV17">
            <v>48389</v>
          </cell>
          <cell r="BW17">
            <v>48389</v>
          </cell>
          <cell r="BX17">
            <v>6144.915</v>
          </cell>
          <cell r="BY17">
            <v>0</v>
          </cell>
          <cell r="BZ17">
            <v>0</v>
          </cell>
          <cell r="CA17">
            <v>0</v>
          </cell>
          <cell r="CB17">
            <v>0</v>
          </cell>
          <cell r="CC17">
            <v>0</v>
          </cell>
          <cell r="CD17">
            <v>0</v>
          </cell>
          <cell r="CE17">
            <v>0</v>
          </cell>
          <cell r="CF17">
            <v>0</v>
          </cell>
          <cell r="CG17">
            <v>0</v>
          </cell>
          <cell r="CH17">
            <v>0</v>
          </cell>
          <cell r="CI17">
            <v>0</v>
          </cell>
          <cell r="CJ17">
            <v>0</v>
          </cell>
          <cell r="CK17">
            <v>0</v>
          </cell>
          <cell r="CL17" t="str">
            <v>TEJ NIRMAL SINGH</v>
          </cell>
          <cell r="CM17" t="str">
            <v>RJ/13238/110</v>
          </cell>
          <cell r="CN17">
            <v>45150</v>
          </cell>
          <cell r="CO17">
            <v>6500</v>
          </cell>
          <cell r="CP17">
            <v>5418</v>
          </cell>
          <cell r="CQ17">
            <v>541</v>
          </cell>
          <cell r="CR17">
            <v>4877</v>
          </cell>
          <cell r="CS17">
            <v>496.65000000000003</v>
          </cell>
          <cell r="CT17">
            <v>225.75</v>
          </cell>
          <cell r="CU17">
            <v>4.5150000000000006</v>
          </cell>
          <cell r="CV17">
            <v>6144.915</v>
          </cell>
          <cell r="CW17">
            <v>0</v>
          </cell>
          <cell r="CX17">
            <v>0</v>
          </cell>
          <cell r="CY17" t="str">
            <v>TEJ NIRMAL SINGH</v>
          </cell>
          <cell r="CZ17">
            <v>45150</v>
          </cell>
          <cell r="DA17">
            <v>0</v>
          </cell>
          <cell r="DB17">
            <v>37765</v>
          </cell>
          <cell r="DC17">
            <v>82915</v>
          </cell>
          <cell r="DD17">
            <v>0</v>
          </cell>
          <cell r="DE17">
            <v>0</v>
          </cell>
          <cell r="DF17">
            <v>0</v>
          </cell>
          <cell r="DG17">
            <v>0</v>
          </cell>
          <cell r="DH17">
            <v>0</v>
          </cell>
          <cell r="DI17">
            <v>0</v>
          </cell>
          <cell r="DJ17">
            <v>0</v>
          </cell>
          <cell r="DK17">
            <v>0</v>
          </cell>
          <cell r="DL17">
            <v>0</v>
          </cell>
          <cell r="DM17">
            <v>0</v>
          </cell>
          <cell r="DN17">
            <v>0</v>
          </cell>
          <cell r="DO17">
            <v>0</v>
          </cell>
          <cell r="DP17">
            <v>0</v>
          </cell>
          <cell r="DQ17">
            <v>0</v>
          </cell>
        </row>
        <row r="18">
          <cell r="A18">
            <v>12</v>
          </cell>
          <cell r="C18">
            <v>12</v>
          </cell>
          <cell r="D18">
            <v>16</v>
          </cell>
          <cell r="E18" t="str">
            <v>S.P. CHAUHAN</v>
          </cell>
          <cell r="F18" t="str">
            <v>Manager - Quality Assurance</v>
          </cell>
          <cell r="G18" t="str">
            <v>Quality</v>
          </cell>
          <cell r="H18" t="str">
            <v>Plant</v>
          </cell>
          <cell r="I18" t="str">
            <v>Executive</v>
          </cell>
          <cell r="K18">
            <v>24153</v>
          </cell>
          <cell r="L18">
            <v>33679</v>
          </cell>
          <cell r="N18">
            <v>0</v>
          </cell>
          <cell r="R18">
            <v>0</v>
          </cell>
          <cell r="S18">
            <v>22425</v>
          </cell>
          <cell r="T18">
            <v>11213</v>
          </cell>
          <cell r="U18">
            <v>11212</v>
          </cell>
          <cell r="V18">
            <v>6000</v>
          </cell>
          <cell r="W18">
            <v>1000</v>
          </cell>
          <cell r="X18">
            <v>0</v>
          </cell>
          <cell r="Y18">
            <v>0</v>
          </cell>
          <cell r="AA18">
            <v>0</v>
          </cell>
          <cell r="AB18">
            <v>22425</v>
          </cell>
          <cell r="AC18">
            <v>0</v>
          </cell>
          <cell r="AD18">
            <v>0</v>
          </cell>
          <cell r="AE18">
            <v>0</v>
          </cell>
          <cell r="AF18">
            <v>0</v>
          </cell>
          <cell r="AG18">
            <v>0</v>
          </cell>
          <cell r="AH18">
            <v>2691</v>
          </cell>
          <cell r="AI18">
            <v>0</v>
          </cell>
          <cell r="AJ18">
            <v>51850</v>
          </cell>
          <cell r="AK18" t="str">
            <v>Mfg. Service</v>
          </cell>
          <cell r="AL18">
            <v>0</v>
          </cell>
          <cell r="AM18">
            <v>16</v>
          </cell>
          <cell r="AN18" t="str">
            <v>S.P. CHAUHAN</v>
          </cell>
          <cell r="AO18" t="str">
            <v>Manager - Quality Assurance</v>
          </cell>
          <cell r="AP18" t="str">
            <v>Plant</v>
          </cell>
          <cell r="AQ18" t="str">
            <v>Executive</v>
          </cell>
          <cell r="AR18" t="str">
            <v>HDFC  BANK LTD.</v>
          </cell>
          <cell r="AS18" t="str">
            <v>0901050017545</v>
          </cell>
          <cell r="AT18">
            <v>31</v>
          </cell>
          <cell r="AU18">
            <v>0</v>
          </cell>
          <cell r="AV18">
            <v>22425</v>
          </cell>
          <cell r="AW18">
            <v>11213</v>
          </cell>
          <cell r="AX18">
            <v>11212</v>
          </cell>
          <cell r="AY18">
            <v>6000</v>
          </cell>
          <cell r="AZ18">
            <v>1000</v>
          </cell>
          <cell r="BA18">
            <v>0</v>
          </cell>
          <cell r="BB18">
            <v>0</v>
          </cell>
          <cell r="BC18">
            <v>0</v>
          </cell>
          <cell r="BD18">
            <v>0</v>
          </cell>
          <cell r="BE18">
            <v>22425</v>
          </cell>
          <cell r="BF18">
            <v>0</v>
          </cell>
          <cell r="BG18">
            <v>0</v>
          </cell>
          <cell r="BH18">
            <v>51850</v>
          </cell>
          <cell r="BI18">
            <v>2691</v>
          </cell>
          <cell r="BJ18">
            <v>0</v>
          </cell>
          <cell r="BK18">
            <v>6532</v>
          </cell>
          <cell r="BL18">
            <v>0</v>
          </cell>
          <cell r="BM18">
            <v>0</v>
          </cell>
          <cell r="BN18">
            <v>200</v>
          </cell>
          <cell r="BO18">
            <v>0</v>
          </cell>
          <cell r="BP18">
            <v>0</v>
          </cell>
          <cell r="BQ18">
            <v>3472</v>
          </cell>
          <cell r="BR18">
            <v>219</v>
          </cell>
          <cell r="BS18">
            <v>0</v>
          </cell>
          <cell r="BT18">
            <v>0</v>
          </cell>
          <cell r="BU18">
            <v>13114</v>
          </cell>
          <cell r="BV18">
            <v>38736</v>
          </cell>
          <cell r="BW18">
            <v>38736</v>
          </cell>
          <cell r="BX18">
            <v>3052.0425</v>
          </cell>
          <cell r="BY18">
            <v>0</v>
          </cell>
          <cell r="BZ18">
            <v>0</v>
          </cell>
          <cell r="CA18">
            <v>0</v>
          </cell>
          <cell r="CB18">
            <v>0</v>
          </cell>
          <cell r="CC18">
            <v>0</v>
          </cell>
          <cell r="CD18">
            <v>0</v>
          </cell>
          <cell r="CE18">
            <v>0</v>
          </cell>
          <cell r="CF18">
            <v>0</v>
          </cell>
          <cell r="CG18">
            <v>0</v>
          </cell>
          <cell r="CH18">
            <v>0</v>
          </cell>
          <cell r="CI18">
            <v>0</v>
          </cell>
          <cell r="CJ18">
            <v>0</v>
          </cell>
          <cell r="CK18">
            <v>0</v>
          </cell>
          <cell r="CL18" t="str">
            <v>S.P. CHAUHAN</v>
          </cell>
          <cell r="CM18">
            <v>0</v>
          </cell>
          <cell r="CN18">
            <v>22425</v>
          </cell>
          <cell r="CO18">
            <v>6500</v>
          </cell>
          <cell r="CP18">
            <v>2691</v>
          </cell>
          <cell r="CQ18">
            <v>541</v>
          </cell>
          <cell r="CR18">
            <v>2150</v>
          </cell>
          <cell r="CS18">
            <v>246.67500000000001</v>
          </cell>
          <cell r="CT18">
            <v>112.125</v>
          </cell>
          <cell r="CU18">
            <v>2.2425000000000002</v>
          </cell>
          <cell r="CV18">
            <v>3052.0425</v>
          </cell>
          <cell r="CW18">
            <v>0</v>
          </cell>
          <cell r="CX18">
            <v>0</v>
          </cell>
          <cell r="CY18" t="str">
            <v>S.P. CHAUHAN</v>
          </cell>
          <cell r="CZ18">
            <v>22425</v>
          </cell>
          <cell r="DA18">
            <v>11212</v>
          </cell>
          <cell r="DB18">
            <v>11213</v>
          </cell>
          <cell r="DC18">
            <v>44850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row>
        <row r="19">
          <cell r="A19">
            <v>13</v>
          </cell>
          <cell r="C19">
            <v>13</v>
          </cell>
          <cell r="D19">
            <v>18</v>
          </cell>
          <cell r="E19" t="str">
            <v>SUNIL KUMAR SINGH</v>
          </cell>
          <cell r="F19" t="str">
            <v>Sr. Manager - Logistics &amp; Planning</v>
          </cell>
          <cell r="G19" t="str">
            <v>Planning</v>
          </cell>
          <cell r="H19" t="str">
            <v>Plant</v>
          </cell>
          <cell r="I19" t="str">
            <v>Executive</v>
          </cell>
          <cell r="K19">
            <v>25573</v>
          </cell>
          <cell r="L19">
            <v>33946</v>
          </cell>
          <cell r="N19" t="str">
            <v>RJ/13238/041</v>
          </cell>
          <cell r="R19" t="str">
            <v>Shri Fanindra Kr. Singh</v>
          </cell>
          <cell r="S19">
            <v>30175</v>
          </cell>
          <cell r="T19">
            <v>22675</v>
          </cell>
          <cell r="U19">
            <v>0</v>
          </cell>
          <cell r="V19">
            <v>0</v>
          </cell>
          <cell r="W19">
            <v>1500</v>
          </cell>
          <cell r="X19">
            <v>0</v>
          </cell>
          <cell r="Y19">
            <v>0</v>
          </cell>
          <cell r="AA19">
            <v>0</v>
          </cell>
          <cell r="AB19">
            <v>30175</v>
          </cell>
          <cell r="AC19">
            <v>7500</v>
          </cell>
          <cell r="AD19">
            <v>0</v>
          </cell>
          <cell r="AE19">
            <v>0</v>
          </cell>
          <cell r="AF19">
            <v>0</v>
          </cell>
          <cell r="AG19">
            <v>0</v>
          </cell>
          <cell r="AH19">
            <v>3621</v>
          </cell>
          <cell r="AI19">
            <v>0</v>
          </cell>
          <cell r="AJ19">
            <v>54350</v>
          </cell>
          <cell r="AK19" t="str">
            <v>G&amp;A</v>
          </cell>
          <cell r="AL19">
            <v>0</v>
          </cell>
          <cell r="AM19">
            <v>18</v>
          </cell>
          <cell r="AN19" t="str">
            <v>SUNIL KUMAR SINGH</v>
          </cell>
          <cell r="AO19" t="str">
            <v>Sr. Manager - Logistics &amp; Planning</v>
          </cell>
          <cell r="AP19" t="str">
            <v>Plant</v>
          </cell>
          <cell r="AQ19" t="str">
            <v>Executive</v>
          </cell>
          <cell r="AR19" t="str">
            <v>HDFC  BANK LTD.</v>
          </cell>
          <cell r="AS19" t="str">
            <v>0901050024573</v>
          </cell>
          <cell r="AT19">
            <v>31</v>
          </cell>
          <cell r="AU19">
            <v>0</v>
          </cell>
          <cell r="AV19">
            <v>30175</v>
          </cell>
          <cell r="AW19">
            <v>22675</v>
          </cell>
          <cell r="AX19">
            <v>0</v>
          </cell>
          <cell r="AY19">
            <v>0</v>
          </cell>
          <cell r="AZ19">
            <v>1500</v>
          </cell>
          <cell r="BA19">
            <v>0</v>
          </cell>
          <cell r="BB19">
            <v>0</v>
          </cell>
          <cell r="BC19">
            <v>0</v>
          </cell>
          <cell r="BD19">
            <v>0</v>
          </cell>
          <cell r="BE19">
            <v>30175</v>
          </cell>
          <cell r="BF19">
            <v>7500</v>
          </cell>
          <cell r="BG19">
            <v>0</v>
          </cell>
          <cell r="BH19">
            <v>54350</v>
          </cell>
          <cell r="BI19">
            <v>3621</v>
          </cell>
          <cell r="BJ19">
            <v>93</v>
          </cell>
          <cell r="BK19">
            <v>19101</v>
          </cell>
          <cell r="BL19">
            <v>0</v>
          </cell>
          <cell r="BM19">
            <v>0</v>
          </cell>
          <cell r="BN19">
            <v>200</v>
          </cell>
          <cell r="BO19">
            <v>0</v>
          </cell>
          <cell r="BP19">
            <v>0</v>
          </cell>
          <cell r="BQ19">
            <v>9722</v>
          </cell>
          <cell r="BR19">
            <v>311</v>
          </cell>
          <cell r="BS19">
            <v>0</v>
          </cell>
          <cell r="BT19">
            <v>0</v>
          </cell>
          <cell r="BU19">
            <v>33048</v>
          </cell>
          <cell r="BV19">
            <v>21302</v>
          </cell>
          <cell r="BW19">
            <v>21302</v>
          </cell>
          <cell r="BX19">
            <v>4106.8175000000001</v>
          </cell>
          <cell r="BY19">
            <v>0</v>
          </cell>
          <cell r="BZ19">
            <v>0</v>
          </cell>
          <cell r="CA19">
            <v>0</v>
          </cell>
          <cell r="CB19">
            <v>0</v>
          </cell>
          <cell r="CC19">
            <v>0</v>
          </cell>
          <cell r="CD19">
            <v>0</v>
          </cell>
          <cell r="CE19">
            <v>0</v>
          </cell>
          <cell r="CF19">
            <v>0</v>
          </cell>
          <cell r="CG19">
            <v>0</v>
          </cell>
          <cell r="CH19">
            <v>0</v>
          </cell>
          <cell r="CI19">
            <v>0</v>
          </cell>
          <cell r="CJ19">
            <v>0</v>
          </cell>
          <cell r="CK19">
            <v>0</v>
          </cell>
          <cell r="CL19" t="str">
            <v>SUNIL KUMAR SINGH</v>
          </cell>
          <cell r="CM19" t="str">
            <v>RJ/13238/041</v>
          </cell>
          <cell r="CN19">
            <v>30175</v>
          </cell>
          <cell r="CO19">
            <v>6500</v>
          </cell>
          <cell r="CP19">
            <v>3621</v>
          </cell>
          <cell r="CQ19">
            <v>541</v>
          </cell>
          <cell r="CR19">
            <v>3080</v>
          </cell>
          <cell r="CS19">
            <v>331.92500000000001</v>
          </cell>
          <cell r="CT19">
            <v>150.875</v>
          </cell>
          <cell r="CU19">
            <v>3.0175000000000001</v>
          </cell>
          <cell r="CV19">
            <v>4106.8175000000001</v>
          </cell>
          <cell r="CW19">
            <v>0</v>
          </cell>
          <cell r="CX19">
            <v>0</v>
          </cell>
          <cell r="CY19" t="str">
            <v>SUNIL KUMAR SINGH</v>
          </cell>
          <cell r="CZ19">
            <v>30175</v>
          </cell>
          <cell r="DA19">
            <v>0</v>
          </cell>
          <cell r="DB19">
            <v>22675</v>
          </cell>
          <cell r="DC19">
            <v>52850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row>
        <row r="20">
          <cell r="A20">
            <v>14</v>
          </cell>
          <cell r="C20">
            <v>14</v>
          </cell>
          <cell r="D20">
            <v>19</v>
          </cell>
          <cell r="E20" t="str">
            <v>DINESH KUMAR JAIN</v>
          </cell>
          <cell r="F20" t="str">
            <v>Company Secretary &amp; Legal Mgr.</v>
          </cell>
          <cell r="G20" t="str">
            <v>Legal &amp; Regulatory Affairs</v>
          </cell>
          <cell r="H20" t="str">
            <v>CSO, Gurgaon</v>
          </cell>
          <cell r="I20" t="str">
            <v>Executive</v>
          </cell>
          <cell r="K20">
            <v>21807</v>
          </cell>
          <cell r="L20">
            <v>36650</v>
          </cell>
          <cell r="N20" t="str">
            <v>RJ/13238/167</v>
          </cell>
          <cell r="R20" t="str">
            <v>Mr. Madan Lal Jain</v>
          </cell>
          <cell r="S20">
            <v>30800</v>
          </cell>
          <cell r="T20">
            <v>33880</v>
          </cell>
          <cell r="U20">
            <v>0</v>
          </cell>
          <cell r="V20">
            <v>0</v>
          </cell>
          <cell r="W20">
            <v>0</v>
          </cell>
          <cell r="X20">
            <v>0</v>
          </cell>
          <cell r="Y20">
            <v>0</v>
          </cell>
          <cell r="Z20">
            <v>0</v>
          </cell>
          <cell r="AA20">
            <v>0</v>
          </cell>
          <cell r="AB20">
            <v>33880</v>
          </cell>
          <cell r="AC20">
            <v>0</v>
          </cell>
          <cell r="AF20">
            <v>0</v>
          </cell>
          <cell r="AG20">
            <v>0</v>
          </cell>
          <cell r="AH20">
            <v>3696</v>
          </cell>
          <cell r="AI20">
            <v>0</v>
          </cell>
          <cell r="AJ20">
            <v>64680</v>
          </cell>
          <cell r="AK20" t="str">
            <v>G&amp;A</v>
          </cell>
          <cell r="AL20">
            <v>0</v>
          </cell>
          <cell r="AM20">
            <v>19</v>
          </cell>
          <cell r="AN20" t="str">
            <v>DINESH KUMAR JAIN</v>
          </cell>
          <cell r="AO20" t="str">
            <v>Company Secretary &amp; Legal Mgr.</v>
          </cell>
          <cell r="AP20" t="str">
            <v>CSO, Gurgaon</v>
          </cell>
          <cell r="AQ20" t="str">
            <v>Executive</v>
          </cell>
          <cell r="AR20" t="str">
            <v>HDFC  BANK LTD.</v>
          </cell>
          <cell r="AS20" t="str">
            <v>0031050026568</v>
          </cell>
          <cell r="AT20">
            <v>31</v>
          </cell>
          <cell r="AU20">
            <v>0</v>
          </cell>
          <cell r="AV20">
            <v>30800</v>
          </cell>
          <cell r="AW20">
            <v>33880</v>
          </cell>
          <cell r="AX20">
            <v>0</v>
          </cell>
          <cell r="AY20">
            <v>0</v>
          </cell>
          <cell r="AZ20">
            <v>0</v>
          </cell>
          <cell r="BA20">
            <v>0</v>
          </cell>
          <cell r="BB20">
            <v>0</v>
          </cell>
          <cell r="BC20">
            <v>0</v>
          </cell>
          <cell r="BD20">
            <v>0</v>
          </cell>
          <cell r="BE20">
            <v>33880</v>
          </cell>
          <cell r="BF20">
            <v>0</v>
          </cell>
          <cell r="BG20">
            <v>0</v>
          </cell>
          <cell r="BH20">
            <v>64680</v>
          </cell>
          <cell r="BI20">
            <v>3696</v>
          </cell>
          <cell r="BJ20">
            <v>0</v>
          </cell>
          <cell r="BK20">
            <v>18470</v>
          </cell>
          <cell r="BL20">
            <v>0</v>
          </cell>
          <cell r="BM20">
            <v>0</v>
          </cell>
          <cell r="BN20">
            <v>0</v>
          </cell>
          <cell r="BO20">
            <v>0</v>
          </cell>
          <cell r="BP20">
            <v>0</v>
          </cell>
          <cell r="BQ20">
            <v>0</v>
          </cell>
          <cell r="BR20">
            <v>0</v>
          </cell>
          <cell r="BS20">
            <v>0</v>
          </cell>
          <cell r="BT20">
            <v>0</v>
          </cell>
          <cell r="BU20">
            <v>22166</v>
          </cell>
          <cell r="BV20">
            <v>42514</v>
          </cell>
          <cell r="BW20">
            <v>42514</v>
          </cell>
          <cell r="BX20">
            <v>4191.88</v>
          </cell>
          <cell r="BY20">
            <v>0</v>
          </cell>
          <cell r="BZ20">
            <v>0</v>
          </cell>
          <cell r="CA20">
            <v>0</v>
          </cell>
          <cell r="CB20">
            <v>0</v>
          </cell>
          <cell r="CC20">
            <v>0</v>
          </cell>
          <cell r="CD20">
            <v>0</v>
          </cell>
          <cell r="CE20">
            <v>0</v>
          </cell>
          <cell r="CF20">
            <v>0</v>
          </cell>
          <cell r="CG20">
            <v>0</v>
          </cell>
          <cell r="CH20">
            <v>0</v>
          </cell>
          <cell r="CI20">
            <v>0</v>
          </cell>
          <cell r="CJ20">
            <v>0</v>
          </cell>
          <cell r="CK20">
            <v>0</v>
          </cell>
          <cell r="CL20" t="str">
            <v>DINESH KUMAR JAIN</v>
          </cell>
          <cell r="CM20" t="str">
            <v>RJ/13238/167</v>
          </cell>
          <cell r="CN20">
            <v>30800</v>
          </cell>
          <cell r="CO20">
            <v>6500</v>
          </cell>
          <cell r="CP20">
            <v>3696</v>
          </cell>
          <cell r="CQ20">
            <v>541</v>
          </cell>
          <cell r="CR20">
            <v>3155</v>
          </cell>
          <cell r="CS20">
            <v>338.8</v>
          </cell>
          <cell r="CT20">
            <v>154</v>
          </cell>
          <cell r="CU20">
            <v>3.08</v>
          </cell>
          <cell r="CV20">
            <v>4191.88</v>
          </cell>
          <cell r="CW20">
            <v>0</v>
          </cell>
          <cell r="CX20">
            <v>0</v>
          </cell>
          <cell r="CY20" t="str">
            <v>DINESH KUMAR JAIN</v>
          </cell>
          <cell r="CZ20">
            <v>30800</v>
          </cell>
          <cell r="DA20">
            <v>0</v>
          </cell>
          <cell r="DB20">
            <v>33880</v>
          </cell>
          <cell r="DC20">
            <v>64680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v>0</v>
          </cell>
          <cell r="DU20">
            <v>0</v>
          </cell>
        </row>
        <row r="21">
          <cell r="A21">
            <v>15</v>
          </cell>
          <cell r="C21">
            <v>15</v>
          </cell>
          <cell r="D21">
            <v>18</v>
          </cell>
          <cell r="E21" t="str">
            <v>D.K. GOGIA</v>
          </cell>
          <cell r="F21" t="str">
            <v>Sr. Manager - Institutional Sales</v>
          </cell>
          <cell r="G21" t="str">
            <v>Sales</v>
          </cell>
          <cell r="H21" t="str">
            <v>CSO, Gurgaon</v>
          </cell>
          <cell r="I21" t="str">
            <v>Executive</v>
          </cell>
          <cell r="K21">
            <v>17813</v>
          </cell>
          <cell r="L21">
            <v>34246</v>
          </cell>
          <cell r="N21">
            <v>0</v>
          </cell>
          <cell r="R21">
            <v>0</v>
          </cell>
          <cell r="S21">
            <v>33875</v>
          </cell>
          <cell r="T21">
            <v>16938</v>
          </cell>
          <cell r="U21">
            <v>16937</v>
          </cell>
          <cell r="V21">
            <v>0</v>
          </cell>
          <cell r="W21">
            <v>0</v>
          </cell>
          <cell r="X21">
            <v>0</v>
          </cell>
          <cell r="Y21">
            <v>0</v>
          </cell>
          <cell r="Z21">
            <v>0</v>
          </cell>
          <cell r="AA21">
            <v>0</v>
          </cell>
          <cell r="AB21">
            <v>33875</v>
          </cell>
          <cell r="AC21">
            <v>0</v>
          </cell>
          <cell r="AF21">
            <v>0</v>
          </cell>
          <cell r="AG21">
            <v>0</v>
          </cell>
          <cell r="AH21">
            <v>4065</v>
          </cell>
          <cell r="AI21">
            <v>0</v>
          </cell>
          <cell r="AJ21">
            <v>67750</v>
          </cell>
          <cell r="AK21" t="str">
            <v>Marketing</v>
          </cell>
          <cell r="AL21">
            <v>0</v>
          </cell>
          <cell r="AM21">
            <v>18</v>
          </cell>
          <cell r="AN21" t="str">
            <v>D.K. GOGIA</v>
          </cell>
          <cell r="AO21" t="str">
            <v>Sr. Manager - Institutional Sales</v>
          </cell>
          <cell r="AP21" t="str">
            <v>CSO, Gurgaon</v>
          </cell>
          <cell r="AQ21" t="str">
            <v>Executive</v>
          </cell>
          <cell r="AR21" t="str">
            <v>HDFC  BANK LTD.</v>
          </cell>
          <cell r="AS21" t="str">
            <v>0271050002206</v>
          </cell>
          <cell r="AT21">
            <v>31</v>
          </cell>
          <cell r="AU21">
            <v>0</v>
          </cell>
          <cell r="AV21">
            <v>33875</v>
          </cell>
          <cell r="AW21">
            <v>16938</v>
          </cell>
          <cell r="AX21">
            <v>16937</v>
          </cell>
          <cell r="AY21">
            <v>0</v>
          </cell>
          <cell r="AZ21">
            <v>0</v>
          </cell>
          <cell r="BA21">
            <v>0</v>
          </cell>
          <cell r="BB21">
            <v>0</v>
          </cell>
          <cell r="BC21">
            <v>0</v>
          </cell>
          <cell r="BD21">
            <v>0</v>
          </cell>
          <cell r="BE21">
            <v>33875</v>
          </cell>
          <cell r="BF21">
            <v>0</v>
          </cell>
          <cell r="BG21">
            <v>0</v>
          </cell>
          <cell r="BH21">
            <v>67750</v>
          </cell>
          <cell r="BI21">
            <v>4065</v>
          </cell>
          <cell r="BJ21">
            <v>0</v>
          </cell>
          <cell r="BK21">
            <v>13071</v>
          </cell>
          <cell r="BL21">
            <v>0</v>
          </cell>
          <cell r="BM21">
            <v>0</v>
          </cell>
          <cell r="BN21">
            <v>0</v>
          </cell>
          <cell r="BO21">
            <v>0</v>
          </cell>
          <cell r="BP21">
            <v>0</v>
          </cell>
          <cell r="BQ21">
            <v>7292</v>
          </cell>
          <cell r="BR21">
            <v>307</v>
          </cell>
          <cell r="BS21">
            <v>0</v>
          </cell>
          <cell r="BT21">
            <v>0</v>
          </cell>
          <cell r="BU21">
            <v>24735</v>
          </cell>
          <cell r="BV21">
            <v>43015</v>
          </cell>
          <cell r="BW21">
            <v>43015</v>
          </cell>
          <cell r="BX21">
            <v>4610.3874999999998</v>
          </cell>
          <cell r="BY21">
            <v>0</v>
          </cell>
          <cell r="BZ21">
            <v>0</v>
          </cell>
          <cell r="CA21">
            <v>0</v>
          </cell>
          <cell r="CB21">
            <v>0</v>
          </cell>
          <cell r="CC21">
            <v>0</v>
          </cell>
          <cell r="CD21">
            <v>0</v>
          </cell>
          <cell r="CE21">
            <v>0</v>
          </cell>
          <cell r="CF21">
            <v>0</v>
          </cell>
          <cell r="CG21">
            <v>0</v>
          </cell>
          <cell r="CH21">
            <v>0</v>
          </cell>
          <cell r="CI21">
            <v>0</v>
          </cell>
          <cell r="CJ21">
            <v>0</v>
          </cell>
          <cell r="CK21">
            <v>0</v>
          </cell>
          <cell r="CL21" t="str">
            <v>D.K. GOGIA</v>
          </cell>
          <cell r="CM21">
            <v>0</v>
          </cell>
          <cell r="CN21">
            <v>33875</v>
          </cell>
          <cell r="CO21">
            <v>6500</v>
          </cell>
          <cell r="CP21">
            <v>4065</v>
          </cell>
          <cell r="CQ21">
            <v>541</v>
          </cell>
          <cell r="CR21">
            <v>3524</v>
          </cell>
          <cell r="CS21">
            <v>372.62500000000006</v>
          </cell>
          <cell r="CT21">
            <v>169.375</v>
          </cell>
          <cell r="CU21">
            <v>3.3875000000000002</v>
          </cell>
          <cell r="CV21">
            <v>4610.3874999999998</v>
          </cell>
          <cell r="CW21">
            <v>0</v>
          </cell>
          <cell r="CX21">
            <v>0</v>
          </cell>
          <cell r="CY21" t="str">
            <v>D.K. GOGIA</v>
          </cell>
          <cell r="CZ21">
            <v>33875</v>
          </cell>
          <cell r="DA21">
            <v>16937</v>
          </cell>
          <cell r="DB21">
            <v>16938</v>
          </cell>
          <cell r="DC21">
            <v>67750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cell r="DR21">
            <v>0</v>
          </cell>
          <cell r="DS21">
            <v>0</v>
          </cell>
          <cell r="DT21">
            <v>0</v>
          </cell>
          <cell r="DU21">
            <v>0</v>
          </cell>
        </row>
        <row r="22">
          <cell r="A22">
            <v>16</v>
          </cell>
          <cell r="C22">
            <v>16</v>
          </cell>
          <cell r="D22">
            <v>16</v>
          </cell>
          <cell r="E22" t="str">
            <v>I.RAHUMATHULLAH</v>
          </cell>
          <cell r="F22" t="str">
            <v>Area Manager</v>
          </cell>
          <cell r="G22" t="str">
            <v>Sales</v>
          </cell>
          <cell r="H22" t="str">
            <v>Chennai</v>
          </cell>
          <cell r="I22" t="str">
            <v>Executive</v>
          </cell>
          <cell r="K22">
            <v>23889</v>
          </cell>
          <cell r="L22">
            <v>34183</v>
          </cell>
          <cell r="N22" t="str">
            <v>RJ/13238/064</v>
          </cell>
          <cell r="R22" t="str">
            <v>Mr. Ibrahim</v>
          </cell>
          <cell r="S22">
            <v>11750</v>
          </cell>
          <cell r="T22">
            <v>0</v>
          </cell>
          <cell r="U22">
            <v>0</v>
          </cell>
          <cell r="V22">
            <v>0</v>
          </cell>
          <cell r="W22">
            <v>0</v>
          </cell>
          <cell r="X22">
            <v>0</v>
          </cell>
          <cell r="Y22">
            <v>0</v>
          </cell>
          <cell r="Z22">
            <v>0</v>
          </cell>
          <cell r="AA22">
            <v>0</v>
          </cell>
          <cell r="AB22">
            <v>0</v>
          </cell>
          <cell r="AC22">
            <v>0</v>
          </cell>
          <cell r="AF22">
            <v>0</v>
          </cell>
          <cell r="AG22">
            <v>0</v>
          </cell>
          <cell r="AH22">
            <v>1410</v>
          </cell>
          <cell r="AI22">
            <v>0</v>
          </cell>
          <cell r="AJ22">
            <v>11750</v>
          </cell>
          <cell r="AK22" t="str">
            <v>Sales Executive</v>
          </cell>
          <cell r="AL22">
            <v>0</v>
          </cell>
          <cell r="AM22">
            <v>16</v>
          </cell>
          <cell r="AN22" t="str">
            <v>I.RAHUMATHULLAH</v>
          </cell>
          <cell r="AO22" t="str">
            <v>Area Manager</v>
          </cell>
          <cell r="AP22" t="str">
            <v>Chennai</v>
          </cell>
          <cell r="AQ22" t="str">
            <v>Executive</v>
          </cell>
          <cell r="AR22" t="str">
            <v>HDFC  BANK LTD.</v>
          </cell>
          <cell r="AS22" t="str">
            <v>0821050018654</v>
          </cell>
          <cell r="AT22">
            <v>31</v>
          </cell>
          <cell r="AU22">
            <v>0</v>
          </cell>
          <cell r="AV22">
            <v>11750</v>
          </cell>
          <cell r="AW22">
            <v>0</v>
          </cell>
          <cell r="AX22">
            <v>0</v>
          </cell>
          <cell r="AY22">
            <v>0</v>
          </cell>
          <cell r="AZ22">
            <v>0</v>
          </cell>
          <cell r="BA22">
            <v>0</v>
          </cell>
          <cell r="BB22">
            <v>0</v>
          </cell>
          <cell r="BC22">
            <v>0</v>
          </cell>
          <cell r="BD22">
            <v>0</v>
          </cell>
          <cell r="BE22">
            <v>0</v>
          </cell>
          <cell r="BF22">
            <v>0</v>
          </cell>
          <cell r="BG22">
            <v>0</v>
          </cell>
          <cell r="BH22">
            <v>11750</v>
          </cell>
          <cell r="BI22">
            <v>1410</v>
          </cell>
          <cell r="BJ22">
            <v>0</v>
          </cell>
          <cell r="BK22">
            <v>2719</v>
          </cell>
          <cell r="BL22">
            <v>0</v>
          </cell>
          <cell r="BM22">
            <v>0</v>
          </cell>
          <cell r="BN22">
            <v>150</v>
          </cell>
          <cell r="BO22">
            <v>0</v>
          </cell>
          <cell r="BP22">
            <v>0</v>
          </cell>
          <cell r="BQ22">
            <v>2778</v>
          </cell>
          <cell r="BR22">
            <v>180</v>
          </cell>
          <cell r="BS22">
            <v>0</v>
          </cell>
          <cell r="BT22">
            <v>0</v>
          </cell>
          <cell r="BU22">
            <v>7237</v>
          </cell>
          <cell r="BV22">
            <v>4513</v>
          </cell>
          <cell r="BW22">
            <v>4513</v>
          </cell>
          <cell r="BX22">
            <v>1599.175</v>
          </cell>
          <cell r="BY22">
            <v>0</v>
          </cell>
          <cell r="BZ22">
            <v>0</v>
          </cell>
          <cell r="CA22">
            <v>0</v>
          </cell>
          <cell r="CB22">
            <v>0</v>
          </cell>
          <cell r="CC22">
            <v>0</v>
          </cell>
          <cell r="CD22">
            <v>0</v>
          </cell>
          <cell r="CE22">
            <v>0</v>
          </cell>
          <cell r="CF22">
            <v>0</v>
          </cell>
          <cell r="CG22">
            <v>0</v>
          </cell>
          <cell r="CH22">
            <v>0</v>
          </cell>
          <cell r="CI22">
            <v>0</v>
          </cell>
          <cell r="CJ22">
            <v>0</v>
          </cell>
          <cell r="CK22">
            <v>0</v>
          </cell>
          <cell r="CL22" t="str">
            <v>I.RAHUMATHULLAH</v>
          </cell>
          <cell r="CM22" t="str">
            <v>RJ/13238/064</v>
          </cell>
          <cell r="CN22">
            <v>11750</v>
          </cell>
          <cell r="CO22">
            <v>6500</v>
          </cell>
          <cell r="CP22">
            <v>1410</v>
          </cell>
          <cell r="CQ22">
            <v>541</v>
          </cell>
          <cell r="CR22">
            <v>869</v>
          </cell>
          <cell r="CS22">
            <v>129.25</v>
          </cell>
          <cell r="CT22">
            <v>58.75</v>
          </cell>
          <cell r="CU22">
            <v>1.175</v>
          </cell>
          <cell r="CV22">
            <v>1599.175</v>
          </cell>
          <cell r="CW22">
            <v>0</v>
          </cell>
          <cell r="CX22">
            <v>0</v>
          </cell>
          <cell r="CY22" t="str">
            <v>I.RAHUMATHULLAH</v>
          </cell>
          <cell r="CZ22">
            <v>11750</v>
          </cell>
          <cell r="DA22">
            <v>0</v>
          </cell>
          <cell r="DB22">
            <v>0</v>
          </cell>
          <cell r="DC22">
            <v>11750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row>
        <row r="23">
          <cell r="A23">
            <v>17</v>
          </cell>
          <cell r="C23">
            <v>17</v>
          </cell>
          <cell r="D23">
            <v>15</v>
          </cell>
          <cell r="E23" t="str">
            <v>S.ARVIND KUMAR</v>
          </cell>
          <cell r="F23" t="str">
            <v>Astt. Manager - Commercial</v>
          </cell>
          <cell r="G23" t="str">
            <v>Commercial</v>
          </cell>
          <cell r="H23" t="str">
            <v>Bangalore</v>
          </cell>
          <cell r="I23" t="str">
            <v>Executive</v>
          </cell>
          <cell r="K23">
            <v>22524</v>
          </cell>
          <cell r="L23">
            <v>35194</v>
          </cell>
          <cell r="N23" t="str">
            <v>RJ/13238/111</v>
          </cell>
          <cell r="R23" t="str">
            <v>Sh. G. Shankaran</v>
          </cell>
          <cell r="S23">
            <v>10725</v>
          </cell>
          <cell r="T23">
            <v>5363</v>
          </cell>
          <cell r="U23">
            <v>5362</v>
          </cell>
          <cell r="V23">
            <v>3600</v>
          </cell>
          <cell r="W23">
            <v>0</v>
          </cell>
          <cell r="X23">
            <v>0</v>
          </cell>
          <cell r="Y23">
            <v>0</v>
          </cell>
          <cell r="Z23">
            <v>0</v>
          </cell>
          <cell r="AA23">
            <v>0</v>
          </cell>
          <cell r="AB23">
            <v>10725</v>
          </cell>
          <cell r="AC23">
            <v>0</v>
          </cell>
          <cell r="AF23">
            <v>0</v>
          </cell>
          <cell r="AG23">
            <v>0</v>
          </cell>
          <cell r="AH23">
            <v>1287</v>
          </cell>
          <cell r="AI23">
            <v>0</v>
          </cell>
          <cell r="AJ23">
            <v>25050</v>
          </cell>
          <cell r="AK23" t="str">
            <v>Marketing</v>
          </cell>
          <cell r="AL23">
            <v>0</v>
          </cell>
          <cell r="AM23">
            <v>15</v>
          </cell>
          <cell r="AN23" t="str">
            <v>S.ARVIND KUMAR</v>
          </cell>
          <cell r="AO23" t="str">
            <v>Astt. Manager - Commercial</v>
          </cell>
          <cell r="AP23" t="str">
            <v>Bangalore</v>
          </cell>
          <cell r="AQ23" t="str">
            <v>Executive</v>
          </cell>
          <cell r="AR23" t="str">
            <v>HDFC  BANK LTD.</v>
          </cell>
          <cell r="AS23" t="str">
            <v>0041050011119</v>
          </cell>
          <cell r="AT23">
            <v>31</v>
          </cell>
          <cell r="AU23">
            <v>0</v>
          </cell>
          <cell r="AV23">
            <v>10725</v>
          </cell>
          <cell r="AW23">
            <v>5363</v>
          </cell>
          <cell r="AX23">
            <v>5362</v>
          </cell>
          <cell r="AY23">
            <v>3600</v>
          </cell>
          <cell r="AZ23">
            <v>0</v>
          </cell>
          <cell r="BA23">
            <v>0</v>
          </cell>
          <cell r="BB23">
            <v>0</v>
          </cell>
          <cell r="BC23">
            <v>0</v>
          </cell>
          <cell r="BD23">
            <v>0</v>
          </cell>
          <cell r="BE23">
            <v>10725</v>
          </cell>
          <cell r="BF23">
            <v>0</v>
          </cell>
          <cell r="BG23">
            <v>0</v>
          </cell>
          <cell r="BH23">
            <v>25050</v>
          </cell>
          <cell r="BI23">
            <v>1287</v>
          </cell>
          <cell r="BJ23">
            <v>0</v>
          </cell>
          <cell r="BK23">
            <v>2657</v>
          </cell>
          <cell r="BL23">
            <v>0</v>
          </cell>
          <cell r="BM23">
            <v>0</v>
          </cell>
          <cell r="BN23">
            <v>150</v>
          </cell>
          <cell r="BO23">
            <v>0</v>
          </cell>
          <cell r="BP23">
            <v>0</v>
          </cell>
          <cell r="BQ23">
            <v>2778</v>
          </cell>
          <cell r="BR23">
            <v>174</v>
          </cell>
          <cell r="BS23">
            <v>0</v>
          </cell>
          <cell r="BT23">
            <v>0</v>
          </cell>
          <cell r="BU23">
            <v>7046</v>
          </cell>
          <cell r="BV23">
            <v>18004</v>
          </cell>
          <cell r="BW23">
            <v>18004</v>
          </cell>
          <cell r="BX23">
            <v>1459.6724999999999</v>
          </cell>
          <cell r="BY23">
            <v>0</v>
          </cell>
          <cell r="BZ23">
            <v>0</v>
          </cell>
          <cell r="CA23">
            <v>0</v>
          </cell>
          <cell r="CB23">
            <v>0</v>
          </cell>
          <cell r="CC23">
            <v>0</v>
          </cell>
          <cell r="CD23">
            <v>0</v>
          </cell>
          <cell r="CE23">
            <v>0</v>
          </cell>
          <cell r="CF23">
            <v>0</v>
          </cell>
          <cell r="CG23">
            <v>0</v>
          </cell>
          <cell r="CH23">
            <v>0</v>
          </cell>
          <cell r="CI23">
            <v>0</v>
          </cell>
          <cell r="CJ23">
            <v>0</v>
          </cell>
          <cell r="CK23">
            <v>0</v>
          </cell>
          <cell r="CL23" t="str">
            <v>S.ARVIND KUMAR</v>
          </cell>
          <cell r="CM23" t="str">
            <v>RJ/13238/111</v>
          </cell>
          <cell r="CN23">
            <v>10725</v>
          </cell>
          <cell r="CO23">
            <v>6500</v>
          </cell>
          <cell r="CP23">
            <v>1287</v>
          </cell>
          <cell r="CQ23">
            <v>541</v>
          </cell>
          <cell r="CR23">
            <v>746</v>
          </cell>
          <cell r="CS23">
            <v>117.97500000000001</v>
          </cell>
          <cell r="CT23">
            <v>53.625</v>
          </cell>
          <cell r="CU23">
            <v>1.0725</v>
          </cell>
          <cell r="CV23">
            <v>1459.6724999999999</v>
          </cell>
          <cell r="CW23">
            <v>0</v>
          </cell>
          <cell r="CX23">
            <v>0</v>
          </cell>
          <cell r="CY23" t="str">
            <v>S.ARVIND KUMAR</v>
          </cell>
          <cell r="CZ23">
            <v>10725</v>
          </cell>
          <cell r="DA23">
            <v>5362</v>
          </cell>
          <cell r="DB23">
            <v>5363</v>
          </cell>
          <cell r="DC23">
            <v>21450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v>0</v>
          </cell>
          <cell r="DU23">
            <v>0</v>
          </cell>
        </row>
        <row r="24">
          <cell r="A24">
            <v>18</v>
          </cell>
          <cell r="C24">
            <v>18</v>
          </cell>
          <cell r="D24">
            <v>16</v>
          </cell>
          <cell r="E24" t="str">
            <v>SABU PAUL</v>
          </cell>
          <cell r="F24" t="str">
            <v>Area Manager</v>
          </cell>
          <cell r="G24" t="str">
            <v>Sales</v>
          </cell>
          <cell r="H24" t="str">
            <v>Bangalore</v>
          </cell>
          <cell r="I24" t="str">
            <v>Executive</v>
          </cell>
          <cell r="K24">
            <v>24692</v>
          </cell>
          <cell r="L24">
            <v>33779</v>
          </cell>
          <cell r="N24" t="str">
            <v>RJ/13238/026</v>
          </cell>
          <cell r="R24" t="str">
            <v>Mr. V.J. Paulose</v>
          </cell>
          <cell r="S24">
            <v>11400</v>
          </cell>
          <cell r="T24">
            <v>0</v>
          </cell>
          <cell r="U24">
            <v>0</v>
          </cell>
          <cell r="V24">
            <v>0</v>
          </cell>
          <cell r="W24">
            <v>0</v>
          </cell>
          <cell r="X24">
            <v>0</v>
          </cell>
          <cell r="Y24">
            <v>0</v>
          </cell>
          <cell r="Z24">
            <v>0</v>
          </cell>
          <cell r="AA24">
            <v>0</v>
          </cell>
          <cell r="AB24">
            <v>0</v>
          </cell>
          <cell r="AC24">
            <v>0</v>
          </cell>
          <cell r="AF24">
            <v>0</v>
          </cell>
          <cell r="AG24">
            <v>0</v>
          </cell>
          <cell r="AH24">
            <v>1368</v>
          </cell>
          <cell r="AI24">
            <v>0</v>
          </cell>
          <cell r="AJ24">
            <v>11400</v>
          </cell>
          <cell r="AK24" t="str">
            <v>Sales Executive</v>
          </cell>
          <cell r="AL24">
            <v>0</v>
          </cell>
          <cell r="AM24">
            <v>16</v>
          </cell>
          <cell r="AN24" t="str">
            <v>SABU PAUL</v>
          </cell>
          <cell r="AO24" t="str">
            <v>Area Manager</v>
          </cell>
          <cell r="AP24" t="str">
            <v>Bangalore</v>
          </cell>
          <cell r="AQ24" t="str">
            <v>Executive</v>
          </cell>
          <cell r="AR24" t="str">
            <v>HDFC  BANK LTD.</v>
          </cell>
          <cell r="AS24" t="str">
            <v>0091050001566</v>
          </cell>
          <cell r="AT24">
            <v>31</v>
          </cell>
          <cell r="AU24">
            <v>0</v>
          </cell>
          <cell r="AV24">
            <v>11400</v>
          </cell>
          <cell r="AW24">
            <v>0</v>
          </cell>
          <cell r="AX24">
            <v>0</v>
          </cell>
          <cell r="AY24">
            <v>0</v>
          </cell>
          <cell r="AZ24">
            <v>0</v>
          </cell>
          <cell r="BA24">
            <v>0</v>
          </cell>
          <cell r="BB24">
            <v>0</v>
          </cell>
          <cell r="BC24">
            <v>0</v>
          </cell>
          <cell r="BD24">
            <v>0</v>
          </cell>
          <cell r="BE24">
            <v>0</v>
          </cell>
          <cell r="BF24">
            <v>0</v>
          </cell>
          <cell r="BG24">
            <v>0</v>
          </cell>
          <cell r="BH24">
            <v>11400</v>
          </cell>
          <cell r="BI24">
            <v>1368</v>
          </cell>
          <cell r="BJ24">
            <v>0</v>
          </cell>
          <cell r="BK24">
            <v>2334</v>
          </cell>
          <cell r="BL24">
            <v>6500</v>
          </cell>
          <cell r="BM24">
            <v>0</v>
          </cell>
          <cell r="BN24">
            <v>100</v>
          </cell>
          <cell r="BO24">
            <v>0</v>
          </cell>
          <cell r="BP24">
            <v>-2000</v>
          </cell>
          <cell r="BQ24">
            <v>2778</v>
          </cell>
          <cell r="BR24">
            <v>177</v>
          </cell>
          <cell r="BS24">
            <v>0</v>
          </cell>
          <cell r="BT24">
            <v>0</v>
          </cell>
          <cell r="BU24">
            <v>11257</v>
          </cell>
          <cell r="BV24">
            <v>143</v>
          </cell>
          <cell r="BW24">
            <v>143</v>
          </cell>
          <cell r="BX24">
            <v>1551.5400000000002</v>
          </cell>
          <cell r="BY24">
            <v>0</v>
          </cell>
          <cell r="BZ24">
            <v>0</v>
          </cell>
          <cell r="CA24">
            <v>0</v>
          </cell>
          <cell r="CB24">
            <v>0</v>
          </cell>
          <cell r="CC24">
            <v>0</v>
          </cell>
          <cell r="CD24">
            <v>0</v>
          </cell>
          <cell r="CE24">
            <v>0</v>
          </cell>
          <cell r="CF24">
            <v>0</v>
          </cell>
          <cell r="CG24">
            <v>0</v>
          </cell>
          <cell r="CH24">
            <v>0</v>
          </cell>
          <cell r="CI24">
            <v>0</v>
          </cell>
          <cell r="CJ24">
            <v>0</v>
          </cell>
          <cell r="CK24">
            <v>0</v>
          </cell>
          <cell r="CL24" t="str">
            <v>SABU PAUL</v>
          </cell>
          <cell r="CM24" t="str">
            <v>RJ/13238/026</v>
          </cell>
          <cell r="CN24">
            <v>11400</v>
          </cell>
          <cell r="CO24">
            <v>6500</v>
          </cell>
          <cell r="CP24">
            <v>1368</v>
          </cell>
          <cell r="CQ24">
            <v>541</v>
          </cell>
          <cell r="CR24">
            <v>827</v>
          </cell>
          <cell r="CS24">
            <v>125.4</v>
          </cell>
          <cell r="CT24">
            <v>57</v>
          </cell>
          <cell r="CU24">
            <v>1.1400000000000001</v>
          </cell>
          <cell r="CV24">
            <v>1551.5400000000002</v>
          </cell>
          <cell r="CW24">
            <v>0</v>
          </cell>
          <cell r="CX24">
            <v>0</v>
          </cell>
          <cell r="CY24" t="str">
            <v>SABU PAUL</v>
          </cell>
          <cell r="CZ24">
            <v>11400</v>
          </cell>
          <cell r="DA24">
            <v>0</v>
          </cell>
          <cell r="DB24">
            <v>0</v>
          </cell>
          <cell r="DC24">
            <v>11400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row>
        <row r="25">
          <cell r="A25">
            <v>19</v>
          </cell>
          <cell r="C25">
            <v>19</v>
          </cell>
          <cell r="D25">
            <v>13</v>
          </cell>
          <cell r="E25" t="str">
            <v>C.A. MATHEWS</v>
          </cell>
          <cell r="F25" t="str">
            <v xml:space="preserve">Sales Executive    </v>
          </cell>
          <cell r="G25" t="str">
            <v>Sales</v>
          </cell>
          <cell r="H25" t="str">
            <v>Bangalore</v>
          </cell>
          <cell r="I25" t="str">
            <v>Non-Executive</v>
          </cell>
          <cell r="K25">
            <v>27397</v>
          </cell>
          <cell r="L25">
            <v>37410</v>
          </cell>
          <cell r="N25">
            <v>0</v>
          </cell>
          <cell r="R25">
            <v>0</v>
          </cell>
          <cell r="S25">
            <v>5300</v>
          </cell>
          <cell r="T25">
            <v>0</v>
          </cell>
          <cell r="U25">
            <v>2650</v>
          </cell>
          <cell r="V25">
            <v>750</v>
          </cell>
          <cell r="W25">
            <v>0</v>
          </cell>
          <cell r="X25">
            <v>0</v>
          </cell>
          <cell r="Y25">
            <v>0</v>
          </cell>
          <cell r="Z25">
            <v>0</v>
          </cell>
          <cell r="AA25">
            <v>0</v>
          </cell>
          <cell r="AB25">
            <v>2650</v>
          </cell>
          <cell r="AC25">
            <v>0</v>
          </cell>
          <cell r="AD25">
            <v>0</v>
          </cell>
          <cell r="AF25">
            <v>0</v>
          </cell>
          <cell r="AG25">
            <v>0</v>
          </cell>
          <cell r="AH25">
            <v>636</v>
          </cell>
          <cell r="AI25">
            <v>0</v>
          </cell>
          <cell r="AJ25">
            <v>8700</v>
          </cell>
          <cell r="AK25" t="str">
            <v>Sales Executive</v>
          </cell>
          <cell r="AL25">
            <v>0</v>
          </cell>
          <cell r="AM25">
            <v>13</v>
          </cell>
          <cell r="AN25" t="str">
            <v>C.A. MATHEWS</v>
          </cell>
          <cell r="AO25" t="str">
            <v xml:space="preserve">Sales Executive    </v>
          </cell>
          <cell r="AP25" t="str">
            <v>Bangalore</v>
          </cell>
          <cell r="AQ25" t="str">
            <v>Non-Executive</v>
          </cell>
          <cell r="AR25" t="str">
            <v>HDFC  BANK LTD.</v>
          </cell>
          <cell r="AS25" t="str">
            <v>0201050022672</v>
          </cell>
          <cell r="AT25">
            <v>31</v>
          </cell>
          <cell r="AU25">
            <v>0</v>
          </cell>
          <cell r="AV25">
            <v>5300</v>
          </cell>
          <cell r="AW25">
            <v>0</v>
          </cell>
          <cell r="AX25">
            <v>2650</v>
          </cell>
          <cell r="AY25">
            <v>750</v>
          </cell>
          <cell r="AZ25">
            <v>0</v>
          </cell>
          <cell r="BA25">
            <v>0</v>
          </cell>
          <cell r="BB25">
            <v>0</v>
          </cell>
          <cell r="BC25">
            <v>0</v>
          </cell>
          <cell r="BD25">
            <v>0</v>
          </cell>
          <cell r="BE25">
            <v>0</v>
          </cell>
          <cell r="BF25">
            <v>0</v>
          </cell>
          <cell r="BG25">
            <v>0</v>
          </cell>
          <cell r="BH25">
            <v>8700</v>
          </cell>
          <cell r="BI25">
            <v>636</v>
          </cell>
          <cell r="BJ25">
            <v>0</v>
          </cell>
          <cell r="BK25">
            <v>0</v>
          </cell>
          <cell r="BL25">
            <v>0</v>
          </cell>
          <cell r="BM25">
            <v>0</v>
          </cell>
          <cell r="BN25">
            <v>0</v>
          </cell>
          <cell r="BO25">
            <v>0</v>
          </cell>
          <cell r="BP25">
            <v>0</v>
          </cell>
          <cell r="BQ25">
            <v>0</v>
          </cell>
          <cell r="BR25">
            <v>0</v>
          </cell>
          <cell r="BS25">
            <v>0</v>
          </cell>
          <cell r="BT25">
            <v>0</v>
          </cell>
          <cell r="BU25">
            <v>636</v>
          </cell>
          <cell r="BV25">
            <v>8064</v>
          </cell>
          <cell r="BW25">
            <v>8064</v>
          </cell>
          <cell r="BX25">
            <v>721.32999999999993</v>
          </cell>
          <cell r="BY25">
            <v>0</v>
          </cell>
          <cell r="BZ25">
            <v>0</v>
          </cell>
          <cell r="CA25">
            <v>0</v>
          </cell>
          <cell r="CB25">
            <v>0</v>
          </cell>
          <cell r="CC25">
            <v>0</v>
          </cell>
          <cell r="CD25">
            <v>0</v>
          </cell>
          <cell r="CE25">
            <v>0</v>
          </cell>
          <cell r="CF25">
            <v>0</v>
          </cell>
          <cell r="CG25">
            <v>0</v>
          </cell>
          <cell r="CH25">
            <v>0</v>
          </cell>
          <cell r="CI25">
            <v>0</v>
          </cell>
          <cell r="CJ25">
            <v>0</v>
          </cell>
          <cell r="CK25">
            <v>0</v>
          </cell>
          <cell r="CL25" t="str">
            <v>C.A. MATHEWS</v>
          </cell>
          <cell r="CM25">
            <v>0</v>
          </cell>
          <cell r="CN25">
            <v>5300</v>
          </cell>
          <cell r="CO25">
            <v>5300</v>
          </cell>
          <cell r="CP25">
            <v>636</v>
          </cell>
          <cell r="CQ25">
            <v>441</v>
          </cell>
          <cell r="CR25">
            <v>195</v>
          </cell>
          <cell r="CS25">
            <v>58.300000000000004</v>
          </cell>
          <cell r="CT25">
            <v>26.5</v>
          </cell>
          <cell r="CU25">
            <v>0.53</v>
          </cell>
          <cell r="CV25">
            <v>721.32999999999993</v>
          </cell>
          <cell r="CW25">
            <v>0</v>
          </cell>
          <cell r="CX25">
            <v>0</v>
          </cell>
          <cell r="CY25" t="str">
            <v>C.A. MATHEWS</v>
          </cell>
          <cell r="CZ25">
            <v>5300</v>
          </cell>
          <cell r="DA25">
            <v>2650</v>
          </cell>
          <cell r="DB25">
            <v>0</v>
          </cell>
          <cell r="DC25">
            <v>7950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v>0</v>
          </cell>
          <cell r="DU25">
            <v>0</v>
          </cell>
          <cell r="DV25">
            <v>0</v>
          </cell>
        </row>
        <row r="26">
          <cell r="A26">
            <v>20</v>
          </cell>
          <cell r="C26">
            <v>20</v>
          </cell>
          <cell r="D26">
            <v>13</v>
          </cell>
          <cell r="E26" t="str">
            <v>SANJAY SHARMA</v>
          </cell>
          <cell r="F26" t="str">
            <v>Officer - Quality Assurance</v>
          </cell>
          <cell r="G26" t="str">
            <v>Quality</v>
          </cell>
          <cell r="H26" t="str">
            <v>Plant</v>
          </cell>
          <cell r="I26" t="str">
            <v>Non-Executive</v>
          </cell>
          <cell r="K26">
            <v>24918</v>
          </cell>
          <cell r="L26">
            <v>33760</v>
          </cell>
          <cell r="N26" t="str">
            <v>RJ/13238/019</v>
          </cell>
          <cell r="R26" t="str">
            <v>Mr. Ram Kishan Sharma</v>
          </cell>
          <cell r="S26">
            <v>5925</v>
          </cell>
          <cell r="T26">
            <v>1778</v>
          </cell>
          <cell r="U26">
            <v>2963</v>
          </cell>
          <cell r="V26">
            <v>1500</v>
          </cell>
          <cell r="W26">
            <v>650</v>
          </cell>
          <cell r="X26">
            <v>0</v>
          </cell>
          <cell r="Y26">
            <v>0</v>
          </cell>
          <cell r="AA26">
            <v>0</v>
          </cell>
          <cell r="AB26">
            <v>4741</v>
          </cell>
          <cell r="AC26">
            <v>0</v>
          </cell>
          <cell r="AD26">
            <v>0</v>
          </cell>
          <cell r="AE26">
            <v>0</v>
          </cell>
          <cell r="AF26">
            <v>0</v>
          </cell>
          <cell r="AG26">
            <v>0</v>
          </cell>
          <cell r="AH26">
            <v>711</v>
          </cell>
          <cell r="AI26">
            <v>0</v>
          </cell>
          <cell r="AJ26">
            <v>12816</v>
          </cell>
          <cell r="AK26" t="str">
            <v>Mfg. Service</v>
          </cell>
          <cell r="AL26">
            <v>0</v>
          </cell>
          <cell r="AM26">
            <v>13</v>
          </cell>
          <cell r="AN26" t="str">
            <v>SANJAY SHARMA</v>
          </cell>
          <cell r="AO26" t="str">
            <v>Officer - Quality Assurance</v>
          </cell>
          <cell r="AP26" t="str">
            <v>Plant</v>
          </cell>
          <cell r="AQ26" t="str">
            <v>Non-Executive</v>
          </cell>
          <cell r="AR26" t="str">
            <v>HDFC  BANK LTD.</v>
          </cell>
          <cell r="AS26" t="str">
            <v>0901050030536</v>
          </cell>
          <cell r="AT26">
            <v>31</v>
          </cell>
          <cell r="AU26">
            <v>0</v>
          </cell>
          <cell r="AV26">
            <v>5925</v>
          </cell>
          <cell r="AW26">
            <v>1778</v>
          </cell>
          <cell r="AX26">
            <v>2963</v>
          </cell>
          <cell r="AY26">
            <v>1500</v>
          </cell>
          <cell r="AZ26">
            <v>650</v>
          </cell>
          <cell r="BA26">
            <v>0</v>
          </cell>
          <cell r="BB26">
            <v>0</v>
          </cell>
          <cell r="BC26">
            <v>0</v>
          </cell>
          <cell r="BD26">
            <v>0</v>
          </cell>
          <cell r="BE26">
            <v>0</v>
          </cell>
          <cell r="BF26">
            <v>0</v>
          </cell>
          <cell r="BG26">
            <v>0</v>
          </cell>
          <cell r="BH26">
            <v>12816</v>
          </cell>
          <cell r="BI26">
            <v>711</v>
          </cell>
          <cell r="BJ26">
            <v>0</v>
          </cell>
          <cell r="BK26">
            <v>0</v>
          </cell>
          <cell r="BL26">
            <v>0</v>
          </cell>
          <cell r="BM26">
            <v>0</v>
          </cell>
          <cell r="BN26">
            <v>100</v>
          </cell>
          <cell r="BO26">
            <v>0</v>
          </cell>
          <cell r="BP26">
            <v>0</v>
          </cell>
          <cell r="BQ26">
            <v>0</v>
          </cell>
          <cell r="BR26">
            <v>0</v>
          </cell>
          <cell r="BS26">
            <v>0</v>
          </cell>
          <cell r="BT26">
            <v>0</v>
          </cell>
          <cell r="BU26">
            <v>811</v>
          </cell>
          <cell r="BV26">
            <v>12005</v>
          </cell>
          <cell r="BW26">
            <v>12005</v>
          </cell>
          <cell r="BX26">
            <v>806.39249999999993</v>
          </cell>
          <cell r="BY26">
            <v>0</v>
          </cell>
          <cell r="BZ26">
            <v>0</v>
          </cell>
          <cell r="CA26">
            <v>0</v>
          </cell>
          <cell r="CB26">
            <v>0</v>
          </cell>
          <cell r="CC26">
            <v>0</v>
          </cell>
          <cell r="CD26">
            <v>0</v>
          </cell>
          <cell r="CE26">
            <v>0</v>
          </cell>
          <cell r="CF26">
            <v>0</v>
          </cell>
          <cell r="CG26">
            <v>0</v>
          </cell>
          <cell r="CH26">
            <v>0</v>
          </cell>
          <cell r="CI26">
            <v>0</v>
          </cell>
          <cell r="CJ26">
            <v>0</v>
          </cell>
          <cell r="CK26">
            <v>0</v>
          </cell>
          <cell r="CL26" t="str">
            <v>SANJAY SHARMA</v>
          </cell>
          <cell r="CM26" t="str">
            <v>RJ/13238/019</v>
          </cell>
          <cell r="CN26">
            <v>5925</v>
          </cell>
          <cell r="CO26">
            <v>5925</v>
          </cell>
          <cell r="CP26">
            <v>711</v>
          </cell>
          <cell r="CQ26">
            <v>494</v>
          </cell>
          <cell r="CR26">
            <v>217</v>
          </cell>
          <cell r="CS26">
            <v>65.175000000000011</v>
          </cell>
          <cell r="CT26">
            <v>29.625</v>
          </cell>
          <cell r="CU26">
            <v>0.59250000000000003</v>
          </cell>
          <cell r="CV26">
            <v>806.39249999999993</v>
          </cell>
          <cell r="CW26">
            <v>0</v>
          </cell>
          <cell r="CX26">
            <v>0</v>
          </cell>
          <cell r="CY26" t="str">
            <v>SANJAY SHARMA</v>
          </cell>
          <cell r="CZ26">
            <v>5925</v>
          </cell>
          <cell r="DA26">
            <v>2963</v>
          </cell>
          <cell r="DB26">
            <v>1778</v>
          </cell>
          <cell r="DC26">
            <v>10666</v>
          </cell>
          <cell r="DD26">
            <v>0</v>
          </cell>
          <cell r="DE26">
            <v>0</v>
          </cell>
          <cell r="DF26">
            <v>0</v>
          </cell>
          <cell r="DG26">
            <v>0</v>
          </cell>
          <cell r="DH26">
            <v>0</v>
          </cell>
          <cell r="DI26">
            <v>0</v>
          </cell>
          <cell r="DJ26">
            <v>0</v>
          </cell>
          <cell r="DK26">
            <v>0</v>
          </cell>
          <cell r="DL26">
            <v>0</v>
          </cell>
          <cell r="DM26">
            <v>0</v>
          </cell>
          <cell r="DN26">
            <v>0</v>
          </cell>
          <cell r="DO26">
            <v>0</v>
          </cell>
          <cell r="DP26">
            <v>0</v>
          </cell>
          <cell r="DQ26">
            <v>0</v>
          </cell>
        </row>
        <row r="27">
          <cell r="A27">
            <v>21</v>
          </cell>
          <cell r="C27">
            <v>21</v>
          </cell>
          <cell r="D27">
            <v>14</v>
          </cell>
          <cell r="E27" t="str">
            <v>T G PAUL</v>
          </cell>
          <cell r="F27" t="str">
            <v>Sr. Officer - Admin. &amp; Sectl. Ser.</v>
          </cell>
          <cell r="G27" t="str">
            <v xml:space="preserve">M.D. Office </v>
          </cell>
          <cell r="H27" t="str">
            <v>Plant</v>
          </cell>
          <cell r="I27" t="str">
            <v>Non-Executive</v>
          </cell>
          <cell r="K27">
            <v>20999</v>
          </cell>
          <cell r="L27">
            <v>34779</v>
          </cell>
          <cell r="N27" t="str">
            <v>RJ/13238/092</v>
          </cell>
          <cell r="R27" t="str">
            <v>Mr. T.A. George</v>
          </cell>
          <cell r="S27">
            <v>9500</v>
          </cell>
          <cell r="T27">
            <v>2850</v>
          </cell>
          <cell r="U27">
            <v>4750</v>
          </cell>
          <cell r="V27">
            <v>1800</v>
          </cell>
          <cell r="W27">
            <v>950</v>
          </cell>
          <cell r="X27">
            <v>0</v>
          </cell>
          <cell r="Y27">
            <v>0</v>
          </cell>
          <cell r="AA27">
            <v>0</v>
          </cell>
          <cell r="AB27">
            <v>7600</v>
          </cell>
          <cell r="AC27">
            <v>0</v>
          </cell>
          <cell r="AD27">
            <v>0</v>
          </cell>
          <cell r="AE27">
            <v>0</v>
          </cell>
          <cell r="AF27">
            <v>0</v>
          </cell>
          <cell r="AG27">
            <v>0</v>
          </cell>
          <cell r="AH27">
            <v>1140</v>
          </cell>
          <cell r="AI27">
            <v>0</v>
          </cell>
          <cell r="AJ27">
            <v>19850</v>
          </cell>
          <cell r="AK27" t="str">
            <v>G&amp;A</v>
          </cell>
          <cell r="AL27">
            <v>0</v>
          </cell>
          <cell r="AM27">
            <v>14</v>
          </cell>
          <cell r="AN27" t="str">
            <v>T G PAUL</v>
          </cell>
          <cell r="AO27" t="str">
            <v>Sr. Officer - Admin. &amp; Sectl. Ser.</v>
          </cell>
          <cell r="AP27" t="str">
            <v>Plant</v>
          </cell>
          <cell r="AQ27" t="str">
            <v>Non-Executive</v>
          </cell>
          <cell r="AR27" t="str">
            <v>HDFC  BANK LTD.</v>
          </cell>
          <cell r="AS27" t="str">
            <v>1681050004724</v>
          </cell>
          <cell r="AT27">
            <v>31</v>
          </cell>
          <cell r="AU27">
            <v>0</v>
          </cell>
          <cell r="AV27">
            <v>9500</v>
          </cell>
          <cell r="AW27">
            <v>2850</v>
          </cell>
          <cell r="AX27">
            <v>4750</v>
          </cell>
          <cell r="AY27">
            <v>1800</v>
          </cell>
          <cell r="AZ27">
            <v>950</v>
          </cell>
          <cell r="BA27">
            <v>0</v>
          </cell>
          <cell r="BB27">
            <v>0</v>
          </cell>
          <cell r="BC27">
            <v>0</v>
          </cell>
          <cell r="BD27">
            <v>0</v>
          </cell>
          <cell r="BE27">
            <v>0</v>
          </cell>
          <cell r="BF27">
            <v>0</v>
          </cell>
          <cell r="BG27">
            <v>0</v>
          </cell>
          <cell r="BH27">
            <v>19850</v>
          </cell>
          <cell r="BI27">
            <v>1140</v>
          </cell>
          <cell r="BJ27">
            <v>93</v>
          </cell>
          <cell r="BK27">
            <v>0</v>
          </cell>
          <cell r="BL27">
            <v>0</v>
          </cell>
          <cell r="BM27">
            <v>0</v>
          </cell>
          <cell r="BN27">
            <v>150</v>
          </cell>
          <cell r="BO27">
            <v>0</v>
          </cell>
          <cell r="BP27">
            <v>0</v>
          </cell>
          <cell r="BQ27">
            <v>0</v>
          </cell>
          <cell r="BR27">
            <v>0</v>
          </cell>
          <cell r="BS27">
            <v>0</v>
          </cell>
          <cell r="BT27">
            <v>0</v>
          </cell>
          <cell r="BU27">
            <v>1383</v>
          </cell>
          <cell r="BV27">
            <v>18467</v>
          </cell>
          <cell r="BW27">
            <v>18467</v>
          </cell>
          <cell r="BX27">
            <v>1292.95</v>
          </cell>
          <cell r="BY27">
            <v>0</v>
          </cell>
          <cell r="BZ27">
            <v>0</v>
          </cell>
          <cell r="CA27">
            <v>0</v>
          </cell>
          <cell r="CB27">
            <v>0</v>
          </cell>
          <cell r="CC27">
            <v>0</v>
          </cell>
          <cell r="CD27">
            <v>0</v>
          </cell>
          <cell r="CE27">
            <v>0</v>
          </cell>
          <cell r="CF27">
            <v>0</v>
          </cell>
          <cell r="CG27">
            <v>0</v>
          </cell>
          <cell r="CH27">
            <v>0</v>
          </cell>
          <cell r="CI27">
            <v>0</v>
          </cell>
          <cell r="CJ27">
            <v>0</v>
          </cell>
          <cell r="CK27">
            <v>0</v>
          </cell>
          <cell r="CL27" t="str">
            <v>T G PAUL</v>
          </cell>
          <cell r="CM27" t="str">
            <v>RJ/13238/092</v>
          </cell>
          <cell r="CN27">
            <v>9500</v>
          </cell>
          <cell r="CO27">
            <v>6500</v>
          </cell>
          <cell r="CP27">
            <v>1140</v>
          </cell>
          <cell r="CQ27">
            <v>541</v>
          </cell>
          <cell r="CR27">
            <v>599</v>
          </cell>
          <cell r="CS27">
            <v>104.50000000000001</v>
          </cell>
          <cell r="CT27">
            <v>47.5</v>
          </cell>
          <cell r="CU27">
            <v>0.95000000000000007</v>
          </cell>
          <cell r="CV27">
            <v>1292.95</v>
          </cell>
          <cell r="CW27">
            <v>0</v>
          </cell>
          <cell r="CX27">
            <v>0</v>
          </cell>
          <cell r="CY27" t="str">
            <v>T G PAUL</v>
          </cell>
          <cell r="CZ27">
            <v>9500</v>
          </cell>
          <cell r="DA27">
            <v>4750</v>
          </cell>
          <cell r="DB27">
            <v>2850</v>
          </cell>
          <cell r="DC27">
            <v>17100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row>
        <row r="28">
          <cell r="A28">
            <v>22</v>
          </cell>
          <cell r="C28">
            <v>22</v>
          </cell>
          <cell r="D28">
            <v>14</v>
          </cell>
          <cell r="E28" t="str">
            <v>PRADEEP SINGH</v>
          </cell>
          <cell r="F28" t="str">
            <v>Sr. Officer - Purchase</v>
          </cell>
          <cell r="G28" t="str">
            <v>Purchase &amp; Stores</v>
          </cell>
          <cell r="H28" t="str">
            <v>Plant</v>
          </cell>
          <cell r="I28" t="str">
            <v>Non-Executive</v>
          </cell>
          <cell r="K28">
            <v>22157</v>
          </cell>
          <cell r="L28">
            <v>33725</v>
          </cell>
          <cell r="N28" t="str">
            <v>RJ/13238/011</v>
          </cell>
          <cell r="R28" t="str">
            <v>Sh. Lachhman Dass</v>
          </cell>
          <cell r="S28">
            <v>7900</v>
          </cell>
          <cell r="T28">
            <v>2370</v>
          </cell>
          <cell r="U28">
            <v>3950</v>
          </cell>
          <cell r="V28">
            <v>1800</v>
          </cell>
          <cell r="W28">
            <v>950</v>
          </cell>
          <cell r="X28">
            <v>0</v>
          </cell>
          <cell r="Y28">
            <v>0</v>
          </cell>
          <cell r="AA28">
            <v>0</v>
          </cell>
          <cell r="AB28">
            <v>6320</v>
          </cell>
          <cell r="AC28">
            <v>0</v>
          </cell>
          <cell r="AD28">
            <v>0</v>
          </cell>
          <cell r="AE28">
            <v>0</v>
          </cell>
          <cell r="AF28">
            <v>0</v>
          </cell>
          <cell r="AG28">
            <v>0</v>
          </cell>
          <cell r="AH28">
            <v>948</v>
          </cell>
          <cell r="AI28">
            <v>0</v>
          </cell>
          <cell r="AJ28">
            <v>16970</v>
          </cell>
          <cell r="AK28" t="str">
            <v>Mfg. Service</v>
          </cell>
          <cell r="AL28">
            <v>0</v>
          </cell>
          <cell r="AM28">
            <v>14</v>
          </cell>
          <cell r="AN28" t="str">
            <v>PRADEEP SINGH</v>
          </cell>
          <cell r="AO28" t="str">
            <v>Sr. Officer - Purchase</v>
          </cell>
          <cell r="AP28" t="str">
            <v>Plant</v>
          </cell>
          <cell r="AQ28" t="str">
            <v>Non-Executive</v>
          </cell>
          <cell r="AR28" t="str">
            <v>HDFC  BANK LTD.</v>
          </cell>
          <cell r="AS28" t="str">
            <v>0901050024608</v>
          </cell>
          <cell r="AT28">
            <v>31</v>
          </cell>
          <cell r="AU28">
            <v>0</v>
          </cell>
          <cell r="AV28">
            <v>7900</v>
          </cell>
          <cell r="AW28">
            <v>2370</v>
          </cell>
          <cell r="AX28">
            <v>3950</v>
          </cell>
          <cell r="AY28">
            <v>1800</v>
          </cell>
          <cell r="AZ28">
            <v>950</v>
          </cell>
          <cell r="BA28">
            <v>0</v>
          </cell>
          <cell r="BB28">
            <v>0</v>
          </cell>
          <cell r="BC28">
            <v>0</v>
          </cell>
          <cell r="BD28">
            <v>0</v>
          </cell>
          <cell r="BE28">
            <v>0</v>
          </cell>
          <cell r="BF28">
            <v>0</v>
          </cell>
          <cell r="BG28">
            <v>0</v>
          </cell>
          <cell r="BH28">
            <v>16970</v>
          </cell>
          <cell r="BI28">
            <v>948</v>
          </cell>
          <cell r="BJ28">
            <v>93</v>
          </cell>
          <cell r="BK28">
            <v>0</v>
          </cell>
          <cell r="BL28">
            <v>0</v>
          </cell>
          <cell r="BM28">
            <v>0</v>
          </cell>
          <cell r="BN28">
            <v>150</v>
          </cell>
          <cell r="BO28">
            <v>0</v>
          </cell>
          <cell r="BP28">
            <v>0</v>
          </cell>
          <cell r="BQ28">
            <v>1111</v>
          </cell>
          <cell r="BR28">
            <v>70</v>
          </cell>
          <cell r="BS28">
            <v>0</v>
          </cell>
          <cell r="BT28">
            <v>0</v>
          </cell>
          <cell r="BU28">
            <v>2372</v>
          </cell>
          <cell r="BV28">
            <v>14598</v>
          </cell>
          <cell r="BW28">
            <v>14598</v>
          </cell>
          <cell r="BX28">
            <v>1075.19</v>
          </cell>
          <cell r="BY28">
            <v>0</v>
          </cell>
          <cell r="BZ28">
            <v>0</v>
          </cell>
          <cell r="CA28">
            <v>0</v>
          </cell>
          <cell r="CB28">
            <v>0</v>
          </cell>
          <cell r="CC28">
            <v>0</v>
          </cell>
          <cell r="CD28">
            <v>0</v>
          </cell>
          <cell r="CE28">
            <v>0</v>
          </cell>
          <cell r="CF28">
            <v>0</v>
          </cell>
          <cell r="CG28">
            <v>0</v>
          </cell>
          <cell r="CH28">
            <v>0</v>
          </cell>
          <cell r="CI28">
            <v>0</v>
          </cell>
          <cell r="CJ28">
            <v>0</v>
          </cell>
          <cell r="CK28">
            <v>0</v>
          </cell>
          <cell r="CL28" t="str">
            <v>PRADEEP SINGH</v>
          </cell>
          <cell r="CM28" t="str">
            <v>RJ/13238/011</v>
          </cell>
          <cell r="CN28">
            <v>7900</v>
          </cell>
          <cell r="CO28">
            <v>6500</v>
          </cell>
          <cell r="CP28">
            <v>948</v>
          </cell>
          <cell r="CQ28">
            <v>541</v>
          </cell>
          <cell r="CR28">
            <v>407</v>
          </cell>
          <cell r="CS28">
            <v>86.9</v>
          </cell>
          <cell r="CT28">
            <v>39.5</v>
          </cell>
          <cell r="CU28">
            <v>0.79</v>
          </cell>
          <cell r="CV28">
            <v>1075.19</v>
          </cell>
          <cell r="CW28">
            <v>0</v>
          </cell>
          <cell r="CX28">
            <v>0</v>
          </cell>
          <cell r="CY28" t="str">
            <v>PRADEEP SINGH</v>
          </cell>
          <cell r="CZ28">
            <v>7900</v>
          </cell>
          <cell r="DA28">
            <v>3950</v>
          </cell>
          <cell r="DB28">
            <v>2370</v>
          </cell>
          <cell r="DC28">
            <v>14220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row>
        <row r="29">
          <cell r="A29">
            <v>23</v>
          </cell>
          <cell r="C29">
            <v>23</v>
          </cell>
          <cell r="D29">
            <v>14</v>
          </cell>
          <cell r="E29" t="str">
            <v>VIPUL JAIN</v>
          </cell>
          <cell r="F29" t="str">
            <v>Sr. Officer - Accounts</v>
          </cell>
          <cell r="G29" t="str">
            <v>Finance</v>
          </cell>
          <cell r="H29" t="str">
            <v>Plant</v>
          </cell>
          <cell r="I29" t="str">
            <v>Non-Executive</v>
          </cell>
          <cell r="K29">
            <v>27260</v>
          </cell>
          <cell r="L29">
            <v>35339</v>
          </cell>
          <cell r="N29" t="str">
            <v>RJ/13238/126</v>
          </cell>
          <cell r="R29" t="str">
            <v>Sh. Prakash Chand Jain</v>
          </cell>
          <cell r="S29">
            <v>8550</v>
          </cell>
          <cell r="T29">
            <v>2565</v>
          </cell>
          <cell r="U29">
            <v>4275</v>
          </cell>
          <cell r="V29">
            <v>1800</v>
          </cell>
          <cell r="W29">
            <v>950</v>
          </cell>
          <cell r="X29">
            <v>0</v>
          </cell>
          <cell r="Y29">
            <v>0</v>
          </cell>
          <cell r="AA29">
            <v>0</v>
          </cell>
          <cell r="AB29">
            <v>6840</v>
          </cell>
          <cell r="AC29">
            <v>0</v>
          </cell>
          <cell r="AD29">
            <v>0</v>
          </cell>
          <cell r="AE29">
            <v>0</v>
          </cell>
          <cell r="AF29">
            <v>0</v>
          </cell>
          <cell r="AG29">
            <v>0</v>
          </cell>
          <cell r="AH29">
            <v>1026</v>
          </cell>
          <cell r="AI29">
            <v>0</v>
          </cell>
          <cell r="AJ29">
            <v>18140</v>
          </cell>
          <cell r="AK29" t="str">
            <v>Mfg. Service</v>
          </cell>
          <cell r="AL29">
            <v>0</v>
          </cell>
          <cell r="AM29">
            <v>14</v>
          </cell>
          <cell r="AN29" t="str">
            <v>VIPUL JAIN</v>
          </cell>
          <cell r="AO29" t="str">
            <v>Sr. Officer - Accounts</v>
          </cell>
          <cell r="AP29" t="str">
            <v>Plant</v>
          </cell>
          <cell r="AQ29" t="str">
            <v>Non-Executive</v>
          </cell>
          <cell r="AR29" t="str">
            <v>HDFC  BANK LTD.</v>
          </cell>
          <cell r="AS29" t="str">
            <v>0901050022578</v>
          </cell>
          <cell r="AT29">
            <v>31</v>
          </cell>
          <cell r="AU29">
            <v>0</v>
          </cell>
          <cell r="AV29">
            <v>8550</v>
          </cell>
          <cell r="AW29">
            <v>2565</v>
          </cell>
          <cell r="AX29">
            <v>4275</v>
          </cell>
          <cell r="AY29">
            <v>1800</v>
          </cell>
          <cell r="AZ29">
            <v>950</v>
          </cell>
          <cell r="BA29">
            <v>0</v>
          </cell>
          <cell r="BB29">
            <v>0</v>
          </cell>
          <cell r="BC29">
            <v>0</v>
          </cell>
          <cell r="BD29">
            <v>0</v>
          </cell>
          <cell r="BE29">
            <v>0</v>
          </cell>
          <cell r="BF29">
            <v>0</v>
          </cell>
          <cell r="BG29">
            <v>0</v>
          </cell>
          <cell r="BH29">
            <v>18140</v>
          </cell>
          <cell r="BI29">
            <v>1026</v>
          </cell>
          <cell r="BJ29">
            <v>0</v>
          </cell>
          <cell r="BK29">
            <v>0</v>
          </cell>
          <cell r="BL29">
            <v>0</v>
          </cell>
          <cell r="BM29">
            <v>0</v>
          </cell>
          <cell r="BN29">
            <v>150</v>
          </cell>
          <cell r="BO29">
            <v>0</v>
          </cell>
          <cell r="BP29">
            <v>0</v>
          </cell>
          <cell r="BQ29">
            <v>1389</v>
          </cell>
          <cell r="BR29">
            <v>87</v>
          </cell>
          <cell r="BS29">
            <v>0</v>
          </cell>
          <cell r="BT29">
            <v>0</v>
          </cell>
          <cell r="BU29">
            <v>2652</v>
          </cell>
          <cell r="BV29">
            <v>15488</v>
          </cell>
          <cell r="BW29">
            <v>15488</v>
          </cell>
          <cell r="BX29">
            <v>1163.655</v>
          </cell>
          <cell r="BY29">
            <v>0</v>
          </cell>
          <cell r="BZ29">
            <v>0</v>
          </cell>
          <cell r="CA29">
            <v>0</v>
          </cell>
          <cell r="CB29">
            <v>0</v>
          </cell>
          <cell r="CC29">
            <v>0</v>
          </cell>
          <cell r="CD29">
            <v>0</v>
          </cell>
          <cell r="CE29">
            <v>0</v>
          </cell>
          <cell r="CF29">
            <v>0</v>
          </cell>
          <cell r="CG29">
            <v>0</v>
          </cell>
          <cell r="CH29">
            <v>0</v>
          </cell>
          <cell r="CI29">
            <v>0</v>
          </cell>
          <cell r="CJ29">
            <v>0</v>
          </cell>
          <cell r="CK29">
            <v>0</v>
          </cell>
          <cell r="CL29" t="str">
            <v>VIPUL JAIN</v>
          </cell>
          <cell r="CM29" t="str">
            <v>RJ/13238/126</v>
          </cell>
          <cell r="CN29">
            <v>8550</v>
          </cell>
          <cell r="CO29">
            <v>6500</v>
          </cell>
          <cell r="CP29">
            <v>1026</v>
          </cell>
          <cell r="CQ29">
            <v>541</v>
          </cell>
          <cell r="CR29">
            <v>485</v>
          </cell>
          <cell r="CS29">
            <v>94.050000000000011</v>
          </cell>
          <cell r="CT29">
            <v>42.75</v>
          </cell>
          <cell r="CU29">
            <v>0.85500000000000009</v>
          </cell>
          <cell r="CV29">
            <v>1163.655</v>
          </cell>
          <cell r="CW29">
            <v>0</v>
          </cell>
          <cell r="CX29">
            <v>0</v>
          </cell>
          <cell r="CY29" t="str">
            <v>VIPUL JAIN</v>
          </cell>
          <cell r="CZ29">
            <v>8550</v>
          </cell>
          <cell r="DA29">
            <v>4275</v>
          </cell>
          <cell r="DB29">
            <v>2565</v>
          </cell>
          <cell r="DC29">
            <v>15390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0</v>
          </cell>
        </row>
        <row r="30">
          <cell r="A30">
            <v>24</v>
          </cell>
          <cell r="C30">
            <v>24</v>
          </cell>
          <cell r="D30">
            <v>13</v>
          </cell>
          <cell r="E30" t="str">
            <v>RAJENDER NATHOLIA</v>
          </cell>
          <cell r="F30" t="str">
            <v>Asst. Officer - Accounts</v>
          </cell>
          <cell r="G30" t="str">
            <v>Finance</v>
          </cell>
          <cell r="H30" t="str">
            <v>Plant</v>
          </cell>
          <cell r="I30" t="str">
            <v>Non-Executive</v>
          </cell>
          <cell r="K30">
            <v>25240</v>
          </cell>
          <cell r="L30">
            <v>35115</v>
          </cell>
          <cell r="N30" t="str">
            <v>RJ/13238/107</v>
          </cell>
          <cell r="R30" t="str">
            <v>Mr. Bhagwati Prasad Natholia</v>
          </cell>
          <cell r="S30">
            <v>5575</v>
          </cell>
          <cell r="T30">
            <v>1673</v>
          </cell>
          <cell r="U30">
            <v>2788</v>
          </cell>
          <cell r="V30">
            <v>1300</v>
          </cell>
          <cell r="W30">
            <v>575</v>
          </cell>
          <cell r="X30">
            <v>0</v>
          </cell>
          <cell r="Y30">
            <v>0</v>
          </cell>
          <cell r="AA30">
            <v>0</v>
          </cell>
          <cell r="AB30">
            <v>4461</v>
          </cell>
          <cell r="AC30">
            <v>0</v>
          </cell>
          <cell r="AD30">
            <v>0</v>
          </cell>
          <cell r="AE30">
            <v>0</v>
          </cell>
          <cell r="AF30">
            <v>0</v>
          </cell>
          <cell r="AG30">
            <v>0</v>
          </cell>
          <cell r="AH30">
            <v>669</v>
          </cell>
          <cell r="AI30">
            <v>0</v>
          </cell>
          <cell r="AJ30">
            <v>11911</v>
          </cell>
          <cell r="AK30" t="str">
            <v>Marketing</v>
          </cell>
          <cell r="AL30">
            <v>0</v>
          </cell>
          <cell r="AM30">
            <v>13</v>
          </cell>
          <cell r="AN30" t="str">
            <v>RAJENDER NATHOLIA</v>
          </cell>
          <cell r="AO30" t="str">
            <v>Asst. Officer - Accounts</v>
          </cell>
          <cell r="AP30" t="str">
            <v>Plant</v>
          </cell>
          <cell r="AQ30" t="str">
            <v>Non-Executive</v>
          </cell>
          <cell r="AR30" t="str">
            <v>HDFC  BANK LTD.</v>
          </cell>
          <cell r="AS30" t="str">
            <v>0901050024546</v>
          </cell>
          <cell r="AT30">
            <v>31</v>
          </cell>
          <cell r="AU30">
            <v>0</v>
          </cell>
          <cell r="AV30">
            <v>5575</v>
          </cell>
          <cell r="AW30">
            <v>1673</v>
          </cell>
          <cell r="AX30">
            <v>2788</v>
          </cell>
          <cell r="AY30">
            <v>1300</v>
          </cell>
          <cell r="AZ30">
            <v>575</v>
          </cell>
          <cell r="BA30">
            <v>0</v>
          </cell>
          <cell r="BB30">
            <v>0</v>
          </cell>
          <cell r="BC30">
            <v>0</v>
          </cell>
          <cell r="BD30">
            <v>0</v>
          </cell>
          <cell r="BE30">
            <v>0</v>
          </cell>
          <cell r="BF30">
            <v>0</v>
          </cell>
          <cell r="BG30">
            <v>0</v>
          </cell>
          <cell r="BH30">
            <v>11911</v>
          </cell>
          <cell r="BI30">
            <v>669</v>
          </cell>
          <cell r="BJ30">
            <v>93</v>
          </cell>
          <cell r="BK30">
            <v>0</v>
          </cell>
          <cell r="BL30">
            <v>0</v>
          </cell>
          <cell r="BM30">
            <v>0</v>
          </cell>
          <cell r="BN30">
            <v>0</v>
          </cell>
          <cell r="BO30">
            <v>0</v>
          </cell>
          <cell r="BP30">
            <v>0</v>
          </cell>
          <cell r="BQ30">
            <v>1111</v>
          </cell>
          <cell r="BR30">
            <v>70</v>
          </cell>
          <cell r="BS30">
            <v>0</v>
          </cell>
          <cell r="BT30">
            <v>0</v>
          </cell>
          <cell r="BU30">
            <v>1943</v>
          </cell>
          <cell r="BV30">
            <v>9968</v>
          </cell>
          <cell r="BW30">
            <v>9968</v>
          </cell>
          <cell r="BX30">
            <v>758.75750000000005</v>
          </cell>
          <cell r="BY30">
            <v>0</v>
          </cell>
          <cell r="BZ30">
            <v>0</v>
          </cell>
          <cell r="CA30">
            <v>0</v>
          </cell>
          <cell r="CB30">
            <v>0</v>
          </cell>
          <cell r="CC30">
            <v>0</v>
          </cell>
          <cell r="CD30">
            <v>0</v>
          </cell>
          <cell r="CE30">
            <v>0</v>
          </cell>
          <cell r="CF30">
            <v>0</v>
          </cell>
          <cell r="CG30">
            <v>0</v>
          </cell>
          <cell r="CH30">
            <v>0</v>
          </cell>
          <cell r="CI30">
            <v>0</v>
          </cell>
          <cell r="CJ30">
            <v>0</v>
          </cell>
          <cell r="CK30">
            <v>0</v>
          </cell>
          <cell r="CL30" t="str">
            <v>RAJENDER NATHOLIA</v>
          </cell>
          <cell r="CM30" t="str">
            <v>RJ/13238/107</v>
          </cell>
          <cell r="CN30">
            <v>5575</v>
          </cell>
          <cell r="CO30">
            <v>5575</v>
          </cell>
          <cell r="CP30">
            <v>669</v>
          </cell>
          <cell r="CQ30">
            <v>464</v>
          </cell>
          <cell r="CR30">
            <v>205</v>
          </cell>
          <cell r="CS30">
            <v>61.325000000000003</v>
          </cell>
          <cell r="CT30">
            <v>27.875</v>
          </cell>
          <cell r="CU30">
            <v>0.5575</v>
          </cell>
          <cell r="CV30">
            <v>758.75750000000005</v>
          </cell>
          <cell r="CW30">
            <v>0</v>
          </cell>
          <cell r="CX30">
            <v>0</v>
          </cell>
          <cell r="CY30" t="str">
            <v>RAJENDER NATHOLIA</v>
          </cell>
          <cell r="CZ30">
            <v>5575</v>
          </cell>
          <cell r="DA30">
            <v>2788</v>
          </cell>
          <cell r="DB30">
            <v>1673</v>
          </cell>
          <cell r="DC30">
            <v>10036</v>
          </cell>
          <cell r="DD30">
            <v>0</v>
          </cell>
          <cell r="DE30">
            <v>0</v>
          </cell>
          <cell r="DF30">
            <v>0</v>
          </cell>
          <cell r="DG30">
            <v>0</v>
          </cell>
          <cell r="DH30">
            <v>0</v>
          </cell>
          <cell r="DI30">
            <v>0</v>
          </cell>
          <cell r="DJ30">
            <v>0</v>
          </cell>
          <cell r="DK30">
            <v>0</v>
          </cell>
          <cell r="DL30">
            <v>0</v>
          </cell>
          <cell r="DM30">
            <v>0</v>
          </cell>
          <cell r="DN30">
            <v>0</v>
          </cell>
          <cell r="DO30">
            <v>0</v>
          </cell>
          <cell r="DP30">
            <v>0</v>
          </cell>
          <cell r="DQ30">
            <v>0</v>
          </cell>
        </row>
        <row r="31">
          <cell r="A31">
            <v>25</v>
          </cell>
          <cell r="C31">
            <v>25</v>
          </cell>
          <cell r="D31">
            <v>13</v>
          </cell>
          <cell r="E31" t="str">
            <v>SANDEEP JAIN</v>
          </cell>
          <cell r="F31" t="str">
            <v>Officer - Logistics</v>
          </cell>
          <cell r="G31" t="str">
            <v>Planning</v>
          </cell>
          <cell r="H31" t="str">
            <v>Plant</v>
          </cell>
          <cell r="I31" t="str">
            <v>Non-Executive</v>
          </cell>
          <cell r="K31">
            <v>25663</v>
          </cell>
          <cell r="L31">
            <v>34571</v>
          </cell>
          <cell r="N31" t="str">
            <v>RJ/13238/084</v>
          </cell>
          <cell r="R31" t="str">
            <v>Sh. Ramesh Chand Jain</v>
          </cell>
          <cell r="S31">
            <v>6625</v>
          </cell>
          <cell r="T31">
            <v>1988</v>
          </cell>
          <cell r="U31">
            <v>3313</v>
          </cell>
          <cell r="V31">
            <v>1500</v>
          </cell>
          <cell r="W31">
            <v>650</v>
          </cell>
          <cell r="X31">
            <v>0</v>
          </cell>
          <cell r="Y31">
            <v>0</v>
          </cell>
          <cell r="AA31">
            <v>0</v>
          </cell>
          <cell r="AB31">
            <v>5301</v>
          </cell>
          <cell r="AC31">
            <v>0</v>
          </cell>
          <cell r="AD31">
            <v>0</v>
          </cell>
          <cell r="AE31">
            <v>0</v>
          </cell>
          <cell r="AF31">
            <v>0</v>
          </cell>
          <cell r="AG31">
            <v>0</v>
          </cell>
          <cell r="AH31">
            <v>795</v>
          </cell>
          <cell r="AI31">
            <v>0</v>
          </cell>
          <cell r="AJ31">
            <v>14076</v>
          </cell>
          <cell r="AK31" t="str">
            <v>Marketing</v>
          </cell>
          <cell r="AL31">
            <v>0</v>
          </cell>
          <cell r="AM31">
            <v>13</v>
          </cell>
          <cell r="AN31" t="str">
            <v>SANDEEP JAIN</v>
          </cell>
          <cell r="AO31" t="str">
            <v>Officer - Logistics</v>
          </cell>
          <cell r="AP31" t="str">
            <v>Plant</v>
          </cell>
          <cell r="AQ31" t="str">
            <v>Non-Executive</v>
          </cell>
          <cell r="AR31" t="str">
            <v>HDFC  BANK LTD.</v>
          </cell>
          <cell r="AS31" t="str">
            <v>1681050004768</v>
          </cell>
          <cell r="AT31">
            <v>31</v>
          </cell>
          <cell r="AU31">
            <v>0</v>
          </cell>
          <cell r="AV31">
            <v>6625</v>
          </cell>
          <cell r="AW31">
            <v>1988</v>
          </cell>
          <cell r="AX31">
            <v>3313</v>
          </cell>
          <cell r="AY31">
            <v>1500</v>
          </cell>
          <cell r="AZ31">
            <v>650</v>
          </cell>
          <cell r="BA31">
            <v>0</v>
          </cell>
          <cell r="BB31">
            <v>0</v>
          </cell>
          <cell r="BC31">
            <v>0</v>
          </cell>
          <cell r="BD31">
            <v>0</v>
          </cell>
          <cell r="BE31">
            <v>0</v>
          </cell>
          <cell r="BF31">
            <v>0</v>
          </cell>
          <cell r="BG31">
            <v>0</v>
          </cell>
          <cell r="BH31">
            <v>14076</v>
          </cell>
          <cell r="BI31">
            <v>795</v>
          </cell>
          <cell r="BJ31">
            <v>93</v>
          </cell>
          <cell r="BK31">
            <v>0</v>
          </cell>
          <cell r="BL31">
            <v>0</v>
          </cell>
          <cell r="BM31">
            <v>0</v>
          </cell>
          <cell r="BN31">
            <v>100</v>
          </cell>
          <cell r="BO31">
            <v>0</v>
          </cell>
          <cell r="BP31">
            <v>0</v>
          </cell>
          <cell r="BQ31">
            <v>0</v>
          </cell>
          <cell r="BR31">
            <v>0</v>
          </cell>
          <cell r="BS31">
            <v>0</v>
          </cell>
          <cell r="BT31">
            <v>0</v>
          </cell>
          <cell r="BU31">
            <v>988</v>
          </cell>
          <cell r="BV31">
            <v>13088</v>
          </cell>
          <cell r="BW31">
            <v>13088</v>
          </cell>
          <cell r="BX31">
            <v>901.66250000000002</v>
          </cell>
          <cell r="BY31">
            <v>0</v>
          </cell>
          <cell r="BZ31">
            <v>0</v>
          </cell>
          <cell r="CA31">
            <v>0</v>
          </cell>
          <cell r="CB31">
            <v>0</v>
          </cell>
          <cell r="CC31">
            <v>0</v>
          </cell>
          <cell r="CD31">
            <v>0</v>
          </cell>
          <cell r="CE31">
            <v>0</v>
          </cell>
          <cell r="CF31">
            <v>0</v>
          </cell>
          <cell r="CG31">
            <v>0</v>
          </cell>
          <cell r="CH31">
            <v>0</v>
          </cell>
          <cell r="CI31">
            <v>0</v>
          </cell>
          <cell r="CJ31">
            <v>0</v>
          </cell>
          <cell r="CK31">
            <v>0</v>
          </cell>
          <cell r="CL31" t="str">
            <v>SANDEEP JAIN</v>
          </cell>
          <cell r="CM31" t="str">
            <v>RJ/13238/084</v>
          </cell>
          <cell r="CN31">
            <v>6625</v>
          </cell>
          <cell r="CO31">
            <v>6500</v>
          </cell>
          <cell r="CP31">
            <v>795</v>
          </cell>
          <cell r="CQ31">
            <v>541</v>
          </cell>
          <cell r="CR31">
            <v>254</v>
          </cell>
          <cell r="CS31">
            <v>72.875000000000014</v>
          </cell>
          <cell r="CT31">
            <v>33.125</v>
          </cell>
          <cell r="CU31">
            <v>0.66249999999999998</v>
          </cell>
          <cell r="CV31">
            <v>901.66250000000002</v>
          </cell>
          <cell r="CW31">
            <v>0</v>
          </cell>
          <cell r="CX31">
            <v>0</v>
          </cell>
          <cell r="CY31" t="str">
            <v>SANDEEP JAIN</v>
          </cell>
          <cell r="CZ31">
            <v>6625</v>
          </cell>
          <cell r="DA31">
            <v>3313</v>
          </cell>
          <cell r="DB31">
            <v>1988</v>
          </cell>
          <cell r="DC31">
            <v>11926</v>
          </cell>
          <cell r="DD31">
            <v>0</v>
          </cell>
          <cell r="DE31">
            <v>0</v>
          </cell>
          <cell r="DF31">
            <v>0</v>
          </cell>
          <cell r="DG31">
            <v>0</v>
          </cell>
          <cell r="DH31">
            <v>0</v>
          </cell>
          <cell r="DI31">
            <v>0</v>
          </cell>
          <cell r="DJ31">
            <v>0</v>
          </cell>
          <cell r="DK31">
            <v>0</v>
          </cell>
          <cell r="DL31">
            <v>0</v>
          </cell>
          <cell r="DM31">
            <v>0</v>
          </cell>
          <cell r="DN31">
            <v>0</v>
          </cell>
          <cell r="DO31">
            <v>0</v>
          </cell>
          <cell r="DP31">
            <v>0</v>
          </cell>
          <cell r="DQ31">
            <v>0</v>
          </cell>
        </row>
        <row r="32">
          <cell r="A32">
            <v>26</v>
          </cell>
          <cell r="C32">
            <v>26</v>
          </cell>
          <cell r="D32">
            <v>13</v>
          </cell>
          <cell r="E32" t="str">
            <v>AMBALIKA CHITKARA</v>
          </cell>
          <cell r="F32" t="str">
            <v>Executive Trainee - Marketing</v>
          </cell>
          <cell r="G32" t="str">
            <v>Marketing</v>
          </cell>
          <cell r="H32" t="str">
            <v>Plant</v>
          </cell>
          <cell r="I32" t="str">
            <v>Non-Executive</v>
          </cell>
          <cell r="K32">
            <v>28317</v>
          </cell>
          <cell r="L32">
            <v>37137</v>
          </cell>
          <cell r="N32" t="str">
            <v>RJ/13238/190</v>
          </cell>
          <cell r="R32" t="str">
            <v>S.D. CHITKARA</v>
          </cell>
          <cell r="S32">
            <v>4000</v>
          </cell>
          <cell r="T32">
            <v>4500</v>
          </cell>
          <cell r="U32">
            <v>0</v>
          </cell>
          <cell r="V32">
            <v>0</v>
          </cell>
          <cell r="W32">
            <v>650</v>
          </cell>
          <cell r="X32">
            <v>0</v>
          </cell>
          <cell r="Y32">
            <v>0</v>
          </cell>
          <cell r="AA32">
            <v>0</v>
          </cell>
          <cell r="AB32">
            <v>4500</v>
          </cell>
          <cell r="AC32">
            <v>0</v>
          </cell>
          <cell r="AD32">
            <v>0</v>
          </cell>
          <cell r="AE32">
            <v>0</v>
          </cell>
          <cell r="AF32">
            <v>0</v>
          </cell>
          <cell r="AG32">
            <v>0</v>
          </cell>
          <cell r="AH32">
            <v>480</v>
          </cell>
          <cell r="AI32">
            <v>0</v>
          </cell>
          <cell r="AJ32">
            <v>9150</v>
          </cell>
          <cell r="AK32" t="str">
            <v>Marketing</v>
          </cell>
          <cell r="AL32">
            <v>0</v>
          </cell>
          <cell r="AM32">
            <v>13</v>
          </cell>
          <cell r="AN32" t="str">
            <v>AMBALIKA CHITKARA</v>
          </cell>
          <cell r="AO32" t="str">
            <v>Executive Trainee - Marketing</v>
          </cell>
          <cell r="AP32" t="str">
            <v>Plant</v>
          </cell>
          <cell r="AQ32" t="str">
            <v>Non-Executive</v>
          </cell>
          <cell r="AR32" t="str">
            <v>HDFC  BANK LTD.</v>
          </cell>
          <cell r="AS32" t="str">
            <v>0441050037455</v>
          </cell>
          <cell r="AT32">
            <v>31</v>
          </cell>
          <cell r="AU32">
            <v>0</v>
          </cell>
          <cell r="AV32">
            <v>4000</v>
          </cell>
          <cell r="AW32">
            <v>4500</v>
          </cell>
          <cell r="AX32">
            <v>0</v>
          </cell>
          <cell r="AY32">
            <v>0</v>
          </cell>
          <cell r="AZ32">
            <v>650</v>
          </cell>
          <cell r="BA32">
            <v>0</v>
          </cell>
          <cell r="BB32">
            <v>0</v>
          </cell>
          <cell r="BC32">
            <v>0</v>
          </cell>
          <cell r="BD32">
            <v>0</v>
          </cell>
          <cell r="BE32">
            <v>0</v>
          </cell>
          <cell r="BF32">
            <v>0</v>
          </cell>
          <cell r="BG32">
            <v>0</v>
          </cell>
          <cell r="BH32">
            <v>9150</v>
          </cell>
          <cell r="BI32">
            <v>480</v>
          </cell>
          <cell r="BJ32">
            <v>93</v>
          </cell>
          <cell r="BK32">
            <v>0</v>
          </cell>
          <cell r="BL32">
            <v>0</v>
          </cell>
          <cell r="BM32">
            <v>0</v>
          </cell>
          <cell r="BN32">
            <v>0</v>
          </cell>
          <cell r="BO32">
            <v>0</v>
          </cell>
          <cell r="BP32">
            <v>0</v>
          </cell>
          <cell r="BQ32">
            <v>0</v>
          </cell>
          <cell r="BR32">
            <v>0</v>
          </cell>
          <cell r="BS32">
            <v>0</v>
          </cell>
          <cell r="BT32">
            <v>0</v>
          </cell>
          <cell r="BU32">
            <v>573</v>
          </cell>
          <cell r="BV32">
            <v>8577</v>
          </cell>
          <cell r="BW32">
            <v>8577</v>
          </cell>
          <cell r="BX32">
            <v>544.4</v>
          </cell>
          <cell r="BY32">
            <v>0</v>
          </cell>
          <cell r="BZ32">
            <v>0</v>
          </cell>
          <cell r="CA32">
            <v>0</v>
          </cell>
          <cell r="CB32">
            <v>0</v>
          </cell>
          <cell r="CC32">
            <v>0</v>
          </cell>
          <cell r="CD32">
            <v>0</v>
          </cell>
          <cell r="CE32">
            <v>0</v>
          </cell>
          <cell r="CF32">
            <v>0</v>
          </cell>
          <cell r="CG32">
            <v>0</v>
          </cell>
          <cell r="CH32">
            <v>0</v>
          </cell>
          <cell r="CI32">
            <v>0</v>
          </cell>
          <cell r="CJ32">
            <v>0</v>
          </cell>
          <cell r="CK32">
            <v>0</v>
          </cell>
          <cell r="CL32" t="str">
            <v>AMBALIKA CHITKARA</v>
          </cell>
          <cell r="CM32" t="str">
            <v>RJ/13238/190</v>
          </cell>
          <cell r="CN32">
            <v>4000</v>
          </cell>
          <cell r="CO32">
            <v>4000</v>
          </cell>
          <cell r="CP32">
            <v>480</v>
          </cell>
          <cell r="CQ32">
            <v>333</v>
          </cell>
          <cell r="CR32">
            <v>147</v>
          </cell>
          <cell r="CS32">
            <v>44.000000000000007</v>
          </cell>
          <cell r="CT32">
            <v>20</v>
          </cell>
          <cell r="CU32">
            <v>0.4</v>
          </cell>
          <cell r="CV32">
            <v>544.4</v>
          </cell>
          <cell r="CW32">
            <v>0</v>
          </cell>
          <cell r="CX32">
            <v>0</v>
          </cell>
          <cell r="CY32" t="str">
            <v>AMBALIKA CHITKARA</v>
          </cell>
          <cell r="CZ32">
            <v>4000</v>
          </cell>
          <cell r="DA32">
            <v>0</v>
          </cell>
          <cell r="DB32">
            <v>4500</v>
          </cell>
          <cell r="DC32">
            <v>8500</v>
          </cell>
          <cell r="DD32">
            <v>0</v>
          </cell>
          <cell r="DE32">
            <v>0</v>
          </cell>
          <cell r="DF32">
            <v>0</v>
          </cell>
          <cell r="DG32">
            <v>0</v>
          </cell>
          <cell r="DH32">
            <v>0</v>
          </cell>
          <cell r="DI32">
            <v>0</v>
          </cell>
          <cell r="DJ32">
            <v>0</v>
          </cell>
          <cell r="DK32">
            <v>0</v>
          </cell>
          <cell r="DL32">
            <v>0</v>
          </cell>
          <cell r="DM32">
            <v>0</v>
          </cell>
          <cell r="DN32">
            <v>0</v>
          </cell>
          <cell r="DO32">
            <v>0</v>
          </cell>
          <cell r="DP32">
            <v>0</v>
          </cell>
          <cell r="DQ32">
            <v>0</v>
          </cell>
        </row>
        <row r="33">
          <cell r="A33">
            <v>27</v>
          </cell>
          <cell r="C33">
            <v>27</v>
          </cell>
          <cell r="D33">
            <v>13</v>
          </cell>
          <cell r="E33" t="str">
            <v>RAMAN MOHAN</v>
          </cell>
          <cell r="F33" t="str">
            <v>Asst. Officer - IT</v>
          </cell>
          <cell r="G33" t="str">
            <v>IM&amp;T</v>
          </cell>
          <cell r="H33" t="str">
            <v>Plant</v>
          </cell>
          <cell r="I33" t="str">
            <v>Non-Executive</v>
          </cell>
          <cell r="K33">
            <v>27368</v>
          </cell>
          <cell r="L33">
            <v>36798</v>
          </cell>
          <cell r="N33" t="str">
            <v>RJ/13238/177</v>
          </cell>
          <cell r="R33" t="str">
            <v>Dr. I.N. Chopra</v>
          </cell>
          <cell r="S33">
            <v>6350</v>
          </cell>
          <cell r="T33">
            <v>1905</v>
          </cell>
          <cell r="U33">
            <v>3175</v>
          </cell>
          <cell r="V33">
            <v>1500</v>
          </cell>
          <cell r="W33">
            <v>575</v>
          </cell>
          <cell r="X33">
            <v>0</v>
          </cell>
          <cell r="Y33">
            <v>7726</v>
          </cell>
          <cell r="AA33">
            <v>0</v>
          </cell>
          <cell r="AB33">
            <v>5080</v>
          </cell>
          <cell r="AC33">
            <v>0</v>
          </cell>
          <cell r="AD33">
            <v>0</v>
          </cell>
          <cell r="AE33">
            <v>0</v>
          </cell>
          <cell r="AF33">
            <v>0</v>
          </cell>
          <cell r="AG33">
            <v>0</v>
          </cell>
          <cell r="AH33">
            <v>762</v>
          </cell>
          <cell r="AI33">
            <v>0</v>
          </cell>
          <cell r="AJ33">
            <v>21231</v>
          </cell>
          <cell r="AK33" t="str">
            <v>G&amp;A</v>
          </cell>
          <cell r="AL33">
            <v>0</v>
          </cell>
          <cell r="AM33">
            <v>13</v>
          </cell>
          <cell r="AN33" t="str">
            <v>RAMAN MOHAN</v>
          </cell>
          <cell r="AO33" t="str">
            <v>Asst. Officer - IT</v>
          </cell>
          <cell r="AP33" t="str">
            <v>Plant</v>
          </cell>
          <cell r="AQ33" t="str">
            <v>Non-Executive</v>
          </cell>
          <cell r="AR33" t="str">
            <v>HDFC  BANK LTD.</v>
          </cell>
          <cell r="AS33" t="str">
            <v>0901050024502</v>
          </cell>
          <cell r="AT33">
            <v>31</v>
          </cell>
          <cell r="AU33">
            <v>0</v>
          </cell>
          <cell r="AV33">
            <v>6350</v>
          </cell>
          <cell r="AW33">
            <v>1905</v>
          </cell>
          <cell r="AX33">
            <v>3175</v>
          </cell>
          <cell r="AY33">
            <v>1500</v>
          </cell>
          <cell r="AZ33">
            <v>575</v>
          </cell>
          <cell r="BA33">
            <v>0</v>
          </cell>
          <cell r="BB33">
            <v>7726</v>
          </cell>
          <cell r="BC33">
            <v>0</v>
          </cell>
          <cell r="BD33">
            <v>0</v>
          </cell>
          <cell r="BE33">
            <v>0</v>
          </cell>
          <cell r="BF33">
            <v>0</v>
          </cell>
          <cell r="BG33">
            <v>0</v>
          </cell>
          <cell r="BH33">
            <v>21231</v>
          </cell>
          <cell r="BI33">
            <v>762</v>
          </cell>
          <cell r="BJ33">
            <v>186</v>
          </cell>
          <cell r="BK33">
            <v>0</v>
          </cell>
          <cell r="BL33">
            <v>0</v>
          </cell>
          <cell r="BM33">
            <v>0</v>
          </cell>
          <cell r="BN33">
            <v>100</v>
          </cell>
          <cell r="BO33">
            <v>0</v>
          </cell>
          <cell r="BP33">
            <v>0</v>
          </cell>
          <cell r="BQ33">
            <v>1111</v>
          </cell>
          <cell r="BR33">
            <v>70</v>
          </cell>
          <cell r="BS33">
            <v>0</v>
          </cell>
          <cell r="BT33">
            <v>0</v>
          </cell>
          <cell r="BU33">
            <v>2229</v>
          </cell>
          <cell r="BV33">
            <v>19002</v>
          </cell>
          <cell r="BW33">
            <v>19002</v>
          </cell>
          <cell r="BX33">
            <v>864.23500000000001</v>
          </cell>
          <cell r="BY33">
            <v>0</v>
          </cell>
          <cell r="BZ33">
            <v>0</v>
          </cell>
          <cell r="CA33">
            <v>0</v>
          </cell>
          <cell r="CB33">
            <v>0</v>
          </cell>
          <cell r="CC33">
            <v>0</v>
          </cell>
          <cell r="CD33">
            <v>0</v>
          </cell>
          <cell r="CE33">
            <v>0</v>
          </cell>
          <cell r="CF33">
            <v>0</v>
          </cell>
          <cell r="CG33">
            <v>0</v>
          </cell>
          <cell r="CH33">
            <v>0</v>
          </cell>
          <cell r="CI33">
            <v>0</v>
          </cell>
          <cell r="CJ33">
            <v>0</v>
          </cell>
          <cell r="CK33">
            <v>0</v>
          </cell>
          <cell r="CL33" t="str">
            <v>RAMAN MOHAN</v>
          </cell>
          <cell r="CM33" t="str">
            <v>RJ/13238/177</v>
          </cell>
          <cell r="CN33">
            <v>6350</v>
          </cell>
          <cell r="CO33">
            <v>6350</v>
          </cell>
          <cell r="CP33">
            <v>762</v>
          </cell>
          <cell r="CQ33">
            <v>529</v>
          </cell>
          <cell r="CR33">
            <v>233</v>
          </cell>
          <cell r="CS33">
            <v>69.850000000000009</v>
          </cell>
          <cell r="CT33">
            <v>31.75</v>
          </cell>
          <cell r="CU33">
            <v>0.63500000000000001</v>
          </cell>
          <cell r="CV33">
            <v>864.23500000000001</v>
          </cell>
          <cell r="CW33">
            <v>0</v>
          </cell>
          <cell r="CX33">
            <v>0</v>
          </cell>
          <cell r="CY33" t="str">
            <v>RAMAN MOHAN</v>
          </cell>
          <cell r="CZ33">
            <v>6350</v>
          </cell>
          <cell r="DA33">
            <v>3175</v>
          </cell>
          <cell r="DB33">
            <v>1905</v>
          </cell>
          <cell r="DC33">
            <v>11430</v>
          </cell>
          <cell r="DD33">
            <v>0</v>
          </cell>
          <cell r="DE33">
            <v>0</v>
          </cell>
          <cell r="DF33">
            <v>0</v>
          </cell>
          <cell r="DG33">
            <v>0</v>
          </cell>
          <cell r="DH33">
            <v>0</v>
          </cell>
          <cell r="DI33">
            <v>0</v>
          </cell>
          <cell r="DJ33">
            <v>0</v>
          </cell>
          <cell r="DK33">
            <v>0</v>
          </cell>
          <cell r="DL33">
            <v>0</v>
          </cell>
          <cell r="DM33">
            <v>0</v>
          </cell>
          <cell r="DN33">
            <v>0</v>
          </cell>
          <cell r="DO33">
            <v>0</v>
          </cell>
          <cell r="DP33">
            <v>0</v>
          </cell>
          <cell r="DQ33">
            <v>0</v>
          </cell>
        </row>
        <row r="34">
          <cell r="A34">
            <v>28</v>
          </cell>
          <cell r="C34">
            <v>28</v>
          </cell>
          <cell r="D34">
            <v>13</v>
          </cell>
          <cell r="E34" t="str">
            <v>RAJMOHAN RAMACHANDRAN</v>
          </cell>
          <cell r="F34" t="str">
            <v>Electroplating Engg.</v>
          </cell>
          <cell r="G34" t="str">
            <v>Production</v>
          </cell>
          <cell r="H34" t="str">
            <v>Plant</v>
          </cell>
          <cell r="I34" t="str">
            <v>Non-Executive</v>
          </cell>
          <cell r="K34">
            <v>27808</v>
          </cell>
          <cell r="L34">
            <v>37055</v>
          </cell>
          <cell r="N34" t="str">
            <v>RJ/13238/186</v>
          </cell>
          <cell r="R34" t="str">
            <v>V. Ramachandran</v>
          </cell>
          <cell r="S34">
            <v>6825</v>
          </cell>
          <cell r="T34">
            <v>2048</v>
          </cell>
          <cell r="U34">
            <v>3413</v>
          </cell>
          <cell r="V34">
            <v>1500</v>
          </cell>
          <cell r="W34">
            <v>650</v>
          </cell>
          <cell r="X34">
            <v>0</v>
          </cell>
          <cell r="Y34">
            <v>0</v>
          </cell>
          <cell r="AA34">
            <v>0</v>
          </cell>
          <cell r="AB34">
            <v>5461</v>
          </cell>
          <cell r="AC34">
            <v>0</v>
          </cell>
          <cell r="AD34">
            <v>0</v>
          </cell>
          <cell r="AE34">
            <v>0</v>
          </cell>
          <cell r="AF34">
            <v>0</v>
          </cell>
          <cell r="AG34">
            <v>0</v>
          </cell>
          <cell r="AH34">
            <v>819</v>
          </cell>
          <cell r="AI34">
            <v>0</v>
          </cell>
          <cell r="AJ34">
            <v>14436</v>
          </cell>
          <cell r="AK34" t="str">
            <v>Mfg. Indirect</v>
          </cell>
          <cell r="AL34">
            <v>0</v>
          </cell>
          <cell r="AM34">
            <v>13</v>
          </cell>
          <cell r="AN34" t="str">
            <v>RAJMOHAN RAMACHANDRAN</v>
          </cell>
          <cell r="AO34" t="str">
            <v>Electroplating Engg.</v>
          </cell>
          <cell r="AP34" t="str">
            <v>Plant</v>
          </cell>
          <cell r="AQ34" t="str">
            <v>Non-Executive</v>
          </cell>
          <cell r="AR34" t="str">
            <v>HDFC  BANK LTD.</v>
          </cell>
          <cell r="AS34" t="str">
            <v>1201050006521</v>
          </cell>
          <cell r="AT34">
            <v>31</v>
          </cell>
          <cell r="AU34">
            <v>0</v>
          </cell>
          <cell r="AV34">
            <v>8250</v>
          </cell>
          <cell r="AW34">
            <v>2477</v>
          </cell>
          <cell r="AX34">
            <v>4127</v>
          </cell>
          <cell r="AY34">
            <v>1500</v>
          </cell>
          <cell r="AZ34">
            <v>650</v>
          </cell>
          <cell r="BA34">
            <v>0</v>
          </cell>
          <cell r="BB34">
            <v>0</v>
          </cell>
          <cell r="BC34">
            <v>0</v>
          </cell>
          <cell r="BD34">
            <v>0</v>
          </cell>
          <cell r="BE34">
            <v>0</v>
          </cell>
          <cell r="BF34">
            <v>0</v>
          </cell>
          <cell r="BG34">
            <v>0</v>
          </cell>
          <cell r="BH34">
            <v>17004</v>
          </cell>
          <cell r="BI34">
            <v>990</v>
          </cell>
          <cell r="BJ34">
            <v>93</v>
          </cell>
          <cell r="BK34">
            <v>188</v>
          </cell>
          <cell r="BL34">
            <v>0</v>
          </cell>
          <cell r="BM34">
            <v>0</v>
          </cell>
          <cell r="BN34">
            <v>100</v>
          </cell>
          <cell r="BO34">
            <v>0</v>
          </cell>
          <cell r="BP34">
            <v>0</v>
          </cell>
          <cell r="BQ34">
            <v>0</v>
          </cell>
          <cell r="BR34">
            <v>0</v>
          </cell>
          <cell r="BS34">
            <v>0</v>
          </cell>
          <cell r="BT34">
            <v>0</v>
          </cell>
          <cell r="BU34">
            <v>1371</v>
          </cell>
          <cell r="BV34">
            <v>15633</v>
          </cell>
          <cell r="BW34">
            <v>15633</v>
          </cell>
          <cell r="BX34">
            <v>1122.825</v>
          </cell>
          <cell r="BY34">
            <v>0</v>
          </cell>
          <cell r="BZ34">
            <v>0</v>
          </cell>
          <cell r="CA34">
            <v>1425</v>
          </cell>
          <cell r="CB34">
            <v>429</v>
          </cell>
          <cell r="CC34">
            <v>714</v>
          </cell>
          <cell r="CD34">
            <v>0</v>
          </cell>
          <cell r="CE34">
            <v>0</v>
          </cell>
          <cell r="CF34">
            <v>0</v>
          </cell>
          <cell r="CG34">
            <v>0</v>
          </cell>
          <cell r="CH34">
            <v>0</v>
          </cell>
          <cell r="CI34">
            <v>0</v>
          </cell>
          <cell r="CJ34">
            <v>0</v>
          </cell>
          <cell r="CK34">
            <v>0</v>
          </cell>
          <cell r="CL34" t="str">
            <v>RAJMOHAN RAMACHANDRAN</v>
          </cell>
          <cell r="CM34" t="str">
            <v>RJ/13238/186</v>
          </cell>
          <cell r="CN34">
            <v>8250</v>
          </cell>
          <cell r="CO34">
            <v>6500</v>
          </cell>
          <cell r="CP34">
            <v>990</v>
          </cell>
          <cell r="CQ34">
            <v>541</v>
          </cell>
          <cell r="CR34">
            <v>449</v>
          </cell>
          <cell r="CS34">
            <v>90.750000000000014</v>
          </cell>
          <cell r="CT34">
            <v>41.25</v>
          </cell>
          <cell r="CU34">
            <v>0.82500000000000007</v>
          </cell>
          <cell r="CV34">
            <v>1122.825</v>
          </cell>
          <cell r="CW34">
            <v>0</v>
          </cell>
          <cell r="CX34">
            <v>0</v>
          </cell>
          <cell r="CY34" t="str">
            <v>RAJMOHAN RAMACHANDRAN</v>
          </cell>
          <cell r="CZ34">
            <v>8250</v>
          </cell>
          <cell r="DA34">
            <v>4127</v>
          </cell>
          <cell r="DB34">
            <v>2477</v>
          </cell>
          <cell r="DC34">
            <v>14854</v>
          </cell>
          <cell r="DD34">
            <v>0</v>
          </cell>
          <cell r="DE34">
            <v>0</v>
          </cell>
          <cell r="DF34">
            <v>0</v>
          </cell>
          <cell r="DG34">
            <v>0</v>
          </cell>
          <cell r="DH34">
            <v>0</v>
          </cell>
          <cell r="DI34">
            <v>0</v>
          </cell>
          <cell r="DJ34">
            <v>0</v>
          </cell>
          <cell r="DK34">
            <v>0</v>
          </cell>
          <cell r="DL34">
            <v>0</v>
          </cell>
          <cell r="DM34">
            <v>0</v>
          </cell>
          <cell r="DN34">
            <v>0</v>
          </cell>
          <cell r="DO34">
            <v>0</v>
          </cell>
          <cell r="DP34">
            <v>0</v>
          </cell>
          <cell r="DQ34">
            <v>0</v>
          </cell>
        </row>
        <row r="35">
          <cell r="A35">
            <v>29</v>
          </cell>
          <cell r="C35">
            <v>29</v>
          </cell>
          <cell r="D35">
            <v>15</v>
          </cell>
          <cell r="E35" t="str">
            <v>DEVENDER MEHROTRA</v>
          </cell>
          <cell r="F35" t="str">
            <v>Astt. Manager - Production</v>
          </cell>
          <cell r="G35" t="str">
            <v>Manufacturing</v>
          </cell>
          <cell r="H35" t="str">
            <v>Plant</v>
          </cell>
          <cell r="I35" t="str">
            <v>Non-Executive</v>
          </cell>
          <cell r="K35">
            <v>24308</v>
          </cell>
          <cell r="L35">
            <v>35268</v>
          </cell>
          <cell r="N35" t="str">
            <v>RJ/13238/118</v>
          </cell>
          <cell r="R35" t="str">
            <v>Sh. H.N. Mehrotra</v>
          </cell>
          <cell r="S35">
            <v>7900</v>
          </cell>
          <cell r="T35">
            <v>3950</v>
          </cell>
          <cell r="U35">
            <v>3950</v>
          </cell>
          <cell r="V35">
            <v>3600</v>
          </cell>
          <cell r="W35">
            <v>1000</v>
          </cell>
          <cell r="X35">
            <v>0</v>
          </cell>
          <cell r="Y35">
            <v>0</v>
          </cell>
          <cell r="AA35">
            <v>0</v>
          </cell>
          <cell r="AB35">
            <v>7900</v>
          </cell>
          <cell r="AC35">
            <v>0</v>
          </cell>
          <cell r="AD35">
            <v>0</v>
          </cell>
          <cell r="AE35">
            <v>0</v>
          </cell>
          <cell r="AF35">
            <v>0</v>
          </cell>
          <cell r="AG35">
            <v>0</v>
          </cell>
          <cell r="AH35">
            <v>948</v>
          </cell>
          <cell r="AI35">
            <v>0</v>
          </cell>
          <cell r="AJ35">
            <v>20400</v>
          </cell>
          <cell r="AK35" t="str">
            <v>Mfg. Indirect</v>
          </cell>
          <cell r="AL35">
            <v>0</v>
          </cell>
          <cell r="AM35">
            <v>15</v>
          </cell>
          <cell r="AN35" t="str">
            <v>DEVENDER MEHROTRA</v>
          </cell>
          <cell r="AO35" t="str">
            <v>Astt. Manager - Production</v>
          </cell>
          <cell r="AP35" t="str">
            <v>Plant</v>
          </cell>
          <cell r="AQ35" t="str">
            <v>Non-Executive</v>
          </cell>
          <cell r="AR35" t="str">
            <v>Cheque Payment</v>
          </cell>
          <cell r="AS35">
            <v>0</v>
          </cell>
          <cell r="AT35">
            <v>31</v>
          </cell>
          <cell r="AU35">
            <v>0</v>
          </cell>
          <cell r="AV35">
            <v>7900</v>
          </cell>
          <cell r="AW35">
            <v>3950</v>
          </cell>
          <cell r="AX35">
            <v>3950</v>
          </cell>
          <cell r="AY35">
            <v>3600</v>
          </cell>
          <cell r="AZ35">
            <v>1000</v>
          </cell>
          <cell r="BA35">
            <v>0</v>
          </cell>
          <cell r="BB35">
            <v>0</v>
          </cell>
          <cell r="BC35">
            <v>0</v>
          </cell>
          <cell r="BD35">
            <v>0</v>
          </cell>
          <cell r="BE35">
            <v>0</v>
          </cell>
          <cell r="BF35">
            <v>0</v>
          </cell>
          <cell r="BG35">
            <v>0</v>
          </cell>
          <cell r="BH35">
            <v>20400</v>
          </cell>
          <cell r="BI35">
            <v>948</v>
          </cell>
          <cell r="BJ35">
            <v>93</v>
          </cell>
          <cell r="BK35">
            <v>545</v>
          </cell>
          <cell r="BL35">
            <v>0</v>
          </cell>
          <cell r="BM35">
            <v>0</v>
          </cell>
          <cell r="BN35">
            <v>150</v>
          </cell>
          <cell r="BO35">
            <v>0</v>
          </cell>
          <cell r="BP35">
            <v>0</v>
          </cell>
          <cell r="BQ35">
            <v>0</v>
          </cell>
          <cell r="BR35">
            <v>0</v>
          </cell>
          <cell r="BS35">
            <v>0</v>
          </cell>
          <cell r="BT35">
            <v>0</v>
          </cell>
          <cell r="BU35">
            <v>1736</v>
          </cell>
          <cell r="BV35">
            <v>18664</v>
          </cell>
          <cell r="BW35">
            <v>18664</v>
          </cell>
          <cell r="BX35">
            <v>1075.19</v>
          </cell>
          <cell r="BY35">
            <v>0</v>
          </cell>
          <cell r="BZ35">
            <v>0</v>
          </cell>
          <cell r="CA35">
            <v>0</v>
          </cell>
          <cell r="CB35">
            <v>0</v>
          </cell>
          <cell r="CC35">
            <v>0</v>
          </cell>
          <cell r="CD35">
            <v>0</v>
          </cell>
          <cell r="CE35">
            <v>0</v>
          </cell>
          <cell r="CF35">
            <v>0</v>
          </cell>
          <cell r="CG35">
            <v>0</v>
          </cell>
          <cell r="CH35">
            <v>0</v>
          </cell>
          <cell r="CI35">
            <v>0</v>
          </cell>
          <cell r="CJ35">
            <v>0</v>
          </cell>
          <cell r="CK35">
            <v>0</v>
          </cell>
          <cell r="CL35" t="str">
            <v>DEVENDER MEHROTRA</v>
          </cell>
          <cell r="CM35" t="str">
            <v>RJ/13238/118</v>
          </cell>
          <cell r="CN35">
            <v>7900</v>
          </cell>
          <cell r="CO35">
            <v>6500</v>
          </cell>
          <cell r="CP35">
            <v>948</v>
          </cell>
          <cell r="CQ35">
            <v>541</v>
          </cell>
          <cell r="CR35">
            <v>407</v>
          </cell>
          <cell r="CS35">
            <v>86.9</v>
          </cell>
          <cell r="CT35">
            <v>39.5</v>
          </cell>
          <cell r="CU35">
            <v>0.79</v>
          </cell>
          <cell r="CV35">
            <v>1075.19</v>
          </cell>
          <cell r="CW35">
            <v>0</v>
          </cell>
          <cell r="CX35">
            <v>0</v>
          </cell>
          <cell r="CY35" t="str">
            <v>DEVENDER MEHROTRA</v>
          </cell>
          <cell r="CZ35">
            <v>7900</v>
          </cell>
          <cell r="DA35">
            <v>3950</v>
          </cell>
          <cell r="DB35">
            <v>3950</v>
          </cell>
          <cell r="DC35">
            <v>15800</v>
          </cell>
          <cell r="DD35">
            <v>0</v>
          </cell>
          <cell r="DE35">
            <v>0</v>
          </cell>
          <cell r="DF35">
            <v>0</v>
          </cell>
          <cell r="DG35">
            <v>0</v>
          </cell>
          <cell r="DH35">
            <v>0</v>
          </cell>
          <cell r="DI35">
            <v>0</v>
          </cell>
          <cell r="DJ35">
            <v>0</v>
          </cell>
          <cell r="DK35">
            <v>0</v>
          </cell>
          <cell r="DL35">
            <v>0</v>
          </cell>
          <cell r="DM35">
            <v>0</v>
          </cell>
          <cell r="DN35">
            <v>0</v>
          </cell>
          <cell r="DO35">
            <v>0</v>
          </cell>
          <cell r="DP35">
            <v>0</v>
          </cell>
          <cell r="DQ35">
            <v>0</v>
          </cell>
        </row>
        <row r="36">
          <cell r="A36">
            <v>30</v>
          </cell>
          <cell r="C36">
            <v>30</v>
          </cell>
          <cell r="D36">
            <v>15</v>
          </cell>
          <cell r="E36" t="str">
            <v>R.N. SINGH</v>
          </cell>
          <cell r="F36" t="str">
            <v>Astt. Manager - Plant Maintenance</v>
          </cell>
          <cell r="G36" t="str">
            <v>Utilities</v>
          </cell>
          <cell r="H36" t="str">
            <v>Plant</v>
          </cell>
          <cell r="I36" t="str">
            <v>Executive</v>
          </cell>
          <cell r="K36">
            <v>22448</v>
          </cell>
          <cell r="L36">
            <v>33656</v>
          </cell>
          <cell r="N36" t="str">
            <v>RJ/13238/002</v>
          </cell>
          <cell r="R36" t="str">
            <v>Shri Rama Shankar Singh</v>
          </cell>
          <cell r="S36">
            <v>11075</v>
          </cell>
          <cell r="T36">
            <v>5538</v>
          </cell>
          <cell r="U36">
            <v>5537</v>
          </cell>
          <cell r="V36">
            <v>3600</v>
          </cell>
          <cell r="W36">
            <v>1000</v>
          </cell>
          <cell r="X36">
            <v>0</v>
          </cell>
          <cell r="Y36">
            <v>0</v>
          </cell>
          <cell r="AA36">
            <v>0</v>
          </cell>
          <cell r="AB36">
            <v>11075</v>
          </cell>
          <cell r="AC36">
            <v>0</v>
          </cell>
          <cell r="AD36">
            <v>0</v>
          </cell>
          <cell r="AE36">
            <v>0</v>
          </cell>
          <cell r="AF36">
            <v>0</v>
          </cell>
          <cell r="AG36">
            <v>0</v>
          </cell>
          <cell r="AH36">
            <v>1329</v>
          </cell>
          <cell r="AI36">
            <v>0</v>
          </cell>
          <cell r="AJ36">
            <v>26750</v>
          </cell>
          <cell r="AK36" t="str">
            <v>Mfg. Service</v>
          </cell>
          <cell r="AL36">
            <v>0</v>
          </cell>
          <cell r="AM36">
            <v>15</v>
          </cell>
          <cell r="AN36" t="str">
            <v>R.N. SINGH</v>
          </cell>
          <cell r="AO36" t="str">
            <v>Astt. Manager - Plant Maintenance</v>
          </cell>
          <cell r="AP36" t="str">
            <v>Plant</v>
          </cell>
          <cell r="AQ36" t="str">
            <v>Executive</v>
          </cell>
          <cell r="AR36" t="str">
            <v>Cheque Payment</v>
          </cell>
          <cell r="AS36">
            <v>0</v>
          </cell>
          <cell r="AT36">
            <v>31</v>
          </cell>
          <cell r="AU36">
            <v>0</v>
          </cell>
          <cell r="AV36">
            <v>11075</v>
          </cell>
          <cell r="AW36">
            <v>5538</v>
          </cell>
          <cell r="AX36">
            <v>5537</v>
          </cell>
          <cell r="AY36">
            <v>3600</v>
          </cell>
          <cell r="AZ36">
            <v>1000</v>
          </cell>
          <cell r="BA36">
            <v>0</v>
          </cell>
          <cell r="BB36">
            <v>0</v>
          </cell>
          <cell r="BC36">
            <v>0</v>
          </cell>
          <cell r="BD36">
            <v>0</v>
          </cell>
          <cell r="BE36">
            <v>11075</v>
          </cell>
          <cell r="BF36">
            <v>0</v>
          </cell>
          <cell r="BG36">
            <v>0</v>
          </cell>
          <cell r="BH36">
            <v>26750</v>
          </cell>
          <cell r="BI36">
            <v>1329</v>
          </cell>
          <cell r="BJ36">
            <v>93</v>
          </cell>
          <cell r="BK36">
            <v>1839</v>
          </cell>
          <cell r="BL36">
            <v>0</v>
          </cell>
          <cell r="BM36">
            <v>0</v>
          </cell>
          <cell r="BN36">
            <v>200</v>
          </cell>
          <cell r="BO36">
            <v>0</v>
          </cell>
          <cell r="BP36">
            <v>0</v>
          </cell>
          <cell r="BQ36">
            <v>2778</v>
          </cell>
          <cell r="BR36">
            <v>174</v>
          </cell>
          <cell r="BS36">
            <v>0</v>
          </cell>
          <cell r="BT36">
            <v>0</v>
          </cell>
          <cell r="BU36">
            <v>6413</v>
          </cell>
          <cell r="BV36">
            <v>20337</v>
          </cell>
          <cell r="BW36">
            <v>20337</v>
          </cell>
          <cell r="BX36">
            <v>1507.3075000000001</v>
          </cell>
          <cell r="BY36">
            <v>0</v>
          </cell>
          <cell r="BZ36">
            <v>0</v>
          </cell>
          <cell r="CA36">
            <v>0</v>
          </cell>
          <cell r="CB36">
            <v>0</v>
          </cell>
          <cell r="CC36">
            <v>0</v>
          </cell>
          <cell r="CD36">
            <v>0</v>
          </cell>
          <cell r="CE36">
            <v>0</v>
          </cell>
          <cell r="CF36">
            <v>0</v>
          </cell>
          <cell r="CG36">
            <v>0</v>
          </cell>
          <cell r="CH36">
            <v>0</v>
          </cell>
          <cell r="CI36">
            <v>0</v>
          </cell>
          <cell r="CJ36">
            <v>0</v>
          </cell>
          <cell r="CK36">
            <v>0</v>
          </cell>
          <cell r="CL36" t="str">
            <v>R.N. SINGH</v>
          </cell>
          <cell r="CM36" t="str">
            <v>RJ/13238/002</v>
          </cell>
          <cell r="CN36">
            <v>11075</v>
          </cell>
          <cell r="CO36">
            <v>6500</v>
          </cell>
          <cell r="CP36">
            <v>1329</v>
          </cell>
          <cell r="CQ36">
            <v>541</v>
          </cell>
          <cell r="CR36">
            <v>788</v>
          </cell>
          <cell r="CS36">
            <v>121.82500000000002</v>
          </cell>
          <cell r="CT36">
            <v>55.375</v>
          </cell>
          <cell r="CU36">
            <v>1.1075000000000002</v>
          </cell>
          <cell r="CV36">
            <v>1507.3075000000001</v>
          </cell>
          <cell r="CW36">
            <v>0</v>
          </cell>
          <cell r="CX36">
            <v>0</v>
          </cell>
          <cell r="CY36" t="str">
            <v>R.N. SINGH</v>
          </cell>
          <cell r="CZ36">
            <v>11075</v>
          </cell>
          <cell r="DA36">
            <v>5537</v>
          </cell>
          <cell r="DB36">
            <v>5538</v>
          </cell>
          <cell r="DC36">
            <v>22150</v>
          </cell>
          <cell r="DD36">
            <v>0</v>
          </cell>
          <cell r="DE36">
            <v>0</v>
          </cell>
          <cell r="DF36">
            <v>0</v>
          </cell>
          <cell r="DG36">
            <v>0</v>
          </cell>
          <cell r="DH36">
            <v>0</v>
          </cell>
          <cell r="DI36">
            <v>0</v>
          </cell>
          <cell r="DJ36">
            <v>0</v>
          </cell>
          <cell r="DK36">
            <v>0</v>
          </cell>
          <cell r="DL36">
            <v>0</v>
          </cell>
          <cell r="DM36">
            <v>0</v>
          </cell>
          <cell r="DN36">
            <v>0</v>
          </cell>
          <cell r="DO36">
            <v>0</v>
          </cell>
          <cell r="DP36">
            <v>0</v>
          </cell>
          <cell r="DQ36">
            <v>0</v>
          </cell>
        </row>
        <row r="37">
          <cell r="A37">
            <v>31</v>
          </cell>
          <cell r="C37">
            <v>31</v>
          </cell>
          <cell r="D37">
            <v>22</v>
          </cell>
          <cell r="E37" t="str">
            <v>H.V.CHOPRA</v>
          </cell>
          <cell r="F37" t="str">
            <v>Managing Director</v>
          </cell>
          <cell r="G37" t="str">
            <v>MD's Office</v>
          </cell>
          <cell r="H37" t="str">
            <v>Plant</v>
          </cell>
          <cell r="I37" t="str">
            <v>Executive</v>
          </cell>
          <cell r="K37">
            <v>21119</v>
          </cell>
          <cell r="L37">
            <v>34912</v>
          </cell>
          <cell r="N37" t="str">
            <v>RJ/13238/096</v>
          </cell>
          <cell r="R37" t="str">
            <v>DR.D.V.CHOPRA</v>
          </cell>
          <cell r="S37">
            <v>75350</v>
          </cell>
          <cell r="T37">
            <v>50420</v>
          </cell>
          <cell r="U37">
            <v>0</v>
          </cell>
          <cell r="V37">
            <v>0</v>
          </cell>
          <cell r="W37">
            <v>2000</v>
          </cell>
          <cell r="X37">
            <v>0</v>
          </cell>
          <cell r="Y37">
            <v>200000</v>
          </cell>
          <cell r="Z37">
            <v>12923</v>
          </cell>
          <cell r="AA37">
            <v>0</v>
          </cell>
          <cell r="AB37">
            <v>90420</v>
          </cell>
          <cell r="AC37">
            <v>40000</v>
          </cell>
          <cell r="AD37">
            <v>0</v>
          </cell>
          <cell r="AE37">
            <v>0</v>
          </cell>
          <cell r="AF37">
            <v>72374</v>
          </cell>
          <cell r="AG37">
            <v>0</v>
          </cell>
          <cell r="AH37">
            <v>9042</v>
          </cell>
          <cell r="AI37">
            <v>0</v>
          </cell>
          <cell r="AJ37">
            <v>413067</v>
          </cell>
          <cell r="AK37" t="str">
            <v>G&amp;A</v>
          </cell>
          <cell r="AL37">
            <v>0</v>
          </cell>
          <cell r="AM37">
            <v>22</v>
          </cell>
          <cell r="AN37" t="str">
            <v>H.V.CHOPRA</v>
          </cell>
          <cell r="AO37" t="str">
            <v>Managing Director</v>
          </cell>
          <cell r="AP37" t="str">
            <v>Plant</v>
          </cell>
          <cell r="AQ37" t="str">
            <v>Executive</v>
          </cell>
          <cell r="AR37" t="str">
            <v>Demand Draft</v>
          </cell>
          <cell r="AS37">
            <v>0</v>
          </cell>
          <cell r="AT37">
            <v>31</v>
          </cell>
          <cell r="AV37">
            <v>75350</v>
          </cell>
          <cell r="AW37">
            <v>50420</v>
          </cell>
          <cell r="AX37">
            <v>0</v>
          </cell>
          <cell r="AY37">
            <v>0</v>
          </cell>
          <cell r="AZ37">
            <v>2000</v>
          </cell>
          <cell r="BA37">
            <v>0</v>
          </cell>
          <cell r="BB37">
            <v>200000</v>
          </cell>
          <cell r="BC37">
            <v>12923</v>
          </cell>
          <cell r="BD37">
            <v>0</v>
          </cell>
          <cell r="BE37">
            <v>90420</v>
          </cell>
          <cell r="BF37">
            <v>40000</v>
          </cell>
          <cell r="BG37">
            <v>72374</v>
          </cell>
          <cell r="BH37">
            <v>413067</v>
          </cell>
          <cell r="BI37">
            <v>9042</v>
          </cell>
          <cell r="BJ37">
            <v>93</v>
          </cell>
          <cell r="BK37">
            <v>137825</v>
          </cell>
          <cell r="BL37">
            <v>0</v>
          </cell>
          <cell r="BM37">
            <v>0</v>
          </cell>
          <cell r="BN37">
            <v>200</v>
          </cell>
          <cell r="BO37">
            <v>0</v>
          </cell>
          <cell r="BP37">
            <v>0</v>
          </cell>
          <cell r="BQ37">
            <v>0</v>
          </cell>
          <cell r="BR37">
            <v>0</v>
          </cell>
          <cell r="BS37">
            <v>7981</v>
          </cell>
          <cell r="BT37">
            <v>1924</v>
          </cell>
          <cell r="BU37">
            <v>157065</v>
          </cell>
          <cell r="BV37">
            <v>256002</v>
          </cell>
          <cell r="BW37">
            <v>256002</v>
          </cell>
          <cell r="BX37">
            <v>10255.135</v>
          </cell>
          <cell r="BY37">
            <v>0</v>
          </cell>
          <cell r="BZ37">
            <v>0</v>
          </cell>
          <cell r="CL37" t="str">
            <v>H.V.CHOPRA</v>
          </cell>
          <cell r="CM37" t="str">
            <v>RJ/13238/096</v>
          </cell>
          <cell r="CN37">
            <v>75350</v>
          </cell>
          <cell r="CO37">
            <v>6500</v>
          </cell>
          <cell r="CP37">
            <v>9042</v>
          </cell>
          <cell r="CQ37">
            <v>541</v>
          </cell>
          <cell r="CR37">
            <v>8501</v>
          </cell>
          <cell r="CS37">
            <v>828.85000000000014</v>
          </cell>
          <cell r="CT37">
            <v>376.75</v>
          </cell>
          <cell r="CU37">
            <v>7.5350000000000001</v>
          </cell>
          <cell r="CV37">
            <v>10255.135</v>
          </cell>
          <cell r="CW37">
            <v>0</v>
          </cell>
          <cell r="CX37">
            <v>0</v>
          </cell>
          <cell r="CY37" t="str">
            <v>H.V.CHOPRA</v>
          </cell>
          <cell r="CZ37">
            <v>75350</v>
          </cell>
          <cell r="DA37">
            <v>0</v>
          </cell>
          <cell r="DB37">
            <v>50420</v>
          </cell>
          <cell r="DC37">
            <v>125770</v>
          </cell>
          <cell r="DD37">
            <v>0</v>
          </cell>
          <cell r="DE37">
            <v>0</v>
          </cell>
          <cell r="DF37">
            <v>0</v>
          </cell>
          <cell r="DG37">
            <v>0</v>
          </cell>
        </row>
        <row r="38">
          <cell r="A38">
            <v>32</v>
          </cell>
          <cell r="C38">
            <v>32</v>
          </cell>
          <cell r="D38">
            <v>13</v>
          </cell>
          <cell r="E38" t="str">
            <v>MOHD.ANANOORE ALAM</v>
          </cell>
          <cell r="F38" t="str">
            <v>Asst. Officer - Utilities</v>
          </cell>
          <cell r="G38" t="str">
            <v xml:space="preserve"> Utilities</v>
          </cell>
          <cell r="H38" t="str">
            <v>Plant</v>
          </cell>
          <cell r="I38" t="str">
            <v>Non-Executive</v>
          </cell>
          <cell r="K38">
            <v>23821</v>
          </cell>
          <cell r="L38">
            <v>33892</v>
          </cell>
          <cell r="N38" t="str">
            <v>RJ/13238/036</v>
          </cell>
          <cell r="R38" t="str">
            <v>Late Mohd. Abdul Sattar</v>
          </cell>
          <cell r="S38">
            <v>6150</v>
          </cell>
          <cell r="T38">
            <v>1845</v>
          </cell>
          <cell r="U38">
            <v>3075</v>
          </cell>
          <cell r="V38">
            <v>1300</v>
          </cell>
          <cell r="W38">
            <v>575</v>
          </cell>
          <cell r="X38">
            <v>0</v>
          </cell>
          <cell r="Y38">
            <v>0</v>
          </cell>
          <cell r="Z38">
            <v>0</v>
          </cell>
          <cell r="AA38">
            <v>0</v>
          </cell>
          <cell r="AB38">
            <v>4920</v>
          </cell>
          <cell r="AC38">
            <v>0</v>
          </cell>
          <cell r="AD38">
            <v>0</v>
          </cell>
          <cell r="AE38">
            <v>0</v>
          </cell>
          <cell r="AF38">
            <v>0</v>
          </cell>
          <cell r="AG38">
            <v>0</v>
          </cell>
          <cell r="AH38">
            <v>738</v>
          </cell>
          <cell r="AI38">
            <v>0</v>
          </cell>
          <cell r="AJ38">
            <v>12945</v>
          </cell>
          <cell r="AK38" t="str">
            <v>Mfg. Service</v>
          </cell>
          <cell r="AL38">
            <v>0</v>
          </cell>
          <cell r="AM38">
            <v>13</v>
          </cell>
          <cell r="AN38" t="str">
            <v>MOHD.ANANOORE ALAM</v>
          </cell>
          <cell r="AO38" t="str">
            <v>Asst. Officer - Utilities</v>
          </cell>
          <cell r="AP38" t="str">
            <v>Plant</v>
          </cell>
          <cell r="AQ38" t="str">
            <v>Non-Executive</v>
          </cell>
          <cell r="AR38" t="str">
            <v>HDFC  BANK LTD.</v>
          </cell>
          <cell r="AS38" t="str">
            <v>1681050004731</v>
          </cell>
          <cell r="AT38">
            <v>31</v>
          </cell>
          <cell r="AV38">
            <v>6150</v>
          </cell>
          <cell r="AW38">
            <v>1845</v>
          </cell>
          <cell r="AX38">
            <v>3075</v>
          </cell>
          <cell r="AY38">
            <v>1300</v>
          </cell>
          <cell r="AZ38">
            <v>575</v>
          </cell>
          <cell r="BA38">
            <v>0</v>
          </cell>
          <cell r="BB38">
            <v>0</v>
          </cell>
          <cell r="BC38">
            <v>0</v>
          </cell>
          <cell r="BD38">
            <v>0</v>
          </cell>
          <cell r="BE38">
            <v>0</v>
          </cell>
          <cell r="BF38">
            <v>0</v>
          </cell>
          <cell r="BG38">
            <v>0</v>
          </cell>
          <cell r="BH38">
            <v>12945</v>
          </cell>
          <cell r="BI38">
            <v>738</v>
          </cell>
          <cell r="BJ38">
            <v>93</v>
          </cell>
          <cell r="BK38">
            <v>0</v>
          </cell>
          <cell r="BL38">
            <v>0</v>
          </cell>
          <cell r="BM38">
            <v>0</v>
          </cell>
          <cell r="BN38">
            <v>100</v>
          </cell>
          <cell r="BO38">
            <v>0</v>
          </cell>
          <cell r="BP38">
            <v>0</v>
          </cell>
          <cell r="BQ38">
            <v>1111</v>
          </cell>
          <cell r="BR38">
            <v>70</v>
          </cell>
          <cell r="BS38">
            <v>0</v>
          </cell>
          <cell r="BT38">
            <v>0</v>
          </cell>
          <cell r="BU38">
            <v>2112</v>
          </cell>
          <cell r="BV38">
            <v>10833</v>
          </cell>
          <cell r="BW38">
            <v>10833</v>
          </cell>
          <cell r="BX38">
            <v>837.01499999999999</v>
          </cell>
          <cell r="BY38">
            <v>0</v>
          </cell>
          <cell r="BZ38">
            <v>0</v>
          </cell>
          <cell r="CL38" t="str">
            <v>MOHD.ANANOORE ALAM</v>
          </cell>
          <cell r="CM38" t="str">
            <v>RJ/13238/036</v>
          </cell>
          <cell r="CN38">
            <v>6150</v>
          </cell>
          <cell r="CO38">
            <v>6150</v>
          </cell>
          <cell r="CP38">
            <v>738</v>
          </cell>
          <cell r="CQ38">
            <v>512</v>
          </cell>
          <cell r="CR38">
            <v>226</v>
          </cell>
          <cell r="CS38">
            <v>67.650000000000006</v>
          </cell>
          <cell r="CT38">
            <v>30.75</v>
          </cell>
          <cell r="CU38">
            <v>0.61499999999999999</v>
          </cell>
          <cell r="CV38">
            <v>837.01499999999999</v>
          </cell>
          <cell r="CW38">
            <v>0</v>
          </cell>
          <cell r="CX38">
            <v>0</v>
          </cell>
          <cell r="CY38" t="str">
            <v>MOHD.ANANOORE ALAM</v>
          </cell>
          <cell r="CZ38">
            <v>6150</v>
          </cell>
          <cell r="DA38">
            <v>3075</v>
          </cell>
          <cell r="DB38">
            <v>1845</v>
          </cell>
          <cell r="DC38">
            <v>11070</v>
          </cell>
          <cell r="DD38">
            <v>0</v>
          </cell>
          <cell r="DE38">
            <v>0</v>
          </cell>
          <cell r="DF38">
            <v>0</v>
          </cell>
          <cell r="DG38">
            <v>0</v>
          </cell>
        </row>
        <row r="39">
          <cell r="A39">
            <v>33</v>
          </cell>
          <cell r="C39">
            <v>33</v>
          </cell>
          <cell r="D39">
            <v>13</v>
          </cell>
          <cell r="E39" t="str">
            <v>JASWANT RAI</v>
          </cell>
          <cell r="F39" t="str">
            <v>Officer - Security</v>
          </cell>
          <cell r="G39" t="str">
            <v>Security Services</v>
          </cell>
          <cell r="H39" t="str">
            <v>Plant</v>
          </cell>
          <cell r="I39" t="str">
            <v>Non-Executive</v>
          </cell>
          <cell r="K39">
            <v>17628</v>
          </cell>
          <cell r="L39">
            <v>33939</v>
          </cell>
          <cell r="N39" t="str">
            <v>RJ/13238/040</v>
          </cell>
          <cell r="R39" t="str">
            <v>Mr. Shankar Dass</v>
          </cell>
          <cell r="S39">
            <v>4700</v>
          </cell>
          <cell r="T39">
            <v>1410</v>
          </cell>
          <cell r="U39">
            <v>2350</v>
          </cell>
          <cell r="V39">
            <v>1500</v>
          </cell>
          <cell r="W39">
            <v>650</v>
          </cell>
          <cell r="X39">
            <v>0</v>
          </cell>
          <cell r="Y39">
            <v>0</v>
          </cell>
          <cell r="Z39">
            <v>0</v>
          </cell>
          <cell r="AA39">
            <v>0</v>
          </cell>
          <cell r="AB39">
            <v>3760</v>
          </cell>
          <cell r="AC39">
            <v>0</v>
          </cell>
          <cell r="AD39">
            <v>0</v>
          </cell>
          <cell r="AE39">
            <v>0</v>
          </cell>
          <cell r="AF39">
            <v>0</v>
          </cell>
          <cell r="AG39">
            <v>0</v>
          </cell>
          <cell r="AH39">
            <v>564</v>
          </cell>
          <cell r="AI39">
            <v>0</v>
          </cell>
          <cell r="AJ39">
            <v>10610</v>
          </cell>
          <cell r="AK39" t="str">
            <v>G&amp;A</v>
          </cell>
          <cell r="AL39">
            <v>0</v>
          </cell>
          <cell r="AM39">
            <v>13</v>
          </cell>
          <cell r="AN39" t="str">
            <v>JASWANT RAI</v>
          </cell>
          <cell r="AO39" t="str">
            <v>Officer - Security</v>
          </cell>
          <cell r="AP39" t="str">
            <v>Plant</v>
          </cell>
          <cell r="AQ39" t="str">
            <v>Non-Executive</v>
          </cell>
          <cell r="AR39" t="str">
            <v>Cheque Payment</v>
          </cell>
          <cell r="AS39">
            <v>0</v>
          </cell>
          <cell r="AT39">
            <v>31</v>
          </cell>
          <cell r="AV39">
            <v>4700</v>
          </cell>
          <cell r="AW39">
            <v>1410</v>
          </cell>
          <cell r="AX39">
            <v>2350</v>
          </cell>
          <cell r="AY39">
            <v>1500</v>
          </cell>
          <cell r="AZ39">
            <v>650</v>
          </cell>
          <cell r="BA39">
            <v>0</v>
          </cell>
          <cell r="BB39">
            <v>0</v>
          </cell>
          <cell r="BC39">
            <v>0</v>
          </cell>
          <cell r="BD39">
            <v>0</v>
          </cell>
          <cell r="BE39">
            <v>0</v>
          </cell>
          <cell r="BF39">
            <v>0</v>
          </cell>
          <cell r="BG39">
            <v>0</v>
          </cell>
          <cell r="BH39">
            <v>10610</v>
          </cell>
          <cell r="BI39">
            <v>564</v>
          </cell>
          <cell r="BJ39">
            <v>93</v>
          </cell>
          <cell r="BK39">
            <v>0</v>
          </cell>
          <cell r="BL39">
            <v>0</v>
          </cell>
          <cell r="BM39">
            <v>0</v>
          </cell>
          <cell r="BN39">
            <v>0</v>
          </cell>
          <cell r="BO39">
            <v>0</v>
          </cell>
          <cell r="BP39">
            <v>0</v>
          </cell>
          <cell r="BQ39">
            <v>0</v>
          </cell>
          <cell r="BR39">
            <v>0</v>
          </cell>
          <cell r="BS39">
            <v>0</v>
          </cell>
          <cell r="BT39">
            <v>0</v>
          </cell>
          <cell r="BU39">
            <v>657</v>
          </cell>
          <cell r="BV39">
            <v>9953</v>
          </cell>
          <cell r="BW39">
            <v>9953</v>
          </cell>
          <cell r="BX39">
            <v>639.67000000000007</v>
          </cell>
          <cell r="BY39">
            <v>0</v>
          </cell>
          <cell r="BZ39">
            <v>0</v>
          </cell>
          <cell r="CL39" t="str">
            <v>JASWANT RAI</v>
          </cell>
          <cell r="CM39" t="str">
            <v>RJ/13238/040</v>
          </cell>
          <cell r="CN39">
            <v>4700</v>
          </cell>
          <cell r="CO39">
            <v>4700</v>
          </cell>
          <cell r="CP39">
            <v>564</v>
          </cell>
          <cell r="CQ39">
            <v>392</v>
          </cell>
          <cell r="CR39">
            <v>172</v>
          </cell>
          <cell r="CS39">
            <v>51.7</v>
          </cell>
          <cell r="CT39">
            <v>23.5</v>
          </cell>
          <cell r="CU39">
            <v>0.47000000000000003</v>
          </cell>
          <cell r="CV39">
            <v>639.67000000000007</v>
          </cell>
          <cell r="CW39">
            <v>0</v>
          </cell>
          <cell r="CX39">
            <v>0</v>
          </cell>
          <cell r="CY39" t="str">
            <v>JASWANT RAI</v>
          </cell>
          <cell r="CZ39">
            <v>4700</v>
          </cell>
          <cell r="DA39">
            <v>2350</v>
          </cell>
          <cell r="DB39">
            <v>1410</v>
          </cell>
          <cell r="DC39">
            <v>8460</v>
          </cell>
          <cell r="DD39">
            <v>0</v>
          </cell>
          <cell r="DE39">
            <v>0</v>
          </cell>
          <cell r="DF39">
            <v>0</v>
          </cell>
          <cell r="DG39">
            <v>0</v>
          </cell>
        </row>
        <row r="40">
          <cell r="A40">
            <v>34</v>
          </cell>
          <cell r="C40">
            <v>34</v>
          </cell>
          <cell r="D40">
            <v>13</v>
          </cell>
          <cell r="E40" t="str">
            <v>PADMA CHARAN RAY</v>
          </cell>
          <cell r="F40" t="str">
            <v>Sales Executive</v>
          </cell>
          <cell r="G40" t="str">
            <v>Sales</v>
          </cell>
          <cell r="H40" t="str">
            <v>Delhi</v>
          </cell>
          <cell r="I40" t="str">
            <v>Non-Executive</v>
          </cell>
          <cell r="K40">
            <v>26382</v>
          </cell>
          <cell r="L40">
            <v>37368</v>
          </cell>
          <cell r="N40">
            <v>0</v>
          </cell>
          <cell r="R40" t="str">
            <v>KALANDI CHARAN RAY</v>
          </cell>
          <cell r="S40">
            <v>5300</v>
          </cell>
          <cell r="T40">
            <v>0</v>
          </cell>
          <cell r="U40">
            <v>2650</v>
          </cell>
          <cell r="V40">
            <v>750</v>
          </cell>
          <cell r="W40">
            <v>0</v>
          </cell>
          <cell r="X40">
            <v>0</v>
          </cell>
          <cell r="Y40">
            <v>0</v>
          </cell>
          <cell r="Z40">
            <v>0</v>
          </cell>
          <cell r="AA40">
            <v>0</v>
          </cell>
          <cell r="AB40">
            <v>2650</v>
          </cell>
          <cell r="AC40">
            <v>0</v>
          </cell>
          <cell r="AD40">
            <v>0</v>
          </cell>
          <cell r="AE40">
            <v>0</v>
          </cell>
          <cell r="AF40">
            <v>0</v>
          </cell>
          <cell r="AG40">
            <v>0</v>
          </cell>
          <cell r="AH40">
            <v>636</v>
          </cell>
          <cell r="AI40">
            <v>0</v>
          </cell>
          <cell r="AJ40">
            <v>8700</v>
          </cell>
          <cell r="AK40" t="str">
            <v>Sales Executive</v>
          </cell>
          <cell r="AL40">
            <v>0</v>
          </cell>
          <cell r="AM40">
            <v>13</v>
          </cell>
          <cell r="AN40" t="str">
            <v>PADMA CHARAN RAY</v>
          </cell>
          <cell r="AO40" t="str">
            <v>Sales Executive</v>
          </cell>
          <cell r="AP40" t="str">
            <v>Delhi</v>
          </cell>
          <cell r="AQ40" t="str">
            <v>Non-Executive</v>
          </cell>
          <cell r="AR40" t="str">
            <v>HDFC  BANK LTD.</v>
          </cell>
          <cell r="AS40" t="str">
            <v>0321050042538</v>
          </cell>
          <cell r="AT40">
            <v>31</v>
          </cell>
          <cell r="AV40">
            <v>5300</v>
          </cell>
          <cell r="AW40">
            <v>0</v>
          </cell>
          <cell r="AX40">
            <v>2650</v>
          </cell>
          <cell r="AY40">
            <v>750</v>
          </cell>
          <cell r="AZ40">
            <v>0</v>
          </cell>
          <cell r="BA40">
            <v>0</v>
          </cell>
          <cell r="BB40">
            <v>0</v>
          </cell>
          <cell r="BC40">
            <v>0</v>
          </cell>
          <cell r="BD40">
            <v>0</v>
          </cell>
          <cell r="BE40">
            <v>0</v>
          </cell>
          <cell r="BF40">
            <v>0</v>
          </cell>
          <cell r="BG40">
            <v>0</v>
          </cell>
          <cell r="BH40">
            <v>8700</v>
          </cell>
          <cell r="BI40">
            <v>636</v>
          </cell>
          <cell r="BJ40">
            <v>0</v>
          </cell>
          <cell r="BK40">
            <v>0</v>
          </cell>
          <cell r="BL40">
            <v>0</v>
          </cell>
          <cell r="BM40">
            <v>0</v>
          </cell>
          <cell r="BN40">
            <v>0</v>
          </cell>
          <cell r="BO40">
            <v>0</v>
          </cell>
          <cell r="BP40">
            <v>0</v>
          </cell>
          <cell r="BQ40">
            <v>0</v>
          </cell>
          <cell r="BR40">
            <v>0</v>
          </cell>
          <cell r="BS40">
            <v>0</v>
          </cell>
          <cell r="BT40">
            <v>0</v>
          </cell>
          <cell r="BU40">
            <v>636</v>
          </cell>
          <cell r="BV40">
            <v>8064</v>
          </cell>
          <cell r="BW40">
            <v>8064</v>
          </cell>
          <cell r="BX40">
            <v>721.32999999999993</v>
          </cell>
          <cell r="BY40">
            <v>0</v>
          </cell>
          <cell r="BZ40">
            <v>0</v>
          </cell>
          <cell r="CL40" t="str">
            <v>PADMA CHARAN RAY</v>
          </cell>
          <cell r="CM40">
            <v>0</v>
          </cell>
          <cell r="CN40">
            <v>5300</v>
          </cell>
          <cell r="CO40">
            <v>5300</v>
          </cell>
          <cell r="CP40">
            <v>636</v>
          </cell>
          <cell r="CQ40">
            <v>441</v>
          </cell>
          <cell r="CR40">
            <v>195</v>
          </cell>
          <cell r="CS40">
            <v>58.300000000000004</v>
          </cell>
          <cell r="CT40">
            <v>26.5</v>
          </cell>
          <cell r="CU40">
            <v>0.53</v>
          </cell>
          <cell r="CV40">
            <v>721.32999999999993</v>
          </cell>
          <cell r="CW40">
            <v>0</v>
          </cell>
          <cell r="CX40">
            <v>0</v>
          </cell>
          <cell r="CY40" t="str">
            <v>PADMA CHARAN RAY</v>
          </cell>
          <cell r="CZ40">
            <v>5300</v>
          </cell>
          <cell r="DA40">
            <v>2650</v>
          </cell>
          <cell r="DB40">
            <v>0</v>
          </cell>
          <cell r="DC40">
            <v>7950</v>
          </cell>
          <cell r="DD40">
            <v>0</v>
          </cell>
          <cell r="DE40">
            <v>0</v>
          </cell>
          <cell r="DF40">
            <v>0</v>
          </cell>
          <cell r="DG40">
            <v>0</v>
          </cell>
        </row>
        <row r="41">
          <cell r="A41">
            <v>35</v>
          </cell>
          <cell r="C41">
            <v>35</v>
          </cell>
          <cell r="D41">
            <v>13</v>
          </cell>
          <cell r="E41" t="str">
            <v>RAJESH KUMAR SAHAY</v>
          </cell>
          <cell r="F41" t="str">
            <v>Sales Executive</v>
          </cell>
          <cell r="G41" t="str">
            <v>Sales</v>
          </cell>
          <cell r="H41" t="str">
            <v>Delhi</v>
          </cell>
          <cell r="I41" t="str">
            <v>Non-Executive</v>
          </cell>
          <cell r="K41">
            <v>27008</v>
          </cell>
          <cell r="L41">
            <v>37417</v>
          </cell>
          <cell r="N41">
            <v>0</v>
          </cell>
          <cell r="R41">
            <v>0</v>
          </cell>
          <cell r="S41">
            <v>5300</v>
          </cell>
          <cell r="T41">
            <v>0</v>
          </cell>
          <cell r="U41">
            <v>2650</v>
          </cell>
          <cell r="V41">
            <v>750</v>
          </cell>
          <cell r="W41">
            <v>0</v>
          </cell>
          <cell r="X41">
            <v>0</v>
          </cell>
          <cell r="Y41">
            <v>0</v>
          </cell>
          <cell r="Z41">
            <v>0</v>
          </cell>
          <cell r="AA41">
            <v>0</v>
          </cell>
          <cell r="AB41">
            <v>2650</v>
          </cell>
          <cell r="AC41">
            <v>0</v>
          </cell>
          <cell r="AD41">
            <v>0</v>
          </cell>
          <cell r="AE41">
            <v>0</v>
          </cell>
          <cell r="AF41">
            <v>0</v>
          </cell>
          <cell r="AG41">
            <v>0</v>
          </cell>
          <cell r="AH41">
            <v>636</v>
          </cell>
          <cell r="AI41">
            <v>0</v>
          </cell>
          <cell r="AJ41">
            <v>8700</v>
          </cell>
          <cell r="AK41" t="str">
            <v>Sales Executive</v>
          </cell>
          <cell r="AL41">
            <v>0</v>
          </cell>
          <cell r="AM41">
            <v>13</v>
          </cell>
          <cell r="AN41" t="str">
            <v>RAJESH KUMAR SAHAY</v>
          </cell>
          <cell r="AO41" t="str">
            <v>Sales Executive</v>
          </cell>
          <cell r="AP41" t="str">
            <v>Delhi</v>
          </cell>
          <cell r="AQ41" t="str">
            <v>Non-Executive</v>
          </cell>
          <cell r="AR41" t="str">
            <v>HDFC  BANK LTD.</v>
          </cell>
          <cell r="AS41" t="str">
            <v>1321050004267</v>
          </cell>
          <cell r="AT41">
            <v>31</v>
          </cell>
          <cell r="AV41">
            <v>5300</v>
          </cell>
          <cell r="AW41">
            <v>0</v>
          </cell>
          <cell r="AX41">
            <v>2650</v>
          </cell>
          <cell r="AY41">
            <v>750</v>
          </cell>
          <cell r="AZ41">
            <v>0</v>
          </cell>
          <cell r="BA41">
            <v>0</v>
          </cell>
          <cell r="BB41">
            <v>0</v>
          </cell>
          <cell r="BC41">
            <v>0</v>
          </cell>
          <cell r="BD41">
            <v>0</v>
          </cell>
          <cell r="BE41">
            <v>0</v>
          </cell>
          <cell r="BF41">
            <v>0</v>
          </cell>
          <cell r="BG41">
            <v>0</v>
          </cell>
          <cell r="BH41">
            <v>8700</v>
          </cell>
          <cell r="BI41">
            <v>636</v>
          </cell>
          <cell r="BJ41">
            <v>0</v>
          </cell>
          <cell r="BK41">
            <v>0</v>
          </cell>
          <cell r="BL41">
            <v>0</v>
          </cell>
          <cell r="BM41">
            <v>0</v>
          </cell>
          <cell r="BN41">
            <v>0</v>
          </cell>
          <cell r="BO41">
            <v>0</v>
          </cell>
          <cell r="BP41">
            <v>0</v>
          </cell>
          <cell r="BQ41">
            <v>0</v>
          </cell>
          <cell r="BR41">
            <v>0</v>
          </cell>
          <cell r="BS41">
            <v>0</v>
          </cell>
          <cell r="BT41">
            <v>0</v>
          </cell>
          <cell r="BU41">
            <v>636</v>
          </cell>
          <cell r="BV41">
            <v>8064</v>
          </cell>
          <cell r="BW41">
            <v>8064</v>
          </cell>
          <cell r="BX41">
            <v>721.32999999999993</v>
          </cell>
          <cell r="BY41">
            <v>0</v>
          </cell>
          <cell r="BZ41">
            <v>0</v>
          </cell>
          <cell r="CL41" t="str">
            <v>RAJESH KUMAR SAHAY</v>
          </cell>
          <cell r="CM41">
            <v>0</v>
          </cell>
          <cell r="CN41">
            <v>5300</v>
          </cell>
          <cell r="CO41">
            <v>5300</v>
          </cell>
          <cell r="CP41">
            <v>636</v>
          </cell>
          <cell r="CQ41">
            <v>441</v>
          </cell>
          <cell r="CR41">
            <v>195</v>
          </cell>
          <cell r="CS41">
            <v>58.300000000000004</v>
          </cell>
          <cell r="CT41">
            <v>26.5</v>
          </cell>
          <cell r="CU41">
            <v>0.53</v>
          </cell>
          <cell r="CV41">
            <v>721.32999999999993</v>
          </cell>
          <cell r="CW41">
            <v>0</v>
          </cell>
          <cell r="CX41">
            <v>0</v>
          </cell>
          <cell r="CY41" t="str">
            <v>RAJESH KUMAR SAHAY</v>
          </cell>
          <cell r="CZ41">
            <v>5300</v>
          </cell>
          <cell r="DA41">
            <v>2650</v>
          </cell>
          <cell r="DB41">
            <v>0</v>
          </cell>
          <cell r="DC41">
            <v>7950</v>
          </cell>
          <cell r="DD41">
            <v>0</v>
          </cell>
          <cell r="DE41">
            <v>0</v>
          </cell>
          <cell r="DF41">
            <v>0</v>
          </cell>
          <cell r="DG41">
            <v>0</v>
          </cell>
        </row>
        <row r="42">
          <cell r="A42">
            <v>36</v>
          </cell>
          <cell r="C42">
            <v>36</v>
          </cell>
          <cell r="D42">
            <v>13</v>
          </cell>
          <cell r="E42" t="str">
            <v>VIKAS SWAMI</v>
          </cell>
          <cell r="F42" t="str">
            <v>Sales Executive</v>
          </cell>
          <cell r="G42" t="str">
            <v>Sales</v>
          </cell>
          <cell r="H42" t="str">
            <v>Delhi</v>
          </cell>
          <cell r="I42" t="str">
            <v>Non-Executive</v>
          </cell>
          <cell r="K42">
            <v>28552</v>
          </cell>
          <cell r="L42">
            <v>37368</v>
          </cell>
          <cell r="N42" t="str">
            <v>RJ/13238/199</v>
          </cell>
          <cell r="R42" t="str">
            <v>OM PRAKASH SWAMI</v>
          </cell>
          <cell r="S42">
            <v>5300</v>
          </cell>
          <cell r="T42">
            <v>0</v>
          </cell>
          <cell r="U42">
            <v>2650</v>
          </cell>
          <cell r="V42">
            <v>750</v>
          </cell>
          <cell r="W42">
            <v>0</v>
          </cell>
          <cell r="X42">
            <v>0</v>
          </cell>
          <cell r="Y42">
            <v>0</v>
          </cell>
          <cell r="Z42">
            <v>0</v>
          </cell>
          <cell r="AA42">
            <v>0</v>
          </cell>
          <cell r="AB42">
            <v>2650</v>
          </cell>
          <cell r="AC42">
            <v>0</v>
          </cell>
          <cell r="AD42">
            <v>0</v>
          </cell>
          <cell r="AE42">
            <v>0</v>
          </cell>
          <cell r="AF42">
            <v>0</v>
          </cell>
          <cell r="AG42">
            <v>0</v>
          </cell>
          <cell r="AH42">
            <v>636</v>
          </cell>
          <cell r="AI42">
            <v>0</v>
          </cell>
          <cell r="AJ42">
            <v>8700</v>
          </cell>
          <cell r="AK42" t="str">
            <v>Sales Executive</v>
          </cell>
          <cell r="AL42">
            <v>0</v>
          </cell>
          <cell r="AM42">
            <v>13</v>
          </cell>
          <cell r="AN42" t="str">
            <v>VIKAS SWAMI</v>
          </cell>
          <cell r="AO42" t="str">
            <v>Sales Executive</v>
          </cell>
          <cell r="AP42" t="str">
            <v>Delhi</v>
          </cell>
          <cell r="AQ42" t="str">
            <v>Non-Executive</v>
          </cell>
          <cell r="AR42" t="str">
            <v>HDFC  BANK LTD.</v>
          </cell>
          <cell r="AS42" t="str">
            <v>0031050195961</v>
          </cell>
          <cell r="AT42">
            <v>31</v>
          </cell>
          <cell r="AV42">
            <v>5300</v>
          </cell>
          <cell r="AW42">
            <v>0</v>
          </cell>
          <cell r="AX42">
            <v>2650</v>
          </cell>
          <cell r="AY42">
            <v>750</v>
          </cell>
          <cell r="AZ42">
            <v>0</v>
          </cell>
          <cell r="BA42">
            <v>0</v>
          </cell>
          <cell r="BB42">
            <v>0</v>
          </cell>
          <cell r="BC42">
            <v>0</v>
          </cell>
          <cell r="BD42">
            <v>0</v>
          </cell>
          <cell r="BE42">
            <v>0</v>
          </cell>
          <cell r="BF42">
            <v>0</v>
          </cell>
          <cell r="BG42">
            <v>0</v>
          </cell>
          <cell r="BH42">
            <v>8700</v>
          </cell>
          <cell r="BI42">
            <v>636</v>
          </cell>
          <cell r="BJ42">
            <v>0</v>
          </cell>
          <cell r="BK42">
            <v>0</v>
          </cell>
          <cell r="BL42">
            <v>0</v>
          </cell>
          <cell r="BM42">
            <v>0</v>
          </cell>
          <cell r="BN42">
            <v>0</v>
          </cell>
          <cell r="BO42">
            <v>0</v>
          </cell>
          <cell r="BP42">
            <v>0</v>
          </cell>
          <cell r="BQ42">
            <v>0</v>
          </cell>
          <cell r="BR42">
            <v>0</v>
          </cell>
          <cell r="BS42">
            <v>0</v>
          </cell>
          <cell r="BT42">
            <v>0</v>
          </cell>
          <cell r="BU42">
            <v>636</v>
          </cell>
          <cell r="BV42">
            <v>8064</v>
          </cell>
          <cell r="BW42">
            <v>8064</v>
          </cell>
          <cell r="BX42">
            <v>721.32999999999993</v>
          </cell>
          <cell r="BY42">
            <v>0</v>
          </cell>
          <cell r="BZ42">
            <v>0</v>
          </cell>
          <cell r="CL42" t="str">
            <v>VIKAS SWAMI</v>
          </cell>
          <cell r="CM42" t="str">
            <v>RJ/13238/199</v>
          </cell>
          <cell r="CN42">
            <v>5300</v>
          </cell>
          <cell r="CO42">
            <v>5300</v>
          </cell>
          <cell r="CP42">
            <v>636</v>
          </cell>
          <cell r="CQ42">
            <v>441</v>
          </cell>
          <cell r="CR42">
            <v>195</v>
          </cell>
          <cell r="CS42">
            <v>58.300000000000004</v>
          </cell>
          <cell r="CT42">
            <v>26.5</v>
          </cell>
          <cell r="CU42">
            <v>0.53</v>
          </cell>
          <cell r="CV42">
            <v>721.32999999999993</v>
          </cell>
          <cell r="CW42">
            <v>0</v>
          </cell>
          <cell r="CX42">
            <v>0</v>
          </cell>
          <cell r="CY42" t="str">
            <v>VIKAS SWAMI</v>
          </cell>
          <cell r="CZ42">
            <v>5300</v>
          </cell>
          <cell r="DA42">
            <v>2650</v>
          </cell>
          <cell r="DB42">
            <v>0</v>
          </cell>
          <cell r="DC42">
            <v>7950</v>
          </cell>
          <cell r="DD42">
            <v>0</v>
          </cell>
          <cell r="DE42">
            <v>0</v>
          </cell>
          <cell r="DF42">
            <v>0</v>
          </cell>
          <cell r="DG42">
            <v>0</v>
          </cell>
        </row>
        <row r="43">
          <cell r="A43">
            <v>37</v>
          </cell>
          <cell r="C43">
            <v>37</v>
          </cell>
          <cell r="D43">
            <v>14</v>
          </cell>
          <cell r="E43" t="str">
            <v>SUMEET KAPAHI</v>
          </cell>
          <cell r="F43" t="str">
            <v>Sr. Sales Executive</v>
          </cell>
          <cell r="G43" t="str">
            <v>Sales</v>
          </cell>
          <cell r="H43" t="str">
            <v>Delhi</v>
          </cell>
          <cell r="I43" t="str">
            <v>Non-Executive</v>
          </cell>
          <cell r="K43">
            <v>23874</v>
          </cell>
          <cell r="L43">
            <v>34967</v>
          </cell>
          <cell r="N43" t="str">
            <v>RJ/13238/099</v>
          </cell>
          <cell r="R43" t="str">
            <v>Mr. B.K. Kapahi</v>
          </cell>
          <cell r="S43">
            <v>7525</v>
          </cell>
          <cell r="T43">
            <v>0</v>
          </cell>
          <cell r="U43">
            <v>0</v>
          </cell>
          <cell r="V43">
            <v>800</v>
          </cell>
          <cell r="W43">
            <v>0</v>
          </cell>
          <cell r="X43">
            <v>0</v>
          </cell>
          <cell r="Y43">
            <v>0</v>
          </cell>
          <cell r="Z43">
            <v>0</v>
          </cell>
          <cell r="AA43">
            <v>0</v>
          </cell>
          <cell r="AB43">
            <v>0</v>
          </cell>
          <cell r="AC43">
            <v>0</v>
          </cell>
          <cell r="AD43">
            <v>0</v>
          </cell>
          <cell r="AE43">
            <v>0</v>
          </cell>
          <cell r="AF43">
            <v>0</v>
          </cell>
          <cell r="AG43">
            <v>0</v>
          </cell>
          <cell r="AH43">
            <v>903</v>
          </cell>
          <cell r="AI43">
            <v>0</v>
          </cell>
          <cell r="AJ43">
            <v>8325</v>
          </cell>
          <cell r="AK43" t="str">
            <v>Sales Executive</v>
          </cell>
          <cell r="AL43">
            <v>0</v>
          </cell>
          <cell r="AM43">
            <v>14</v>
          </cell>
          <cell r="AN43" t="str">
            <v>SUMEET KAPAHI</v>
          </cell>
          <cell r="AO43" t="str">
            <v>Sr. Sales Executive</v>
          </cell>
          <cell r="AP43" t="str">
            <v>Delhi</v>
          </cell>
          <cell r="AQ43" t="str">
            <v>Non-Executive</v>
          </cell>
          <cell r="AR43" t="str">
            <v>HDFC  BANK LTD.</v>
          </cell>
          <cell r="AS43" t="str">
            <v>0031050010549</v>
          </cell>
          <cell r="AT43">
            <v>31</v>
          </cell>
          <cell r="AV43">
            <v>7525</v>
          </cell>
          <cell r="AW43">
            <v>0</v>
          </cell>
          <cell r="AX43">
            <v>0</v>
          </cell>
          <cell r="AY43">
            <v>800</v>
          </cell>
          <cell r="AZ43">
            <v>0</v>
          </cell>
          <cell r="BA43">
            <v>0</v>
          </cell>
          <cell r="BB43">
            <v>0</v>
          </cell>
          <cell r="BC43">
            <v>0</v>
          </cell>
          <cell r="BD43">
            <v>0</v>
          </cell>
          <cell r="BE43">
            <v>0</v>
          </cell>
          <cell r="BF43">
            <v>0</v>
          </cell>
          <cell r="BG43">
            <v>0</v>
          </cell>
          <cell r="BH43">
            <v>8325</v>
          </cell>
          <cell r="BI43">
            <v>903</v>
          </cell>
          <cell r="BJ43">
            <v>0</v>
          </cell>
          <cell r="BK43">
            <v>970</v>
          </cell>
          <cell r="BL43">
            <v>0</v>
          </cell>
          <cell r="BM43">
            <v>0</v>
          </cell>
          <cell r="BN43">
            <v>0</v>
          </cell>
          <cell r="BO43">
            <v>0</v>
          </cell>
          <cell r="BP43">
            <v>0</v>
          </cell>
          <cell r="BQ43">
            <v>1389</v>
          </cell>
          <cell r="BR43">
            <v>88</v>
          </cell>
          <cell r="BS43">
            <v>0</v>
          </cell>
          <cell r="BT43">
            <v>0</v>
          </cell>
          <cell r="BU43">
            <v>3350</v>
          </cell>
          <cell r="BV43">
            <v>4975</v>
          </cell>
          <cell r="BW43">
            <v>4975</v>
          </cell>
          <cell r="BX43">
            <v>1024.1524999999999</v>
          </cell>
          <cell r="BY43">
            <v>0</v>
          </cell>
          <cell r="BZ43">
            <v>0</v>
          </cell>
          <cell r="CL43" t="str">
            <v>SUMEET KAPAHI</v>
          </cell>
          <cell r="CM43" t="str">
            <v>RJ/13238/099</v>
          </cell>
          <cell r="CN43">
            <v>7525</v>
          </cell>
          <cell r="CO43">
            <v>6500</v>
          </cell>
          <cell r="CP43">
            <v>903</v>
          </cell>
          <cell r="CQ43">
            <v>541</v>
          </cell>
          <cell r="CR43">
            <v>362</v>
          </cell>
          <cell r="CS43">
            <v>82.775000000000006</v>
          </cell>
          <cell r="CT43">
            <v>37.625</v>
          </cell>
          <cell r="CU43">
            <v>0.75250000000000006</v>
          </cell>
          <cell r="CV43">
            <v>1024.1524999999999</v>
          </cell>
          <cell r="CW43">
            <v>0</v>
          </cell>
          <cell r="CX43">
            <v>0</v>
          </cell>
          <cell r="CY43" t="str">
            <v>SUMEET KAPAHI</v>
          </cell>
          <cell r="CZ43">
            <v>7525</v>
          </cell>
          <cell r="DA43">
            <v>0</v>
          </cell>
          <cell r="DB43">
            <v>0</v>
          </cell>
          <cell r="DC43">
            <v>7525</v>
          </cell>
          <cell r="DD43">
            <v>0</v>
          </cell>
          <cell r="DE43">
            <v>0</v>
          </cell>
          <cell r="DF43">
            <v>0</v>
          </cell>
          <cell r="DG43">
            <v>0</v>
          </cell>
        </row>
        <row r="44">
          <cell r="A44">
            <v>38</v>
          </cell>
          <cell r="C44">
            <v>38</v>
          </cell>
          <cell r="D44">
            <v>14</v>
          </cell>
          <cell r="E44" t="str">
            <v>SUBHASH UPADHYAY</v>
          </cell>
          <cell r="F44" t="str">
            <v>Sr. Sales Executive</v>
          </cell>
          <cell r="G44" t="str">
            <v>Sales</v>
          </cell>
          <cell r="H44" t="str">
            <v>Delhi</v>
          </cell>
          <cell r="I44" t="str">
            <v>Non-Executive</v>
          </cell>
          <cell r="K44">
            <v>27657</v>
          </cell>
          <cell r="L44">
            <v>35661</v>
          </cell>
          <cell r="N44" t="str">
            <v>RJ/13238/149</v>
          </cell>
          <cell r="R44" t="str">
            <v>Mr. N.K. Upadhyay</v>
          </cell>
          <cell r="S44">
            <v>6200</v>
          </cell>
          <cell r="T44">
            <v>0</v>
          </cell>
          <cell r="U44">
            <v>1550</v>
          </cell>
          <cell r="V44">
            <v>800</v>
          </cell>
          <cell r="W44">
            <v>0</v>
          </cell>
          <cell r="X44">
            <v>0</v>
          </cell>
          <cell r="Y44">
            <v>0</v>
          </cell>
          <cell r="Z44">
            <v>0</v>
          </cell>
          <cell r="AA44">
            <v>0</v>
          </cell>
          <cell r="AB44">
            <v>1550</v>
          </cell>
          <cell r="AC44">
            <v>0</v>
          </cell>
          <cell r="AD44">
            <v>0</v>
          </cell>
          <cell r="AE44">
            <v>0</v>
          </cell>
          <cell r="AF44">
            <v>0</v>
          </cell>
          <cell r="AG44">
            <v>0</v>
          </cell>
          <cell r="AH44">
            <v>744</v>
          </cell>
          <cell r="AI44">
            <v>0</v>
          </cell>
          <cell r="AJ44">
            <v>8550</v>
          </cell>
          <cell r="AK44" t="str">
            <v>Sales Executive</v>
          </cell>
          <cell r="AL44">
            <v>0</v>
          </cell>
          <cell r="AM44">
            <v>14</v>
          </cell>
          <cell r="AN44" t="str">
            <v>SUBHASH UPADHYAY</v>
          </cell>
          <cell r="AO44" t="str">
            <v>Sr. Sales Executive</v>
          </cell>
          <cell r="AP44" t="str">
            <v>Delhi</v>
          </cell>
          <cell r="AQ44" t="str">
            <v>Non-Executive</v>
          </cell>
          <cell r="AR44" t="str">
            <v>HDFC  BANK LTD.</v>
          </cell>
          <cell r="AS44" t="str">
            <v>0031050010505</v>
          </cell>
          <cell r="AT44">
            <v>31</v>
          </cell>
          <cell r="AV44">
            <v>6200</v>
          </cell>
          <cell r="AW44">
            <v>0</v>
          </cell>
          <cell r="AX44">
            <v>1550</v>
          </cell>
          <cell r="AY44">
            <v>800</v>
          </cell>
          <cell r="AZ44">
            <v>0</v>
          </cell>
          <cell r="BA44">
            <v>0</v>
          </cell>
          <cell r="BB44">
            <v>0</v>
          </cell>
          <cell r="BC44">
            <v>0</v>
          </cell>
          <cell r="BD44">
            <v>0</v>
          </cell>
          <cell r="BE44">
            <v>0</v>
          </cell>
          <cell r="BF44">
            <v>0</v>
          </cell>
          <cell r="BG44">
            <v>0</v>
          </cell>
          <cell r="BH44">
            <v>8550</v>
          </cell>
          <cell r="BI44">
            <v>744</v>
          </cell>
          <cell r="BJ44">
            <v>0</v>
          </cell>
          <cell r="BK44">
            <v>948</v>
          </cell>
          <cell r="BL44">
            <v>0</v>
          </cell>
          <cell r="BM44">
            <v>0</v>
          </cell>
          <cell r="BN44">
            <v>0</v>
          </cell>
          <cell r="BO44">
            <v>0</v>
          </cell>
          <cell r="BP44">
            <v>0</v>
          </cell>
          <cell r="BQ44">
            <v>1389</v>
          </cell>
          <cell r="BR44">
            <v>88</v>
          </cell>
          <cell r="BS44">
            <v>0</v>
          </cell>
          <cell r="BT44">
            <v>0</v>
          </cell>
          <cell r="BU44">
            <v>3169</v>
          </cell>
          <cell r="BV44">
            <v>5381</v>
          </cell>
          <cell r="BW44">
            <v>5381</v>
          </cell>
          <cell r="BX44">
            <v>843.82</v>
          </cell>
          <cell r="BY44">
            <v>0</v>
          </cell>
          <cell r="BZ44">
            <v>0</v>
          </cell>
          <cell r="CL44" t="str">
            <v>SUBHASH UPADHYAY</v>
          </cell>
          <cell r="CM44" t="str">
            <v>RJ/13238/149</v>
          </cell>
          <cell r="CN44">
            <v>6200</v>
          </cell>
          <cell r="CO44">
            <v>6200</v>
          </cell>
          <cell r="CP44">
            <v>744</v>
          </cell>
          <cell r="CQ44">
            <v>516</v>
          </cell>
          <cell r="CR44">
            <v>228</v>
          </cell>
          <cell r="CS44">
            <v>68.2</v>
          </cell>
          <cell r="CT44">
            <v>31</v>
          </cell>
          <cell r="CU44">
            <v>0.62</v>
          </cell>
          <cell r="CV44">
            <v>843.82</v>
          </cell>
          <cell r="CW44">
            <v>0</v>
          </cell>
          <cell r="CX44">
            <v>0</v>
          </cell>
          <cell r="CY44" t="str">
            <v>SUBHASH UPADHYAY</v>
          </cell>
          <cell r="CZ44">
            <v>6200</v>
          </cell>
          <cell r="DA44">
            <v>1550</v>
          </cell>
          <cell r="DB44">
            <v>0</v>
          </cell>
          <cell r="DC44">
            <v>7750</v>
          </cell>
          <cell r="DD44">
            <v>0</v>
          </cell>
          <cell r="DE44">
            <v>0</v>
          </cell>
          <cell r="DF44">
            <v>0</v>
          </cell>
          <cell r="DG44">
            <v>0</v>
          </cell>
        </row>
        <row r="45">
          <cell r="A45">
            <v>39</v>
          </cell>
          <cell r="C45">
            <v>39</v>
          </cell>
          <cell r="D45">
            <v>14</v>
          </cell>
          <cell r="E45" t="str">
            <v>SUPREET SINGH ARORA</v>
          </cell>
          <cell r="F45" t="str">
            <v>Sr. Sales Executive</v>
          </cell>
          <cell r="G45" t="str">
            <v>Sales</v>
          </cell>
          <cell r="H45" t="str">
            <v>Chandigarh</v>
          </cell>
          <cell r="I45" t="str">
            <v>Non-Executive</v>
          </cell>
          <cell r="K45">
            <v>25508</v>
          </cell>
          <cell r="L45">
            <v>34799</v>
          </cell>
          <cell r="N45" t="str">
            <v>RJ/13238/093</v>
          </cell>
          <cell r="R45" t="str">
            <v>Mr. S. Dilbagh Singh</v>
          </cell>
          <cell r="S45">
            <v>6425</v>
          </cell>
          <cell r="T45">
            <v>0</v>
          </cell>
          <cell r="U45">
            <v>1285</v>
          </cell>
          <cell r="V45">
            <v>800</v>
          </cell>
          <cell r="W45">
            <v>0</v>
          </cell>
          <cell r="X45">
            <v>0</v>
          </cell>
          <cell r="Y45">
            <v>0</v>
          </cell>
          <cell r="Z45">
            <v>0</v>
          </cell>
          <cell r="AA45">
            <v>0</v>
          </cell>
          <cell r="AB45">
            <v>1285</v>
          </cell>
          <cell r="AC45">
            <v>0</v>
          </cell>
          <cell r="AD45">
            <v>0</v>
          </cell>
          <cell r="AE45">
            <v>0</v>
          </cell>
          <cell r="AF45">
            <v>0</v>
          </cell>
          <cell r="AG45">
            <v>0</v>
          </cell>
          <cell r="AH45">
            <v>771</v>
          </cell>
          <cell r="AI45">
            <v>0</v>
          </cell>
          <cell r="AJ45">
            <v>8510</v>
          </cell>
          <cell r="AK45" t="str">
            <v>Sales Executive</v>
          </cell>
          <cell r="AL45">
            <v>0</v>
          </cell>
          <cell r="AM45">
            <v>14</v>
          </cell>
          <cell r="AN45" t="str">
            <v>SUPREET SINGH ARORA</v>
          </cell>
          <cell r="AO45" t="str">
            <v>Sr. Sales Executive</v>
          </cell>
          <cell r="AP45" t="str">
            <v>Chandigarh</v>
          </cell>
          <cell r="AQ45" t="str">
            <v>Non-Executive</v>
          </cell>
          <cell r="AR45" t="str">
            <v>HDFC  BANK LTD.</v>
          </cell>
          <cell r="AS45" t="str">
            <v>0351050000717</v>
          </cell>
          <cell r="AT45">
            <v>31</v>
          </cell>
          <cell r="AV45">
            <v>6425</v>
          </cell>
          <cell r="AW45">
            <v>0</v>
          </cell>
          <cell r="AX45">
            <v>1285</v>
          </cell>
          <cell r="AY45">
            <v>800</v>
          </cell>
          <cell r="AZ45">
            <v>0</v>
          </cell>
          <cell r="BA45">
            <v>0</v>
          </cell>
          <cell r="BB45">
            <v>0</v>
          </cell>
          <cell r="BC45">
            <v>0</v>
          </cell>
          <cell r="BD45">
            <v>0</v>
          </cell>
          <cell r="BE45">
            <v>0</v>
          </cell>
          <cell r="BF45">
            <v>0</v>
          </cell>
          <cell r="BG45">
            <v>0</v>
          </cell>
          <cell r="BH45">
            <v>8510</v>
          </cell>
          <cell r="BI45">
            <v>771</v>
          </cell>
          <cell r="BJ45">
            <v>0</v>
          </cell>
          <cell r="BK45">
            <v>930</v>
          </cell>
          <cell r="BL45">
            <v>0</v>
          </cell>
          <cell r="BM45">
            <v>0</v>
          </cell>
          <cell r="BN45">
            <v>0</v>
          </cell>
          <cell r="BO45">
            <v>0</v>
          </cell>
          <cell r="BP45">
            <v>0</v>
          </cell>
          <cell r="BQ45">
            <v>1389</v>
          </cell>
          <cell r="BR45">
            <v>86</v>
          </cell>
          <cell r="BS45">
            <v>0</v>
          </cell>
          <cell r="BT45">
            <v>0</v>
          </cell>
          <cell r="BU45">
            <v>3176</v>
          </cell>
          <cell r="BV45">
            <v>5334</v>
          </cell>
          <cell r="BW45">
            <v>5334</v>
          </cell>
          <cell r="BX45">
            <v>874.4425</v>
          </cell>
          <cell r="BY45">
            <v>0</v>
          </cell>
          <cell r="BZ45">
            <v>0</v>
          </cell>
          <cell r="CL45" t="str">
            <v>SUPREET SINGH ARORA</v>
          </cell>
          <cell r="CM45" t="str">
            <v>RJ/13238/093</v>
          </cell>
          <cell r="CN45">
            <v>6425</v>
          </cell>
          <cell r="CO45">
            <v>6425</v>
          </cell>
          <cell r="CP45">
            <v>771</v>
          </cell>
          <cell r="CQ45">
            <v>535</v>
          </cell>
          <cell r="CR45">
            <v>236</v>
          </cell>
          <cell r="CS45">
            <v>70.675000000000011</v>
          </cell>
          <cell r="CT45">
            <v>32.125</v>
          </cell>
          <cell r="CU45">
            <v>0.64250000000000007</v>
          </cell>
          <cell r="CV45">
            <v>874.4425</v>
          </cell>
          <cell r="CW45">
            <v>0</v>
          </cell>
          <cell r="CX45">
            <v>0</v>
          </cell>
          <cell r="CY45" t="str">
            <v>SUPREET SINGH ARORA</v>
          </cell>
          <cell r="CZ45">
            <v>6425</v>
          </cell>
          <cell r="DA45">
            <v>1285</v>
          </cell>
          <cell r="DB45">
            <v>0</v>
          </cell>
          <cell r="DC45">
            <v>7710</v>
          </cell>
          <cell r="DD45">
            <v>0</v>
          </cell>
          <cell r="DE45">
            <v>0</v>
          </cell>
          <cell r="DF45">
            <v>0</v>
          </cell>
          <cell r="DG45">
            <v>0</v>
          </cell>
        </row>
        <row r="46">
          <cell r="A46">
            <v>40</v>
          </cell>
          <cell r="C46">
            <v>40</v>
          </cell>
          <cell r="D46">
            <v>13</v>
          </cell>
          <cell r="E46" t="str">
            <v>AKASH DEEP DEB</v>
          </cell>
          <cell r="F46" t="str">
            <v>Sales Executive</v>
          </cell>
          <cell r="G46" t="str">
            <v>Sales</v>
          </cell>
          <cell r="H46" t="str">
            <v>Delhi</v>
          </cell>
          <cell r="I46" t="str">
            <v>Non-Executive</v>
          </cell>
          <cell r="K46">
            <v>26947</v>
          </cell>
          <cell r="L46">
            <v>37119</v>
          </cell>
          <cell r="N46" t="str">
            <v>RJ/13238/189</v>
          </cell>
          <cell r="R46" t="str">
            <v>D.K. DEB</v>
          </cell>
          <cell r="S46">
            <v>5675</v>
          </cell>
          <cell r="T46">
            <v>0</v>
          </cell>
          <cell r="U46">
            <v>2838</v>
          </cell>
          <cell r="V46">
            <v>0</v>
          </cell>
          <cell r="W46">
            <v>0</v>
          </cell>
          <cell r="X46">
            <v>0</v>
          </cell>
          <cell r="Y46">
            <v>0</v>
          </cell>
          <cell r="Z46">
            <v>0</v>
          </cell>
          <cell r="AA46">
            <v>0</v>
          </cell>
          <cell r="AB46">
            <v>2838</v>
          </cell>
          <cell r="AC46">
            <v>0</v>
          </cell>
          <cell r="AD46">
            <v>0</v>
          </cell>
          <cell r="AE46">
            <v>0</v>
          </cell>
          <cell r="AF46">
            <v>0</v>
          </cell>
          <cell r="AG46">
            <v>0</v>
          </cell>
          <cell r="AH46">
            <v>681</v>
          </cell>
          <cell r="AI46">
            <v>0</v>
          </cell>
          <cell r="AJ46">
            <v>8513</v>
          </cell>
          <cell r="AK46" t="str">
            <v>Sales Executive</v>
          </cell>
          <cell r="AL46">
            <v>0</v>
          </cell>
          <cell r="AM46">
            <v>13</v>
          </cell>
          <cell r="AN46" t="str">
            <v>AKASH DEEP DEB</v>
          </cell>
          <cell r="AO46" t="str">
            <v>Sales Executive</v>
          </cell>
          <cell r="AP46" t="str">
            <v>Delhi</v>
          </cell>
          <cell r="AQ46" t="str">
            <v>Non-Executive</v>
          </cell>
          <cell r="AR46" t="str">
            <v>HDFC  BANK LTD.</v>
          </cell>
          <cell r="AS46" t="str">
            <v>0541050048549</v>
          </cell>
          <cell r="AT46">
            <v>31</v>
          </cell>
          <cell r="AV46">
            <v>5675</v>
          </cell>
          <cell r="AW46">
            <v>0</v>
          </cell>
          <cell r="AX46">
            <v>2838</v>
          </cell>
          <cell r="AY46">
            <v>0</v>
          </cell>
          <cell r="AZ46">
            <v>0</v>
          </cell>
          <cell r="BA46">
            <v>0</v>
          </cell>
          <cell r="BB46">
            <v>0</v>
          </cell>
          <cell r="BC46">
            <v>0</v>
          </cell>
          <cell r="BD46">
            <v>0</v>
          </cell>
          <cell r="BE46">
            <v>0</v>
          </cell>
          <cell r="BF46">
            <v>0</v>
          </cell>
          <cell r="BG46">
            <v>0</v>
          </cell>
          <cell r="BH46">
            <v>8513</v>
          </cell>
          <cell r="BI46">
            <v>681</v>
          </cell>
          <cell r="BJ46">
            <v>0</v>
          </cell>
          <cell r="BK46">
            <v>2373</v>
          </cell>
          <cell r="BL46">
            <v>0</v>
          </cell>
          <cell r="BM46">
            <v>0</v>
          </cell>
          <cell r="BN46">
            <v>0</v>
          </cell>
          <cell r="BO46">
            <v>0</v>
          </cell>
          <cell r="BP46">
            <v>0</v>
          </cell>
          <cell r="BQ46">
            <v>0</v>
          </cell>
          <cell r="BR46">
            <v>0</v>
          </cell>
          <cell r="BS46">
            <v>0</v>
          </cell>
          <cell r="BT46">
            <v>0</v>
          </cell>
          <cell r="BU46">
            <v>3054</v>
          </cell>
          <cell r="BV46">
            <v>5459</v>
          </cell>
          <cell r="BW46">
            <v>5459</v>
          </cell>
          <cell r="BX46">
            <v>772.36749999999995</v>
          </cell>
          <cell r="BY46">
            <v>0</v>
          </cell>
          <cell r="BZ46">
            <v>0</v>
          </cell>
          <cell r="CL46" t="str">
            <v>AKASH DEEP DEB</v>
          </cell>
          <cell r="CM46" t="str">
            <v>RJ/13238/189</v>
          </cell>
          <cell r="CN46">
            <v>5675</v>
          </cell>
          <cell r="CO46">
            <v>5675</v>
          </cell>
          <cell r="CP46">
            <v>681</v>
          </cell>
          <cell r="CQ46">
            <v>473</v>
          </cell>
          <cell r="CR46">
            <v>208</v>
          </cell>
          <cell r="CS46">
            <v>62.425000000000004</v>
          </cell>
          <cell r="CT46">
            <v>28.375</v>
          </cell>
          <cell r="CU46">
            <v>0.5675</v>
          </cell>
          <cell r="CV46">
            <v>772.36749999999995</v>
          </cell>
          <cell r="CW46">
            <v>0</v>
          </cell>
          <cell r="CX46">
            <v>0</v>
          </cell>
          <cell r="CY46" t="str">
            <v>AKASH DEEP DEB</v>
          </cell>
          <cell r="CZ46">
            <v>5675</v>
          </cell>
          <cell r="DA46">
            <v>2838</v>
          </cell>
          <cell r="DB46">
            <v>0</v>
          </cell>
          <cell r="DC46">
            <v>8513</v>
          </cell>
          <cell r="DD46">
            <v>0</v>
          </cell>
          <cell r="DE46">
            <v>0</v>
          </cell>
          <cell r="DF46">
            <v>0</v>
          </cell>
          <cell r="DG46">
            <v>0</v>
          </cell>
        </row>
        <row r="47">
          <cell r="A47">
            <v>41</v>
          </cell>
          <cell r="C47">
            <v>41</v>
          </cell>
          <cell r="D47">
            <v>13</v>
          </cell>
          <cell r="E47" t="str">
            <v>SUSHIL KUMAR S. PATEL</v>
          </cell>
          <cell r="F47" t="str">
            <v>Sales Executive</v>
          </cell>
          <cell r="G47" t="str">
            <v>Sales</v>
          </cell>
          <cell r="H47" t="str">
            <v>Mumbai</v>
          </cell>
          <cell r="I47" t="str">
            <v>Non-Executive</v>
          </cell>
          <cell r="K47">
            <v>27489</v>
          </cell>
          <cell r="L47">
            <v>37365</v>
          </cell>
          <cell r="N47" t="str">
            <v>RJ/13238/197</v>
          </cell>
          <cell r="R47">
            <v>0</v>
          </cell>
          <cell r="S47">
            <v>5300</v>
          </cell>
          <cell r="T47">
            <v>0</v>
          </cell>
          <cell r="U47">
            <v>2650</v>
          </cell>
          <cell r="V47">
            <v>750</v>
          </cell>
          <cell r="W47">
            <v>0</v>
          </cell>
          <cell r="X47">
            <v>0</v>
          </cell>
          <cell r="Y47">
            <v>0</v>
          </cell>
          <cell r="Z47">
            <v>0</v>
          </cell>
          <cell r="AA47">
            <v>0</v>
          </cell>
          <cell r="AB47">
            <v>2650</v>
          </cell>
          <cell r="AC47">
            <v>0</v>
          </cell>
          <cell r="AD47">
            <v>0</v>
          </cell>
          <cell r="AE47">
            <v>0</v>
          </cell>
          <cell r="AF47">
            <v>0</v>
          </cell>
          <cell r="AG47">
            <v>0</v>
          </cell>
          <cell r="AH47">
            <v>636</v>
          </cell>
          <cell r="AI47">
            <v>0</v>
          </cell>
          <cell r="AJ47">
            <v>8700</v>
          </cell>
          <cell r="AK47" t="str">
            <v>Sales Executive</v>
          </cell>
          <cell r="AL47">
            <v>0</v>
          </cell>
          <cell r="AM47">
            <v>13</v>
          </cell>
          <cell r="AN47" t="str">
            <v>SUSHIL KUMAR S. PATEL</v>
          </cell>
          <cell r="AO47" t="str">
            <v>Sales Executive</v>
          </cell>
          <cell r="AP47" t="str">
            <v>Mumbai</v>
          </cell>
          <cell r="AQ47" t="str">
            <v>Non-Executive</v>
          </cell>
          <cell r="AR47" t="str">
            <v>HDFC  BANK LTD.</v>
          </cell>
          <cell r="AS47" t="str">
            <v>0471050034572</v>
          </cell>
          <cell r="AT47">
            <v>31</v>
          </cell>
          <cell r="AV47">
            <v>5300</v>
          </cell>
          <cell r="AW47">
            <v>0</v>
          </cell>
          <cell r="AX47">
            <v>2650</v>
          </cell>
          <cell r="AY47">
            <v>750</v>
          </cell>
          <cell r="AZ47">
            <v>0</v>
          </cell>
          <cell r="BA47">
            <v>0</v>
          </cell>
          <cell r="BB47">
            <v>0</v>
          </cell>
          <cell r="BC47">
            <v>0</v>
          </cell>
          <cell r="BD47">
            <v>0</v>
          </cell>
          <cell r="BE47">
            <v>0</v>
          </cell>
          <cell r="BF47">
            <v>0</v>
          </cell>
          <cell r="BG47">
            <v>0</v>
          </cell>
          <cell r="BH47">
            <v>8700</v>
          </cell>
          <cell r="BI47">
            <v>636</v>
          </cell>
          <cell r="BJ47">
            <v>0</v>
          </cell>
          <cell r="BK47">
            <v>0</v>
          </cell>
          <cell r="BL47">
            <v>0</v>
          </cell>
          <cell r="BM47">
            <v>0</v>
          </cell>
          <cell r="BN47">
            <v>40</v>
          </cell>
          <cell r="BO47">
            <v>0</v>
          </cell>
          <cell r="BP47">
            <v>0</v>
          </cell>
          <cell r="BQ47">
            <v>0</v>
          </cell>
          <cell r="BR47">
            <v>0</v>
          </cell>
          <cell r="BS47">
            <v>0</v>
          </cell>
          <cell r="BT47">
            <v>0</v>
          </cell>
          <cell r="BU47">
            <v>676</v>
          </cell>
          <cell r="BV47">
            <v>8024</v>
          </cell>
          <cell r="BW47">
            <v>8024</v>
          </cell>
          <cell r="BX47">
            <v>721.32999999999993</v>
          </cell>
          <cell r="BY47">
            <v>0</v>
          </cell>
          <cell r="BZ47">
            <v>0</v>
          </cell>
          <cell r="CL47" t="str">
            <v>SUSHIL KUMAR S. PATEL</v>
          </cell>
          <cell r="CM47" t="str">
            <v>RJ/13238/197</v>
          </cell>
          <cell r="CN47">
            <v>5300</v>
          </cell>
          <cell r="CO47">
            <v>5300</v>
          </cell>
          <cell r="CP47">
            <v>636</v>
          </cell>
          <cell r="CQ47">
            <v>441</v>
          </cell>
          <cell r="CR47">
            <v>195</v>
          </cell>
          <cell r="CS47">
            <v>58.300000000000004</v>
          </cell>
          <cell r="CT47">
            <v>26.5</v>
          </cell>
          <cell r="CU47">
            <v>0.53</v>
          </cell>
          <cell r="CV47">
            <v>721.32999999999993</v>
          </cell>
          <cell r="CW47">
            <v>0</v>
          </cell>
          <cell r="CX47">
            <v>0</v>
          </cell>
          <cell r="CY47" t="str">
            <v>SUSHIL KUMAR S. PATEL</v>
          </cell>
          <cell r="CZ47">
            <v>5300</v>
          </cell>
          <cell r="DA47">
            <v>2650</v>
          </cell>
          <cell r="DB47">
            <v>0</v>
          </cell>
          <cell r="DC47">
            <v>7950</v>
          </cell>
          <cell r="DD47">
            <v>0</v>
          </cell>
          <cell r="DE47">
            <v>0</v>
          </cell>
          <cell r="DF47">
            <v>0</v>
          </cell>
          <cell r="DG47">
            <v>0</v>
          </cell>
        </row>
        <row r="48">
          <cell r="A48">
            <v>42</v>
          </cell>
          <cell r="C48">
            <v>42</v>
          </cell>
          <cell r="D48">
            <v>13</v>
          </cell>
          <cell r="E48" t="str">
            <v>MANOJ KUMAR NAYAK</v>
          </cell>
          <cell r="F48" t="str">
            <v>Sales Executive</v>
          </cell>
          <cell r="G48" t="str">
            <v>Sales</v>
          </cell>
          <cell r="H48" t="str">
            <v>Ahmedabad</v>
          </cell>
          <cell r="I48" t="str">
            <v>Non-Executive</v>
          </cell>
          <cell r="K48">
            <v>25367</v>
          </cell>
          <cell r="L48">
            <v>35325</v>
          </cell>
          <cell r="N48" t="str">
            <v>RJ/13238/125</v>
          </cell>
          <cell r="R48" t="str">
            <v>Mr. Akrura Ch. Nayak</v>
          </cell>
          <cell r="S48">
            <v>7025</v>
          </cell>
          <cell r="T48">
            <v>0</v>
          </cell>
          <cell r="U48">
            <v>1405</v>
          </cell>
          <cell r="V48">
            <v>0</v>
          </cell>
          <cell r="W48">
            <v>0</v>
          </cell>
          <cell r="X48">
            <v>0</v>
          </cell>
          <cell r="Y48">
            <v>0</v>
          </cell>
          <cell r="Z48">
            <v>0</v>
          </cell>
          <cell r="AA48">
            <v>0</v>
          </cell>
          <cell r="AB48">
            <v>1405</v>
          </cell>
          <cell r="AC48">
            <v>0</v>
          </cell>
          <cell r="AD48">
            <v>0</v>
          </cell>
          <cell r="AE48">
            <v>0</v>
          </cell>
          <cell r="AF48">
            <v>0</v>
          </cell>
          <cell r="AG48">
            <v>0</v>
          </cell>
          <cell r="AH48">
            <v>843</v>
          </cell>
          <cell r="AI48">
            <v>0</v>
          </cell>
          <cell r="AJ48">
            <v>8430</v>
          </cell>
          <cell r="AK48" t="str">
            <v>Sales Executive</v>
          </cell>
          <cell r="AL48">
            <v>0</v>
          </cell>
          <cell r="AM48">
            <v>13</v>
          </cell>
          <cell r="AN48" t="str">
            <v>MANOJ KUMAR NAYAK</v>
          </cell>
          <cell r="AO48" t="str">
            <v>Sales Executive</v>
          </cell>
          <cell r="AP48" t="str">
            <v>Ahmedabad</v>
          </cell>
          <cell r="AQ48" t="str">
            <v>Non-Executive</v>
          </cell>
          <cell r="AR48" t="str">
            <v>HDFC  BANK LTD.</v>
          </cell>
          <cell r="AS48" t="str">
            <v>0031050010470</v>
          </cell>
          <cell r="AT48">
            <v>31</v>
          </cell>
          <cell r="AV48">
            <v>7025</v>
          </cell>
          <cell r="AW48">
            <v>0</v>
          </cell>
          <cell r="AX48">
            <v>1405</v>
          </cell>
          <cell r="AY48">
            <v>0</v>
          </cell>
          <cell r="AZ48">
            <v>0</v>
          </cell>
          <cell r="BA48">
            <v>0</v>
          </cell>
          <cell r="BB48">
            <v>0</v>
          </cell>
          <cell r="BC48">
            <v>0</v>
          </cell>
          <cell r="BD48">
            <v>0</v>
          </cell>
          <cell r="BE48">
            <v>0</v>
          </cell>
          <cell r="BF48">
            <v>0</v>
          </cell>
          <cell r="BG48">
            <v>0</v>
          </cell>
          <cell r="BH48">
            <v>8430</v>
          </cell>
          <cell r="BI48">
            <v>843</v>
          </cell>
          <cell r="BJ48">
            <v>0</v>
          </cell>
          <cell r="BK48">
            <v>4365</v>
          </cell>
          <cell r="BL48">
            <v>0</v>
          </cell>
          <cell r="BM48">
            <v>0</v>
          </cell>
          <cell r="BN48">
            <v>80</v>
          </cell>
          <cell r="BO48">
            <v>0</v>
          </cell>
          <cell r="BP48">
            <v>0</v>
          </cell>
          <cell r="BQ48">
            <v>1111</v>
          </cell>
          <cell r="BR48">
            <v>70</v>
          </cell>
          <cell r="BS48">
            <v>0</v>
          </cell>
          <cell r="BT48">
            <v>0</v>
          </cell>
          <cell r="BU48">
            <v>6469</v>
          </cell>
          <cell r="BV48">
            <v>1961</v>
          </cell>
          <cell r="BW48">
            <v>1961</v>
          </cell>
          <cell r="BX48">
            <v>956.10249999999996</v>
          </cell>
          <cell r="BY48">
            <v>0</v>
          </cell>
          <cell r="BZ48">
            <v>0</v>
          </cell>
          <cell r="CL48" t="str">
            <v>MANOJ KUMAR NAYAK</v>
          </cell>
          <cell r="CM48" t="str">
            <v>RJ/13238/125</v>
          </cell>
          <cell r="CN48">
            <v>7025</v>
          </cell>
          <cell r="CO48">
            <v>6500</v>
          </cell>
          <cell r="CP48">
            <v>843</v>
          </cell>
          <cell r="CQ48">
            <v>541</v>
          </cell>
          <cell r="CR48">
            <v>302</v>
          </cell>
          <cell r="CS48">
            <v>77.275000000000006</v>
          </cell>
          <cell r="CT48">
            <v>35.125</v>
          </cell>
          <cell r="CU48">
            <v>0.70250000000000001</v>
          </cell>
          <cell r="CV48">
            <v>956.10249999999996</v>
          </cell>
          <cell r="CW48">
            <v>0</v>
          </cell>
          <cell r="CX48">
            <v>0</v>
          </cell>
          <cell r="CY48" t="str">
            <v>MANOJ KUMAR NAYAK</v>
          </cell>
          <cell r="CZ48">
            <v>7025</v>
          </cell>
          <cell r="DA48">
            <v>1405</v>
          </cell>
          <cell r="DB48">
            <v>0</v>
          </cell>
          <cell r="DC48">
            <v>8430</v>
          </cell>
          <cell r="DD48">
            <v>0</v>
          </cell>
          <cell r="DE48">
            <v>0</v>
          </cell>
          <cell r="DF48">
            <v>0</v>
          </cell>
          <cell r="DG48">
            <v>0</v>
          </cell>
        </row>
        <row r="49">
          <cell r="A49">
            <v>43</v>
          </cell>
          <cell r="C49">
            <v>43</v>
          </cell>
          <cell r="D49">
            <v>14</v>
          </cell>
          <cell r="E49" t="str">
            <v>PARTHASARATHY SRINIVASAN</v>
          </cell>
          <cell r="F49" t="str">
            <v>Sr. Logistics Executive</v>
          </cell>
          <cell r="G49" t="str">
            <v>Logistics, Distribution &amp; BRT</v>
          </cell>
          <cell r="H49" t="str">
            <v>Mumbai</v>
          </cell>
          <cell r="I49" t="str">
            <v>Non-Executive</v>
          </cell>
          <cell r="K49">
            <v>25655</v>
          </cell>
          <cell r="L49">
            <v>35205</v>
          </cell>
          <cell r="N49" t="str">
            <v>RJ/13238/112</v>
          </cell>
          <cell r="R49" t="str">
            <v>MR.P.SRINIVASAN</v>
          </cell>
          <cell r="S49">
            <v>7525</v>
          </cell>
          <cell r="T49">
            <v>0</v>
          </cell>
          <cell r="U49">
            <v>0</v>
          </cell>
          <cell r="V49">
            <v>800</v>
          </cell>
          <cell r="W49">
            <v>0</v>
          </cell>
          <cell r="X49">
            <v>0</v>
          </cell>
          <cell r="Y49">
            <v>0</v>
          </cell>
          <cell r="Z49">
            <v>0</v>
          </cell>
          <cell r="AA49">
            <v>0</v>
          </cell>
          <cell r="AB49">
            <v>0</v>
          </cell>
          <cell r="AC49">
            <v>0</v>
          </cell>
          <cell r="AD49">
            <v>0</v>
          </cell>
          <cell r="AE49">
            <v>0</v>
          </cell>
          <cell r="AF49">
            <v>0</v>
          </cell>
          <cell r="AG49">
            <v>0</v>
          </cell>
          <cell r="AH49">
            <v>903</v>
          </cell>
          <cell r="AI49">
            <v>0</v>
          </cell>
          <cell r="AJ49">
            <v>8325</v>
          </cell>
          <cell r="AK49" t="str">
            <v>Marketing</v>
          </cell>
          <cell r="AL49">
            <v>0</v>
          </cell>
          <cell r="AM49">
            <v>14</v>
          </cell>
          <cell r="AN49" t="str">
            <v>PARTHASARATHY SRINIVASAN</v>
          </cell>
          <cell r="AO49" t="str">
            <v>Sr. Logistics Executive</v>
          </cell>
          <cell r="AP49" t="str">
            <v>Mumbai</v>
          </cell>
          <cell r="AQ49" t="str">
            <v>Non-Executive</v>
          </cell>
          <cell r="AR49" t="str">
            <v>HDFC  BANK LTD.</v>
          </cell>
          <cell r="AS49" t="str">
            <v>0191050001470</v>
          </cell>
          <cell r="AT49">
            <v>31</v>
          </cell>
          <cell r="AV49">
            <v>7525</v>
          </cell>
          <cell r="AW49">
            <v>0</v>
          </cell>
          <cell r="AX49">
            <v>0</v>
          </cell>
          <cell r="AY49">
            <v>800</v>
          </cell>
          <cell r="AZ49">
            <v>0</v>
          </cell>
          <cell r="BA49">
            <v>0</v>
          </cell>
          <cell r="BB49">
            <v>0</v>
          </cell>
          <cell r="BC49">
            <v>0</v>
          </cell>
          <cell r="BD49">
            <v>0</v>
          </cell>
          <cell r="BE49">
            <v>0</v>
          </cell>
          <cell r="BF49">
            <v>0</v>
          </cell>
          <cell r="BG49">
            <v>0</v>
          </cell>
          <cell r="BH49">
            <v>8325</v>
          </cell>
          <cell r="BI49">
            <v>903</v>
          </cell>
          <cell r="BJ49">
            <v>0</v>
          </cell>
          <cell r="BK49">
            <v>0</v>
          </cell>
          <cell r="BL49">
            <v>0</v>
          </cell>
          <cell r="BM49">
            <v>0</v>
          </cell>
          <cell r="BN49">
            <v>175</v>
          </cell>
          <cell r="BO49">
            <v>0</v>
          </cell>
          <cell r="BP49">
            <v>0</v>
          </cell>
          <cell r="BQ49">
            <v>0</v>
          </cell>
          <cell r="BR49">
            <v>0</v>
          </cell>
          <cell r="BS49">
            <v>0</v>
          </cell>
          <cell r="BT49">
            <v>0</v>
          </cell>
          <cell r="BU49">
            <v>1078</v>
          </cell>
          <cell r="BV49">
            <v>7247</v>
          </cell>
          <cell r="BW49">
            <v>7247</v>
          </cell>
          <cell r="BX49">
            <v>1024.1524999999999</v>
          </cell>
          <cell r="BY49">
            <v>0</v>
          </cell>
          <cell r="BZ49">
            <v>0</v>
          </cell>
          <cell r="CL49" t="str">
            <v>PARTHASARATHY SRINIVASAN</v>
          </cell>
          <cell r="CM49" t="str">
            <v>RJ/13238/112</v>
          </cell>
          <cell r="CN49">
            <v>7525</v>
          </cell>
          <cell r="CO49">
            <v>6500</v>
          </cell>
          <cell r="CP49">
            <v>903</v>
          </cell>
          <cell r="CQ49">
            <v>541</v>
          </cell>
          <cell r="CR49">
            <v>362</v>
          </cell>
          <cell r="CS49">
            <v>82.775000000000006</v>
          </cell>
          <cell r="CT49">
            <v>37.625</v>
          </cell>
          <cell r="CU49">
            <v>0.75250000000000006</v>
          </cell>
          <cell r="CV49">
            <v>1024.1524999999999</v>
          </cell>
          <cell r="CW49">
            <v>0</v>
          </cell>
          <cell r="CX49">
            <v>0</v>
          </cell>
          <cell r="CY49" t="str">
            <v>PARTHASARATHY SRINIVASAN</v>
          </cell>
          <cell r="CZ49">
            <v>7525</v>
          </cell>
          <cell r="DA49">
            <v>0</v>
          </cell>
          <cell r="DB49">
            <v>0</v>
          </cell>
          <cell r="DC49">
            <v>7525</v>
          </cell>
          <cell r="DD49">
            <v>0</v>
          </cell>
          <cell r="DE49">
            <v>0</v>
          </cell>
          <cell r="DF49">
            <v>0</v>
          </cell>
          <cell r="DG49">
            <v>0</v>
          </cell>
        </row>
        <row r="50">
          <cell r="A50">
            <v>44</v>
          </cell>
          <cell r="C50">
            <v>44</v>
          </cell>
          <cell r="D50">
            <v>13</v>
          </cell>
          <cell r="E50" t="str">
            <v>CHANDAN MANDAL</v>
          </cell>
          <cell r="F50" t="str">
            <v>Sales Executive</v>
          </cell>
          <cell r="G50" t="str">
            <v>Sales</v>
          </cell>
          <cell r="H50" t="str">
            <v>Mumbai</v>
          </cell>
          <cell r="I50" t="str">
            <v>Non-Executive</v>
          </cell>
          <cell r="K50">
            <v>25359</v>
          </cell>
          <cell r="L50">
            <v>36648</v>
          </cell>
          <cell r="N50" t="str">
            <v>RJ/13238/166</v>
          </cell>
          <cell r="R50" t="str">
            <v>Mr. K.C. Mandal</v>
          </cell>
          <cell r="S50">
            <v>5500</v>
          </cell>
          <cell r="T50">
            <v>0</v>
          </cell>
          <cell r="U50">
            <v>2750</v>
          </cell>
          <cell r="V50">
            <v>0</v>
          </cell>
          <cell r="W50">
            <v>0</v>
          </cell>
          <cell r="X50">
            <v>0</v>
          </cell>
          <cell r="Y50">
            <v>0</v>
          </cell>
          <cell r="Z50">
            <v>0</v>
          </cell>
          <cell r="AA50">
            <v>0</v>
          </cell>
          <cell r="AB50">
            <v>2750</v>
          </cell>
          <cell r="AC50">
            <v>0</v>
          </cell>
          <cell r="AD50">
            <v>0</v>
          </cell>
          <cell r="AE50">
            <v>0</v>
          </cell>
          <cell r="AF50">
            <v>0</v>
          </cell>
          <cell r="AG50">
            <v>0</v>
          </cell>
          <cell r="AH50">
            <v>660</v>
          </cell>
          <cell r="AI50">
            <v>0</v>
          </cell>
          <cell r="AJ50">
            <v>8250</v>
          </cell>
          <cell r="AK50" t="str">
            <v>Sales Executive</v>
          </cell>
          <cell r="AL50">
            <v>0</v>
          </cell>
          <cell r="AM50">
            <v>13</v>
          </cell>
          <cell r="AN50" t="str">
            <v>CHANDAN MANDAL</v>
          </cell>
          <cell r="AO50" t="str">
            <v>Sales Executive</v>
          </cell>
          <cell r="AP50" t="str">
            <v>Mumbai</v>
          </cell>
          <cell r="AQ50" t="str">
            <v>Non-Executive</v>
          </cell>
          <cell r="AR50" t="str">
            <v>HDFC  BANK LTD.</v>
          </cell>
          <cell r="AS50" t="str">
            <v>0191050005934</v>
          </cell>
          <cell r="AT50">
            <v>31</v>
          </cell>
          <cell r="AV50">
            <v>5500</v>
          </cell>
          <cell r="AW50">
            <v>0</v>
          </cell>
          <cell r="AX50">
            <v>2750</v>
          </cell>
          <cell r="AY50">
            <v>0</v>
          </cell>
          <cell r="AZ50">
            <v>0</v>
          </cell>
          <cell r="BA50">
            <v>0</v>
          </cell>
          <cell r="BB50">
            <v>0</v>
          </cell>
          <cell r="BC50">
            <v>0</v>
          </cell>
          <cell r="BD50">
            <v>0</v>
          </cell>
          <cell r="BE50">
            <v>0</v>
          </cell>
          <cell r="BF50">
            <v>0</v>
          </cell>
          <cell r="BG50">
            <v>0</v>
          </cell>
          <cell r="BH50">
            <v>8250</v>
          </cell>
          <cell r="BI50">
            <v>660</v>
          </cell>
          <cell r="BJ50">
            <v>0</v>
          </cell>
          <cell r="BK50">
            <v>0</v>
          </cell>
          <cell r="BL50">
            <v>0</v>
          </cell>
          <cell r="BM50">
            <v>0</v>
          </cell>
          <cell r="BN50">
            <v>175</v>
          </cell>
          <cell r="BO50">
            <v>0</v>
          </cell>
          <cell r="BP50">
            <v>0</v>
          </cell>
          <cell r="BQ50">
            <v>0</v>
          </cell>
          <cell r="BR50">
            <v>0</v>
          </cell>
          <cell r="BS50">
            <v>0</v>
          </cell>
          <cell r="BT50">
            <v>0</v>
          </cell>
          <cell r="BU50">
            <v>835</v>
          </cell>
          <cell r="BV50">
            <v>7415</v>
          </cell>
          <cell r="BW50">
            <v>7415</v>
          </cell>
          <cell r="BX50">
            <v>748.55</v>
          </cell>
          <cell r="BY50">
            <v>0</v>
          </cell>
          <cell r="BZ50">
            <v>0</v>
          </cell>
          <cell r="CL50" t="str">
            <v>CHANDAN MANDAL</v>
          </cell>
          <cell r="CM50" t="str">
            <v>RJ/13238/166</v>
          </cell>
          <cell r="CN50">
            <v>5500</v>
          </cell>
          <cell r="CO50">
            <v>5500</v>
          </cell>
          <cell r="CP50">
            <v>660</v>
          </cell>
          <cell r="CQ50">
            <v>458</v>
          </cell>
          <cell r="CR50">
            <v>202</v>
          </cell>
          <cell r="CS50">
            <v>60.500000000000007</v>
          </cell>
          <cell r="CT50">
            <v>27.5</v>
          </cell>
          <cell r="CU50">
            <v>0.55000000000000004</v>
          </cell>
          <cell r="CV50">
            <v>748.55</v>
          </cell>
          <cell r="CW50">
            <v>0</v>
          </cell>
          <cell r="CX50">
            <v>0</v>
          </cell>
          <cell r="CY50" t="str">
            <v>CHANDAN MANDAL</v>
          </cell>
          <cell r="CZ50">
            <v>5500</v>
          </cell>
          <cell r="DA50">
            <v>2750</v>
          </cell>
          <cell r="DB50">
            <v>0</v>
          </cell>
          <cell r="DC50">
            <v>8250</v>
          </cell>
          <cell r="DD50">
            <v>0</v>
          </cell>
          <cell r="DE50">
            <v>0</v>
          </cell>
          <cell r="DF50">
            <v>0</v>
          </cell>
          <cell r="DG50">
            <v>0</v>
          </cell>
        </row>
        <row r="51">
          <cell r="A51">
            <v>45</v>
          </cell>
          <cell r="C51">
            <v>45</v>
          </cell>
          <cell r="D51">
            <v>12</v>
          </cell>
          <cell r="E51" t="str">
            <v>ARCHANA SAWANT</v>
          </cell>
          <cell r="F51" t="str">
            <v>Customer Relations Exec.</v>
          </cell>
          <cell r="G51" t="str">
            <v>Commercial</v>
          </cell>
          <cell r="H51" t="str">
            <v>Mumbai</v>
          </cell>
          <cell r="I51" t="str">
            <v>Non-Executive</v>
          </cell>
          <cell r="K51" t="e">
            <v>#N/A</v>
          </cell>
          <cell r="L51" t="e">
            <v>#N/A</v>
          </cell>
          <cell r="N51" t="str">
            <v>RJ/13238/098</v>
          </cell>
          <cell r="R51" t="str">
            <v>MR.PRABHAKAR SAWANT</v>
          </cell>
          <cell r="S51">
            <v>5725</v>
          </cell>
          <cell r="T51">
            <v>1145</v>
          </cell>
          <cell r="U51">
            <v>2863</v>
          </cell>
          <cell r="V51">
            <v>1300</v>
          </cell>
          <cell r="W51">
            <v>400</v>
          </cell>
          <cell r="X51">
            <v>0</v>
          </cell>
          <cell r="Y51">
            <v>0</v>
          </cell>
          <cell r="Z51">
            <v>0</v>
          </cell>
          <cell r="AA51">
            <v>0</v>
          </cell>
          <cell r="AB51">
            <v>4008</v>
          </cell>
          <cell r="AC51">
            <v>0</v>
          </cell>
          <cell r="AH51">
            <v>687</v>
          </cell>
          <cell r="AJ51">
            <v>11433</v>
          </cell>
          <cell r="AK51" t="str">
            <v>Marketing</v>
          </cell>
          <cell r="AM51">
            <v>12</v>
          </cell>
          <cell r="AN51" t="str">
            <v>ARCHANA SAWANT</v>
          </cell>
          <cell r="AO51" t="str">
            <v>Customer Relations Exec.</v>
          </cell>
          <cell r="AP51" t="str">
            <v>Mumbai</v>
          </cell>
          <cell r="AQ51" t="str">
            <v>Non-Executive</v>
          </cell>
          <cell r="AR51" t="str">
            <v>HDFC  BANK LTD.</v>
          </cell>
          <cell r="AS51" t="str">
            <v>0191050001539</v>
          </cell>
          <cell r="AT51">
            <v>31</v>
          </cell>
          <cell r="AV51">
            <v>5725</v>
          </cell>
          <cell r="AW51">
            <v>1145</v>
          </cell>
          <cell r="AX51">
            <v>2863</v>
          </cell>
          <cell r="AY51">
            <v>1300</v>
          </cell>
          <cell r="AZ51">
            <v>400</v>
          </cell>
          <cell r="BA51">
            <v>0</v>
          </cell>
          <cell r="BB51">
            <v>0</v>
          </cell>
          <cell r="BC51">
            <v>0</v>
          </cell>
          <cell r="BD51">
            <v>0</v>
          </cell>
          <cell r="BE51">
            <v>0</v>
          </cell>
          <cell r="BF51">
            <v>0</v>
          </cell>
          <cell r="BG51">
            <v>0</v>
          </cell>
          <cell r="BH51">
            <v>11433</v>
          </cell>
          <cell r="BI51">
            <v>687</v>
          </cell>
          <cell r="BJ51">
            <v>0</v>
          </cell>
          <cell r="BK51">
            <v>0</v>
          </cell>
          <cell r="BL51">
            <v>0</v>
          </cell>
          <cell r="BM51">
            <v>0</v>
          </cell>
          <cell r="BN51">
            <v>200</v>
          </cell>
          <cell r="BO51">
            <v>0</v>
          </cell>
          <cell r="BP51">
            <v>0</v>
          </cell>
          <cell r="BQ51">
            <v>0</v>
          </cell>
          <cell r="BR51">
            <v>0</v>
          </cell>
          <cell r="BS51">
            <v>0</v>
          </cell>
          <cell r="BT51">
            <v>0</v>
          </cell>
          <cell r="BU51">
            <v>887</v>
          </cell>
          <cell r="BV51">
            <v>10546</v>
          </cell>
          <cell r="BW51">
            <v>10546</v>
          </cell>
          <cell r="BX51">
            <v>779.17250000000001</v>
          </cell>
          <cell r="BY51">
            <v>0</v>
          </cell>
          <cell r="BZ51">
            <v>0</v>
          </cell>
          <cell r="CA51">
            <v>0</v>
          </cell>
          <cell r="CB51">
            <v>0</v>
          </cell>
          <cell r="CC51">
            <v>0</v>
          </cell>
          <cell r="CD51">
            <v>0</v>
          </cell>
          <cell r="CE51">
            <v>0</v>
          </cell>
          <cell r="CF51">
            <v>0</v>
          </cell>
          <cell r="CG51">
            <v>0</v>
          </cell>
          <cell r="CH51">
            <v>0</v>
          </cell>
          <cell r="CI51">
            <v>0</v>
          </cell>
          <cell r="CJ51">
            <v>0</v>
          </cell>
          <cell r="CK51">
            <v>0</v>
          </cell>
          <cell r="CL51" t="str">
            <v>ARCHANA SAWANT</v>
          </cell>
          <cell r="CM51" t="str">
            <v>RJ/13238/098</v>
          </cell>
          <cell r="CN51">
            <v>5725</v>
          </cell>
          <cell r="CO51">
            <v>5725</v>
          </cell>
          <cell r="CP51">
            <v>687</v>
          </cell>
          <cell r="CQ51">
            <v>477</v>
          </cell>
          <cell r="CR51">
            <v>210</v>
          </cell>
          <cell r="CS51">
            <v>62.975000000000009</v>
          </cell>
          <cell r="CT51">
            <v>28.625</v>
          </cell>
          <cell r="CU51">
            <v>0.57250000000000001</v>
          </cell>
          <cell r="CV51">
            <v>779.17250000000001</v>
          </cell>
          <cell r="CW51">
            <v>0</v>
          </cell>
          <cell r="CX51">
            <v>0</v>
          </cell>
          <cell r="CY51" t="str">
            <v>ARCHANA SAWANT</v>
          </cell>
          <cell r="CZ51">
            <v>5725</v>
          </cell>
          <cell r="DA51">
            <v>2863</v>
          </cell>
          <cell r="DB51">
            <v>1145</v>
          </cell>
          <cell r="DC51">
            <v>9733</v>
          </cell>
          <cell r="DD51">
            <v>0</v>
          </cell>
          <cell r="DE51">
            <v>0</v>
          </cell>
          <cell r="DF51">
            <v>0</v>
          </cell>
          <cell r="DG51">
            <v>0</v>
          </cell>
          <cell r="DH51">
            <v>0</v>
          </cell>
          <cell r="DI51">
            <v>0</v>
          </cell>
          <cell r="DJ51">
            <v>0</v>
          </cell>
          <cell r="DK51">
            <v>0</v>
          </cell>
          <cell r="DL51">
            <v>0</v>
          </cell>
          <cell r="DM51">
            <v>0</v>
          </cell>
          <cell r="DN51">
            <v>0</v>
          </cell>
          <cell r="DO51">
            <v>0</v>
          </cell>
          <cell r="DP51">
            <v>0</v>
          </cell>
          <cell r="DQ51">
            <v>0</v>
          </cell>
          <cell r="DR51">
            <v>0</v>
          </cell>
          <cell r="DS51">
            <v>0</v>
          </cell>
          <cell r="DT51">
            <v>0</v>
          </cell>
          <cell r="DU51">
            <v>0</v>
          </cell>
        </row>
        <row r="52">
          <cell r="A52">
            <v>46</v>
          </cell>
          <cell r="C52">
            <v>46</v>
          </cell>
          <cell r="D52">
            <v>13</v>
          </cell>
          <cell r="E52" t="str">
            <v>VIJAY S. GOGATE</v>
          </cell>
          <cell r="F52" t="str">
            <v>Sales Executive</v>
          </cell>
          <cell r="G52" t="str">
            <v>Sales</v>
          </cell>
          <cell r="H52" t="str">
            <v>Mumbai</v>
          </cell>
          <cell r="I52" t="str">
            <v>Non-Executive</v>
          </cell>
          <cell r="K52">
            <v>26589</v>
          </cell>
          <cell r="L52">
            <v>36698</v>
          </cell>
          <cell r="N52" t="str">
            <v>RJ/13238/173</v>
          </cell>
          <cell r="R52" t="str">
            <v>Mr. Shrikant D. Gogate</v>
          </cell>
          <cell r="S52">
            <v>5500</v>
          </cell>
          <cell r="T52">
            <v>0</v>
          </cell>
          <cell r="U52">
            <v>2750</v>
          </cell>
          <cell r="V52">
            <v>0</v>
          </cell>
          <cell r="W52">
            <v>0</v>
          </cell>
          <cell r="X52">
            <v>0</v>
          </cell>
          <cell r="Y52">
            <v>0</v>
          </cell>
          <cell r="Z52">
            <v>0</v>
          </cell>
          <cell r="AA52">
            <v>0</v>
          </cell>
          <cell r="AB52">
            <v>2750</v>
          </cell>
          <cell r="AC52">
            <v>0</v>
          </cell>
          <cell r="AH52">
            <v>660</v>
          </cell>
          <cell r="AJ52">
            <v>8250</v>
          </cell>
          <cell r="AK52" t="str">
            <v>Sales Executive</v>
          </cell>
          <cell r="AM52">
            <v>13</v>
          </cell>
          <cell r="AN52" t="str">
            <v>VIJAY S. GOGATE</v>
          </cell>
          <cell r="AO52" t="str">
            <v>Sales Executive</v>
          </cell>
          <cell r="AP52" t="str">
            <v>Mumbai</v>
          </cell>
          <cell r="AQ52" t="str">
            <v>Non-Executive</v>
          </cell>
          <cell r="AR52" t="str">
            <v>HDFC  BANK LTD.</v>
          </cell>
          <cell r="AS52" t="str">
            <v>0191050007843</v>
          </cell>
          <cell r="AT52">
            <v>31</v>
          </cell>
          <cell r="AV52">
            <v>5500</v>
          </cell>
          <cell r="AW52">
            <v>0</v>
          </cell>
          <cell r="AX52">
            <v>2750</v>
          </cell>
          <cell r="AY52">
            <v>0</v>
          </cell>
          <cell r="AZ52">
            <v>0</v>
          </cell>
          <cell r="BA52">
            <v>0</v>
          </cell>
          <cell r="BB52">
            <v>0</v>
          </cell>
          <cell r="BC52">
            <v>0</v>
          </cell>
          <cell r="BD52">
            <v>0</v>
          </cell>
          <cell r="BE52">
            <v>0</v>
          </cell>
          <cell r="BF52">
            <v>0</v>
          </cell>
          <cell r="BG52">
            <v>0</v>
          </cell>
          <cell r="BH52">
            <v>8250</v>
          </cell>
          <cell r="BI52">
            <v>660</v>
          </cell>
          <cell r="BJ52">
            <v>0</v>
          </cell>
          <cell r="BK52">
            <v>2685</v>
          </cell>
          <cell r="BL52">
            <v>0</v>
          </cell>
          <cell r="BM52">
            <v>0</v>
          </cell>
          <cell r="BN52">
            <v>175</v>
          </cell>
          <cell r="BO52">
            <v>0</v>
          </cell>
          <cell r="BP52">
            <v>0</v>
          </cell>
          <cell r="BQ52">
            <v>0</v>
          </cell>
          <cell r="BR52">
            <v>0</v>
          </cell>
          <cell r="BS52">
            <v>0</v>
          </cell>
          <cell r="BT52">
            <v>0</v>
          </cell>
          <cell r="BU52">
            <v>3520</v>
          </cell>
          <cell r="BV52">
            <v>4730</v>
          </cell>
          <cell r="BW52">
            <v>4730</v>
          </cell>
          <cell r="BX52">
            <v>748.55</v>
          </cell>
          <cell r="BY52">
            <v>0</v>
          </cell>
          <cell r="BZ52">
            <v>0</v>
          </cell>
          <cell r="CA52">
            <v>0</v>
          </cell>
          <cell r="CB52">
            <v>0</v>
          </cell>
          <cell r="CC52">
            <v>0</v>
          </cell>
          <cell r="CD52">
            <v>0</v>
          </cell>
          <cell r="CE52">
            <v>0</v>
          </cell>
          <cell r="CF52">
            <v>0</v>
          </cell>
          <cell r="CG52">
            <v>0</v>
          </cell>
          <cell r="CH52">
            <v>0</v>
          </cell>
          <cell r="CI52">
            <v>0</v>
          </cell>
          <cell r="CJ52">
            <v>0</v>
          </cell>
          <cell r="CK52">
            <v>0</v>
          </cell>
          <cell r="CL52" t="str">
            <v>VIJAY S. GOGATE</v>
          </cell>
          <cell r="CM52" t="str">
            <v>RJ/13238/173</v>
          </cell>
          <cell r="CN52">
            <v>5500</v>
          </cell>
          <cell r="CO52">
            <v>5500</v>
          </cell>
          <cell r="CP52">
            <v>660</v>
          </cell>
          <cell r="CQ52">
            <v>458</v>
          </cell>
          <cell r="CR52">
            <v>202</v>
          </cell>
          <cell r="CS52">
            <v>60.500000000000007</v>
          </cell>
          <cell r="CT52">
            <v>27.5</v>
          </cell>
          <cell r="CU52">
            <v>0.55000000000000004</v>
          </cell>
          <cell r="CV52">
            <v>748.55</v>
          </cell>
          <cell r="CW52">
            <v>0</v>
          </cell>
          <cell r="CX52">
            <v>0</v>
          </cell>
          <cell r="CY52" t="str">
            <v>VIJAY S. GOGATE</v>
          </cell>
          <cell r="CZ52">
            <v>5500</v>
          </cell>
          <cell r="DA52">
            <v>2750</v>
          </cell>
          <cell r="DB52">
            <v>0</v>
          </cell>
          <cell r="DC52">
            <v>8250</v>
          </cell>
          <cell r="DD52">
            <v>0</v>
          </cell>
          <cell r="DE52">
            <v>0</v>
          </cell>
          <cell r="DF52">
            <v>0</v>
          </cell>
          <cell r="DG52">
            <v>0</v>
          </cell>
          <cell r="DH52">
            <v>0</v>
          </cell>
          <cell r="DI52">
            <v>0</v>
          </cell>
          <cell r="DJ52">
            <v>0</v>
          </cell>
          <cell r="DK52">
            <v>0</v>
          </cell>
          <cell r="DL52">
            <v>0</v>
          </cell>
          <cell r="DM52">
            <v>0</v>
          </cell>
          <cell r="DN52">
            <v>0</v>
          </cell>
          <cell r="DO52">
            <v>0</v>
          </cell>
          <cell r="DP52">
            <v>0</v>
          </cell>
          <cell r="DQ52">
            <v>0</v>
          </cell>
          <cell r="DR52">
            <v>0</v>
          </cell>
          <cell r="DS52">
            <v>0</v>
          </cell>
          <cell r="DT52">
            <v>0</v>
          </cell>
          <cell r="DU52">
            <v>0</v>
          </cell>
        </row>
        <row r="53">
          <cell r="A53">
            <v>47</v>
          </cell>
          <cell r="C53">
            <v>47</v>
          </cell>
          <cell r="D53">
            <v>13</v>
          </cell>
          <cell r="E53" t="str">
            <v>GHANSHYAM BHATT</v>
          </cell>
          <cell r="F53" t="str">
            <v>Sales Executive</v>
          </cell>
          <cell r="G53" t="str">
            <v>Sales</v>
          </cell>
          <cell r="H53" t="str">
            <v>Mumbai</v>
          </cell>
          <cell r="I53" t="str">
            <v>Non-Executive</v>
          </cell>
          <cell r="K53">
            <v>25088</v>
          </cell>
          <cell r="L53">
            <v>36696</v>
          </cell>
          <cell r="N53" t="str">
            <v>RJ/13238/171</v>
          </cell>
          <cell r="R53" t="str">
            <v>SH.PARAMSUKH S.BHATT</v>
          </cell>
          <cell r="S53">
            <v>5675</v>
          </cell>
          <cell r="T53">
            <v>0</v>
          </cell>
          <cell r="U53">
            <v>2838</v>
          </cell>
          <cell r="V53">
            <v>0</v>
          </cell>
          <cell r="W53">
            <v>0</v>
          </cell>
          <cell r="X53">
            <v>0</v>
          </cell>
          <cell r="Y53">
            <v>0</v>
          </cell>
          <cell r="Z53">
            <v>0</v>
          </cell>
          <cell r="AA53">
            <v>0</v>
          </cell>
          <cell r="AB53">
            <v>2838</v>
          </cell>
          <cell r="AC53">
            <v>0</v>
          </cell>
          <cell r="AH53">
            <v>681</v>
          </cell>
          <cell r="AJ53">
            <v>8513</v>
          </cell>
          <cell r="AK53" t="str">
            <v>Sales Executive</v>
          </cell>
          <cell r="AM53">
            <v>13</v>
          </cell>
          <cell r="AN53" t="str">
            <v>GHANSHYAM BHATT</v>
          </cell>
          <cell r="AO53" t="str">
            <v>Sales Executive</v>
          </cell>
          <cell r="AP53" t="str">
            <v>Mumbai</v>
          </cell>
          <cell r="AQ53" t="str">
            <v>Non-Executive</v>
          </cell>
          <cell r="AR53" t="str">
            <v>HDFC  BANK LTD.</v>
          </cell>
          <cell r="AS53" t="str">
            <v>0191050007836</v>
          </cell>
          <cell r="AT53">
            <v>31</v>
          </cell>
          <cell r="AV53">
            <v>5675</v>
          </cell>
          <cell r="AW53">
            <v>0</v>
          </cell>
          <cell r="AX53">
            <v>2838</v>
          </cell>
          <cell r="AY53">
            <v>0</v>
          </cell>
          <cell r="AZ53">
            <v>0</v>
          </cell>
          <cell r="BA53">
            <v>0</v>
          </cell>
          <cell r="BB53">
            <v>0</v>
          </cell>
          <cell r="BC53">
            <v>0</v>
          </cell>
          <cell r="BD53">
            <v>0</v>
          </cell>
          <cell r="BE53">
            <v>0</v>
          </cell>
          <cell r="BF53">
            <v>0</v>
          </cell>
          <cell r="BG53">
            <v>0</v>
          </cell>
          <cell r="BH53">
            <v>8513</v>
          </cell>
          <cell r="BI53">
            <v>681</v>
          </cell>
          <cell r="BJ53">
            <v>0</v>
          </cell>
          <cell r="BK53">
            <v>2532</v>
          </cell>
          <cell r="BL53">
            <v>0</v>
          </cell>
          <cell r="BM53">
            <v>0</v>
          </cell>
          <cell r="BN53">
            <v>175</v>
          </cell>
          <cell r="BO53">
            <v>0</v>
          </cell>
          <cell r="BP53">
            <v>0</v>
          </cell>
          <cell r="BQ53">
            <v>0</v>
          </cell>
          <cell r="BR53">
            <v>0</v>
          </cell>
          <cell r="BS53">
            <v>0</v>
          </cell>
          <cell r="BT53">
            <v>0</v>
          </cell>
          <cell r="BU53">
            <v>3388</v>
          </cell>
          <cell r="BV53">
            <v>5125</v>
          </cell>
          <cell r="BW53">
            <v>5125</v>
          </cell>
          <cell r="BX53">
            <v>772.36749999999995</v>
          </cell>
          <cell r="BY53">
            <v>0</v>
          </cell>
          <cell r="BZ53">
            <v>0</v>
          </cell>
          <cell r="CA53">
            <v>0</v>
          </cell>
          <cell r="CB53">
            <v>0</v>
          </cell>
          <cell r="CC53">
            <v>0</v>
          </cell>
          <cell r="CD53">
            <v>0</v>
          </cell>
          <cell r="CE53">
            <v>0</v>
          </cell>
          <cell r="CF53">
            <v>0</v>
          </cell>
          <cell r="CG53">
            <v>0</v>
          </cell>
          <cell r="CH53">
            <v>0</v>
          </cell>
          <cell r="CI53">
            <v>0</v>
          </cell>
          <cell r="CJ53">
            <v>0</v>
          </cell>
          <cell r="CK53">
            <v>0</v>
          </cell>
          <cell r="CL53" t="str">
            <v>GHANSHYAM BHATT</v>
          </cell>
          <cell r="CM53" t="str">
            <v>RJ/13238/171</v>
          </cell>
          <cell r="CN53">
            <v>5675</v>
          </cell>
          <cell r="CO53">
            <v>5675</v>
          </cell>
          <cell r="CP53">
            <v>681</v>
          </cell>
          <cell r="CQ53">
            <v>473</v>
          </cell>
          <cell r="CR53">
            <v>208</v>
          </cell>
          <cell r="CS53">
            <v>62.425000000000004</v>
          </cell>
          <cell r="CT53">
            <v>28.375</v>
          </cell>
          <cell r="CU53">
            <v>0.5675</v>
          </cell>
          <cell r="CV53">
            <v>772.36749999999995</v>
          </cell>
          <cell r="CW53">
            <v>0</v>
          </cell>
          <cell r="CX53">
            <v>0</v>
          </cell>
          <cell r="CY53" t="str">
            <v>GHANSHYAM BHATT</v>
          </cell>
          <cell r="CZ53">
            <v>5675</v>
          </cell>
          <cell r="DA53">
            <v>2838</v>
          </cell>
          <cell r="DB53">
            <v>0</v>
          </cell>
          <cell r="DC53">
            <v>8513</v>
          </cell>
          <cell r="DD53">
            <v>0</v>
          </cell>
          <cell r="DE53">
            <v>0</v>
          </cell>
          <cell r="DF53">
            <v>0</v>
          </cell>
          <cell r="DG53">
            <v>0</v>
          </cell>
          <cell r="DH53">
            <v>0</v>
          </cell>
          <cell r="DI53">
            <v>0</v>
          </cell>
          <cell r="DJ53">
            <v>0</v>
          </cell>
          <cell r="DK53">
            <v>0</v>
          </cell>
          <cell r="DL53">
            <v>0</v>
          </cell>
          <cell r="DM53">
            <v>0</v>
          </cell>
          <cell r="DN53">
            <v>0</v>
          </cell>
          <cell r="DO53">
            <v>0</v>
          </cell>
          <cell r="DP53">
            <v>0</v>
          </cell>
          <cell r="DQ53">
            <v>0</v>
          </cell>
          <cell r="DR53">
            <v>0</v>
          </cell>
          <cell r="DS53">
            <v>0</v>
          </cell>
          <cell r="DT53">
            <v>0</v>
          </cell>
          <cell r="DU53">
            <v>0</v>
          </cell>
        </row>
        <row r="54">
          <cell r="A54">
            <v>48</v>
          </cell>
          <cell r="C54">
            <v>48</v>
          </cell>
          <cell r="D54">
            <v>13</v>
          </cell>
          <cell r="E54" t="str">
            <v>VIPUL T. BHINDE</v>
          </cell>
          <cell r="F54" t="str">
            <v>Sales Executive</v>
          </cell>
          <cell r="G54" t="str">
            <v>Sales</v>
          </cell>
          <cell r="H54" t="str">
            <v>Mumbai</v>
          </cell>
          <cell r="I54" t="str">
            <v>Non-Executive</v>
          </cell>
          <cell r="K54">
            <v>28208</v>
          </cell>
          <cell r="L54">
            <v>37361</v>
          </cell>
          <cell r="N54">
            <v>0</v>
          </cell>
          <cell r="R54">
            <v>0</v>
          </cell>
          <cell r="S54">
            <v>5300</v>
          </cell>
          <cell r="T54">
            <v>0</v>
          </cell>
          <cell r="U54">
            <v>2650</v>
          </cell>
          <cell r="V54">
            <v>750</v>
          </cell>
          <cell r="W54">
            <v>0</v>
          </cell>
          <cell r="X54">
            <v>0</v>
          </cell>
          <cell r="Y54">
            <v>0</v>
          </cell>
          <cell r="Z54">
            <v>0</v>
          </cell>
          <cell r="AA54">
            <v>0</v>
          </cell>
          <cell r="AB54">
            <v>2650</v>
          </cell>
          <cell r="AC54">
            <v>0</v>
          </cell>
          <cell r="AH54">
            <v>636</v>
          </cell>
          <cell r="AJ54">
            <v>8700</v>
          </cell>
          <cell r="AK54" t="str">
            <v>Sales Executive</v>
          </cell>
          <cell r="AM54">
            <v>13</v>
          </cell>
          <cell r="AN54" t="str">
            <v>VIPUL T. BHINDE</v>
          </cell>
          <cell r="AO54" t="str">
            <v>Sales Executive</v>
          </cell>
          <cell r="AP54" t="str">
            <v>Mumbai</v>
          </cell>
          <cell r="AQ54" t="str">
            <v>Non-Executive</v>
          </cell>
          <cell r="AR54" t="str">
            <v>HDFC  BANK LTD.</v>
          </cell>
          <cell r="AS54" t="str">
            <v>0471050034565</v>
          </cell>
          <cell r="AT54">
            <v>31</v>
          </cell>
          <cell r="AV54">
            <v>5300</v>
          </cell>
          <cell r="AW54">
            <v>0</v>
          </cell>
          <cell r="AX54">
            <v>2650</v>
          </cell>
          <cell r="AY54">
            <v>750</v>
          </cell>
          <cell r="AZ54">
            <v>0</v>
          </cell>
          <cell r="BA54">
            <v>0</v>
          </cell>
          <cell r="BB54">
            <v>0</v>
          </cell>
          <cell r="BC54">
            <v>0</v>
          </cell>
          <cell r="BD54">
            <v>0</v>
          </cell>
          <cell r="BE54">
            <v>0</v>
          </cell>
          <cell r="BF54">
            <v>0</v>
          </cell>
          <cell r="BG54">
            <v>0</v>
          </cell>
          <cell r="BH54">
            <v>8700</v>
          </cell>
          <cell r="BI54">
            <v>636</v>
          </cell>
          <cell r="BJ54">
            <v>0</v>
          </cell>
          <cell r="BK54">
            <v>0</v>
          </cell>
          <cell r="BL54">
            <v>0</v>
          </cell>
          <cell r="BM54">
            <v>0</v>
          </cell>
          <cell r="BN54">
            <v>175</v>
          </cell>
          <cell r="BO54">
            <v>0</v>
          </cell>
          <cell r="BP54">
            <v>0</v>
          </cell>
          <cell r="BQ54">
            <v>0</v>
          </cell>
          <cell r="BR54">
            <v>0</v>
          </cell>
          <cell r="BS54">
            <v>0</v>
          </cell>
          <cell r="BT54">
            <v>0</v>
          </cell>
          <cell r="BU54">
            <v>811</v>
          </cell>
          <cell r="BV54">
            <v>7889</v>
          </cell>
          <cell r="BW54">
            <v>7889</v>
          </cell>
          <cell r="BX54">
            <v>721.32999999999993</v>
          </cell>
          <cell r="BY54">
            <v>0</v>
          </cell>
          <cell r="BZ54">
            <v>0</v>
          </cell>
          <cell r="CA54">
            <v>0</v>
          </cell>
          <cell r="CB54">
            <v>0</v>
          </cell>
          <cell r="CC54">
            <v>0</v>
          </cell>
          <cell r="CD54">
            <v>0</v>
          </cell>
          <cell r="CE54">
            <v>0</v>
          </cell>
          <cell r="CF54">
            <v>0</v>
          </cell>
          <cell r="CG54">
            <v>0</v>
          </cell>
          <cell r="CH54">
            <v>0</v>
          </cell>
          <cell r="CI54">
            <v>0</v>
          </cell>
          <cell r="CJ54">
            <v>0</v>
          </cell>
          <cell r="CK54">
            <v>0</v>
          </cell>
          <cell r="CL54" t="str">
            <v>VIPUL T. BHINDE</v>
          </cell>
          <cell r="CM54">
            <v>0</v>
          </cell>
          <cell r="CN54">
            <v>5300</v>
          </cell>
          <cell r="CO54">
            <v>5300</v>
          </cell>
          <cell r="CP54">
            <v>636</v>
          </cell>
          <cell r="CQ54">
            <v>441</v>
          </cell>
          <cell r="CR54">
            <v>195</v>
          </cell>
          <cell r="CS54">
            <v>58.300000000000004</v>
          </cell>
          <cell r="CT54">
            <v>26.5</v>
          </cell>
          <cell r="CU54">
            <v>0.53</v>
          </cell>
          <cell r="CV54">
            <v>721.32999999999993</v>
          </cell>
          <cell r="CW54">
            <v>0</v>
          </cell>
          <cell r="CX54">
            <v>0</v>
          </cell>
          <cell r="CY54" t="str">
            <v>VIPUL T. BHINDE</v>
          </cell>
          <cell r="CZ54">
            <v>5300</v>
          </cell>
          <cell r="DA54">
            <v>2650</v>
          </cell>
          <cell r="DB54">
            <v>0</v>
          </cell>
          <cell r="DC54">
            <v>7950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v>0</v>
          </cell>
          <cell r="DU54">
            <v>0</v>
          </cell>
        </row>
        <row r="55">
          <cell r="A55">
            <v>49</v>
          </cell>
          <cell r="C55">
            <v>49</v>
          </cell>
          <cell r="D55">
            <v>13</v>
          </cell>
          <cell r="E55" t="str">
            <v>SUJIT KUMAR PANDEY</v>
          </cell>
          <cell r="F55" t="str">
            <v>Sales Executive</v>
          </cell>
          <cell r="G55" t="str">
            <v>Sales</v>
          </cell>
          <cell r="H55" t="str">
            <v>Pune</v>
          </cell>
          <cell r="I55" t="str">
            <v>Non-Executive</v>
          </cell>
          <cell r="K55" t="e">
            <v>#N/A</v>
          </cell>
          <cell r="L55" t="e">
            <v>#N/A</v>
          </cell>
          <cell r="N55" t="str">
            <v>RJ/13238/175</v>
          </cell>
          <cell r="R55" t="str">
            <v>Mr. Jagannath Pandey</v>
          </cell>
          <cell r="S55">
            <v>5675</v>
          </cell>
          <cell r="T55">
            <v>0</v>
          </cell>
          <cell r="U55">
            <v>2838</v>
          </cell>
          <cell r="V55">
            <v>0</v>
          </cell>
          <cell r="W55">
            <v>0</v>
          </cell>
          <cell r="X55">
            <v>0</v>
          </cell>
          <cell r="Y55">
            <v>0</v>
          </cell>
          <cell r="Z55">
            <v>0</v>
          </cell>
          <cell r="AA55">
            <v>0</v>
          </cell>
          <cell r="AB55">
            <v>2838</v>
          </cell>
          <cell r="AC55">
            <v>0</v>
          </cell>
          <cell r="AH55">
            <v>681</v>
          </cell>
          <cell r="AJ55">
            <v>8513</v>
          </cell>
          <cell r="AK55" t="str">
            <v>Sales Executive</v>
          </cell>
          <cell r="AM55">
            <v>13</v>
          </cell>
          <cell r="AN55" t="str">
            <v>SUJIT KUMAR PANDEY</v>
          </cell>
          <cell r="AO55" t="str">
            <v>Sales Executive</v>
          </cell>
          <cell r="AP55" t="str">
            <v>Pune</v>
          </cell>
          <cell r="AQ55" t="str">
            <v>Non-Executive</v>
          </cell>
          <cell r="AR55" t="str">
            <v>HDFC  BANK LTD.</v>
          </cell>
          <cell r="AS55" t="str">
            <v>0361050006020</v>
          </cell>
          <cell r="AT55">
            <v>31</v>
          </cell>
          <cell r="AV55">
            <v>5675</v>
          </cell>
          <cell r="AW55">
            <v>0</v>
          </cell>
          <cell r="AX55">
            <v>2838</v>
          </cell>
          <cell r="AY55">
            <v>0</v>
          </cell>
          <cell r="AZ55">
            <v>0</v>
          </cell>
          <cell r="BA55">
            <v>0</v>
          </cell>
          <cell r="BB55">
            <v>0</v>
          </cell>
          <cell r="BC55">
            <v>0</v>
          </cell>
          <cell r="BD55">
            <v>0</v>
          </cell>
          <cell r="BE55">
            <v>0</v>
          </cell>
          <cell r="BF55">
            <v>0</v>
          </cell>
          <cell r="BG55">
            <v>0</v>
          </cell>
          <cell r="BH55">
            <v>8513</v>
          </cell>
          <cell r="BI55">
            <v>681</v>
          </cell>
          <cell r="BJ55">
            <v>0</v>
          </cell>
          <cell r="BK55">
            <v>2642</v>
          </cell>
          <cell r="BL55">
            <v>0</v>
          </cell>
          <cell r="BM55">
            <v>0</v>
          </cell>
          <cell r="BN55">
            <v>175</v>
          </cell>
          <cell r="BO55">
            <v>0</v>
          </cell>
          <cell r="BP55">
            <v>0</v>
          </cell>
          <cell r="BQ55">
            <v>0</v>
          </cell>
          <cell r="BR55">
            <v>0</v>
          </cell>
          <cell r="BS55">
            <v>0</v>
          </cell>
          <cell r="BT55">
            <v>0</v>
          </cell>
          <cell r="BU55">
            <v>3498</v>
          </cell>
          <cell r="BV55">
            <v>5015</v>
          </cell>
          <cell r="BW55">
            <v>5015</v>
          </cell>
          <cell r="BX55">
            <v>772.36749999999995</v>
          </cell>
          <cell r="BY55">
            <v>0</v>
          </cell>
          <cell r="BZ55">
            <v>0</v>
          </cell>
          <cell r="CA55">
            <v>0</v>
          </cell>
          <cell r="CB55">
            <v>0</v>
          </cell>
          <cell r="CC55">
            <v>0</v>
          </cell>
          <cell r="CD55">
            <v>0</v>
          </cell>
          <cell r="CE55">
            <v>0</v>
          </cell>
          <cell r="CF55">
            <v>0</v>
          </cell>
          <cell r="CG55">
            <v>0</v>
          </cell>
          <cell r="CH55">
            <v>0</v>
          </cell>
          <cell r="CI55">
            <v>0</v>
          </cell>
          <cell r="CJ55">
            <v>0</v>
          </cell>
          <cell r="CK55">
            <v>0</v>
          </cell>
          <cell r="CL55" t="str">
            <v>SUJIT KUMAR PANDEY</v>
          </cell>
          <cell r="CM55" t="str">
            <v>RJ/13238/175</v>
          </cell>
          <cell r="CN55">
            <v>5675</v>
          </cell>
          <cell r="CO55">
            <v>5675</v>
          </cell>
          <cell r="CP55">
            <v>681</v>
          </cell>
          <cell r="CQ55">
            <v>473</v>
          </cell>
          <cell r="CR55">
            <v>208</v>
          </cell>
          <cell r="CS55">
            <v>62.425000000000004</v>
          </cell>
          <cell r="CT55">
            <v>28.375</v>
          </cell>
          <cell r="CU55">
            <v>0.5675</v>
          </cell>
          <cell r="CV55">
            <v>772.36749999999995</v>
          </cell>
          <cell r="CW55">
            <v>0</v>
          </cell>
          <cell r="CX55">
            <v>0</v>
          </cell>
          <cell r="CY55" t="str">
            <v>SUJIT KUMAR PANDEY</v>
          </cell>
          <cell r="CZ55">
            <v>5675</v>
          </cell>
          <cell r="DA55">
            <v>2838</v>
          </cell>
          <cell r="DB55">
            <v>0</v>
          </cell>
          <cell r="DC55">
            <v>8513</v>
          </cell>
          <cell r="DD55">
            <v>0</v>
          </cell>
          <cell r="DE55">
            <v>0</v>
          </cell>
          <cell r="DF55">
            <v>0</v>
          </cell>
          <cell r="DG55">
            <v>0</v>
          </cell>
          <cell r="DH55">
            <v>0</v>
          </cell>
          <cell r="DI55">
            <v>0</v>
          </cell>
          <cell r="DJ55">
            <v>0</v>
          </cell>
          <cell r="DK55">
            <v>0</v>
          </cell>
          <cell r="DL55">
            <v>0</v>
          </cell>
          <cell r="DM55">
            <v>0</v>
          </cell>
          <cell r="DN55">
            <v>0</v>
          </cell>
          <cell r="DO55">
            <v>0</v>
          </cell>
          <cell r="DP55">
            <v>0</v>
          </cell>
          <cell r="DQ55">
            <v>0</v>
          </cell>
          <cell r="DR55">
            <v>0</v>
          </cell>
          <cell r="DS55">
            <v>0</v>
          </cell>
          <cell r="DT55">
            <v>0</v>
          </cell>
          <cell r="DU55">
            <v>0</v>
          </cell>
        </row>
        <row r="56">
          <cell r="A56">
            <v>50</v>
          </cell>
          <cell r="C56">
            <v>50</v>
          </cell>
          <cell r="D56">
            <v>13</v>
          </cell>
          <cell r="E56" t="str">
            <v>IYER VINOD SWAMINATHAN</v>
          </cell>
          <cell r="F56" t="str">
            <v>Sales Executive</v>
          </cell>
          <cell r="G56" t="str">
            <v>Sales</v>
          </cell>
          <cell r="H56" t="str">
            <v>Pune</v>
          </cell>
          <cell r="I56" t="str">
            <v>Non-Executive</v>
          </cell>
          <cell r="K56" t="e">
            <v>#N/A</v>
          </cell>
          <cell r="L56" t="e">
            <v>#N/A</v>
          </cell>
          <cell r="N56" t="str">
            <v>RJ/13238/168</v>
          </cell>
          <cell r="R56" t="str">
            <v>Mr. R. Swaminathan</v>
          </cell>
          <cell r="S56">
            <v>5675</v>
          </cell>
          <cell r="T56">
            <v>0</v>
          </cell>
          <cell r="U56">
            <v>2838</v>
          </cell>
          <cell r="V56">
            <v>0</v>
          </cell>
          <cell r="W56">
            <v>0</v>
          </cell>
          <cell r="X56">
            <v>0</v>
          </cell>
          <cell r="Y56">
            <v>0</v>
          </cell>
          <cell r="Z56">
            <v>0</v>
          </cell>
          <cell r="AA56">
            <v>0</v>
          </cell>
          <cell r="AB56">
            <v>2838</v>
          </cell>
          <cell r="AC56">
            <v>0</v>
          </cell>
          <cell r="AH56">
            <v>681</v>
          </cell>
          <cell r="AJ56">
            <v>8513</v>
          </cell>
          <cell r="AK56" t="str">
            <v>Sales Executive</v>
          </cell>
          <cell r="AM56">
            <v>13</v>
          </cell>
          <cell r="AN56" t="str">
            <v>IYER VINOD SWAMINATHAN</v>
          </cell>
          <cell r="AO56" t="str">
            <v>Sales Executive</v>
          </cell>
          <cell r="AP56" t="str">
            <v>Pune</v>
          </cell>
          <cell r="AQ56" t="str">
            <v>Non-Executive</v>
          </cell>
          <cell r="AR56" t="str">
            <v>HDFC  BANK LTD.</v>
          </cell>
          <cell r="AS56" t="str">
            <v>0191050007860</v>
          </cell>
          <cell r="AT56">
            <v>31</v>
          </cell>
          <cell r="AV56">
            <v>5675</v>
          </cell>
          <cell r="AW56">
            <v>0</v>
          </cell>
          <cell r="AX56">
            <v>2838</v>
          </cell>
          <cell r="AY56">
            <v>0</v>
          </cell>
          <cell r="AZ56">
            <v>0</v>
          </cell>
          <cell r="BA56">
            <v>0</v>
          </cell>
          <cell r="BB56">
            <v>0</v>
          </cell>
          <cell r="BC56">
            <v>0</v>
          </cell>
          <cell r="BD56">
            <v>0</v>
          </cell>
          <cell r="BE56">
            <v>0</v>
          </cell>
          <cell r="BF56">
            <v>0</v>
          </cell>
          <cell r="BG56">
            <v>0</v>
          </cell>
          <cell r="BH56">
            <v>8513</v>
          </cell>
          <cell r="BI56">
            <v>681</v>
          </cell>
          <cell r="BJ56">
            <v>0</v>
          </cell>
          <cell r="BK56">
            <v>742</v>
          </cell>
          <cell r="BL56">
            <v>0</v>
          </cell>
          <cell r="BM56">
            <v>0</v>
          </cell>
          <cell r="BN56">
            <v>175</v>
          </cell>
          <cell r="BO56">
            <v>0</v>
          </cell>
          <cell r="BP56">
            <v>0</v>
          </cell>
          <cell r="BQ56">
            <v>1111</v>
          </cell>
          <cell r="BR56">
            <v>70</v>
          </cell>
          <cell r="BS56">
            <v>0</v>
          </cell>
          <cell r="BT56">
            <v>0</v>
          </cell>
          <cell r="BU56">
            <v>2779</v>
          </cell>
          <cell r="BV56">
            <v>5734</v>
          </cell>
          <cell r="BW56">
            <v>5734</v>
          </cell>
          <cell r="BX56">
            <v>772.36749999999995</v>
          </cell>
          <cell r="BY56">
            <v>0</v>
          </cell>
          <cell r="BZ56">
            <v>0</v>
          </cell>
          <cell r="CA56">
            <v>0</v>
          </cell>
          <cell r="CB56">
            <v>0</v>
          </cell>
          <cell r="CC56">
            <v>0</v>
          </cell>
          <cell r="CD56">
            <v>0</v>
          </cell>
          <cell r="CE56">
            <v>0</v>
          </cell>
          <cell r="CF56">
            <v>0</v>
          </cell>
          <cell r="CG56">
            <v>0</v>
          </cell>
          <cell r="CH56">
            <v>0</v>
          </cell>
          <cell r="CI56">
            <v>0</v>
          </cell>
          <cell r="CJ56">
            <v>0</v>
          </cell>
          <cell r="CK56">
            <v>0</v>
          </cell>
          <cell r="CL56" t="str">
            <v>IYER VINOD SWAMINATHAN</v>
          </cell>
          <cell r="CM56" t="str">
            <v>RJ/13238/168</v>
          </cell>
          <cell r="CN56">
            <v>5675</v>
          </cell>
          <cell r="CO56">
            <v>5675</v>
          </cell>
          <cell r="CP56">
            <v>681</v>
          </cell>
          <cell r="CQ56">
            <v>473</v>
          </cell>
          <cell r="CR56">
            <v>208</v>
          </cell>
          <cell r="CS56">
            <v>62.425000000000004</v>
          </cell>
          <cell r="CT56">
            <v>28.375</v>
          </cell>
          <cell r="CU56">
            <v>0.5675</v>
          </cell>
          <cell r="CV56">
            <v>772.36749999999995</v>
          </cell>
          <cell r="CW56">
            <v>0</v>
          </cell>
          <cell r="CX56">
            <v>0</v>
          </cell>
          <cell r="CY56" t="str">
            <v>IYER VINOD SWAMINATHAN</v>
          </cell>
          <cell r="CZ56">
            <v>5675</v>
          </cell>
          <cell r="DA56">
            <v>2838</v>
          </cell>
          <cell r="DB56">
            <v>0</v>
          </cell>
          <cell r="DC56">
            <v>8513</v>
          </cell>
          <cell r="DD56">
            <v>0</v>
          </cell>
          <cell r="DE56">
            <v>0</v>
          </cell>
          <cell r="DF56">
            <v>0</v>
          </cell>
          <cell r="DG56">
            <v>0</v>
          </cell>
          <cell r="DH56">
            <v>0</v>
          </cell>
          <cell r="DI56">
            <v>0</v>
          </cell>
          <cell r="DJ56">
            <v>0</v>
          </cell>
          <cell r="DK56">
            <v>0</v>
          </cell>
          <cell r="DL56">
            <v>0</v>
          </cell>
          <cell r="DM56">
            <v>0</v>
          </cell>
          <cell r="DN56">
            <v>0</v>
          </cell>
          <cell r="DO56">
            <v>0</v>
          </cell>
          <cell r="DP56">
            <v>0</v>
          </cell>
          <cell r="DQ56">
            <v>0</v>
          </cell>
          <cell r="DR56">
            <v>0</v>
          </cell>
          <cell r="DS56">
            <v>0</v>
          </cell>
          <cell r="DT56">
            <v>0</v>
          </cell>
          <cell r="DU56">
            <v>0</v>
          </cell>
        </row>
        <row r="57">
          <cell r="A57">
            <v>51</v>
          </cell>
          <cell r="C57">
            <v>51</v>
          </cell>
          <cell r="D57">
            <v>12</v>
          </cell>
          <cell r="E57" t="str">
            <v>SHIVANI VASHISHTHA</v>
          </cell>
          <cell r="F57" t="str">
            <v>Facilitator - Sectl. Services</v>
          </cell>
          <cell r="G57" t="str">
            <v>Legal &amp; Regulatory Affairs</v>
          </cell>
          <cell r="H57" t="str">
            <v>CSO, Gurgaon</v>
          </cell>
          <cell r="I57" t="str">
            <v>Non-Executive</v>
          </cell>
          <cell r="K57" t="e">
            <v>#N/A</v>
          </cell>
          <cell r="L57" t="e">
            <v>#N/A</v>
          </cell>
          <cell r="N57" t="str">
            <v>RJ/13238/192</v>
          </cell>
          <cell r="R57">
            <v>0</v>
          </cell>
          <cell r="S57">
            <v>4025</v>
          </cell>
          <cell r="T57">
            <v>805</v>
          </cell>
          <cell r="U57">
            <v>2013</v>
          </cell>
          <cell r="V57">
            <v>1300</v>
          </cell>
          <cell r="W57">
            <v>0</v>
          </cell>
          <cell r="X57">
            <v>0</v>
          </cell>
          <cell r="Y57">
            <v>0</v>
          </cell>
          <cell r="Z57">
            <v>0</v>
          </cell>
          <cell r="AA57">
            <v>0</v>
          </cell>
          <cell r="AB57">
            <v>2818</v>
          </cell>
          <cell r="AC57">
            <v>0</v>
          </cell>
          <cell r="AH57">
            <v>483</v>
          </cell>
          <cell r="AJ57">
            <v>8143</v>
          </cell>
          <cell r="AK57" t="str">
            <v>G&amp;A</v>
          </cell>
          <cell r="AM57">
            <v>12</v>
          </cell>
          <cell r="AN57" t="str">
            <v>SHIVANI VASHISHTHA</v>
          </cell>
          <cell r="AO57" t="str">
            <v>Facilitator - Sectl. Services</v>
          </cell>
          <cell r="AP57" t="str">
            <v>CSO, Gurgaon</v>
          </cell>
          <cell r="AQ57" t="str">
            <v>Non-Executive</v>
          </cell>
          <cell r="AR57" t="str">
            <v>HDFC  BANK LTD.</v>
          </cell>
          <cell r="AS57" t="str">
            <v>0901050064945</v>
          </cell>
          <cell r="AT57">
            <v>31</v>
          </cell>
          <cell r="AV57">
            <v>4025</v>
          </cell>
          <cell r="AW57">
            <v>805</v>
          </cell>
          <cell r="AX57">
            <v>2013</v>
          </cell>
          <cell r="AY57">
            <v>1300</v>
          </cell>
          <cell r="AZ57">
            <v>0</v>
          </cell>
          <cell r="BA57">
            <v>0</v>
          </cell>
          <cell r="BB57">
            <v>0</v>
          </cell>
          <cell r="BC57">
            <v>0</v>
          </cell>
          <cell r="BD57">
            <v>0</v>
          </cell>
          <cell r="BE57">
            <v>0</v>
          </cell>
          <cell r="BF57">
            <v>0</v>
          </cell>
          <cell r="BG57">
            <v>0</v>
          </cell>
          <cell r="BH57">
            <v>8143</v>
          </cell>
          <cell r="BI57">
            <v>483</v>
          </cell>
          <cell r="BJ57">
            <v>0</v>
          </cell>
          <cell r="BK57">
            <v>0</v>
          </cell>
          <cell r="BL57">
            <v>0</v>
          </cell>
          <cell r="BM57">
            <v>0</v>
          </cell>
          <cell r="BN57">
            <v>0</v>
          </cell>
          <cell r="BO57">
            <v>0</v>
          </cell>
          <cell r="BP57">
            <v>0</v>
          </cell>
          <cell r="BQ57">
            <v>0</v>
          </cell>
          <cell r="BR57">
            <v>0</v>
          </cell>
          <cell r="BS57">
            <v>0</v>
          </cell>
          <cell r="BT57">
            <v>0</v>
          </cell>
          <cell r="BU57">
            <v>483</v>
          </cell>
          <cell r="BV57">
            <v>7660</v>
          </cell>
          <cell r="BW57">
            <v>7660</v>
          </cell>
          <cell r="BX57">
            <v>547.80250000000001</v>
          </cell>
          <cell r="BY57">
            <v>0</v>
          </cell>
          <cell r="BZ57">
            <v>0</v>
          </cell>
          <cell r="CA57">
            <v>0</v>
          </cell>
          <cell r="CB57">
            <v>0</v>
          </cell>
          <cell r="CC57">
            <v>0</v>
          </cell>
          <cell r="CD57">
            <v>0</v>
          </cell>
          <cell r="CE57">
            <v>0</v>
          </cell>
          <cell r="CF57">
            <v>0</v>
          </cell>
          <cell r="CG57">
            <v>0</v>
          </cell>
          <cell r="CH57">
            <v>0</v>
          </cell>
          <cell r="CI57">
            <v>0</v>
          </cell>
          <cell r="CJ57">
            <v>0</v>
          </cell>
          <cell r="CK57">
            <v>0</v>
          </cell>
          <cell r="CL57" t="str">
            <v>SHIVANI VASHISHTHA</v>
          </cell>
          <cell r="CM57" t="str">
            <v>RJ/13238/192</v>
          </cell>
          <cell r="CN57">
            <v>4025</v>
          </cell>
          <cell r="CO57">
            <v>4025</v>
          </cell>
          <cell r="CP57">
            <v>483</v>
          </cell>
          <cell r="CQ57">
            <v>335</v>
          </cell>
          <cell r="CR57">
            <v>148</v>
          </cell>
          <cell r="CS57">
            <v>44.275000000000006</v>
          </cell>
          <cell r="CT57">
            <v>20.125</v>
          </cell>
          <cell r="CU57">
            <v>0.40250000000000002</v>
          </cell>
          <cell r="CV57">
            <v>547.80250000000001</v>
          </cell>
          <cell r="CW57">
            <v>0</v>
          </cell>
          <cell r="CX57">
            <v>0</v>
          </cell>
          <cell r="CY57" t="str">
            <v>SHIVANI VASHISHTHA</v>
          </cell>
          <cell r="CZ57">
            <v>4025</v>
          </cell>
          <cell r="DA57">
            <v>2013</v>
          </cell>
          <cell r="DB57">
            <v>805</v>
          </cell>
          <cell r="DC57">
            <v>6843</v>
          </cell>
          <cell r="DD57">
            <v>0</v>
          </cell>
          <cell r="DE57">
            <v>0</v>
          </cell>
          <cell r="DF57">
            <v>0</v>
          </cell>
          <cell r="DG57">
            <v>0</v>
          </cell>
          <cell r="DH57">
            <v>0</v>
          </cell>
          <cell r="DI57">
            <v>0</v>
          </cell>
          <cell r="DJ57">
            <v>0</v>
          </cell>
          <cell r="DK57">
            <v>0</v>
          </cell>
          <cell r="DL57">
            <v>0</v>
          </cell>
          <cell r="DM57">
            <v>0</v>
          </cell>
          <cell r="DN57">
            <v>0</v>
          </cell>
          <cell r="DO57">
            <v>0</v>
          </cell>
          <cell r="DP57">
            <v>0</v>
          </cell>
          <cell r="DQ57">
            <v>0</v>
          </cell>
          <cell r="DR57">
            <v>0</v>
          </cell>
          <cell r="DS57">
            <v>0</v>
          </cell>
          <cell r="DT57">
            <v>0</v>
          </cell>
          <cell r="DU57">
            <v>0</v>
          </cell>
        </row>
        <row r="58">
          <cell r="A58">
            <v>52</v>
          </cell>
          <cell r="C58">
            <v>52</v>
          </cell>
          <cell r="D58" t="str">
            <v>&lt;12</v>
          </cell>
          <cell r="E58" t="str">
            <v>RAM DHIRAJ BALMIKI</v>
          </cell>
          <cell r="F58" t="str">
            <v>Attendant Cum Peon</v>
          </cell>
          <cell r="G58" t="str">
            <v>Logistics &amp; Distribution</v>
          </cell>
          <cell r="H58" t="str">
            <v>Plant</v>
          </cell>
          <cell r="I58" t="str">
            <v>Non-Executive</v>
          </cell>
          <cell r="K58" t="e">
            <v>#N/A</v>
          </cell>
          <cell r="L58" t="e">
            <v>#N/A</v>
          </cell>
          <cell r="N58" t="str">
            <v>RJ/13238/086</v>
          </cell>
          <cell r="R58" t="str">
            <v>SH.CHHOTEYLAL BALMIKI</v>
          </cell>
          <cell r="S58">
            <v>4100</v>
          </cell>
          <cell r="T58">
            <v>615</v>
          </cell>
          <cell r="U58">
            <v>2050</v>
          </cell>
          <cell r="V58">
            <v>600</v>
          </cell>
          <cell r="W58">
            <v>0</v>
          </cell>
          <cell r="X58">
            <v>0</v>
          </cell>
          <cell r="Y58">
            <v>0</v>
          </cell>
          <cell r="Z58">
            <v>0</v>
          </cell>
          <cell r="AA58">
            <v>0</v>
          </cell>
          <cell r="AB58">
            <v>2665</v>
          </cell>
          <cell r="AC58">
            <v>0</v>
          </cell>
          <cell r="AH58">
            <v>492</v>
          </cell>
          <cell r="AJ58">
            <v>7365</v>
          </cell>
          <cell r="AK58" t="str">
            <v>Marketing</v>
          </cell>
          <cell r="AM58" t="str">
            <v>&lt;12</v>
          </cell>
          <cell r="AN58" t="str">
            <v>RAM DHIRAJ BALMIKI</v>
          </cell>
          <cell r="AO58" t="str">
            <v>Attendant Cum Peon</v>
          </cell>
          <cell r="AP58" t="str">
            <v>Plant</v>
          </cell>
          <cell r="AQ58" t="str">
            <v>Non-Executive</v>
          </cell>
          <cell r="AR58" t="str">
            <v>HDFC  BANK LTD.</v>
          </cell>
          <cell r="AS58" t="str">
            <v>0271050002130</v>
          </cell>
          <cell r="AT58">
            <v>31</v>
          </cell>
          <cell r="AV58">
            <v>4100</v>
          </cell>
          <cell r="AW58">
            <v>615</v>
          </cell>
          <cell r="AX58">
            <v>2050</v>
          </cell>
          <cell r="AY58">
            <v>600</v>
          </cell>
          <cell r="AZ58">
            <v>0</v>
          </cell>
          <cell r="BA58">
            <v>0</v>
          </cell>
          <cell r="BB58">
            <v>0</v>
          </cell>
          <cell r="BC58">
            <v>0</v>
          </cell>
          <cell r="BD58">
            <v>0</v>
          </cell>
          <cell r="BE58">
            <v>0</v>
          </cell>
          <cell r="BF58">
            <v>0</v>
          </cell>
          <cell r="BG58">
            <v>0</v>
          </cell>
          <cell r="BH58">
            <v>7365</v>
          </cell>
          <cell r="BI58">
            <v>492</v>
          </cell>
          <cell r="BJ58">
            <v>0</v>
          </cell>
          <cell r="BK58">
            <v>0</v>
          </cell>
          <cell r="BL58">
            <v>0</v>
          </cell>
          <cell r="BM58">
            <v>0</v>
          </cell>
          <cell r="BN58">
            <v>80</v>
          </cell>
          <cell r="BO58">
            <v>0</v>
          </cell>
          <cell r="BP58">
            <v>0</v>
          </cell>
          <cell r="BQ58">
            <v>417</v>
          </cell>
          <cell r="BR58">
            <v>26</v>
          </cell>
          <cell r="BS58">
            <v>0</v>
          </cell>
          <cell r="BT58">
            <v>0</v>
          </cell>
          <cell r="BU58">
            <v>1015</v>
          </cell>
          <cell r="BV58">
            <v>6350</v>
          </cell>
          <cell r="BW58">
            <v>6350</v>
          </cell>
          <cell r="BX58">
            <v>558.01</v>
          </cell>
          <cell r="BY58">
            <v>0</v>
          </cell>
          <cell r="BZ58">
            <v>0</v>
          </cell>
          <cell r="CA58">
            <v>0</v>
          </cell>
          <cell r="CB58">
            <v>0</v>
          </cell>
          <cell r="CC58">
            <v>0</v>
          </cell>
          <cell r="CD58">
            <v>0</v>
          </cell>
          <cell r="CE58">
            <v>0</v>
          </cell>
          <cell r="CF58">
            <v>0</v>
          </cell>
          <cell r="CG58">
            <v>0</v>
          </cell>
          <cell r="CH58">
            <v>0</v>
          </cell>
          <cell r="CI58">
            <v>0</v>
          </cell>
          <cell r="CJ58">
            <v>0</v>
          </cell>
          <cell r="CK58">
            <v>0</v>
          </cell>
          <cell r="CL58" t="str">
            <v>RAM DHIRAJ BALMIKI</v>
          </cell>
          <cell r="CM58" t="str">
            <v>RJ/13238/086</v>
          </cell>
          <cell r="CN58">
            <v>4100</v>
          </cell>
          <cell r="CO58">
            <v>4100</v>
          </cell>
          <cell r="CP58">
            <v>492</v>
          </cell>
          <cell r="CQ58">
            <v>342</v>
          </cell>
          <cell r="CR58">
            <v>150</v>
          </cell>
          <cell r="CS58">
            <v>45.1</v>
          </cell>
          <cell r="CT58">
            <v>20.5</v>
          </cell>
          <cell r="CU58">
            <v>0.41000000000000003</v>
          </cell>
          <cell r="CV58">
            <v>558.01</v>
          </cell>
          <cell r="CW58">
            <v>0</v>
          </cell>
          <cell r="CX58">
            <v>0</v>
          </cell>
          <cell r="CY58" t="str">
            <v>RAM DHIRAJ BALMIKI</v>
          </cell>
          <cell r="CZ58">
            <v>4100</v>
          </cell>
          <cell r="DA58">
            <v>2050</v>
          </cell>
          <cell r="DB58">
            <v>615</v>
          </cell>
          <cell r="DC58">
            <v>6765</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row>
        <row r="59">
          <cell r="A59">
            <v>53</v>
          </cell>
          <cell r="C59">
            <v>53</v>
          </cell>
          <cell r="D59" t="str">
            <v>&lt;12</v>
          </cell>
          <cell r="E59" t="str">
            <v>SURESH KUMAR</v>
          </cell>
          <cell r="F59" t="str">
            <v>Attendant Cum Peon</v>
          </cell>
          <cell r="G59" t="str">
            <v>Office Facilitation</v>
          </cell>
          <cell r="H59" t="str">
            <v>CSO, Gurgaon</v>
          </cell>
          <cell r="I59" t="str">
            <v>Non-Executive</v>
          </cell>
          <cell r="K59" t="e">
            <v>#N/A</v>
          </cell>
          <cell r="L59" t="e">
            <v>#N/A</v>
          </cell>
          <cell r="N59" t="str">
            <v>RJ/13238/045</v>
          </cell>
          <cell r="R59" t="str">
            <v>MR. RAM.SURUP</v>
          </cell>
          <cell r="S59">
            <v>2875</v>
          </cell>
          <cell r="T59">
            <v>431</v>
          </cell>
          <cell r="U59">
            <v>1438</v>
          </cell>
          <cell r="V59">
            <v>600</v>
          </cell>
          <cell r="W59">
            <v>0</v>
          </cell>
          <cell r="X59">
            <v>0</v>
          </cell>
          <cell r="Y59">
            <v>0</v>
          </cell>
          <cell r="Z59">
            <v>0</v>
          </cell>
          <cell r="AA59">
            <v>0</v>
          </cell>
          <cell r="AB59">
            <v>1869</v>
          </cell>
          <cell r="AC59">
            <v>0</v>
          </cell>
          <cell r="AH59">
            <v>345</v>
          </cell>
          <cell r="AJ59">
            <v>5344</v>
          </cell>
          <cell r="AK59" t="str">
            <v>Marketing</v>
          </cell>
          <cell r="AM59" t="str">
            <v>&lt;12</v>
          </cell>
          <cell r="AN59" t="str">
            <v>SURESH KUMAR</v>
          </cell>
          <cell r="AO59" t="str">
            <v>Attendant Cum Peon</v>
          </cell>
          <cell r="AP59" t="str">
            <v>CSO, Gurgaon</v>
          </cell>
          <cell r="AQ59" t="str">
            <v>Non-Executive</v>
          </cell>
          <cell r="AR59" t="str">
            <v>HDFC  BANK LTD.</v>
          </cell>
          <cell r="AS59" t="str">
            <v>0271050010304</v>
          </cell>
          <cell r="AT59">
            <v>31</v>
          </cell>
          <cell r="AV59">
            <v>2875</v>
          </cell>
          <cell r="AW59">
            <v>431</v>
          </cell>
          <cell r="AX59">
            <v>1438</v>
          </cell>
          <cell r="AY59">
            <v>600</v>
          </cell>
          <cell r="AZ59">
            <v>0</v>
          </cell>
          <cell r="BA59">
            <v>0</v>
          </cell>
          <cell r="BB59">
            <v>0</v>
          </cell>
          <cell r="BC59">
            <v>0</v>
          </cell>
          <cell r="BD59">
            <v>0</v>
          </cell>
          <cell r="BE59">
            <v>0</v>
          </cell>
          <cell r="BF59">
            <v>0</v>
          </cell>
          <cell r="BG59">
            <v>0</v>
          </cell>
          <cell r="BH59">
            <v>5344</v>
          </cell>
          <cell r="BI59">
            <v>345</v>
          </cell>
          <cell r="BJ59">
            <v>0</v>
          </cell>
          <cell r="BK59">
            <v>0</v>
          </cell>
          <cell r="BL59">
            <v>0</v>
          </cell>
          <cell r="BM59">
            <v>83</v>
          </cell>
          <cell r="BN59">
            <v>0</v>
          </cell>
          <cell r="BO59">
            <v>0</v>
          </cell>
          <cell r="BP59">
            <v>0</v>
          </cell>
          <cell r="BQ59">
            <v>417</v>
          </cell>
          <cell r="BR59">
            <v>25</v>
          </cell>
          <cell r="BS59">
            <v>0</v>
          </cell>
          <cell r="BT59">
            <v>0</v>
          </cell>
          <cell r="BU59">
            <v>870</v>
          </cell>
          <cell r="BV59">
            <v>4474</v>
          </cell>
          <cell r="BW59">
            <v>4474</v>
          </cell>
          <cell r="BX59">
            <v>391.28750000000002</v>
          </cell>
          <cell r="BY59">
            <v>0</v>
          </cell>
          <cell r="BZ59">
            <v>0</v>
          </cell>
          <cell r="CA59">
            <v>0</v>
          </cell>
          <cell r="CB59">
            <v>0</v>
          </cell>
          <cell r="CC59">
            <v>0</v>
          </cell>
          <cell r="CD59">
            <v>0</v>
          </cell>
          <cell r="CE59">
            <v>0</v>
          </cell>
          <cell r="CF59">
            <v>0</v>
          </cell>
          <cell r="CG59">
            <v>0</v>
          </cell>
          <cell r="CH59">
            <v>0</v>
          </cell>
          <cell r="CI59">
            <v>0</v>
          </cell>
          <cell r="CJ59">
            <v>0</v>
          </cell>
          <cell r="CK59">
            <v>0</v>
          </cell>
          <cell r="CL59" t="str">
            <v>SURESH KUMAR</v>
          </cell>
          <cell r="CM59" t="str">
            <v>RJ/13238/045</v>
          </cell>
          <cell r="CN59">
            <v>2875</v>
          </cell>
          <cell r="CO59">
            <v>2875</v>
          </cell>
          <cell r="CP59">
            <v>345</v>
          </cell>
          <cell r="CQ59">
            <v>239</v>
          </cell>
          <cell r="CR59">
            <v>106</v>
          </cell>
          <cell r="CS59">
            <v>31.625000000000004</v>
          </cell>
          <cell r="CT59">
            <v>14.375</v>
          </cell>
          <cell r="CU59">
            <v>0.28750000000000003</v>
          </cell>
          <cell r="CV59">
            <v>391.28750000000002</v>
          </cell>
          <cell r="CW59">
            <v>0</v>
          </cell>
          <cell r="CX59">
            <v>0</v>
          </cell>
          <cell r="CY59" t="str">
            <v>SURESH KUMAR</v>
          </cell>
          <cell r="CZ59">
            <v>2875</v>
          </cell>
          <cell r="DA59">
            <v>1438</v>
          </cell>
          <cell r="DB59">
            <v>431</v>
          </cell>
          <cell r="DC59">
            <v>4744</v>
          </cell>
          <cell r="DD59">
            <v>83</v>
          </cell>
          <cell r="DE59">
            <v>225.35000000000002</v>
          </cell>
          <cell r="DF59">
            <v>308.35000000000002</v>
          </cell>
          <cell r="DG59">
            <v>4744</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row>
        <row r="60">
          <cell r="A60">
            <v>54</v>
          </cell>
          <cell r="C60">
            <v>54</v>
          </cell>
          <cell r="D60" t="str">
            <v>&lt;12</v>
          </cell>
          <cell r="E60" t="str">
            <v>SUNIL KUMAR</v>
          </cell>
          <cell r="F60" t="str">
            <v>Driver cum Messanger</v>
          </cell>
          <cell r="G60" t="str">
            <v>Office Facilitation</v>
          </cell>
          <cell r="H60" t="str">
            <v>Plant</v>
          </cell>
          <cell r="I60" t="str">
            <v>Non-Executive</v>
          </cell>
          <cell r="K60">
            <v>0</v>
          </cell>
          <cell r="N60" t="str">
            <v>RJ/13238/035</v>
          </cell>
          <cell r="R60" t="str">
            <v>Mr. Kansi Ram</v>
          </cell>
          <cell r="S60">
            <v>4950</v>
          </cell>
          <cell r="T60">
            <v>743</v>
          </cell>
          <cell r="U60">
            <v>2475</v>
          </cell>
          <cell r="V60">
            <v>1000</v>
          </cell>
          <cell r="W60">
            <v>0</v>
          </cell>
          <cell r="X60">
            <v>0</v>
          </cell>
          <cell r="Y60">
            <v>0</v>
          </cell>
          <cell r="AA60">
            <v>0</v>
          </cell>
          <cell r="AB60">
            <v>3218</v>
          </cell>
          <cell r="AC60">
            <v>0</v>
          </cell>
          <cell r="AD60">
            <v>0</v>
          </cell>
          <cell r="AE60">
            <v>0</v>
          </cell>
          <cell r="AF60">
            <v>0</v>
          </cell>
          <cell r="AG60">
            <v>0</v>
          </cell>
          <cell r="AH60">
            <v>594</v>
          </cell>
          <cell r="AI60">
            <v>0</v>
          </cell>
          <cell r="AJ60">
            <v>9168</v>
          </cell>
          <cell r="AK60" t="str">
            <v>G&amp;A</v>
          </cell>
          <cell r="AL60">
            <v>0</v>
          </cell>
          <cell r="AM60" t="str">
            <v>&lt;12</v>
          </cell>
          <cell r="AN60" t="str">
            <v>SUNIL KUMAR</v>
          </cell>
          <cell r="AO60" t="str">
            <v>Driver cum Messanger</v>
          </cell>
          <cell r="AP60" t="str">
            <v>Plant</v>
          </cell>
          <cell r="AQ60" t="str">
            <v>Non-Executive</v>
          </cell>
          <cell r="AR60" t="str">
            <v>HDFC  BANK LTD.</v>
          </cell>
          <cell r="AS60" t="str">
            <v>0431050000238</v>
          </cell>
          <cell r="AT60">
            <v>31</v>
          </cell>
          <cell r="AU60">
            <v>0</v>
          </cell>
          <cell r="AV60">
            <v>4950</v>
          </cell>
          <cell r="AW60">
            <v>743</v>
          </cell>
          <cell r="AX60">
            <v>2475</v>
          </cell>
          <cell r="AY60">
            <v>1000</v>
          </cell>
          <cell r="AZ60">
            <v>0</v>
          </cell>
          <cell r="BA60">
            <v>0</v>
          </cell>
          <cell r="BB60">
            <v>0</v>
          </cell>
          <cell r="BC60">
            <v>0</v>
          </cell>
          <cell r="BD60">
            <v>0</v>
          </cell>
          <cell r="BE60">
            <v>0</v>
          </cell>
          <cell r="BF60">
            <v>0</v>
          </cell>
          <cell r="BG60">
            <v>0</v>
          </cell>
          <cell r="BH60">
            <v>9168</v>
          </cell>
          <cell r="BI60">
            <v>594</v>
          </cell>
          <cell r="BJ60">
            <v>93</v>
          </cell>
          <cell r="BK60">
            <v>0</v>
          </cell>
          <cell r="BL60">
            <v>0</v>
          </cell>
          <cell r="BM60">
            <v>0</v>
          </cell>
          <cell r="BN60">
            <v>0</v>
          </cell>
          <cell r="BO60">
            <v>0</v>
          </cell>
          <cell r="BP60">
            <v>0</v>
          </cell>
          <cell r="BQ60">
            <v>417</v>
          </cell>
          <cell r="BR60">
            <v>26</v>
          </cell>
          <cell r="BS60">
            <v>0</v>
          </cell>
          <cell r="BT60">
            <v>0</v>
          </cell>
          <cell r="BU60">
            <v>1130</v>
          </cell>
          <cell r="BV60">
            <v>8038</v>
          </cell>
          <cell r="BW60">
            <v>8038</v>
          </cell>
          <cell r="BX60">
            <v>673.69500000000005</v>
          </cell>
          <cell r="BY60">
            <v>0</v>
          </cell>
          <cell r="BZ60">
            <v>0</v>
          </cell>
          <cell r="CA60">
            <v>0</v>
          </cell>
          <cell r="CB60">
            <v>0</v>
          </cell>
          <cell r="CC60">
            <v>0</v>
          </cell>
          <cell r="CD60">
            <v>0</v>
          </cell>
          <cell r="CE60">
            <v>0</v>
          </cell>
          <cell r="CF60">
            <v>0</v>
          </cell>
          <cell r="CG60">
            <v>0</v>
          </cell>
          <cell r="CH60">
            <v>0</v>
          </cell>
          <cell r="CI60">
            <v>0</v>
          </cell>
          <cell r="CJ60">
            <v>0</v>
          </cell>
          <cell r="CK60">
            <v>0</v>
          </cell>
          <cell r="CL60" t="str">
            <v>SUNIL KUMAR</v>
          </cell>
          <cell r="CM60" t="str">
            <v>RJ/13238/035</v>
          </cell>
          <cell r="CN60">
            <v>4950</v>
          </cell>
          <cell r="CO60">
            <v>4950</v>
          </cell>
          <cell r="CP60">
            <v>594</v>
          </cell>
          <cell r="CQ60">
            <v>412</v>
          </cell>
          <cell r="CR60">
            <v>182</v>
          </cell>
          <cell r="CS60">
            <v>54.45</v>
          </cell>
          <cell r="CT60">
            <v>24.75</v>
          </cell>
          <cell r="CU60">
            <v>0.49500000000000005</v>
          </cell>
          <cell r="CV60">
            <v>673.69500000000005</v>
          </cell>
          <cell r="CW60">
            <v>0</v>
          </cell>
          <cell r="CX60">
            <v>0</v>
          </cell>
          <cell r="CY60" t="str">
            <v>SUNIL KUMAR</v>
          </cell>
          <cell r="CZ60">
            <v>4950</v>
          </cell>
          <cell r="DA60">
            <v>2475</v>
          </cell>
          <cell r="DB60">
            <v>743</v>
          </cell>
          <cell r="DC60">
            <v>8168</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row>
        <row r="61">
          <cell r="A61">
            <v>55</v>
          </cell>
          <cell r="C61">
            <v>55</v>
          </cell>
          <cell r="D61">
            <v>12</v>
          </cell>
          <cell r="E61" t="str">
            <v>SAMEER SHARMA</v>
          </cell>
          <cell r="F61" t="str">
            <v>Customer Support Representative</v>
          </cell>
          <cell r="G61" t="str">
            <v>Planning</v>
          </cell>
          <cell r="H61" t="str">
            <v>Plant</v>
          </cell>
          <cell r="I61" t="str">
            <v>Non-Executive</v>
          </cell>
          <cell r="K61">
            <v>0</v>
          </cell>
          <cell r="N61" t="str">
            <v>RJ/13238/150</v>
          </cell>
          <cell r="R61" t="str">
            <v>Mr. A.N. Sharma</v>
          </cell>
          <cell r="S61">
            <v>5425</v>
          </cell>
          <cell r="T61">
            <v>1085</v>
          </cell>
          <cell r="U61">
            <v>2713</v>
          </cell>
          <cell r="V61">
            <v>1300</v>
          </cell>
          <cell r="W61">
            <v>400</v>
          </cell>
          <cell r="X61">
            <v>0</v>
          </cell>
          <cell r="Y61">
            <v>0</v>
          </cell>
          <cell r="AA61">
            <v>0</v>
          </cell>
          <cell r="AB61">
            <v>3798</v>
          </cell>
          <cell r="AC61">
            <v>0</v>
          </cell>
          <cell r="AD61">
            <v>0</v>
          </cell>
          <cell r="AE61">
            <v>0</v>
          </cell>
          <cell r="AF61">
            <v>0</v>
          </cell>
          <cell r="AG61">
            <v>0</v>
          </cell>
          <cell r="AH61">
            <v>651</v>
          </cell>
          <cell r="AI61">
            <v>0</v>
          </cell>
          <cell r="AJ61">
            <v>10923</v>
          </cell>
          <cell r="AK61" t="str">
            <v>Marketing</v>
          </cell>
          <cell r="AL61">
            <v>0</v>
          </cell>
          <cell r="AM61">
            <v>12</v>
          </cell>
          <cell r="AN61" t="str">
            <v>SAMEER SHARMA</v>
          </cell>
          <cell r="AO61" t="str">
            <v>Customer Support Representative</v>
          </cell>
          <cell r="AP61" t="str">
            <v>Plant</v>
          </cell>
          <cell r="AQ61" t="str">
            <v>Non-Executive</v>
          </cell>
          <cell r="AR61" t="str">
            <v>HDFC  BANK LTD.</v>
          </cell>
          <cell r="AS61" t="str">
            <v>5031050000434</v>
          </cell>
          <cell r="AT61">
            <v>31</v>
          </cell>
          <cell r="AU61">
            <v>0</v>
          </cell>
          <cell r="AV61">
            <v>5425</v>
          </cell>
          <cell r="AW61">
            <v>1085</v>
          </cell>
          <cell r="AX61">
            <v>2713</v>
          </cell>
          <cell r="AY61">
            <v>1300</v>
          </cell>
          <cell r="AZ61">
            <v>400</v>
          </cell>
          <cell r="BA61">
            <v>0</v>
          </cell>
          <cell r="BB61">
            <v>0</v>
          </cell>
          <cell r="BC61">
            <v>0</v>
          </cell>
          <cell r="BD61">
            <v>0</v>
          </cell>
          <cell r="BE61">
            <v>0</v>
          </cell>
          <cell r="BF61">
            <v>0</v>
          </cell>
          <cell r="BG61">
            <v>0</v>
          </cell>
          <cell r="BH61">
            <v>10923</v>
          </cell>
          <cell r="BI61">
            <v>651</v>
          </cell>
          <cell r="BJ61">
            <v>93</v>
          </cell>
          <cell r="BK61">
            <v>0</v>
          </cell>
          <cell r="BL61">
            <v>0</v>
          </cell>
          <cell r="BM61">
            <v>0</v>
          </cell>
          <cell r="BN61">
            <v>0</v>
          </cell>
          <cell r="BO61">
            <v>0</v>
          </cell>
          <cell r="BP61">
            <v>0</v>
          </cell>
          <cell r="BQ61">
            <v>556</v>
          </cell>
          <cell r="BR61">
            <v>36</v>
          </cell>
          <cell r="BS61">
            <v>0</v>
          </cell>
          <cell r="BT61">
            <v>0</v>
          </cell>
          <cell r="BU61">
            <v>1336</v>
          </cell>
          <cell r="BV61">
            <v>9587</v>
          </cell>
          <cell r="BW61">
            <v>9587</v>
          </cell>
          <cell r="BX61">
            <v>738.34249999999997</v>
          </cell>
          <cell r="BY61">
            <v>0</v>
          </cell>
          <cell r="BZ61">
            <v>0</v>
          </cell>
          <cell r="CA61">
            <v>0</v>
          </cell>
          <cell r="CB61">
            <v>0</v>
          </cell>
          <cell r="CC61">
            <v>0</v>
          </cell>
          <cell r="CD61">
            <v>0</v>
          </cell>
          <cell r="CE61">
            <v>0</v>
          </cell>
          <cell r="CF61">
            <v>0</v>
          </cell>
          <cell r="CG61">
            <v>0</v>
          </cell>
          <cell r="CH61">
            <v>0</v>
          </cell>
          <cell r="CI61">
            <v>0</v>
          </cell>
          <cell r="CJ61">
            <v>0</v>
          </cell>
          <cell r="CK61">
            <v>0</v>
          </cell>
          <cell r="CL61" t="str">
            <v>SAMEER SHARMA</v>
          </cell>
          <cell r="CM61" t="str">
            <v>RJ/13238/150</v>
          </cell>
          <cell r="CN61">
            <v>5425</v>
          </cell>
          <cell r="CO61">
            <v>5425</v>
          </cell>
          <cell r="CP61">
            <v>651</v>
          </cell>
          <cell r="CQ61">
            <v>452</v>
          </cell>
          <cell r="CR61">
            <v>199</v>
          </cell>
          <cell r="CS61">
            <v>59.675000000000004</v>
          </cell>
          <cell r="CT61">
            <v>27.125</v>
          </cell>
          <cell r="CU61">
            <v>0.54249999999999998</v>
          </cell>
          <cell r="CV61">
            <v>738.34249999999997</v>
          </cell>
          <cell r="CW61">
            <v>0</v>
          </cell>
          <cell r="CX61">
            <v>0</v>
          </cell>
          <cell r="CY61" t="str">
            <v>SAMEER SHARMA</v>
          </cell>
          <cell r="CZ61">
            <v>5425</v>
          </cell>
          <cell r="DA61">
            <v>2713</v>
          </cell>
          <cell r="DB61">
            <v>1085</v>
          </cell>
          <cell r="DC61">
            <v>9223</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row>
        <row r="62">
          <cell r="A62">
            <v>56</v>
          </cell>
          <cell r="C62">
            <v>56</v>
          </cell>
          <cell r="D62">
            <v>13</v>
          </cell>
          <cell r="E62" t="str">
            <v>ZAHEER AHMAD</v>
          </cell>
          <cell r="F62" t="str">
            <v>Officer - Company Sectl. Services</v>
          </cell>
          <cell r="G62" t="str">
            <v>Legal &amp; Regulatory Affairs</v>
          </cell>
          <cell r="H62" t="str">
            <v>CSO, Gurgaon</v>
          </cell>
          <cell r="I62" t="str">
            <v>Non-Executive</v>
          </cell>
          <cell r="K62">
            <v>23377</v>
          </cell>
          <cell r="L62">
            <v>34249</v>
          </cell>
          <cell r="N62" t="str">
            <v>RJ/13238/062</v>
          </cell>
          <cell r="R62" t="str">
            <v>Mohd. Islam</v>
          </cell>
          <cell r="S62">
            <v>6775</v>
          </cell>
          <cell r="T62">
            <v>2033</v>
          </cell>
          <cell r="U62">
            <v>3388</v>
          </cell>
          <cell r="V62">
            <v>1500</v>
          </cell>
          <cell r="W62">
            <v>0</v>
          </cell>
          <cell r="X62">
            <v>0</v>
          </cell>
          <cell r="Y62">
            <v>0</v>
          </cell>
          <cell r="Z62">
            <v>0</v>
          </cell>
          <cell r="AA62">
            <v>0</v>
          </cell>
          <cell r="AB62">
            <v>5421</v>
          </cell>
          <cell r="AC62">
            <v>0</v>
          </cell>
          <cell r="AH62">
            <v>813</v>
          </cell>
          <cell r="AJ62">
            <v>13696</v>
          </cell>
          <cell r="AK62" t="str">
            <v>G&amp;A</v>
          </cell>
          <cell r="AM62">
            <v>13</v>
          </cell>
          <cell r="AN62" t="str">
            <v>ZAHEER AHMAD</v>
          </cell>
          <cell r="AO62" t="str">
            <v>Officer - Company Sectl. Services</v>
          </cell>
          <cell r="AP62" t="str">
            <v>CSO, Gurgaon</v>
          </cell>
          <cell r="AQ62" t="str">
            <v>Non-Executive</v>
          </cell>
          <cell r="AR62" t="str">
            <v>HDFC  BANK LTD.</v>
          </cell>
          <cell r="AS62" t="str">
            <v>0031050009938</v>
          </cell>
          <cell r="AT62">
            <v>31</v>
          </cell>
          <cell r="AV62">
            <v>6775</v>
          </cell>
          <cell r="AW62">
            <v>2033</v>
          </cell>
          <cell r="AX62">
            <v>3388</v>
          </cell>
          <cell r="AY62">
            <v>1500</v>
          </cell>
          <cell r="AZ62">
            <v>0</v>
          </cell>
          <cell r="BA62">
            <v>0</v>
          </cell>
          <cell r="BB62">
            <v>0</v>
          </cell>
          <cell r="BC62">
            <v>0</v>
          </cell>
          <cell r="BD62">
            <v>0</v>
          </cell>
          <cell r="BE62">
            <v>0</v>
          </cell>
          <cell r="BF62">
            <v>0</v>
          </cell>
          <cell r="BG62">
            <v>0</v>
          </cell>
          <cell r="BH62">
            <v>13696</v>
          </cell>
          <cell r="BI62">
            <v>813</v>
          </cell>
          <cell r="BJ62">
            <v>0</v>
          </cell>
          <cell r="BK62">
            <v>0</v>
          </cell>
          <cell r="BL62">
            <v>0</v>
          </cell>
          <cell r="BM62">
            <v>0</v>
          </cell>
          <cell r="BN62">
            <v>0</v>
          </cell>
          <cell r="BO62">
            <v>0</v>
          </cell>
          <cell r="BP62">
            <v>0</v>
          </cell>
          <cell r="BQ62">
            <v>1111</v>
          </cell>
          <cell r="BR62">
            <v>67</v>
          </cell>
          <cell r="BS62">
            <v>0</v>
          </cell>
          <cell r="BT62">
            <v>0</v>
          </cell>
          <cell r="BU62">
            <v>1991</v>
          </cell>
          <cell r="BV62">
            <v>11705</v>
          </cell>
          <cell r="BW62">
            <v>11705</v>
          </cell>
          <cell r="BX62">
            <v>922.07749999999999</v>
          </cell>
          <cell r="BY62">
            <v>0</v>
          </cell>
          <cell r="BZ62">
            <v>0</v>
          </cell>
          <cell r="CA62">
            <v>0</v>
          </cell>
          <cell r="CB62">
            <v>0</v>
          </cell>
          <cell r="CC62">
            <v>0</v>
          </cell>
          <cell r="CD62">
            <v>0</v>
          </cell>
          <cell r="CE62">
            <v>0</v>
          </cell>
          <cell r="CF62">
            <v>0</v>
          </cell>
          <cell r="CG62">
            <v>0</v>
          </cell>
          <cell r="CH62">
            <v>0</v>
          </cell>
          <cell r="CI62">
            <v>0</v>
          </cell>
          <cell r="CJ62">
            <v>0</v>
          </cell>
          <cell r="CK62">
            <v>0</v>
          </cell>
          <cell r="CL62" t="str">
            <v>ZAHEER AHMAD</v>
          </cell>
          <cell r="CM62" t="str">
            <v>RJ/13238/062</v>
          </cell>
          <cell r="CN62">
            <v>6775</v>
          </cell>
          <cell r="CO62">
            <v>6500</v>
          </cell>
          <cell r="CP62">
            <v>813</v>
          </cell>
          <cell r="CQ62">
            <v>541</v>
          </cell>
          <cell r="CR62">
            <v>272</v>
          </cell>
          <cell r="CS62">
            <v>74.525000000000006</v>
          </cell>
          <cell r="CT62">
            <v>33.875</v>
          </cell>
          <cell r="CU62">
            <v>0.67749999999999999</v>
          </cell>
          <cell r="CV62">
            <v>922.07749999999999</v>
          </cell>
          <cell r="CW62">
            <v>0</v>
          </cell>
          <cell r="CX62">
            <v>0</v>
          </cell>
          <cell r="CY62" t="str">
            <v>ZAHEER AHMAD</v>
          </cell>
          <cell r="CZ62">
            <v>6775</v>
          </cell>
          <cell r="DA62">
            <v>3388</v>
          </cell>
          <cell r="DB62">
            <v>2033</v>
          </cell>
          <cell r="DC62">
            <v>12196</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row>
        <row r="63">
          <cell r="A63">
            <v>57</v>
          </cell>
          <cell r="C63">
            <v>57</v>
          </cell>
          <cell r="D63" t="str">
            <v>&lt;12</v>
          </cell>
          <cell r="E63" t="str">
            <v>HARI KRISHAN SHARMA</v>
          </cell>
          <cell r="F63" t="str">
            <v>Attendant Cum Peon</v>
          </cell>
          <cell r="G63" t="str">
            <v>Legal &amp; Regulatory Affairs</v>
          </cell>
          <cell r="H63" t="str">
            <v>CSO, Gurgaon</v>
          </cell>
          <cell r="I63" t="str">
            <v>Non-Executive</v>
          </cell>
          <cell r="K63" t="e">
            <v>#N/A</v>
          </cell>
          <cell r="L63" t="e">
            <v>#N/A</v>
          </cell>
          <cell r="N63" t="str">
            <v>RJ/13238/044</v>
          </cell>
          <cell r="R63" t="str">
            <v>Sh. Govind Ram Sharma</v>
          </cell>
          <cell r="S63">
            <v>3050</v>
          </cell>
          <cell r="T63">
            <v>458</v>
          </cell>
          <cell r="U63">
            <v>1525</v>
          </cell>
          <cell r="V63">
            <v>600</v>
          </cell>
          <cell r="W63">
            <v>0</v>
          </cell>
          <cell r="X63">
            <v>0</v>
          </cell>
          <cell r="Y63">
            <v>0</v>
          </cell>
          <cell r="Z63">
            <v>0</v>
          </cell>
          <cell r="AA63">
            <v>0</v>
          </cell>
          <cell r="AB63">
            <v>1983</v>
          </cell>
          <cell r="AC63">
            <v>0</v>
          </cell>
          <cell r="AH63">
            <v>366</v>
          </cell>
          <cell r="AJ63">
            <v>5633</v>
          </cell>
          <cell r="AK63" t="str">
            <v>G&amp;A</v>
          </cell>
          <cell r="AM63" t="str">
            <v>&lt;12</v>
          </cell>
          <cell r="AN63" t="str">
            <v>HARI KRISHAN SHARMA</v>
          </cell>
          <cell r="AO63" t="str">
            <v>Attendant Cum Peon</v>
          </cell>
          <cell r="AP63" t="str">
            <v>CSO, Gurgaon</v>
          </cell>
          <cell r="AQ63" t="str">
            <v>Non-Executive</v>
          </cell>
          <cell r="AR63" t="str">
            <v>HDFC  BANK LTD.</v>
          </cell>
          <cell r="AS63" t="str">
            <v>0031050009911</v>
          </cell>
          <cell r="AT63">
            <v>31</v>
          </cell>
          <cell r="AV63">
            <v>3050</v>
          </cell>
          <cell r="AW63">
            <v>458</v>
          </cell>
          <cell r="AX63">
            <v>1525</v>
          </cell>
          <cell r="AY63">
            <v>600</v>
          </cell>
          <cell r="AZ63">
            <v>0</v>
          </cell>
          <cell r="BA63">
            <v>0</v>
          </cell>
          <cell r="BB63">
            <v>0</v>
          </cell>
          <cell r="BC63">
            <v>0</v>
          </cell>
          <cell r="BD63">
            <v>0</v>
          </cell>
          <cell r="BE63">
            <v>0</v>
          </cell>
          <cell r="BF63">
            <v>0</v>
          </cell>
          <cell r="BG63">
            <v>0</v>
          </cell>
          <cell r="BH63">
            <v>5633</v>
          </cell>
          <cell r="BI63">
            <v>366</v>
          </cell>
          <cell r="BJ63">
            <v>0</v>
          </cell>
          <cell r="BK63">
            <v>0</v>
          </cell>
          <cell r="BL63">
            <v>0</v>
          </cell>
          <cell r="BM63">
            <v>88</v>
          </cell>
          <cell r="BN63">
            <v>0</v>
          </cell>
          <cell r="BO63">
            <v>0</v>
          </cell>
          <cell r="BP63">
            <v>0</v>
          </cell>
          <cell r="BQ63">
            <v>278</v>
          </cell>
          <cell r="BR63">
            <v>17</v>
          </cell>
          <cell r="BS63">
            <v>0</v>
          </cell>
          <cell r="BT63">
            <v>0</v>
          </cell>
          <cell r="BU63">
            <v>749</v>
          </cell>
          <cell r="BV63">
            <v>4884</v>
          </cell>
          <cell r="BW63">
            <v>4884</v>
          </cell>
          <cell r="BX63">
            <v>415.10500000000002</v>
          </cell>
          <cell r="BY63">
            <v>0</v>
          </cell>
          <cell r="BZ63">
            <v>0</v>
          </cell>
          <cell r="CA63">
            <v>0</v>
          </cell>
          <cell r="CB63">
            <v>0</v>
          </cell>
          <cell r="CC63">
            <v>0</v>
          </cell>
          <cell r="CD63">
            <v>0</v>
          </cell>
          <cell r="CE63">
            <v>0</v>
          </cell>
          <cell r="CF63">
            <v>0</v>
          </cell>
          <cell r="CG63">
            <v>0</v>
          </cell>
          <cell r="CH63">
            <v>0</v>
          </cell>
          <cell r="CI63">
            <v>0</v>
          </cell>
          <cell r="CJ63">
            <v>0</v>
          </cell>
          <cell r="CK63">
            <v>0</v>
          </cell>
          <cell r="CL63" t="str">
            <v>HARI KRISHAN SHARMA</v>
          </cell>
          <cell r="CM63" t="str">
            <v>RJ/13238/044</v>
          </cell>
          <cell r="CN63">
            <v>3050</v>
          </cell>
          <cell r="CO63">
            <v>3050</v>
          </cell>
          <cell r="CP63">
            <v>366</v>
          </cell>
          <cell r="CQ63">
            <v>254</v>
          </cell>
          <cell r="CR63">
            <v>112</v>
          </cell>
          <cell r="CS63">
            <v>33.550000000000004</v>
          </cell>
          <cell r="CT63">
            <v>15.25</v>
          </cell>
          <cell r="CU63">
            <v>0.30499999999999999</v>
          </cell>
          <cell r="CV63">
            <v>415.10500000000002</v>
          </cell>
          <cell r="CW63">
            <v>0</v>
          </cell>
          <cell r="CX63">
            <v>0</v>
          </cell>
          <cell r="CY63" t="str">
            <v>HARI KRISHAN SHARMA</v>
          </cell>
          <cell r="CZ63">
            <v>3050</v>
          </cell>
          <cell r="DA63">
            <v>1525</v>
          </cell>
          <cell r="DB63">
            <v>458</v>
          </cell>
          <cell r="DC63">
            <v>5033</v>
          </cell>
          <cell r="DD63">
            <v>88</v>
          </cell>
          <cell r="DE63">
            <v>239.10000000000002</v>
          </cell>
          <cell r="DF63">
            <v>327.10000000000002</v>
          </cell>
          <cell r="DG63">
            <v>5033</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row>
        <row r="64">
          <cell r="A64">
            <v>58</v>
          </cell>
          <cell r="C64">
            <v>58</v>
          </cell>
          <cell r="D64">
            <v>14</v>
          </cell>
          <cell r="E64" t="str">
            <v>RAJIV TYAGI</v>
          </cell>
          <cell r="F64" t="str">
            <v>Sr. Officer - Production</v>
          </cell>
          <cell r="G64" t="str">
            <v>Manufacturing</v>
          </cell>
          <cell r="H64" t="str">
            <v>Plant</v>
          </cell>
          <cell r="I64" t="str">
            <v>Non-Executive</v>
          </cell>
          <cell r="K64">
            <v>25174</v>
          </cell>
          <cell r="L64">
            <v>33735</v>
          </cell>
          <cell r="N64" t="str">
            <v>RJ/13238/013</v>
          </cell>
          <cell r="R64" t="str">
            <v>Mr. Jai Kumar Tyagi</v>
          </cell>
          <cell r="S64">
            <v>6700</v>
          </cell>
          <cell r="T64">
            <v>2010</v>
          </cell>
          <cell r="U64">
            <v>3350</v>
          </cell>
          <cell r="V64">
            <v>1800</v>
          </cell>
          <cell r="W64">
            <v>950</v>
          </cell>
          <cell r="X64">
            <v>0</v>
          </cell>
          <cell r="Y64">
            <v>0</v>
          </cell>
          <cell r="AA64">
            <v>0</v>
          </cell>
          <cell r="AB64">
            <v>5360</v>
          </cell>
          <cell r="AC64">
            <v>0</v>
          </cell>
          <cell r="AD64">
            <v>0</v>
          </cell>
          <cell r="AE64">
            <v>0</v>
          </cell>
          <cell r="AF64">
            <v>0</v>
          </cell>
          <cell r="AG64">
            <v>0</v>
          </cell>
          <cell r="AH64">
            <v>804</v>
          </cell>
          <cell r="AI64">
            <v>0</v>
          </cell>
          <cell r="AJ64">
            <v>14810</v>
          </cell>
          <cell r="AK64" t="str">
            <v>Mfg. Indirect</v>
          </cell>
          <cell r="AL64">
            <v>0</v>
          </cell>
          <cell r="AM64">
            <v>14</v>
          </cell>
          <cell r="AN64" t="str">
            <v>RAJIV TYAGI</v>
          </cell>
          <cell r="AO64" t="str">
            <v>Sr. Officer - Production</v>
          </cell>
          <cell r="AP64" t="str">
            <v>Plant</v>
          </cell>
          <cell r="AQ64" t="str">
            <v>Non-Executive</v>
          </cell>
          <cell r="AR64" t="str">
            <v>HDFC  BANK LTD.</v>
          </cell>
          <cell r="AS64" t="str">
            <v>0901050024580</v>
          </cell>
          <cell r="AT64">
            <v>31</v>
          </cell>
          <cell r="AU64">
            <v>0</v>
          </cell>
          <cell r="AV64">
            <v>6700</v>
          </cell>
          <cell r="AW64">
            <v>2010</v>
          </cell>
          <cell r="AX64">
            <v>3350</v>
          </cell>
          <cell r="AY64">
            <v>1800</v>
          </cell>
          <cell r="AZ64">
            <v>950</v>
          </cell>
          <cell r="BA64">
            <v>0</v>
          </cell>
          <cell r="BB64">
            <v>0</v>
          </cell>
          <cell r="BC64">
            <v>0</v>
          </cell>
          <cell r="BD64">
            <v>0</v>
          </cell>
          <cell r="BE64">
            <v>0</v>
          </cell>
          <cell r="BF64">
            <v>0</v>
          </cell>
          <cell r="BG64">
            <v>0</v>
          </cell>
          <cell r="BH64">
            <v>14810</v>
          </cell>
          <cell r="BI64">
            <v>804</v>
          </cell>
          <cell r="BJ64">
            <v>0</v>
          </cell>
          <cell r="BK64">
            <v>654</v>
          </cell>
          <cell r="BL64">
            <v>0</v>
          </cell>
          <cell r="BM64">
            <v>0</v>
          </cell>
          <cell r="BN64">
            <v>100</v>
          </cell>
          <cell r="BO64">
            <v>0</v>
          </cell>
          <cell r="BP64">
            <v>0</v>
          </cell>
          <cell r="BQ64">
            <v>1389</v>
          </cell>
          <cell r="BR64">
            <v>87</v>
          </cell>
          <cell r="BS64">
            <v>0</v>
          </cell>
          <cell r="BT64">
            <v>0</v>
          </cell>
          <cell r="BU64">
            <v>3034</v>
          </cell>
          <cell r="BV64">
            <v>11776</v>
          </cell>
          <cell r="BW64">
            <v>11776</v>
          </cell>
          <cell r="BX64">
            <v>911.87</v>
          </cell>
          <cell r="BY64">
            <v>0</v>
          </cell>
          <cell r="BZ64">
            <v>0</v>
          </cell>
          <cell r="CA64">
            <v>0</v>
          </cell>
          <cell r="CB64">
            <v>0</v>
          </cell>
          <cell r="CC64">
            <v>0</v>
          </cell>
          <cell r="CD64">
            <v>0</v>
          </cell>
          <cell r="CE64">
            <v>0</v>
          </cell>
          <cell r="CF64">
            <v>0</v>
          </cell>
          <cell r="CG64">
            <v>0</v>
          </cell>
          <cell r="CH64">
            <v>0</v>
          </cell>
          <cell r="CI64">
            <v>0</v>
          </cell>
          <cell r="CJ64">
            <v>0</v>
          </cell>
          <cell r="CK64">
            <v>0</v>
          </cell>
          <cell r="CL64" t="str">
            <v>RAJIV TYAGI</v>
          </cell>
          <cell r="CM64" t="str">
            <v>RJ/13238/013</v>
          </cell>
          <cell r="CN64">
            <v>6700</v>
          </cell>
          <cell r="CO64">
            <v>6500</v>
          </cell>
          <cell r="CP64">
            <v>804</v>
          </cell>
          <cell r="CQ64">
            <v>541</v>
          </cell>
          <cell r="CR64">
            <v>263</v>
          </cell>
          <cell r="CS64">
            <v>73.7</v>
          </cell>
          <cell r="CT64">
            <v>33.5</v>
          </cell>
          <cell r="CU64">
            <v>0.67</v>
          </cell>
          <cell r="CV64">
            <v>911.87</v>
          </cell>
          <cell r="CW64">
            <v>0</v>
          </cell>
          <cell r="CX64">
            <v>0</v>
          </cell>
          <cell r="CY64" t="str">
            <v>RAJIV TYAGI</v>
          </cell>
          <cell r="CZ64">
            <v>6700</v>
          </cell>
          <cell r="DA64">
            <v>3350</v>
          </cell>
          <cell r="DB64">
            <v>2010</v>
          </cell>
          <cell r="DC64">
            <v>12060</v>
          </cell>
          <cell r="DD64">
            <v>0</v>
          </cell>
          <cell r="DE64">
            <v>0</v>
          </cell>
          <cell r="DF64">
            <v>0</v>
          </cell>
          <cell r="DG64">
            <v>0</v>
          </cell>
          <cell r="DH64">
            <v>0</v>
          </cell>
          <cell r="DI64">
            <v>0</v>
          </cell>
          <cell r="DJ64">
            <v>0</v>
          </cell>
          <cell r="DK64">
            <v>0</v>
          </cell>
          <cell r="DL64">
            <v>0</v>
          </cell>
          <cell r="DM64">
            <v>0</v>
          </cell>
          <cell r="DN64">
            <v>0</v>
          </cell>
          <cell r="DO64">
            <v>0</v>
          </cell>
          <cell r="DP64">
            <v>0</v>
          </cell>
          <cell r="DQ64">
            <v>0</v>
          </cell>
        </row>
        <row r="65">
          <cell r="A65">
            <v>59</v>
          </cell>
          <cell r="C65">
            <v>59</v>
          </cell>
          <cell r="D65">
            <v>14</v>
          </cell>
          <cell r="E65" t="str">
            <v>P. D. MISHRA</v>
          </cell>
          <cell r="F65" t="str">
            <v>Sr. Officer - HR</v>
          </cell>
          <cell r="G65" t="str">
            <v>Human Resources</v>
          </cell>
          <cell r="H65" t="str">
            <v>Plant</v>
          </cell>
          <cell r="I65" t="str">
            <v>Non-Executive</v>
          </cell>
          <cell r="K65">
            <v>21093</v>
          </cell>
          <cell r="L65">
            <v>33770</v>
          </cell>
          <cell r="N65" t="str">
            <v>RJ/13238/024</v>
          </cell>
          <cell r="R65" t="str">
            <v>Sh. Ram Kishor Mishra</v>
          </cell>
          <cell r="S65">
            <v>8925</v>
          </cell>
          <cell r="T65">
            <v>2678</v>
          </cell>
          <cell r="U65">
            <v>4463</v>
          </cell>
          <cell r="V65">
            <v>1800</v>
          </cell>
          <cell r="W65">
            <v>950</v>
          </cell>
          <cell r="X65">
            <v>0</v>
          </cell>
          <cell r="Y65">
            <v>0</v>
          </cell>
          <cell r="Z65">
            <v>0</v>
          </cell>
          <cell r="AA65">
            <v>0</v>
          </cell>
          <cell r="AB65">
            <v>7141</v>
          </cell>
          <cell r="AC65">
            <v>0</v>
          </cell>
          <cell r="AF65">
            <v>0</v>
          </cell>
          <cell r="AG65">
            <v>0</v>
          </cell>
          <cell r="AH65">
            <v>1071</v>
          </cell>
          <cell r="AI65">
            <v>0</v>
          </cell>
          <cell r="AJ65">
            <v>18816</v>
          </cell>
          <cell r="AK65" t="str">
            <v>Mfg. Service</v>
          </cell>
          <cell r="AL65">
            <v>0</v>
          </cell>
          <cell r="AM65">
            <v>14</v>
          </cell>
          <cell r="AN65" t="str">
            <v>P. D. MISHRA</v>
          </cell>
          <cell r="AO65" t="str">
            <v>Sr. Officer - HR</v>
          </cell>
          <cell r="AP65" t="str">
            <v>Plant</v>
          </cell>
          <cell r="AQ65" t="str">
            <v>Non-Executive</v>
          </cell>
          <cell r="AR65" t="str">
            <v>HDFC  BANK LTD.</v>
          </cell>
          <cell r="AS65" t="str">
            <v>1681050018772</v>
          </cell>
          <cell r="AT65">
            <v>31</v>
          </cell>
          <cell r="AU65">
            <v>0</v>
          </cell>
          <cell r="AV65">
            <v>8925</v>
          </cell>
          <cell r="AW65">
            <v>2678</v>
          </cell>
          <cell r="AX65">
            <v>4463</v>
          </cell>
          <cell r="AY65">
            <v>1800</v>
          </cell>
          <cell r="AZ65">
            <v>950</v>
          </cell>
          <cell r="BA65">
            <v>0</v>
          </cell>
          <cell r="BB65">
            <v>0</v>
          </cell>
          <cell r="BC65">
            <v>0</v>
          </cell>
          <cell r="BD65">
            <v>0</v>
          </cell>
          <cell r="BE65">
            <v>0</v>
          </cell>
          <cell r="BF65">
            <v>0</v>
          </cell>
          <cell r="BG65">
            <v>0</v>
          </cell>
          <cell r="BH65">
            <v>18816</v>
          </cell>
          <cell r="BI65">
            <v>1071</v>
          </cell>
          <cell r="BJ65">
            <v>93</v>
          </cell>
          <cell r="BK65">
            <v>0</v>
          </cell>
          <cell r="BL65">
            <v>0</v>
          </cell>
          <cell r="BM65">
            <v>0</v>
          </cell>
          <cell r="BN65">
            <v>150</v>
          </cell>
          <cell r="BO65">
            <v>0</v>
          </cell>
          <cell r="BP65">
            <v>0</v>
          </cell>
          <cell r="BQ65">
            <v>1389</v>
          </cell>
          <cell r="BR65">
            <v>87</v>
          </cell>
          <cell r="BS65">
            <v>0</v>
          </cell>
          <cell r="BT65">
            <v>0</v>
          </cell>
          <cell r="BU65">
            <v>8790</v>
          </cell>
          <cell r="BV65">
            <v>16026</v>
          </cell>
          <cell r="BW65">
            <v>16026</v>
          </cell>
          <cell r="BX65">
            <v>1214.6924999999999</v>
          </cell>
          <cell r="BY65">
            <v>0</v>
          </cell>
          <cell r="BZ65">
            <v>0</v>
          </cell>
          <cell r="CA65">
            <v>0</v>
          </cell>
          <cell r="CB65">
            <v>0</v>
          </cell>
          <cell r="CC65">
            <v>0</v>
          </cell>
          <cell r="CD65">
            <v>0</v>
          </cell>
          <cell r="CE65">
            <v>0</v>
          </cell>
          <cell r="CF65">
            <v>0</v>
          </cell>
          <cell r="CG65">
            <v>0</v>
          </cell>
          <cell r="CH65">
            <v>0</v>
          </cell>
          <cell r="CI65">
            <v>0</v>
          </cell>
          <cell r="CJ65">
            <v>0</v>
          </cell>
          <cell r="CK65">
            <v>0</v>
          </cell>
          <cell r="CL65" t="str">
            <v>P. D. MISHRA</v>
          </cell>
          <cell r="CM65" t="str">
            <v>RJ/13238/024</v>
          </cell>
          <cell r="CN65">
            <v>8925</v>
          </cell>
          <cell r="CO65">
            <v>6500</v>
          </cell>
          <cell r="CP65">
            <v>1071</v>
          </cell>
          <cell r="CQ65">
            <v>541</v>
          </cell>
          <cell r="CR65">
            <v>530</v>
          </cell>
          <cell r="CS65">
            <v>98.175000000000011</v>
          </cell>
          <cell r="CT65">
            <v>44.625</v>
          </cell>
          <cell r="CU65">
            <v>0.89250000000000007</v>
          </cell>
          <cell r="CV65">
            <v>1214.6924999999999</v>
          </cell>
          <cell r="CW65">
            <v>0</v>
          </cell>
          <cell r="CX65">
            <v>0</v>
          </cell>
          <cell r="CY65" t="str">
            <v>P. D. MISHRA</v>
          </cell>
          <cell r="CZ65">
            <v>8925</v>
          </cell>
          <cell r="DA65">
            <v>4463</v>
          </cell>
          <cell r="DB65">
            <v>2678</v>
          </cell>
          <cell r="DC65">
            <v>16066</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v>0</v>
          </cell>
          <cell r="DU65">
            <v>0</v>
          </cell>
        </row>
        <row r="66">
          <cell r="A66">
            <v>60</v>
          </cell>
          <cell r="C66">
            <v>60</v>
          </cell>
          <cell r="D66">
            <v>13</v>
          </cell>
          <cell r="E66" t="str">
            <v>A. SUBRAMONIAN</v>
          </cell>
          <cell r="F66" t="str">
            <v xml:space="preserve">Sales Executive    </v>
          </cell>
          <cell r="G66" t="str">
            <v>Sales</v>
          </cell>
          <cell r="H66" t="str">
            <v>Chennai</v>
          </cell>
          <cell r="I66" t="str">
            <v>Non-Executive</v>
          </cell>
          <cell r="K66">
            <v>25576</v>
          </cell>
          <cell r="L66">
            <v>36691</v>
          </cell>
          <cell r="N66" t="str">
            <v>RJ/13238/170</v>
          </cell>
          <cell r="R66" t="str">
            <v>Mr. S. Ananthakrishnan Potty</v>
          </cell>
          <cell r="S66">
            <v>6125</v>
          </cell>
          <cell r="T66">
            <v>0</v>
          </cell>
          <cell r="U66">
            <v>2450</v>
          </cell>
          <cell r="V66">
            <v>0</v>
          </cell>
          <cell r="W66">
            <v>0</v>
          </cell>
          <cell r="X66">
            <v>0</v>
          </cell>
          <cell r="Y66">
            <v>0</v>
          </cell>
          <cell r="Z66">
            <v>0</v>
          </cell>
          <cell r="AA66">
            <v>0</v>
          </cell>
          <cell r="AB66">
            <v>2450</v>
          </cell>
          <cell r="AC66">
            <v>0</v>
          </cell>
          <cell r="AF66">
            <v>0</v>
          </cell>
          <cell r="AG66">
            <v>0</v>
          </cell>
          <cell r="AH66">
            <v>735</v>
          </cell>
          <cell r="AI66">
            <v>0</v>
          </cell>
          <cell r="AJ66">
            <v>8575</v>
          </cell>
          <cell r="AK66" t="str">
            <v>Sales Executive</v>
          </cell>
          <cell r="AL66">
            <v>0</v>
          </cell>
          <cell r="AM66">
            <v>13</v>
          </cell>
          <cell r="AN66" t="str">
            <v>A. SUBRAMONIAN</v>
          </cell>
          <cell r="AO66" t="str">
            <v xml:space="preserve">Sales Executive    </v>
          </cell>
          <cell r="AP66" t="str">
            <v>Chennai</v>
          </cell>
          <cell r="AQ66" t="str">
            <v>Non-Executive</v>
          </cell>
          <cell r="AR66" t="str">
            <v>HDFC  BANK LTD.</v>
          </cell>
          <cell r="AS66" t="str">
            <v>0241050003015</v>
          </cell>
          <cell r="AT66">
            <v>31</v>
          </cell>
          <cell r="AU66">
            <v>0</v>
          </cell>
          <cell r="AV66">
            <v>6125</v>
          </cell>
          <cell r="AW66">
            <v>0</v>
          </cell>
          <cell r="AX66">
            <v>2450</v>
          </cell>
          <cell r="AY66">
            <v>0</v>
          </cell>
          <cell r="AZ66">
            <v>0</v>
          </cell>
          <cell r="BA66">
            <v>0</v>
          </cell>
          <cell r="BB66">
            <v>0</v>
          </cell>
          <cell r="BC66">
            <v>0</v>
          </cell>
          <cell r="BD66">
            <v>0</v>
          </cell>
          <cell r="BE66">
            <v>0</v>
          </cell>
          <cell r="BF66">
            <v>0</v>
          </cell>
          <cell r="BG66">
            <v>0</v>
          </cell>
          <cell r="BH66">
            <v>8575</v>
          </cell>
          <cell r="BI66">
            <v>735</v>
          </cell>
          <cell r="BJ66">
            <v>0</v>
          </cell>
          <cell r="BK66">
            <v>646</v>
          </cell>
          <cell r="BL66">
            <v>0</v>
          </cell>
          <cell r="BM66">
            <v>0</v>
          </cell>
          <cell r="BN66">
            <v>100</v>
          </cell>
          <cell r="BO66">
            <v>0</v>
          </cell>
          <cell r="BP66">
            <v>0</v>
          </cell>
          <cell r="BQ66">
            <v>1111</v>
          </cell>
          <cell r="BR66">
            <v>70</v>
          </cell>
          <cell r="BS66">
            <v>0</v>
          </cell>
          <cell r="BT66">
            <v>0</v>
          </cell>
          <cell r="BU66">
            <v>2662</v>
          </cell>
          <cell r="BV66">
            <v>5913</v>
          </cell>
          <cell r="BW66">
            <v>5913</v>
          </cell>
          <cell r="BX66">
            <v>833.61249999999995</v>
          </cell>
          <cell r="BY66">
            <v>0</v>
          </cell>
          <cell r="BZ66">
            <v>0</v>
          </cell>
          <cell r="CA66">
            <v>0</v>
          </cell>
          <cell r="CB66">
            <v>0</v>
          </cell>
          <cell r="CC66">
            <v>0</v>
          </cell>
          <cell r="CD66">
            <v>0</v>
          </cell>
          <cell r="CE66">
            <v>0</v>
          </cell>
          <cell r="CF66">
            <v>0</v>
          </cell>
          <cell r="CG66">
            <v>0</v>
          </cell>
          <cell r="CH66">
            <v>0</v>
          </cell>
          <cell r="CI66">
            <v>0</v>
          </cell>
          <cell r="CJ66">
            <v>0</v>
          </cell>
          <cell r="CK66">
            <v>0</v>
          </cell>
          <cell r="CL66" t="str">
            <v>A. SUBRAMONIAN</v>
          </cell>
          <cell r="CM66" t="str">
            <v>RJ/13238/170</v>
          </cell>
          <cell r="CN66">
            <v>6125</v>
          </cell>
          <cell r="CO66">
            <v>6125</v>
          </cell>
          <cell r="CP66">
            <v>735</v>
          </cell>
          <cell r="CQ66">
            <v>510</v>
          </cell>
          <cell r="CR66">
            <v>225</v>
          </cell>
          <cell r="CS66">
            <v>67.375</v>
          </cell>
          <cell r="CT66">
            <v>30.625</v>
          </cell>
          <cell r="CU66">
            <v>0.61250000000000004</v>
          </cell>
          <cell r="CV66">
            <v>833.61249999999995</v>
          </cell>
          <cell r="CW66">
            <v>0</v>
          </cell>
          <cell r="CX66">
            <v>0</v>
          </cell>
          <cell r="CY66" t="str">
            <v>A. SUBRAMONIAN</v>
          </cell>
          <cell r="CZ66">
            <v>6125</v>
          </cell>
          <cell r="DA66">
            <v>2450</v>
          </cell>
          <cell r="DB66">
            <v>0</v>
          </cell>
          <cell r="DC66">
            <v>8575</v>
          </cell>
          <cell r="DD66">
            <v>0</v>
          </cell>
          <cell r="DE66">
            <v>0</v>
          </cell>
          <cell r="DF66">
            <v>0</v>
          </cell>
          <cell r="DG66">
            <v>0</v>
          </cell>
          <cell r="DH66">
            <v>0</v>
          </cell>
          <cell r="DI66">
            <v>0</v>
          </cell>
          <cell r="DJ66">
            <v>0</v>
          </cell>
          <cell r="DK66">
            <v>0</v>
          </cell>
          <cell r="DL66">
            <v>0</v>
          </cell>
          <cell r="DM66">
            <v>0</v>
          </cell>
          <cell r="DN66">
            <v>0</v>
          </cell>
          <cell r="DO66">
            <v>0</v>
          </cell>
          <cell r="DP66">
            <v>0</v>
          </cell>
          <cell r="DQ66">
            <v>0</v>
          </cell>
          <cell r="DR66">
            <v>0</v>
          </cell>
          <cell r="DS66">
            <v>0</v>
          </cell>
          <cell r="DT66">
            <v>0</v>
          </cell>
          <cell r="DU66">
            <v>0</v>
          </cell>
        </row>
        <row r="67">
          <cell r="A67">
            <v>61</v>
          </cell>
          <cell r="C67">
            <v>61</v>
          </cell>
          <cell r="D67">
            <v>13</v>
          </cell>
          <cell r="E67" t="str">
            <v>G.VEERARAGHAVA RAO</v>
          </cell>
          <cell r="F67" t="str">
            <v xml:space="preserve">Sales Executive    </v>
          </cell>
          <cell r="G67" t="str">
            <v>Sales</v>
          </cell>
          <cell r="H67" t="str">
            <v>Chennai</v>
          </cell>
          <cell r="I67" t="str">
            <v>Non-Executive</v>
          </cell>
          <cell r="K67">
            <v>26458</v>
          </cell>
          <cell r="L67">
            <v>35846</v>
          </cell>
          <cell r="N67" t="str">
            <v>RJ/13238/102</v>
          </cell>
          <cell r="R67" t="str">
            <v xml:space="preserve">Mr. G. Gaddayya </v>
          </cell>
          <cell r="S67">
            <v>5000</v>
          </cell>
          <cell r="T67">
            <v>0</v>
          </cell>
          <cell r="U67">
            <v>2250</v>
          </cell>
          <cell r="V67">
            <v>1500</v>
          </cell>
          <cell r="W67">
            <v>0</v>
          </cell>
          <cell r="X67">
            <v>0</v>
          </cell>
          <cell r="Y67">
            <v>0</v>
          </cell>
          <cell r="Z67">
            <v>0</v>
          </cell>
          <cell r="AA67">
            <v>0</v>
          </cell>
          <cell r="AB67">
            <v>2250</v>
          </cell>
          <cell r="AC67">
            <v>0</v>
          </cell>
          <cell r="AF67">
            <v>0</v>
          </cell>
          <cell r="AG67">
            <v>0</v>
          </cell>
          <cell r="AH67">
            <v>600</v>
          </cell>
          <cell r="AI67">
            <v>0</v>
          </cell>
          <cell r="AJ67">
            <v>8750</v>
          </cell>
          <cell r="AK67" t="str">
            <v>Sales Executive</v>
          </cell>
          <cell r="AL67">
            <v>0</v>
          </cell>
          <cell r="AM67">
            <v>13</v>
          </cell>
          <cell r="AN67" t="str">
            <v>G.VEERARAGHAVA RAO</v>
          </cell>
          <cell r="AO67" t="str">
            <v xml:space="preserve">Sales Executive    </v>
          </cell>
          <cell r="AP67" t="str">
            <v>Chennai</v>
          </cell>
          <cell r="AQ67" t="str">
            <v>Non-Executive</v>
          </cell>
          <cell r="AR67" t="str">
            <v>HDFC  BANK LTD.</v>
          </cell>
          <cell r="AS67" t="str">
            <v>0211050001329</v>
          </cell>
          <cell r="AT67">
            <v>31</v>
          </cell>
          <cell r="AU67">
            <v>0</v>
          </cell>
          <cell r="AV67">
            <v>5000</v>
          </cell>
          <cell r="AW67">
            <v>0</v>
          </cell>
          <cell r="AX67">
            <v>2250</v>
          </cell>
          <cell r="AY67">
            <v>1500</v>
          </cell>
          <cell r="AZ67">
            <v>0</v>
          </cell>
          <cell r="BA67">
            <v>0</v>
          </cell>
          <cell r="BB67">
            <v>0</v>
          </cell>
          <cell r="BC67">
            <v>0</v>
          </cell>
          <cell r="BD67">
            <v>0</v>
          </cell>
          <cell r="BE67">
            <v>0</v>
          </cell>
          <cell r="BF67">
            <v>0</v>
          </cell>
          <cell r="BG67">
            <v>0</v>
          </cell>
          <cell r="BH67">
            <v>8750</v>
          </cell>
          <cell r="BI67">
            <v>600</v>
          </cell>
          <cell r="BJ67">
            <v>0</v>
          </cell>
          <cell r="BK67">
            <v>3781</v>
          </cell>
          <cell r="BL67">
            <v>0</v>
          </cell>
          <cell r="BM67">
            <v>0</v>
          </cell>
          <cell r="BN67">
            <v>75</v>
          </cell>
          <cell r="BO67">
            <v>0</v>
          </cell>
          <cell r="BP67">
            <v>0</v>
          </cell>
          <cell r="BQ67">
            <v>1111</v>
          </cell>
          <cell r="BR67">
            <v>70</v>
          </cell>
          <cell r="BS67">
            <v>0</v>
          </cell>
          <cell r="BT67">
            <v>0</v>
          </cell>
          <cell r="BU67">
            <v>5637</v>
          </cell>
          <cell r="BV67">
            <v>3113</v>
          </cell>
          <cell r="BW67">
            <v>3113</v>
          </cell>
          <cell r="BX67">
            <v>680.5</v>
          </cell>
          <cell r="BY67">
            <v>0</v>
          </cell>
          <cell r="BZ67">
            <v>0</v>
          </cell>
          <cell r="CA67">
            <v>0</v>
          </cell>
          <cell r="CB67">
            <v>0</v>
          </cell>
          <cell r="CC67">
            <v>0</v>
          </cell>
          <cell r="CD67">
            <v>0</v>
          </cell>
          <cell r="CE67">
            <v>0</v>
          </cell>
          <cell r="CF67">
            <v>0</v>
          </cell>
          <cell r="CG67">
            <v>0</v>
          </cell>
          <cell r="CH67">
            <v>0</v>
          </cell>
          <cell r="CI67">
            <v>0</v>
          </cell>
          <cell r="CJ67">
            <v>0</v>
          </cell>
          <cell r="CK67">
            <v>0</v>
          </cell>
          <cell r="CL67" t="str">
            <v>G.VEERARAGHAVA RAO</v>
          </cell>
          <cell r="CM67" t="str">
            <v>RJ/13238/102</v>
          </cell>
          <cell r="CN67">
            <v>5000</v>
          </cell>
          <cell r="CO67">
            <v>5000</v>
          </cell>
          <cell r="CP67">
            <v>600</v>
          </cell>
          <cell r="CQ67">
            <v>417</v>
          </cell>
          <cell r="CR67">
            <v>183</v>
          </cell>
          <cell r="CS67">
            <v>55.000000000000007</v>
          </cell>
          <cell r="CT67">
            <v>25</v>
          </cell>
          <cell r="CU67">
            <v>0.5</v>
          </cell>
          <cell r="CV67">
            <v>680.5</v>
          </cell>
          <cell r="CW67">
            <v>0</v>
          </cell>
          <cell r="CX67">
            <v>0</v>
          </cell>
          <cell r="CY67" t="str">
            <v>G.VEERARAGHAVA RAO</v>
          </cell>
          <cell r="CZ67">
            <v>5000</v>
          </cell>
          <cell r="DA67">
            <v>2250</v>
          </cell>
          <cell r="DB67">
            <v>0</v>
          </cell>
          <cell r="DC67">
            <v>7250</v>
          </cell>
          <cell r="DD67">
            <v>0</v>
          </cell>
          <cell r="DE67">
            <v>0</v>
          </cell>
          <cell r="DF67">
            <v>0</v>
          </cell>
          <cell r="DG67">
            <v>0</v>
          </cell>
          <cell r="DH67">
            <v>0</v>
          </cell>
          <cell r="DI67">
            <v>0</v>
          </cell>
          <cell r="DJ67">
            <v>0</v>
          </cell>
          <cell r="DK67">
            <v>0</v>
          </cell>
          <cell r="DL67">
            <v>0</v>
          </cell>
          <cell r="DM67">
            <v>0</v>
          </cell>
          <cell r="DN67">
            <v>0</v>
          </cell>
          <cell r="DO67">
            <v>0</v>
          </cell>
          <cell r="DP67">
            <v>0</v>
          </cell>
          <cell r="DQ67">
            <v>0</v>
          </cell>
          <cell r="DR67">
            <v>0</v>
          </cell>
          <cell r="DS67">
            <v>0</v>
          </cell>
          <cell r="DT67">
            <v>0</v>
          </cell>
          <cell r="DU67">
            <v>0</v>
          </cell>
        </row>
        <row r="68">
          <cell r="A68">
            <v>62</v>
          </cell>
          <cell r="C68">
            <v>62</v>
          </cell>
          <cell r="D68">
            <v>14</v>
          </cell>
          <cell r="E68" t="str">
            <v>SAJAL KR. SAHA</v>
          </cell>
          <cell r="F68" t="str">
            <v xml:space="preserve">Sr. Officer - Stocks &amp; Distribution </v>
          </cell>
          <cell r="G68" t="str">
            <v>Logistics, Distribution &amp; BRT</v>
          </cell>
          <cell r="H68" t="str">
            <v>Calcutta</v>
          </cell>
          <cell r="I68" t="str">
            <v>Non-Executive</v>
          </cell>
          <cell r="K68">
            <v>23437</v>
          </cell>
          <cell r="L68">
            <v>34078</v>
          </cell>
          <cell r="N68" t="str">
            <v>RJ/13238/057</v>
          </cell>
          <cell r="R68" t="str">
            <v>Mr. Anil Ch. Saha</v>
          </cell>
          <cell r="S68">
            <v>6500</v>
          </cell>
          <cell r="T68">
            <v>1950</v>
          </cell>
          <cell r="U68">
            <v>3250</v>
          </cell>
          <cell r="V68">
            <v>1800</v>
          </cell>
          <cell r="W68">
            <v>0</v>
          </cell>
          <cell r="X68">
            <v>0</v>
          </cell>
          <cell r="Y68">
            <v>0</v>
          </cell>
          <cell r="Z68">
            <v>0</v>
          </cell>
          <cell r="AA68">
            <v>0</v>
          </cell>
          <cell r="AB68">
            <v>5200</v>
          </cell>
          <cell r="AC68">
            <v>0</v>
          </cell>
          <cell r="AF68">
            <v>0</v>
          </cell>
          <cell r="AG68">
            <v>0</v>
          </cell>
          <cell r="AH68">
            <v>780</v>
          </cell>
          <cell r="AI68">
            <v>0</v>
          </cell>
          <cell r="AJ68">
            <v>13500</v>
          </cell>
          <cell r="AK68" t="str">
            <v>Marketing</v>
          </cell>
          <cell r="AL68">
            <v>0</v>
          </cell>
          <cell r="AM68">
            <v>14</v>
          </cell>
          <cell r="AN68" t="str">
            <v>SAJAL KR. SAHA</v>
          </cell>
          <cell r="AO68" t="str">
            <v xml:space="preserve">Sr. Officer - Stocks &amp; Distribution </v>
          </cell>
          <cell r="AP68" t="str">
            <v>Calcutta</v>
          </cell>
          <cell r="AQ68" t="str">
            <v>Non-Executive</v>
          </cell>
          <cell r="AR68" t="str">
            <v>HDFC  BANK LTD.</v>
          </cell>
          <cell r="AS68" t="str">
            <v>0181050000750</v>
          </cell>
          <cell r="AT68">
            <v>31</v>
          </cell>
          <cell r="AU68">
            <v>0</v>
          </cell>
          <cell r="AV68">
            <v>6500</v>
          </cell>
          <cell r="AW68">
            <v>1950</v>
          </cell>
          <cell r="AX68">
            <v>3250</v>
          </cell>
          <cell r="AY68">
            <v>1800</v>
          </cell>
          <cell r="AZ68">
            <v>0</v>
          </cell>
          <cell r="BA68">
            <v>0</v>
          </cell>
          <cell r="BB68">
            <v>0</v>
          </cell>
          <cell r="BC68">
            <v>0</v>
          </cell>
          <cell r="BD68">
            <v>0</v>
          </cell>
          <cell r="BE68">
            <v>0</v>
          </cell>
          <cell r="BF68">
            <v>0</v>
          </cell>
          <cell r="BG68">
            <v>0</v>
          </cell>
          <cell r="BH68">
            <v>13500</v>
          </cell>
          <cell r="BI68">
            <v>780</v>
          </cell>
          <cell r="BJ68">
            <v>0</v>
          </cell>
          <cell r="BK68">
            <v>0</v>
          </cell>
          <cell r="BL68">
            <v>0</v>
          </cell>
          <cell r="BM68">
            <v>0</v>
          </cell>
          <cell r="BN68">
            <v>75</v>
          </cell>
          <cell r="BO68">
            <v>0</v>
          </cell>
          <cell r="BP68">
            <v>0</v>
          </cell>
          <cell r="BQ68">
            <v>1389</v>
          </cell>
          <cell r="BR68">
            <v>167</v>
          </cell>
          <cell r="BS68">
            <v>0</v>
          </cell>
          <cell r="BT68">
            <v>0</v>
          </cell>
          <cell r="BU68">
            <v>2411</v>
          </cell>
          <cell r="BV68">
            <v>11089</v>
          </cell>
          <cell r="BW68">
            <v>11089</v>
          </cell>
          <cell r="BX68">
            <v>884.65</v>
          </cell>
          <cell r="BY68">
            <v>0</v>
          </cell>
          <cell r="BZ68">
            <v>0</v>
          </cell>
          <cell r="CA68">
            <v>0</v>
          </cell>
          <cell r="CB68">
            <v>0</v>
          </cell>
          <cell r="CC68">
            <v>0</v>
          </cell>
          <cell r="CD68">
            <v>0</v>
          </cell>
          <cell r="CE68">
            <v>0</v>
          </cell>
          <cell r="CF68">
            <v>0</v>
          </cell>
          <cell r="CG68">
            <v>0</v>
          </cell>
          <cell r="CH68">
            <v>0</v>
          </cell>
          <cell r="CI68">
            <v>0</v>
          </cell>
          <cell r="CJ68">
            <v>0</v>
          </cell>
          <cell r="CK68">
            <v>0</v>
          </cell>
          <cell r="CL68" t="str">
            <v>SAJAL KR. SAHA</v>
          </cell>
          <cell r="CM68" t="str">
            <v>RJ/13238/057</v>
          </cell>
          <cell r="CN68">
            <v>6500</v>
          </cell>
          <cell r="CO68">
            <v>6500</v>
          </cell>
          <cell r="CP68">
            <v>780</v>
          </cell>
          <cell r="CQ68">
            <v>541</v>
          </cell>
          <cell r="CR68">
            <v>239</v>
          </cell>
          <cell r="CS68">
            <v>71.500000000000014</v>
          </cell>
          <cell r="CT68">
            <v>32.5</v>
          </cell>
          <cell r="CU68">
            <v>0.65</v>
          </cell>
          <cell r="CV68">
            <v>884.65</v>
          </cell>
          <cell r="CW68">
            <v>0</v>
          </cell>
          <cell r="CX68">
            <v>0</v>
          </cell>
          <cell r="CY68" t="str">
            <v>SAJAL KR. SAHA</v>
          </cell>
          <cell r="CZ68">
            <v>6500</v>
          </cell>
          <cell r="DA68">
            <v>3250</v>
          </cell>
          <cell r="DB68">
            <v>1950</v>
          </cell>
          <cell r="DC68">
            <v>11700</v>
          </cell>
          <cell r="DD68">
            <v>0</v>
          </cell>
          <cell r="DE68">
            <v>0</v>
          </cell>
          <cell r="DF68">
            <v>0</v>
          </cell>
          <cell r="DG68">
            <v>0</v>
          </cell>
          <cell r="DH68">
            <v>0</v>
          </cell>
          <cell r="DI68">
            <v>0</v>
          </cell>
          <cell r="DJ68">
            <v>0</v>
          </cell>
          <cell r="DK68">
            <v>0</v>
          </cell>
          <cell r="DL68">
            <v>0</v>
          </cell>
          <cell r="DM68">
            <v>0</v>
          </cell>
          <cell r="DN68">
            <v>0</v>
          </cell>
          <cell r="DO68">
            <v>0</v>
          </cell>
          <cell r="DP68">
            <v>0</v>
          </cell>
          <cell r="DQ68">
            <v>0</v>
          </cell>
          <cell r="DR68">
            <v>0</v>
          </cell>
          <cell r="DS68">
            <v>0</v>
          </cell>
          <cell r="DT68">
            <v>0</v>
          </cell>
          <cell r="DU68">
            <v>0</v>
          </cell>
        </row>
        <row r="69">
          <cell r="A69">
            <v>63</v>
          </cell>
          <cell r="C69">
            <v>63</v>
          </cell>
          <cell r="D69">
            <v>13</v>
          </cell>
          <cell r="E69" t="str">
            <v>ANSHUMAN DASH</v>
          </cell>
          <cell r="F69" t="str">
            <v xml:space="preserve">Sales Executive    </v>
          </cell>
          <cell r="G69" t="str">
            <v>Sales</v>
          </cell>
          <cell r="H69" t="str">
            <v>Bangalore</v>
          </cell>
          <cell r="I69" t="str">
            <v>Non-Executive</v>
          </cell>
          <cell r="K69">
            <v>27442</v>
          </cell>
          <cell r="L69">
            <v>36722</v>
          </cell>
          <cell r="N69" t="str">
            <v>RJ/13238/174</v>
          </cell>
          <cell r="R69" t="str">
            <v>Mr. Tapan Kumar Dash</v>
          </cell>
          <cell r="S69">
            <v>5675</v>
          </cell>
          <cell r="T69">
            <v>0</v>
          </cell>
          <cell r="U69">
            <v>2838</v>
          </cell>
          <cell r="V69">
            <v>0</v>
          </cell>
          <cell r="W69">
            <v>0</v>
          </cell>
          <cell r="X69">
            <v>0</v>
          </cell>
          <cell r="Y69">
            <v>0</v>
          </cell>
          <cell r="Z69">
            <v>0</v>
          </cell>
          <cell r="AA69">
            <v>0</v>
          </cell>
          <cell r="AB69">
            <v>2838</v>
          </cell>
          <cell r="AC69">
            <v>0</v>
          </cell>
          <cell r="AF69">
            <v>0</v>
          </cell>
          <cell r="AG69">
            <v>0</v>
          </cell>
          <cell r="AH69">
            <v>681</v>
          </cell>
          <cell r="AI69">
            <v>0</v>
          </cell>
          <cell r="AJ69">
            <v>8513</v>
          </cell>
          <cell r="AK69" t="str">
            <v>Sales Executive</v>
          </cell>
          <cell r="AL69">
            <v>0</v>
          </cell>
          <cell r="AM69">
            <v>13</v>
          </cell>
          <cell r="AN69" t="str">
            <v>ANSHUMAN DASH</v>
          </cell>
          <cell r="AO69" t="str">
            <v xml:space="preserve">Sales Executive    </v>
          </cell>
          <cell r="AP69" t="str">
            <v>Bangalore</v>
          </cell>
          <cell r="AQ69" t="str">
            <v>Non-Executive</v>
          </cell>
          <cell r="AR69" t="str">
            <v>HDFC  BANK LTD.</v>
          </cell>
          <cell r="AS69" t="str">
            <v>0181050004153</v>
          </cell>
          <cell r="AT69">
            <v>31</v>
          </cell>
          <cell r="AU69">
            <v>0</v>
          </cell>
          <cell r="AV69">
            <v>5675</v>
          </cell>
          <cell r="AW69">
            <v>0</v>
          </cell>
          <cell r="AX69">
            <v>2838</v>
          </cell>
          <cell r="AY69">
            <v>0</v>
          </cell>
          <cell r="AZ69">
            <v>0</v>
          </cell>
          <cell r="BA69">
            <v>0</v>
          </cell>
          <cell r="BB69">
            <v>0</v>
          </cell>
          <cell r="BC69">
            <v>0</v>
          </cell>
          <cell r="BD69">
            <v>0</v>
          </cell>
          <cell r="BE69">
            <v>0</v>
          </cell>
          <cell r="BF69">
            <v>0</v>
          </cell>
          <cell r="BG69">
            <v>0</v>
          </cell>
          <cell r="BH69">
            <v>8513</v>
          </cell>
          <cell r="BI69">
            <v>681</v>
          </cell>
          <cell r="BJ69">
            <v>0</v>
          </cell>
          <cell r="BK69">
            <v>1736</v>
          </cell>
          <cell r="BL69">
            <v>0</v>
          </cell>
          <cell r="BM69">
            <v>0</v>
          </cell>
          <cell r="BN69">
            <v>0</v>
          </cell>
          <cell r="BO69">
            <v>0</v>
          </cell>
          <cell r="BP69">
            <v>0</v>
          </cell>
          <cell r="BQ69">
            <v>1111</v>
          </cell>
          <cell r="BR69">
            <v>70</v>
          </cell>
          <cell r="BS69">
            <v>0</v>
          </cell>
          <cell r="BT69">
            <v>0</v>
          </cell>
          <cell r="BU69">
            <v>3598</v>
          </cell>
          <cell r="BV69">
            <v>4915</v>
          </cell>
          <cell r="BW69">
            <v>4915</v>
          </cell>
          <cell r="BX69">
            <v>772.36749999999995</v>
          </cell>
          <cell r="BY69">
            <v>0</v>
          </cell>
          <cell r="BZ69">
            <v>0</v>
          </cell>
          <cell r="CA69">
            <v>0</v>
          </cell>
          <cell r="CB69">
            <v>0</v>
          </cell>
          <cell r="CC69">
            <v>0</v>
          </cell>
          <cell r="CD69">
            <v>0</v>
          </cell>
          <cell r="CE69">
            <v>0</v>
          </cell>
          <cell r="CF69">
            <v>0</v>
          </cell>
          <cell r="CG69">
            <v>0</v>
          </cell>
          <cell r="CH69">
            <v>0</v>
          </cell>
          <cell r="CI69">
            <v>0</v>
          </cell>
          <cell r="CJ69">
            <v>0</v>
          </cell>
          <cell r="CK69">
            <v>0</v>
          </cell>
          <cell r="CL69" t="str">
            <v>ANSHUMAN DASH</v>
          </cell>
          <cell r="CM69" t="str">
            <v>RJ/13238/174</v>
          </cell>
          <cell r="CN69">
            <v>5675</v>
          </cell>
          <cell r="CO69">
            <v>5675</v>
          </cell>
          <cell r="CP69">
            <v>681</v>
          </cell>
          <cell r="CQ69">
            <v>473</v>
          </cell>
          <cell r="CR69">
            <v>208</v>
          </cell>
          <cell r="CS69">
            <v>62.425000000000004</v>
          </cell>
          <cell r="CT69">
            <v>28.375</v>
          </cell>
          <cell r="CU69">
            <v>0.5675</v>
          </cell>
          <cell r="CV69">
            <v>772.36749999999995</v>
          </cell>
          <cell r="CW69">
            <v>0</v>
          </cell>
          <cell r="CX69">
            <v>0</v>
          </cell>
          <cell r="CY69" t="str">
            <v>ANSHUMAN DASH</v>
          </cell>
          <cell r="CZ69">
            <v>5675</v>
          </cell>
          <cell r="DA69">
            <v>2838</v>
          </cell>
          <cell r="DB69">
            <v>0</v>
          </cell>
          <cell r="DC69">
            <v>8513</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v>0</v>
          </cell>
          <cell r="DU69">
            <v>0</v>
          </cell>
        </row>
        <row r="70">
          <cell r="A70">
            <v>64</v>
          </cell>
          <cell r="C70">
            <v>64</v>
          </cell>
          <cell r="D70">
            <v>13</v>
          </cell>
          <cell r="E70" t="str">
            <v>B. R. ANAND</v>
          </cell>
          <cell r="F70" t="str">
            <v xml:space="preserve">Sales Executive    </v>
          </cell>
          <cell r="G70" t="str">
            <v>Sales</v>
          </cell>
          <cell r="H70" t="str">
            <v>Bangalore</v>
          </cell>
          <cell r="I70" t="str">
            <v>Non-Executive</v>
          </cell>
          <cell r="K70">
            <v>27919</v>
          </cell>
          <cell r="L70">
            <v>37361</v>
          </cell>
          <cell r="N70" t="str">
            <v>RJ/13238/193</v>
          </cell>
          <cell r="R70" t="str">
            <v>H. V. RAMA SETTY</v>
          </cell>
          <cell r="S70">
            <v>5300</v>
          </cell>
          <cell r="T70">
            <v>0</v>
          </cell>
          <cell r="U70">
            <v>2650</v>
          </cell>
          <cell r="V70">
            <v>750</v>
          </cell>
          <cell r="W70">
            <v>0</v>
          </cell>
          <cell r="X70">
            <v>0</v>
          </cell>
          <cell r="Y70">
            <v>0</v>
          </cell>
          <cell r="Z70">
            <v>0</v>
          </cell>
          <cell r="AA70">
            <v>0</v>
          </cell>
          <cell r="AB70">
            <v>2650</v>
          </cell>
          <cell r="AC70">
            <v>0</v>
          </cell>
          <cell r="AF70">
            <v>0</v>
          </cell>
          <cell r="AG70">
            <v>0</v>
          </cell>
          <cell r="AH70">
            <v>636</v>
          </cell>
          <cell r="AI70">
            <v>0</v>
          </cell>
          <cell r="AJ70">
            <v>8700</v>
          </cell>
          <cell r="AK70" t="str">
            <v>Sales Executive</v>
          </cell>
          <cell r="AL70">
            <v>0</v>
          </cell>
          <cell r="AM70">
            <v>13</v>
          </cell>
          <cell r="AN70" t="str">
            <v>B. R. ANAND</v>
          </cell>
          <cell r="AO70" t="str">
            <v xml:space="preserve">Sales Executive    </v>
          </cell>
          <cell r="AP70" t="str">
            <v>Bangalore</v>
          </cell>
          <cell r="AQ70" t="str">
            <v>Non-Executive</v>
          </cell>
          <cell r="AR70" t="str">
            <v>HDFC  BANK LTD.</v>
          </cell>
          <cell r="AS70" t="str">
            <v>0091050072143</v>
          </cell>
          <cell r="AT70">
            <v>31</v>
          </cell>
          <cell r="AU70">
            <v>0</v>
          </cell>
          <cell r="AV70">
            <v>5300</v>
          </cell>
          <cell r="AW70">
            <v>0</v>
          </cell>
          <cell r="AX70">
            <v>2650</v>
          </cell>
          <cell r="AY70">
            <v>750</v>
          </cell>
          <cell r="AZ70">
            <v>0</v>
          </cell>
          <cell r="BA70">
            <v>0</v>
          </cell>
          <cell r="BB70">
            <v>0</v>
          </cell>
          <cell r="BC70">
            <v>0</v>
          </cell>
          <cell r="BD70">
            <v>0</v>
          </cell>
          <cell r="BE70">
            <v>0</v>
          </cell>
          <cell r="BF70">
            <v>0</v>
          </cell>
          <cell r="BG70">
            <v>0</v>
          </cell>
          <cell r="BH70">
            <v>8700</v>
          </cell>
          <cell r="BI70">
            <v>636</v>
          </cell>
          <cell r="BJ70">
            <v>0</v>
          </cell>
          <cell r="BK70">
            <v>0</v>
          </cell>
          <cell r="BL70">
            <v>0</v>
          </cell>
          <cell r="BM70">
            <v>0</v>
          </cell>
          <cell r="BN70">
            <v>75</v>
          </cell>
          <cell r="BO70">
            <v>0</v>
          </cell>
          <cell r="BP70">
            <v>0</v>
          </cell>
          <cell r="BQ70">
            <v>0</v>
          </cell>
          <cell r="BR70">
            <v>0</v>
          </cell>
          <cell r="BS70">
            <v>0</v>
          </cell>
          <cell r="BT70">
            <v>0</v>
          </cell>
          <cell r="BU70">
            <v>711</v>
          </cell>
          <cell r="BV70">
            <v>7989</v>
          </cell>
          <cell r="BW70">
            <v>7989</v>
          </cell>
          <cell r="BX70">
            <v>721.32999999999993</v>
          </cell>
          <cell r="BY70">
            <v>0</v>
          </cell>
          <cell r="BZ70">
            <v>0</v>
          </cell>
          <cell r="CA70">
            <v>0</v>
          </cell>
          <cell r="CB70">
            <v>0</v>
          </cell>
          <cell r="CC70">
            <v>0</v>
          </cell>
          <cell r="CD70">
            <v>0</v>
          </cell>
          <cell r="CE70">
            <v>0</v>
          </cell>
          <cell r="CF70">
            <v>0</v>
          </cell>
          <cell r="CG70">
            <v>0</v>
          </cell>
          <cell r="CH70">
            <v>0</v>
          </cell>
          <cell r="CI70">
            <v>0</v>
          </cell>
          <cell r="CJ70">
            <v>0</v>
          </cell>
          <cell r="CK70">
            <v>0</v>
          </cell>
          <cell r="CL70" t="str">
            <v>B. R. ANAND</v>
          </cell>
          <cell r="CM70" t="str">
            <v>RJ/13238/193</v>
          </cell>
          <cell r="CN70">
            <v>5300</v>
          </cell>
          <cell r="CO70">
            <v>5300</v>
          </cell>
          <cell r="CP70">
            <v>636</v>
          </cell>
          <cell r="CQ70">
            <v>441</v>
          </cell>
          <cell r="CR70">
            <v>195</v>
          </cell>
          <cell r="CS70">
            <v>58.300000000000004</v>
          </cell>
          <cell r="CT70">
            <v>26.5</v>
          </cell>
          <cell r="CU70">
            <v>0.53</v>
          </cell>
          <cell r="CV70">
            <v>721.32999999999993</v>
          </cell>
          <cell r="CW70">
            <v>0</v>
          </cell>
          <cell r="CX70">
            <v>0</v>
          </cell>
          <cell r="CY70" t="str">
            <v>B. R. ANAND</v>
          </cell>
          <cell r="CZ70">
            <v>5300</v>
          </cell>
          <cell r="DA70">
            <v>2650</v>
          </cell>
          <cell r="DB70">
            <v>0</v>
          </cell>
          <cell r="DC70">
            <v>7950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v>0</v>
          </cell>
          <cell r="DU70">
            <v>0</v>
          </cell>
        </row>
        <row r="71">
          <cell r="A71">
            <v>65</v>
          </cell>
          <cell r="C71">
            <v>65</v>
          </cell>
          <cell r="D71">
            <v>13</v>
          </cell>
          <cell r="E71" t="str">
            <v>KARTHIK CHANDRASEKARAN</v>
          </cell>
          <cell r="F71" t="str">
            <v xml:space="preserve">Sales Executive    </v>
          </cell>
          <cell r="G71" t="str">
            <v>Sales</v>
          </cell>
          <cell r="H71" t="str">
            <v>Bangalore</v>
          </cell>
          <cell r="I71" t="str">
            <v>Non-Executive</v>
          </cell>
          <cell r="K71" t="e">
            <v>#N/A</v>
          </cell>
          <cell r="L71" t="e">
            <v>#N/A</v>
          </cell>
          <cell r="N71">
            <v>0</v>
          </cell>
          <cell r="R71">
            <v>0</v>
          </cell>
          <cell r="S71">
            <v>5300</v>
          </cell>
          <cell r="T71">
            <v>0</v>
          </cell>
          <cell r="U71">
            <v>2650</v>
          </cell>
          <cell r="V71">
            <v>750</v>
          </cell>
          <cell r="W71">
            <v>0</v>
          </cell>
          <cell r="X71">
            <v>0</v>
          </cell>
          <cell r="Y71">
            <v>0</v>
          </cell>
          <cell r="Z71">
            <v>0</v>
          </cell>
          <cell r="AA71">
            <v>0</v>
          </cell>
          <cell r="AB71">
            <v>2650</v>
          </cell>
          <cell r="AC71">
            <v>0</v>
          </cell>
          <cell r="AF71">
            <v>0</v>
          </cell>
          <cell r="AG71">
            <v>0</v>
          </cell>
          <cell r="AH71">
            <v>636</v>
          </cell>
          <cell r="AI71">
            <v>0</v>
          </cell>
          <cell r="AJ71">
            <v>8700</v>
          </cell>
          <cell r="AK71" t="str">
            <v>Sales Executive</v>
          </cell>
          <cell r="AL71">
            <v>0</v>
          </cell>
          <cell r="AM71">
            <v>13</v>
          </cell>
          <cell r="AN71" t="str">
            <v>KARTHIK CHANDRASEKARAN</v>
          </cell>
          <cell r="AO71" t="str">
            <v xml:space="preserve">Sales Executive    </v>
          </cell>
          <cell r="AP71" t="str">
            <v>Bangalore</v>
          </cell>
          <cell r="AQ71" t="str">
            <v>Non-Executive</v>
          </cell>
          <cell r="AR71" t="str">
            <v>HDFC  BANK LTD.</v>
          </cell>
          <cell r="AS71" t="str">
            <v>0411050040333</v>
          </cell>
          <cell r="AT71">
            <v>31</v>
          </cell>
          <cell r="AU71">
            <v>0</v>
          </cell>
          <cell r="AV71">
            <v>5300</v>
          </cell>
          <cell r="AW71">
            <v>0</v>
          </cell>
          <cell r="AX71">
            <v>2650</v>
          </cell>
          <cell r="AY71">
            <v>750</v>
          </cell>
          <cell r="AZ71">
            <v>0</v>
          </cell>
          <cell r="BA71">
            <v>0</v>
          </cell>
          <cell r="BB71">
            <v>0</v>
          </cell>
          <cell r="BC71">
            <v>0</v>
          </cell>
          <cell r="BD71">
            <v>0</v>
          </cell>
          <cell r="BE71">
            <v>0</v>
          </cell>
          <cell r="BF71">
            <v>0</v>
          </cell>
          <cell r="BG71">
            <v>0</v>
          </cell>
          <cell r="BH71">
            <v>8700</v>
          </cell>
          <cell r="BI71">
            <v>636</v>
          </cell>
          <cell r="BJ71">
            <v>0</v>
          </cell>
          <cell r="BK71">
            <v>0</v>
          </cell>
          <cell r="BL71">
            <v>0</v>
          </cell>
          <cell r="BM71">
            <v>0</v>
          </cell>
          <cell r="BN71">
            <v>75</v>
          </cell>
          <cell r="BO71">
            <v>0</v>
          </cell>
          <cell r="BP71">
            <v>0</v>
          </cell>
          <cell r="BQ71">
            <v>0</v>
          </cell>
          <cell r="BR71">
            <v>0</v>
          </cell>
          <cell r="BS71">
            <v>0</v>
          </cell>
          <cell r="BT71">
            <v>0</v>
          </cell>
          <cell r="BU71">
            <v>711</v>
          </cell>
          <cell r="BV71">
            <v>7989</v>
          </cell>
          <cell r="BW71">
            <v>7989</v>
          </cell>
          <cell r="BX71">
            <v>721.32999999999993</v>
          </cell>
          <cell r="BY71">
            <v>0</v>
          </cell>
          <cell r="BZ71">
            <v>0</v>
          </cell>
          <cell r="CA71">
            <v>0</v>
          </cell>
          <cell r="CB71">
            <v>0</v>
          </cell>
          <cell r="CC71">
            <v>0</v>
          </cell>
          <cell r="CD71">
            <v>0</v>
          </cell>
          <cell r="CE71">
            <v>0</v>
          </cell>
          <cell r="CF71">
            <v>0</v>
          </cell>
          <cell r="CG71">
            <v>0</v>
          </cell>
          <cell r="CH71">
            <v>0</v>
          </cell>
          <cell r="CI71">
            <v>0</v>
          </cell>
          <cell r="CJ71">
            <v>0</v>
          </cell>
          <cell r="CK71">
            <v>0</v>
          </cell>
          <cell r="CL71" t="str">
            <v>KARTHIK CHANDRASEKARAN</v>
          </cell>
          <cell r="CM71">
            <v>0</v>
          </cell>
          <cell r="CN71">
            <v>5300</v>
          </cell>
          <cell r="CO71">
            <v>5300</v>
          </cell>
          <cell r="CP71">
            <v>636</v>
          </cell>
          <cell r="CQ71">
            <v>441</v>
          </cell>
          <cell r="CR71">
            <v>195</v>
          </cell>
          <cell r="CS71">
            <v>58.300000000000004</v>
          </cell>
          <cell r="CT71">
            <v>26.5</v>
          </cell>
          <cell r="CU71">
            <v>0.53</v>
          </cell>
          <cell r="CV71">
            <v>721.32999999999993</v>
          </cell>
          <cell r="CW71">
            <v>0</v>
          </cell>
          <cell r="CX71">
            <v>0</v>
          </cell>
          <cell r="CY71" t="str">
            <v>KARTHIK CHANDRASEKARAN</v>
          </cell>
          <cell r="CZ71">
            <v>5300</v>
          </cell>
          <cell r="DA71">
            <v>2650</v>
          </cell>
          <cell r="DB71">
            <v>0</v>
          </cell>
          <cell r="DC71">
            <v>7950</v>
          </cell>
          <cell r="DD71">
            <v>0</v>
          </cell>
          <cell r="DE71">
            <v>0</v>
          </cell>
          <cell r="DF71">
            <v>0</v>
          </cell>
          <cell r="DG71">
            <v>0</v>
          </cell>
          <cell r="DH71">
            <v>0</v>
          </cell>
          <cell r="DI71">
            <v>0</v>
          </cell>
          <cell r="DJ71">
            <v>0</v>
          </cell>
          <cell r="DK71">
            <v>0</v>
          </cell>
          <cell r="DL71">
            <v>0</v>
          </cell>
          <cell r="DM71">
            <v>0</v>
          </cell>
          <cell r="DN71">
            <v>0</v>
          </cell>
          <cell r="DO71">
            <v>0</v>
          </cell>
          <cell r="DP71">
            <v>0</v>
          </cell>
          <cell r="DQ71">
            <v>0</v>
          </cell>
          <cell r="DR71">
            <v>0</v>
          </cell>
          <cell r="DS71">
            <v>0</v>
          </cell>
          <cell r="DT71">
            <v>0</v>
          </cell>
          <cell r="DU71">
            <v>0</v>
          </cell>
        </row>
        <row r="72">
          <cell r="A72">
            <v>66</v>
          </cell>
          <cell r="C72">
            <v>66</v>
          </cell>
          <cell r="D72">
            <v>14</v>
          </cell>
          <cell r="E72" t="str">
            <v>N. CHANDRASHEKAR</v>
          </cell>
          <cell r="F72" t="str">
            <v>Sr. Sales Executive</v>
          </cell>
          <cell r="G72" t="str">
            <v>Sales</v>
          </cell>
          <cell r="H72" t="str">
            <v>Bangalore</v>
          </cell>
          <cell r="I72" t="str">
            <v>Non-Executive</v>
          </cell>
          <cell r="K72">
            <v>24912</v>
          </cell>
          <cell r="L72">
            <v>36231</v>
          </cell>
          <cell r="N72">
            <v>0</v>
          </cell>
          <cell r="R72">
            <v>0</v>
          </cell>
          <cell r="S72">
            <v>6425</v>
          </cell>
          <cell r="T72">
            <v>0</v>
          </cell>
          <cell r="U72">
            <v>1285</v>
          </cell>
          <cell r="V72">
            <v>800</v>
          </cell>
          <cell r="W72">
            <v>0</v>
          </cell>
          <cell r="X72">
            <v>0</v>
          </cell>
          <cell r="Y72">
            <v>0</v>
          </cell>
          <cell r="Z72">
            <v>0</v>
          </cell>
          <cell r="AA72">
            <v>0</v>
          </cell>
          <cell r="AB72">
            <v>1285</v>
          </cell>
          <cell r="AC72">
            <v>0</v>
          </cell>
          <cell r="AF72">
            <v>0</v>
          </cell>
          <cell r="AG72">
            <v>0</v>
          </cell>
          <cell r="AH72">
            <v>771</v>
          </cell>
          <cell r="AI72">
            <v>0</v>
          </cell>
          <cell r="AJ72">
            <v>8510</v>
          </cell>
          <cell r="AK72" t="str">
            <v>Sales Executive</v>
          </cell>
          <cell r="AL72">
            <v>0</v>
          </cell>
          <cell r="AM72">
            <v>14</v>
          </cell>
          <cell r="AN72" t="str">
            <v>N. CHANDRASHEKAR</v>
          </cell>
          <cell r="AO72" t="str">
            <v>Sr. Sales Executive</v>
          </cell>
          <cell r="AP72" t="str">
            <v>Bangalore</v>
          </cell>
          <cell r="AQ72" t="str">
            <v>Non-Executive</v>
          </cell>
          <cell r="AR72" t="str">
            <v>HDFC  BANK LTD.</v>
          </cell>
          <cell r="AS72" t="str">
            <v>0211050001302</v>
          </cell>
          <cell r="AT72">
            <v>31</v>
          </cell>
          <cell r="AU72">
            <v>0</v>
          </cell>
          <cell r="AV72">
            <v>6425</v>
          </cell>
          <cell r="AW72">
            <v>0</v>
          </cell>
          <cell r="AX72">
            <v>1285</v>
          </cell>
          <cell r="AY72">
            <v>800</v>
          </cell>
          <cell r="AZ72">
            <v>0</v>
          </cell>
          <cell r="BA72">
            <v>0</v>
          </cell>
          <cell r="BB72">
            <v>0</v>
          </cell>
          <cell r="BC72">
            <v>0</v>
          </cell>
          <cell r="BD72">
            <v>0</v>
          </cell>
          <cell r="BE72">
            <v>0</v>
          </cell>
          <cell r="BF72">
            <v>0</v>
          </cell>
          <cell r="BG72">
            <v>0</v>
          </cell>
          <cell r="BH72">
            <v>8510</v>
          </cell>
          <cell r="BI72">
            <v>771</v>
          </cell>
          <cell r="BJ72">
            <v>0</v>
          </cell>
          <cell r="BK72">
            <v>632</v>
          </cell>
          <cell r="BL72">
            <v>0</v>
          </cell>
          <cell r="BM72">
            <v>0</v>
          </cell>
          <cell r="BN72">
            <v>75</v>
          </cell>
          <cell r="BO72">
            <v>0</v>
          </cell>
          <cell r="BP72">
            <v>0</v>
          </cell>
          <cell r="BQ72">
            <v>1389</v>
          </cell>
          <cell r="BR72">
            <v>87</v>
          </cell>
          <cell r="BS72">
            <v>0</v>
          </cell>
          <cell r="BT72">
            <v>0</v>
          </cell>
          <cell r="BU72">
            <v>2954</v>
          </cell>
          <cell r="BV72">
            <v>5556</v>
          </cell>
          <cell r="BW72">
            <v>5556</v>
          </cell>
          <cell r="BX72">
            <v>874.4425</v>
          </cell>
          <cell r="BY72">
            <v>0</v>
          </cell>
          <cell r="BZ72">
            <v>0</v>
          </cell>
          <cell r="CA72">
            <v>0</v>
          </cell>
          <cell r="CB72">
            <v>0</v>
          </cell>
          <cell r="CC72">
            <v>0</v>
          </cell>
          <cell r="CD72">
            <v>0</v>
          </cell>
          <cell r="CE72">
            <v>0</v>
          </cell>
          <cell r="CF72">
            <v>0</v>
          </cell>
          <cell r="CG72">
            <v>0</v>
          </cell>
          <cell r="CH72">
            <v>0</v>
          </cell>
          <cell r="CI72">
            <v>0</v>
          </cell>
          <cell r="CJ72">
            <v>0</v>
          </cell>
          <cell r="CK72">
            <v>0</v>
          </cell>
          <cell r="CL72" t="str">
            <v>N. CHANDRASHEKAR</v>
          </cell>
          <cell r="CM72">
            <v>0</v>
          </cell>
          <cell r="CN72">
            <v>6425</v>
          </cell>
          <cell r="CO72">
            <v>6425</v>
          </cell>
          <cell r="CP72">
            <v>771</v>
          </cell>
          <cell r="CQ72">
            <v>535</v>
          </cell>
          <cell r="CR72">
            <v>236</v>
          </cell>
          <cell r="CS72">
            <v>70.675000000000011</v>
          </cell>
          <cell r="CT72">
            <v>32.125</v>
          </cell>
          <cell r="CU72">
            <v>0.64250000000000007</v>
          </cell>
          <cell r="CV72">
            <v>874.4425</v>
          </cell>
          <cell r="CW72">
            <v>0</v>
          </cell>
          <cell r="CX72">
            <v>0</v>
          </cell>
          <cell r="CY72" t="str">
            <v>N. CHANDRASHEKAR</v>
          </cell>
          <cell r="CZ72">
            <v>6425</v>
          </cell>
          <cell r="DA72">
            <v>1285</v>
          </cell>
          <cell r="DB72">
            <v>0</v>
          </cell>
          <cell r="DC72">
            <v>7710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v>0</v>
          </cell>
          <cell r="DU72">
            <v>0</v>
          </cell>
        </row>
        <row r="73">
          <cell r="A73">
            <v>67</v>
          </cell>
          <cell r="C73">
            <v>67</v>
          </cell>
          <cell r="D73">
            <v>13</v>
          </cell>
          <cell r="E73" t="str">
            <v>C SHREEMALI</v>
          </cell>
          <cell r="F73" t="str">
            <v xml:space="preserve">Sales Executive    </v>
          </cell>
          <cell r="G73" t="str">
            <v>Sales</v>
          </cell>
          <cell r="H73" t="str">
            <v>Bangalore</v>
          </cell>
          <cell r="I73" t="str">
            <v>Non-Executive</v>
          </cell>
          <cell r="K73">
            <v>25001</v>
          </cell>
          <cell r="L73">
            <v>36656</v>
          </cell>
          <cell r="N73">
            <v>0</v>
          </cell>
          <cell r="R73">
            <v>0</v>
          </cell>
          <cell r="S73">
            <v>5675</v>
          </cell>
          <cell r="T73">
            <v>0</v>
          </cell>
          <cell r="U73">
            <v>2838</v>
          </cell>
          <cell r="V73">
            <v>0</v>
          </cell>
          <cell r="W73">
            <v>0</v>
          </cell>
          <cell r="X73">
            <v>0</v>
          </cell>
          <cell r="Y73">
            <v>0</v>
          </cell>
          <cell r="Z73">
            <v>0</v>
          </cell>
          <cell r="AA73">
            <v>0</v>
          </cell>
          <cell r="AB73">
            <v>2838</v>
          </cell>
          <cell r="AC73">
            <v>0</v>
          </cell>
          <cell r="AF73">
            <v>0</v>
          </cell>
          <cell r="AG73">
            <v>0</v>
          </cell>
          <cell r="AH73">
            <v>681</v>
          </cell>
          <cell r="AI73">
            <v>0</v>
          </cell>
          <cell r="AJ73">
            <v>8513</v>
          </cell>
          <cell r="AK73" t="str">
            <v>Sales Executive</v>
          </cell>
          <cell r="AL73">
            <v>0</v>
          </cell>
          <cell r="AM73">
            <v>13</v>
          </cell>
          <cell r="AN73" t="str">
            <v>C SHREEMALI</v>
          </cell>
          <cell r="AO73" t="str">
            <v xml:space="preserve">Sales Executive    </v>
          </cell>
          <cell r="AP73" t="str">
            <v>Bangalore</v>
          </cell>
          <cell r="AQ73" t="str">
            <v>Non-Executive</v>
          </cell>
          <cell r="AR73" t="str">
            <v>HDFC  BANK LTD.</v>
          </cell>
          <cell r="AS73" t="str">
            <v>0041050024729</v>
          </cell>
          <cell r="AT73">
            <v>31</v>
          </cell>
          <cell r="AU73">
            <v>0</v>
          </cell>
          <cell r="AV73">
            <v>5675</v>
          </cell>
          <cell r="AW73">
            <v>0</v>
          </cell>
          <cell r="AX73">
            <v>2838</v>
          </cell>
          <cell r="AY73">
            <v>0</v>
          </cell>
          <cell r="AZ73">
            <v>0</v>
          </cell>
          <cell r="BA73">
            <v>0</v>
          </cell>
          <cell r="BB73">
            <v>0</v>
          </cell>
          <cell r="BC73">
            <v>0</v>
          </cell>
          <cell r="BD73">
            <v>0</v>
          </cell>
          <cell r="BE73">
            <v>0</v>
          </cell>
          <cell r="BF73">
            <v>0</v>
          </cell>
          <cell r="BG73">
            <v>0</v>
          </cell>
          <cell r="BH73">
            <v>8513</v>
          </cell>
          <cell r="BI73">
            <v>681</v>
          </cell>
          <cell r="BJ73">
            <v>0</v>
          </cell>
          <cell r="BK73">
            <v>837</v>
          </cell>
          <cell r="BL73">
            <v>0</v>
          </cell>
          <cell r="BM73">
            <v>0</v>
          </cell>
          <cell r="BN73">
            <v>75</v>
          </cell>
          <cell r="BO73">
            <v>0</v>
          </cell>
          <cell r="BP73">
            <v>0</v>
          </cell>
          <cell r="BQ73">
            <v>1111</v>
          </cell>
          <cell r="BR73">
            <v>70</v>
          </cell>
          <cell r="BS73">
            <v>0</v>
          </cell>
          <cell r="BT73">
            <v>0</v>
          </cell>
          <cell r="BU73">
            <v>2774</v>
          </cell>
          <cell r="BV73">
            <v>5739</v>
          </cell>
          <cell r="BW73">
            <v>5739</v>
          </cell>
          <cell r="BX73">
            <v>772.36749999999995</v>
          </cell>
          <cell r="BY73">
            <v>0</v>
          </cell>
          <cell r="BZ73">
            <v>0</v>
          </cell>
          <cell r="CA73">
            <v>0</v>
          </cell>
          <cell r="CB73">
            <v>0</v>
          </cell>
          <cell r="CC73">
            <v>0</v>
          </cell>
          <cell r="CD73">
            <v>0</v>
          </cell>
          <cell r="CE73">
            <v>0</v>
          </cell>
          <cell r="CF73">
            <v>0</v>
          </cell>
          <cell r="CG73">
            <v>0</v>
          </cell>
          <cell r="CH73">
            <v>0</v>
          </cell>
          <cell r="CI73">
            <v>0</v>
          </cell>
          <cell r="CJ73">
            <v>0</v>
          </cell>
          <cell r="CK73">
            <v>0</v>
          </cell>
          <cell r="CL73" t="str">
            <v>C SHREEMALI</v>
          </cell>
          <cell r="CM73">
            <v>0</v>
          </cell>
          <cell r="CN73">
            <v>5675</v>
          </cell>
          <cell r="CO73">
            <v>5675</v>
          </cell>
          <cell r="CP73">
            <v>681</v>
          </cell>
          <cell r="CQ73">
            <v>473</v>
          </cell>
          <cell r="CR73">
            <v>208</v>
          </cell>
          <cell r="CS73">
            <v>62.425000000000004</v>
          </cell>
          <cell r="CT73">
            <v>28.375</v>
          </cell>
          <cell r="CU73">
            <v>0.5675</v>
          </cell>
          <cell r="CV73">
            <v>772.36749999999995</v>
          </cell>
          <cell r="CW73">
            <v>0</v>
          </cell>
          <cell r="CX73">
            <v>0</v>
          </cell>
          <cell r="CY73" t="str">
            <v>C SHREEMALI</v>
          </cell>
          <cell r="CZ73">
            <v>5675</v>
          </cell>
          <cell r="DA73">
            <v>2838</v>
          </cell>
          <cell r="DB73">
            <v>0</v>
          </cell>
          <cell r="DC73">
            <v>8513</v>
          </cell>
          <cell r="DD73">
            <v>0</v>
          </cell>
          <cell r="DE73">
            <v>0</v>
          </cell>
          <cell r="DF73">
            <v>0</v>
          </cell>
          <cell r="DG73">
            <v>0</v>
          </cell>
          <cell r="DH73">
            <v>0</v>
          </cell>
          <cell r="DI73">
            <v>0</v>
          </cell>
          <cell r="DJ73">
            <v>0</v>
          </cell>
          <cell r="DK73">
            <v>0</v>
          </cell>
          <cell r="DL73">
            <v>0</v>
          </cell>
          <cell r="DM73">
            <v>0</v>
          </cell>
          <cell r="DN73">
            <v>0</v>
          </cell>
          <cell r="DO73">
            <v>0</v>
          </cell>
          <cell r="DP73">
            <v>0</v>
          </cell>
          <cell r="DQ73">
            <v>0</v>
          </cell>
          <cell r="DR73">
            <v>0</v>
          </cell>
          <cell r="DS73">
            <v>0</v>
          </cell>
          <cell r="DT73">
            <v>0</v>
          </cell>
          <cell r="DU73">
            <v>0</v>
          </cell>
        </row>
        <row r="74">
          <cell r="A74">
            <v>68</v>
          </cell>
          <cell r="C74">
            <v>68</v>
          </cell>
          <cell r="D74">
            <v>13</v>
          </cell>
          <cell r="E74" t="str">
            <v>S. RAMESH</v>
          </cell>
          <cell r="F74" t="str">
            <v xml:space="preserve">Sales Executive    </v>
          </cell>
          <cell r="G74" t="str">
            <v>Sales</v>
          </cell>
          <cell r="H74" t="str">
            <v>Bangalore</v>
          </cell>
          <cell r="I74" t="str">
            <v>Non-Executive</v>
          </cell>
          <cell r="K74">
            <v>24131</v>
          </cell>
          <cell r="L74">
            <v>37364</v>
          </cell>
          <cell r="N74" t="str">
            <v>RJ/13238/196</v>
          </cell>
          <cell r="R74" t="str">
            <v>S. SEETHAPATHY</v>
          </cell>
          <cell r="S74">
            <v>5300</v>
          </cell>
          <cell r="T74">
            <v>0</v>
          </cell>
          <cell r="U74">
            <v>2650</v>
          </cell>
          <cell r="V74">
            <v>750</v>
          </cell>
          <cell r="W74">
            <v>0</v>
          </cell>
          <cell r="X74">
            <v>0</v>
          </cell>
          <cell r="Y74">
            <v>0</v>
          </cell>
          <cell r="Z74">
            <v>0</v>
          </cell>
          <cell r="AA74">
            <v>0</v>
          </cell>
          <cell r="AB74">
            <v>2650</v>
          </cell>
          <cell r="AC74">
            <v>0</v>
          </cell>
          <cell r="AF74">
            <v>0</v>
          </cell>
          <cell r="AG74">
            <v>0</v>
          </cell>
          <cell r="AH74">
            <v>636</v>
          </cell>
          <cell r="AI74">
            <v>0</v>
          </cell>
          <cell r="AJ74">
            <v>8700</v>
          </cell>
          <cell r="AK74" t="str">
            <v>Sales Executive</v>
          </cell>
          <cell r="AL74">
            <v>0</v>
          </cell>
          <cell r="AM74">
            <v>13</v>
          </cell>
          <cell r="AN74" t="str">
            <v>S. RAMESH</v>
          </cell>
          <cell r="AO74" t="str">
            <v xml:space="preserve">Sales Executive    </v>
          </cell>
          <cell r="AP74" t="str">
            <v>Bangalore</v>
          </cell>
          <cell r="AQ74" t="str">
            <v>Non-Executive</v>
          </cell>
          <cell r="AR74" t="str">
            <v>HDFC  BANK LTD.</v>
          </cell>
          <cell r="AS74" t="str">
            <v>0091050072150</v>
          </cell>
          <cell r="AT74">
            <v>31</v>
          </cell>
          <cell r="AU74">
            <v>0</v>
          </cell>
          <cell r="AV74">
            <v>5300</v>
          </cell>
          <cell r="AW74">
            <v>0</v>
          </cell>
          <cell r="AX74">
            <v>2650</v>
          </cell>
          <cell r="AY74">
            <v>750</v>
          </cell>
          <cell r="AZ74">
            <v>0</v>
          </cell>
          <cell r="BA74">
            <v>0</v>
          </cell>
          <cell r="BB74">
            <v>0</v>
          </cell>
          <cell r="BC74">
            <v>0</v>
          </cell>
          <cell r="BD74">
            <v>0</v>
          </cell>
          <cell r="BE74">
            <v>0</v>
          </cell>
          <cell r="BF74">
            <v>0</v>
          </cell>
          <cell r="BG74">
            <v>0</v>
          </cell>
          <cell r="BH74">
            <v>8700</v>
          </cell>
          <cell r="BI74">
            <v>636</v>
          </cell>
          <cell r="BJ74">
            <v>0</v>
          </cell>
          <cell r="BK74">
            <v>0</v>
          </cell>
          <cell r="BL74">
            <v>0</v>
          </cell>
          <cell r="BM74">
            <v>0</v>
          </cell>
          <cell r="BN74">
            <v>75</v>
          </cell>
          <cell r="BO74">
            <v>0</v>
          </cell>
          <cell r="BP74">
            <v>0</v>
          </cell>
          <cell r="BQ74">
            <v>0</v>
          </cell>
          <cell r="BR74">
            <v>0</v>
          </cell>
          <cell r="BS74">
            <v>0</v>
          </cell>
          <cell r="BT74">
            <v>0</v>
          </cell>
          <cell r="BU74">
            <v>711</v>
          </cell>
          <cell r="BV74">
            <v>7989</v>
          </cell>
          <cell r="BW74">
            <v>7989</v>
          </cell>
          <cell r="BX74">
            <v>721.32999999999993</v>
          </cell>
          <cell r="BY74">
            <v>0</v>
          </cell>
          <cell r="BZ74">
            <v>0</v>
          </cell>
          <cell r="CA74">
            <v>0</v>
          </cell>
          <cell r="CB74">
            <v>0</v>
          </cell>
          <cell r="CC74">
            <v>0</v>
          </cell>
          <cell r="CD74">
            <v>0</v>
          </cell>
          <cell r="CE74">
            <v>0</v>
          </cell>
          <cell r="CF74">
            <v>0</v>
          </cell>
          <cell r="CG74">
            <v>0</v>
          </cell>
          <cell r="CH74">
            <v>0</v>
          </cell>
          <cell r="CI74">
            <v>0</v>
          </cell>
          <cell r="CJ74">
            <v>0</v>
          </cell>
          <cell r="CK74">
            <v>0</v>
          </cell>
          <cell r="CL74" t="str">
            <v>S. RAMESH</v>
          </cell>
          <cell r="CM74" t="str">
            <v>RJ/13238/196</v>
          </cell>
          <cell r="CN74">
            <v>5300</v>
          </cell>
          <cell r="CO74">
            <v>5300</v>
          </cell>
          <cell r="CP74">
            <v>636</v>
          </cell>
          <cell r="CQ74">
            <v>441</v>
          </cell>
          <cell r="CR74">
            <v>195</v>
          </cell>
          <cell r="CS74">
            <v>58.300000000000004</v>
          </cell>
          <cell r="CT74">
            <v>26.5</v>
          </cell>
          <cell r="CU74">
            <v>0.53</v>
          </cell>
          <cell r="CV74">
            <v>721.32999999999993</v>
          </cell>
          <cell r="CW74">
            <v>0</v>
          </cell>
          <cell r="CX74">
            <v>0</v>
          </cell>
          <cell r="CY74" t="str">
            <v>S. RAMESH</v>
          </cell>
          <cell r="CZ74">
            <v>5300</v>
          </cell>
          <cell r="DA74">
            <v>2650</v>
          </cell>
          <cell r="DB74">
            <v>0</v>
          </cell>
          <cell r="DC74">
            <v>7950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v>0</v>
          </cell>
          <cell r="DU74">
            <v>0</v>
          </cell>
        </row>
        <row r="75">
          <cell r="A75">
            <v>69</v>
          </cell>
          <cell r="C75">
            <v>69</v>
          </cell>
          <cell r="D75">
            <v>14</v>
          </cell>
          <cell r="E75" t="str">
            <v>SANGRAM K. JENA</v>
          </cell>
          <cell r="F75" t="str">
            <v>Sr. Sales Executive</v>
          </cell>
          <cell r="G75" t="str">
            <v>Sales</v>
          </cell>
          <cell r="H75" t="str">
            <v>Calcutta</v>
          </cell>
          <cell r="I75" t="str">
            <v>Non-Executive</v>
          </cell>
          <cell r="K75">
            <v>25455</v>
          </cell>
          <cell r="L75">
            <v>35136</v>
          </cell>
          <cell r="N75" t="str">
            <v>RJ/13238/108</v>
          </cell>
          <cell r="R75" t="str">
            <v>Mr. Govinda Ram Jena</v>
          </cell>
          <cell r="S75">
            <v>6425</v>
          </cell>
          <cell r="T75">
            <v>0</v>
          </cell>
          <cell r="U75">
            <v>1285</v>
          </cell>
          <cell r="V75">
            <v>800</v>
          </cell>
          <cell r="W75">
            <v>0</v>
          </cell>
          <cell r="X75">
            <v>0</v>
          </cell>
          <cell r="Y75">
            <v>0</v>
          </cell>
          <cell r="Z75">
            <v>0</v>
          </cell>
          <cell r="AA75">
            <v>0</v>
          </cell>
          <cell r="AB75">
            <v>1285</v>
          </cell>
          <cell r="AC75">
            <v>0</v>
          </cell>
          <cell r="AF75">
            <v>0</v>
          </cell>
          <cell r="AG75">
            <v>0</v>
          </cell>
          <cell r="AH75">
            <v>771</v>
          </cell>
          <cell r="AI75">
            <v>0</v>
          </cell>
          <cell r="AJ75">
            <v>8510</v>
          </cell>
          <cell r="AK75" t="str">
            <v>Sales Executive</v>
          </cell>
          <cell r="AL75">
            <v>0</v>
          </cell>
          <cell r="AM75">
            <v>14</v>
          </cell>
          <cell r="AN75" t="str">
            <v>SANGRAM K. JENA</v>
          </cell>
          <cell r="AO75" t="str">
            <v>Sr. Sales Executive</v>
          </cell>
          <cell r="AP75" t="str">
            <v>Calcutta</v>
          </cell>
          <cell r="AQ75" t="str">
            <v>Non-Executive</v>
          </cell>
          <cell r="AR75" t="str">
            <v>HDFC  BANK LTD.</v>
          </cell>
          <cell r="AS75" t="str">
            <v>0221050024824</v>
          </cell>
          <cell r="AT75">
            <v>31</v>
          </cell>
          <cell r="AU75">
            <v>0</v>
          </cell>
          <cell r="AV75">
            <v>6425</v>
          </cell>
          <cell r="AW75">
            <v>0</v>
          </cell>
          <cell r="AX75">
            <v>1285</v>
          </cell>
          <cell r="AY75">
            <v>800</v>
          </cell>
          <cell r="AZ75">
            <v>0</v>
          </cell>
          <cell r="BA75">
            <v>0</v>
          </cell>
          <cell r="BB75">
            <v>0</v>
          </cell>
          <cell r="BC75">
            <v>0</v>
          </cell>
          <cell r="BD75">
            <v>0</v>
          </cell>
          <cell r="BE75">
            <v>0</v>
          </cell>
          <cell r="BF75">
            <v>0</v>
          </cell>
          <cell r="BG75">
            <v>0</v>
          </cell>
          <cell r="BH75">
            <v>8510</v>
          </cell>
          <cell r="BI75">
            <v>771</v>
          </cell>
          <cell r="BJ75">
            <v>0</v>
          </cell>
          <cell r="BK75">
            <v>2638</v>
          </cell>
          <cell r="BL75">
            <v>0</v>
          </cell>
          <cell r="BM75">
            <v>0</v>
          </cell>
          <cell r="BN75">
            <v>75</v>
          </cell>
          <cell r="BO75">
            <v>0</v>
          </cell>
          <cell r="BP75">
            <v>0</v>
          </cell>
          <cell r="BQ75">
            <v>1389</v>
          </cell>
          <cell r="BR75">
            <v>82</v>
          </cell>
          <cell r="BS75">
            <v>0</v>
          </cell>
          <cell r="BT75">
            <v>0</v>
          </cell>
          <cell r="BU75">
            <v>4955</v>
          </cell>
          <cell r="BV75">
            <v>3555</v>
          </cell>
          <cell r="BW75">
            <v>3555</v>
          </cell>
          <cell r="BX75">
            <v>874.4425</v>
          </cell>
          <cell r="BY75">
            <v>0</v>
          </cell>
          <cell r="BZ75">
            <v>0</v>
          </cell>
          <cell r="CA75">
            <v>0</v>
          </cell>
          <cell r="CB75">
            <v>0</v>
          </cell>
          <cell r="CC75">
            <v>0</v>
          </cell>
          <cell r="CD75">
            <v>0</v>
          </cell>
          <cell r="CE75">
            <v>0</v>
          </cell>
          <cell r="CF75">
            <v>0</v>
          </cell>
          <cell r="CG75">
            <v>0</v>
          </cell>
          <cell r="CH75">
            <v>0</v>
          </cell>
          <cell r="CI75">
            <v>0</v>
          </cell>
          <cell r="CJ75">
            <v>0</v>
          </cell>
          <cell r="CK75">
            <v>0</v>
          </cell>
          <cell r="CL75" t="str">
            <v>SANGRAM K. JENA</v>
          </cell>
          <cell r="CM75" t="str">
            <v>RJ/13238/108</v>
          </cell>
          <cell r="CN75">
            <v>6425</v>
          </cell>
          <cell r="CO75">
            <v>6425</v>
          </cell>
          <cell r="CP75">
            <v>771</v>
          </cell>
          <cell r="CQ75">
            <v>535</v>
          </cell>
          <cell r="CR75">
            <v>236</v>
          </cell>
          <cell r="CS75">
            <v>70.675000000000011</v>
          </cell>
          <cell r="CT75">
            <v>32.125</v>
          </cell>
          <cell r="CU75">
            <v>0.64250000000000007</v>
          </cell>
          <cell r="CV75">
            <v>874.4425</v>
          </cell>
          <cell r="CW75">
            <v>0</v>
          </cell>
          <cell r="CX75">
            <v>0</v>
          </cell>
          <cell r="CY75" t="str">
            <v>SANGRAM K. JENA</v>
          </cell>
          <cell r="CZ75">
            <v>6425</v>
          </cell>
          <cell r="DA75">
            <v>1285</v>
          </cell>
          <cell r="DB75">
            <v>0</v>
          </cell>
          <cell r="DC75">
            <v>7710</v>
          </cell>
          <cell r="DD75">
            <v>0</v>
          </cell>
          <cell r="DE75">
            <v>0</v>
          </cell>
          <cell r="DF75">
            <v>0</v>
          </cell>
          <cell r="DG75">
            <v>0</v>
          </cell>
          <cell r="DH75">
            <v>0</v>
          </cell>
          <cell r="DI75">
            <v>0</v>
          </cell>
          <cell r="DJ75">
            <v>0</v>
          </cell>
          <cell r="DK75">
            <v>0</v>
          </cell>
          <cell r="DL75">
            <v>0</v>
          </cell>
          <cell r="DM75">
            <v>0</v>
          </cell>
          <cell r="DN75">
            <v>0</v>
          </cell>
          <cell r="DO75">
            <v>0</v>
          </cell>
          <cell r="DP75">
            <v>0</v>
          </cell>
          <cell r="DQ75">
            <v>0</v>
          </cell>
          <cell r="DR75">
            <v>0</v>
          </cell>
          <cell r="DS75">
            <v>0</v>
          </cell>
          <cell r="DT75">
            <v>0</v>
          </cell>
          <cell r="DU75">
            <v>0</v>
          </cell>
        </row>
        <row r="76">
          <cell r="A76">
            <v>70</v>
          </cell>
          <cell r="C76">
            <v>70</v>
          </cell>
          <cell r="D76">
            <v>14</v>
          </cell>
          <cell r="E76" t="str">
            <v>ARUP DUTTA</v>
          </cell>
          <cell r="F76" t="str">
            <v>Sr. Sales Executive</v>
          </cell>
          <cell r="G76" t="str">
            <v>Sales</v>
          </cell>
          <cell r="H76" t="str">
            <v>Calcutta</v>
          </cell>
          <cell r="I76" t="str">
            <v>Non-Executive</v>
          </cell>
          <cell r="K76">
            <v>24393</v>
          </cell>
          <cell r="L76">
            <v>35635</v>
          </cell>
          <cell r="N76" t="str">
            <v>RJ/13238/146</v>
          </cell>
          <cell r="R76" t="str">
            <v>SH.ARUN KUMAR DUTTA</v>
          </cell>
          <cell r="S76">
            <v>7800</v>
          </cell>
          <cell r="T76">
            <v>0</v>
          </cell>
          <cell r="U76">
            <v>0</v>
          </cell>
          <cell r="V76">
            <v>500</v>
          </cell>
          <cell r="W76">
            <v>0</v>
          </cell>
          <cell r="X76">
            <v>0</v>
          </cell>
          <cell r="Y76">
            <v>0</v>
          </cell>
          <cell r="Z76">
            <v>0</v>
          </cell>
          <cell r="AA76">
            <v>0</v>
          </cell>
          <cell r="AB76">
            <v>0</v>
          </cell>
          <cell r="AC76">
            <v>0</v>
          </cell>
          <cell r="AF76">
            <v>0</v>
          </cell>
          <cell r="AG76">
            <v>0</v>
          </cell>
          <cell r="AH76">
            <v>936</v>
          </cell>
          <cell r="AI76">
            <v>0</v>
          </cell>
          <cell r="AJ76">
            <v>8300</v>
          </cell>
          <cell r="AK76" t="str">
            <v>Sales Executive</v>
          </cell>
          <cell r="AL76">
            <v>0</v>
          </cell>
          <cell r="AM76">
            <v>14</v>
          </cell>
          <cell r="AN76" t="str">
            <v>ARUP DUTTA</v>
          </cell>
          <cell r="AO76" t="str">
            <v>Sr. Sales Executive</v>
          </cell>
          <cell r="AP76" t="str">
            <v>Calcutta</v>
          </cell>
          <cell r="AQ76" t="str">
            <v>Non-Executive</v>
          </cell>
          <cell r="AR76" t="str">
            <v>HDFC  BANK LTD.</v>
          </cell>
          <cell r="AS76" t="str">
            <v>0181050000777</v>
          </cell>
          <cell r="AT76">
            <v>31</v>
          </cell>
          <cell r="AU76">
            <v>0</v>
          </cell>
          <cell r="AV76">
            <v>7800</v>
          </cell>
          <cell r="AW76">
            <v>0</v>
          </cell>
          <cell r="AX76">
            <v>0</v>
          </cell>
          <cell r="AY76">
            <v>500</v>
          </cell>
          <cell r="AZ76">
            <v>0</v>
          </cell>
          <cell r="BA76">
            <v>0</v>
          </cell>
          <cell r="BB76">
            <v>0</v>
          </cell>
          <cell r="BC76">
            <v>0</v>
          </cell>
          <cell r="BD76">
            <v>0</v>
          </cell>
          <cell r="BE76">
            <v>0</v>
          </cell>
          <cell r="BF76">
            <v>0</v>
          </cell>
          <cell r="BG76">
            <v>0</v>
          </cell>
          <cell r="BH76">
            <v>8300</v>
          </cell>
          <cell r="BI76">
            <v>936</v>
          </cell>
          <cell r="BJ76">
            <v>0</v>
          </cell>
          <cell r="BK76">
            <v>1705</v>
          </cell>
          <cell r="BL76">
            <v>0</v>
          </cell>
          <cell r="BM76">
            <v>0</v>
          </cell>
          <cell r="BN76">
            <v>75</v>
          </cell>
          <cell r="BO76">
            <v>0</v>
          </cell>
          <cell r="BP76">
            <v>0</v>
          </cell>
          <cell r="BQ76">
            <v>1389</v>
          </cell>
          <cell r="BR76">
            <v>87</v>
          </cell>
          <cell r="BS76">
            <v>0</v>
          </cell>
          <cell r="BT76">
            <v>0</v>
          </cell>
          <cell r="BU76">
            <v>4192</v>
          </cell>
          <cell r="BV76">
            <v>4108</v>
          </cell>
          <cell r="BW76">
            <v>4108</v>
          </cell>
          <cell r="BX76">
            <v>1061.58</v>
          </cell>
          <cell r="BY76">
            <v>0</v>
          </cell>
          <cell r="BZ76">
            <v>0</v>
          </cell>
          <cell r="CA76">
            <v>0</v>
          </cell>
          <cell r="CB76">
            <v>0</v>
          </cell>
          <cell r="CC76">
            <v>0</v>
          </cell>
          <cell r="CD76">
            <v>0</v>
          </cell>
          <cell r="CE76">
            <v>0</v>
          </cell>
          <cell r="CF76">
            <v>0</v>
          </cell>
          <cell r="CG76">
            <v>0</v>
          </cell>
          <cell r="CH76">
            <v>0</v>
          </cell>
          <cell r="CI76">
            <v>0</v>
          </cell>
          <cell r="CJ76">
            <v>0</v>
          </cell>
          <cell r="CK76">
            <v>0</v>
          </cell>
          <cell r="CL76" t="str">
            <v>ARUP DUTTA</v>
          </cell>
          <cell r="CM76" t="str">
            <v>RJ/13238/146</v>
          </cell>
          <cell r="CN76">
            <v>7800</v>
          </cell>
          <cell r="CO76">
            <v>6500</v>
          </cell>
          <cell r="CP76">
            <v>936</v>
          </cell>
          <cell r="CQ76">
            <v>541</v>
          </cell>
          <cell r="CR76">
            <v>395</v>
          </cell>
          <cell r="CS76">
            <v>85.800000000000011</v>
          </cell>
          <cell r="CT76">
            <v>39</v>
          </cell>
          <cell r="CU76">
            <v>0.78</v>
          </cell>
          <cell r="CV76">
            <v>1061.58</v>
          </cell>
          <cell r="CW76">
            <v>0</v>
          </cell>
          <cell r="CX76">
            <v>0</v>
          </cell>
          <cell r="CY76" t="str">
            <v>ARUP DUTTA</v>
          </cell>
          <cell r="CZ76">
            <v>7800</v>
          </cell>
          <cell r="DA76">
            <v>0</v>
          </cell>
          <cell r="DB76">
            <v>0</v>
          </cell>
          <cell r="DC76">
            <v>7800</v>
          </cell>
          <cell r="DD76">
            <v>0</v>
          </cell>
          <cell r="DE76">
            <v>0</v>
          </cell>
          <cell r="DF76">
            <v>0</v>
          </cell>
          <cell r="DG76">
            <v>0</v>
          </cell>
          <cell r="DH76">
            <v>0</v>
          </cell>
          <cell r="DI76">
            <v>0</v>
          </cell>
          <cell r="DJ76">
            <v>0</v>
          </cell>
          <cell r="DK76">
            <v>0</v>
          </cell>
          <cell r="DL76">
            <v>0</v>
          </cell>
          <cell r="DM76">
            <v>0</v>
          </cell>
          <cell r="DN76">
            <v>0</v>
          </cell>
          <cell r="DO76">
            <v>0</v>
          </cell>
          <cell r="DP76">
            <v>0</v>
          </cell>
          <cell r="DQ76">
            <v>0</v>
          </cell>
          <cell r="DR76">
            <v>0</v>
          </cell>
          <cell r="DS76">
            <v>0</v>
          </cell>
          <cell r="DT76">
            <v>0</v>
          </cell>
          <cell r="DU76">
            <v>0</v>
          </cell>
        </row>
        <row r="77">
          <cell r="A77">
            <v>71</v>
          </cell>
          <cell r="C77">
            <v>71</v>
          </cell>
          <cell r="D77">
            <v>13</v>
          </cell>
          <cell r="E77" t="str">
            <v>RAKESH KUMAR</v>
          </cell>
          <cell r="F77" t="str">
            <v>Officer - HR</v>
          </cell>
          <cell r="G77" t="str">
            <v>Human Resources</v>
          </cell>
          <cell r="H77" t="str">
            <v>Plant</v>
          </cell>
          <cell r="I77" t="str">
            <v>Non-Executive</v>
          </cell>
          <cell r="K77">
            <v>27634</v>
          </cell>
          <cell r="L77">
            <v>35653</v>
          </cell>
          <cell r="N77" t="str">
            <v>RJ/13238/148</v>
          </cell>
          <cell r="R77" t="str">
            <v>Mr. R.N. Singh</v>
          </cell>
          <cell r="S77">
            <v>8650</v>
          </cell>
          <cell r="T77">
            <v>2595</v>
          </cell>
          <cell r="U77">
            <v>4325</v>
          </cell>
          <cell r="V77">
            <v>1500</v>
          </cell>
          <cell r="W77">
            <v>650</v>
          </cell>
          <cell r="X77">
            <v>0</v>
          </cell>
          <cell r="Y77">
            <v>0</v>
          </cell>
          <cell r="AA77">
            <v>0</v>
          </cell>
          <cell r="AB77">
            <v>6920</v>
          </cell>
          <cell r="AC77">
            <v>0</v>
          </cell>
          <cell r="AD77">
            <v>0</v>
          </cell>
          <cell r="AE77">
            <v>0</v>
          </cell>
          <cell r="AF77">
            <v>0</v>
          </cell>
          <cell r="AG77">
            <v>0</v>
          </cell>
          <cell r="AH77">
            <v>1038</v>
          </cell>
          <cell r="AI77">
            <v>0</v>
          </cell>
          <cell r="AJ77">
            <v>17720</v>
          </cell>
          <cell r="AK77" t="str">
            <v>G&amp;A</v>
          </cell>
          <cell r="AL77">
            <v>0</v>
          </cell>
          <cell r="AM77">
            <v>13</v>
          </cell>
          <cell r="AN77" t="str">
            <v>RAKESH KUMAR</v>
          </cell>
          <cell r="AO77" t="str">
            <v>Officer - HR</v>
          </cell>
          <cell r="AP77" t="str">
            <v>Plant</v>
          </cell>
          <cell r="AQ77" t="str">
            <v>Non-Executive</v>
          </cell>
          <cell r="AR77" t="str">
            <v>HDFC  BANK LTD.</v>
          </cell>
          <cell r="AS77" t="str">
            <v>0431050000255</v>
          </cell>
          <cell r="AT77">
            <v>31</v>
          </cell>
          <cell r="AU77">
            <v>0</v>
          </cell>
          <cell r="AV77">
            <v>8650</v>
          </cell>
          <cell r="AW77">
            <v>2595</v>
          </cell>
          <cell r="AX77">
            <v>4325</v>
          </cell>
          <cell r="AY77">
            <v>1500</v>
          </cell>
          <cell r="AZ77">
            <v>650</v>
          </cell>
          <cell r="BA77">
            <v>0</v>
          </cell>
          <cell r="BB77">
            <v>0</v>
          </cell>
          <cell r="BC77">
            <v>0</v>
          </cell>
          <cell r="BD77">
            <v>0</v>
          </cell>
          <cell r="BE77">
            <v>0</v>
          </cell>
          <cell r="BF77">
            <v>0</v>
          </cell>
          <cell r="BG77">
            <v>0</v>
          </cell>
          <cell r="BH77">
            <v>17720</v>
          </cell>
          <cell r="BI77">
            <v>1038</v>
          </cell>
          <cell r="BJ77">
            <v>93</v>
          </cell>
          <cell r="BK77">
            <v>0</v>
          </cell>
          <cell r="BL77">
            <v>0</v>
          </cell>
          <cell r="BM77">
            <v>0</v>
          </cell>
          <cell r="BN77">
            <v>150</v>
          </cell>
          <cell r="BO77">
            <v>0</v>
          </cell>
          <cell r="BP77">
            <v>0</v>
          </cell>
          <cell r="BQ77">
            <v>1111</v>
          </cell>
          <cell r="BR77">
            <v>70</v>
          </cell>
          <cell r="BS77">
            <v>0</v>
          </cell>
          <cell r="BT77">
            <v>0</v>
          </cell>
          <cell r="BU77">
            <v>2462</v>
          </cell>
          <cell r="BV77">
            <v>15258</v>
          </cell>
          <cell r="BW77">
            <v>15258</v>
          </cell>
          <cell r="BX77">
            <v>1177.2650000000001</v>
          </cell>
          <cell r="BY77">
            <v>0</v>
          </cell>
          <cell r="BZ77">
            <v>0</v>
          </cell>
          <cell r="CA77">
            <v>0</v>
          </cell>
          <cell r="CB77">
            <v>0</v>
          </cell>
          <cell r="CC77">
            <v>0</v>
          </cell>
          <cell r="CD77">
            <v>0</v>
          </cell>
          <cell r="CE77">
            <v>0</v>
          </cell>
          <cell r="CF77">
            <v>0</v>
          </cell>
          <cell r="CG77">
            <v>0</v>
          </cell>
          <cell r="CH77">
            <v>0</v>
          </cell>
          <cell r="CI77">
            <v>0</v>
          </cell>
          <cell r="CJ77">
            <v>0</v>
          </cell>
          <cell r="CK77">
            <v>0</v>
          </cell>
          <cell r="CL77" t="str">
            <v>RAKESH KUMAR</v>
          </cell>
          <cell r="CM77" t="str">
            <v>RJ/13238/148</v>
          </cell>
          <cell r="CN77">
            <v>8650</v>
          </cell>
          <cell r="CO77">
            <v>6500</v>
          </cell>
          <cell r="CP77">
            <v>1038</v>
          </cell>
          <cell r="CQ77">
            <v>541</v>
          </cell>
          <cell r="CR77">
            <v>497</v>
          </cell>
          <cell r="CS77">
            <v>95.15</v>
          </cell>
          <cell r="CT77">
            <v>43.25</v>
          </cell>
          <cell r="CU77">
            <v>0.86499999999999999</v>
          </cell>
          <cell r="CV77">
            <v>1177.2650000000001</v>
          </cell>
          <cell r="CW77">
            <v>0</v>
          </cell>
          <cell r="CX77">
            <v>0</v>
          </cell>
          <cell r="CY77" t="str">
            <v>RAKESH KUMAR</v>
          </cell>
          <cell r="CZ77">
            <v>8650</v>
          </cell>
          <cell r="DA77">
            <v>4325</v>
          </cell>
          <cell r="DB77">
            <v>2595</v>
          </cell>
          <cell r="DC77">
            <v>15570</v>
          </cell>
          <cell r="DD77">
            <v>0</v>
          </cell>
          <cell r="DE77">
            <v>0</v>
          </cell>
          <cell r="DF77">
            <v>0</v>
          </cell>
          <cell r="DG77">
            <v>0</v>
          </cell>
          <cell r="DH77">
            <v>0</v>
          </cell>
          <cell r="DI77">
            <v>0</v>
          </cell>
          <cell r="DJ77">
            <v>0</v>
          </cell>
          <cell r="DK77">
            <v>0</v>
          </cell>
          <cell r="DL77">
            <v>0</v>
          </cell>
          <cell r="DM77">
            <v>0</v>
          </cell>
          <cell r="DN77">
            <v>0</v>
          </cell>
          <cell r="DO77">
            <v>0</v>
          </cell>
          <cell r="DP77">
            <v>0</v>
          </cell>
          <cell r="DQ77">
            <v>0</v>
          </cell>
        </row>
        <row r="78">
          <cell r="A78">
            <v>72</v>
          </cell>
          <cell r="C78">
            <v>72</v>
          </cell>
          <cell r="D78">
            <v>13</v>
          </cell>
          <cell r="E78" t="str">
            <v>SIBAJI MITRA</v>
          </cell>
          <cell r="F78" t="str">
            <v>Accounts Officer</v>
          </cell>
          <cell r="G78" t="str">
            <v xml:space="preserve">Finance </v>
          </cell>
          <cell r="H78" t="str">
            <v>Plant</v>
          </cell>
          <cell r="I78" t="str">
            <v>Non-Executive</v>
          </cell>
          <cell r="K78">
            <v>25084</v>
          </cell>
          <cell r="L78">
            <v>35278</v>
          </cell>
          <cell r="N78" t="str">
            <v>RJ/13238/121</v>
          </cell>
          <cell r="R78" t="str">
            <v>MR.ASHIS KUMAR MITRA</v>
          </cell>
          <cell r="S78">
            <v>9525</v>
          </cell>
          <cell r="T78">
            <v>2858</v>
          </cell>
          <cell r="U78">
            <v>4763</v>
          </cell>
          <cell r="V78">
            <v>1500</v>
          </cell>
          <cell r="W78">
            <v>650</v>
          </cell>
          <cell r="X78">
            <v>0</v>
          </cell>
          <cell r="Y78">
            <v>0</v>
          </cell>
          <cell r="AA78">
            <v>0</v>
          </cell>
          <cell r="AB78">
            <v>0</v>
          </cell>
          <cell r="AC78">
            <v>0</v>
          </cell>
          <cell r="AD78">
            <v>0</v>
          </cell>
          <cell r="AE78">
            <v>0</v>
          </cell>
          <cell r="AF78">
            <v>0</v>
          </cell>
          <cell r="AG78">
            <v>0</v>
          </cell>
          <cell r="AH78">
            <v>1143</v>
          </cell>
          <cell r="AI78">
            <v>0</v>
          </cell>
          <cell r="AJ78">
            <v>19296</v>
          </cell>
          <cell r="AK78" t="str">
            <v>G&amp;A</v>
          </cell>
          <cell r="AL78">
            <v>0</v>
          </cell>
          <cell r="AM78">
            <v>13</v>
          </cell>
          <cell r="AN78" t="str">
            <v>SIBAJI MITRA</v>
          </cell>
          <cell r="AO78" t="str">
            <v>Accounts Officer</v>
          </cell>
          <cell r="AP78" t="str">
            <v>Plant</v>
          </cell>
          <cell r="AQ78" t="str">
            <v>Non-Executive</v>
          </cell>
          <cell r="AR78" t="str">
            <v>HDFC  BANK LTD.</v>
          </cell>
          <cell r="AS78" t="str">
            <v>0901050031159</v>
          </cell>
          <cell r="AT78">
            <v>31</v>
          </cell>
          <cell r="AU78">
            <v>0</v>
          </cell>
          <cell r="AV78">
            <v>9525</v>
          </cell>
          <cell r="AW78">
            <v>2858</v>
          </cell>
          <cell r="AX78">
            <v>4763</v>
          </cell>
          <cell r="AY78">
            <v>1500</v>
          </cell>
          <cell r="AZ78">
            <v>650</v>
          </cell>
          <cell r="BA78">
            <v>0</v>
          </cell>
          <cell r="BB78">
            <v>0</v>
          </cell>
          <cell r="BC78">
            <v>0</v>
          </cell>
          <cell r="BD78">
            <v>0</v>
          </cell>
          <cell r="BE78">
            <v>0</v>
          </cell>
          <cell r="BF78">
            <v>0</v>
          </cell>
          <cell r="BG78">
            <v>0</v>
          </cell>
          <cell r="BH78">
            <v>19296</v>
          </cell>
          <cell r="BI78">
            <v>1143</v>
          </cell>
          <cell r="BJ78">
            <v>93</v>
          </cell>
          <cell r="BK78">
            <v>926</v>
          </cell>
          <cell r="BL78">
            <v>0</v>
          </cell>
          <cell r="BM78">
            <v>0</v>
          </cell>
          <cell r="BN78">
            <v>100</v>
          </cell>
          <cell r="BO78">
            <v>0</v>
          </cell>
          <cell r="BP78">
            <v>0</v>
          </cell>
          <cell r="BQ78">
            <v>1111</v>
          </cell>
          <cell r="BR78">
            <v>70</v>
          </cell>
          <cell r="BS78">
            <v>0</v>
          </cell>
          <cell r="BT78">
            <v>0</v>
          </cell>
          <cell r="BU78">
            <v>3443</v>
          </cell>
          <cell r="BV78">
            <v>15853</v>
          </cell>
          <cell r="BW78">
            <v>15853</v>
          </cell>
          <cell r="BX78">
            <v>1296.3525000000002</v>
          </cell>
          <cell r="BY78">
            <v>0</v>
          </cell>
          <cell r="BZ78">
            <v>0</v>
          </cell>
          <cell r="CA78">
            <v>0</v>
          </cell>
          <cell r="CB78">
            <v>0</v>
          </cell>
          <cell r="CC78">
            <v>0</v>
          </cell>
          <cell r="CD78">
            <v>0</v>
          </cell>
          <cell r="CE78">
            <v>0</v>
          </cell>
          <cell r="CF78">
            <v>0</v>
          </cell>
          <cell r="CG78">
            <v>0</v>
          </cell>
          <cell r="CH78">
            <v>0</v>
          </cell>
          <cell r="CI78">
            <v>0</v>
          </cell>
          <cell r="CJ78">
            <v>0</v>
          </cell>
          <cell r="CK78">
            <v>0</v>
          </cell>
          <cell r="CL78" t="str">
            <v>SIBAJI MITRA</v>
          </cell>
          <cell r="CM78" t="str">
            <v>RJ/13238/121</v>
          </cell>
          <cell r="CN78">
            <v>9525</v>
          </cell>
          <cell r="CO78">
            <v>6500</v>
          </cell>
          <cell r="CP78">
            <v>1143</v>
          </cell>
          <cell r="CQ78">
            <v>541</v>
          </cell>
          <cell r="CR78">
            <v>602</v>
          </cell>
          <cell r="CS78">
            <v>104.77500000000001</v>
          </cell>
          <cell r="CT78">
            <v>47.625</v>
          </cell>
          <cell r="CU78">
            <v>0.95250000000000001</v>
          </cell>
          <cell r="CV78">
            <v>1296.3525000000002</v>
          </cell>
          <cell r="CW78">
            <v>0</v>
          </cell>
          <cell r="CX78">
            <v>0</v>
          </cell>
          <cell r="CY78" t="str">
            <v>SIBAJI MITRA</v>
          </cell>
          <cell r="CZ78">
            <v>9525</v>
          </cell>
          <cell r="DA78">
            <v>4763</v>
          </cell>
          <cell r="DB78">
            <v>2858</v>
          </cell>
          <cell r="DC78">
            <v>17146</v>
          </cell>
          <cell r="DD78">
            <v>0</v>
          </cell>
          <cell r="DE78">
            <v>0</v>
          </cell>
          <cell r="DF78">
            <v>0</v>
          </cell>
          <cell r="DG78">
            <v>0</v>
          </cell>
          <cell r="DH78">
            <v>0</v>
          </cell>
          <cell r="DI78">
            <v>0</v>
          </cell>
          <cell r="DJ78">
            <v>0</v>
          </cell>
          <cell r="DK78">
            <v>0</v>
          </cell>
          <cell r="DL78">
            <v>0</v>
          </cell>
          <cell r="DM78">
            <v>0</v>
          </cell>
          <cell r="DN78">
            <v>0</v>
          </cell>
          <cell r="DO78">
            <v>0</v>
          </cell>
          <cell r="DP78">
            <v>0</v>
          </cell>
          <cell r="DQ78">
            <v>0</v>
          </cell>
        </row>
        <row r="79">
          <cell r="DF79">
            <v>635.45000000000005</v>
          </cell>
        </row>
      </sheetData>
      <sheetData sheetId="1">
        <row r="7">
          <cell r="A7">
            <v>1</v>
          </cell>
        </row>
      </sheetData>
      <sheetData sheetId="2">
        <row r="7">
          <cell r="A7">
            <v>1</v>
          </cell>
        </row>
      </sheetData>
      <sheetData sheetId="3">
        <row r="7">
          <cell r="A7">
            <v>1</v>
          </cell>
        </row>
      </sheetData>
      <sheetData sheetId="4"/>
      <sheetData sheetId="5"/>
      <sheetData sheetId="6">
        <row r="7">
          <cell r="A7">
            <v>1</v>
          </cell>
        </row>
      </sheetData>
      <sheetData sheetId="7">
        <row r="7">
          <cell r="A7">
            <v>1</v>
          </cell>
        </row>
      </sheetData>
      <sheetData sheetId="8">
        <row r="7">
          <cell r="A7">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BANK TRANSFER"/>
      <sheetName val="letter"/>
      <sheetName val="MAIN"/>
      <sheetName val="DATA"/>
      <sheetName val="PAYSLIP"/>
      <sheetName val="dept summ of salary sheet"/>
      <sheetName val="Income Tax"/>
      <sheetName val="CONVEYANCE"/>
      <sheetName val="Sheet9"/>
      <sheetName val="Salary Data"/>
    </sheetNames>
    <sheetDataSet>
      <sheetData sheetId="0" refreshError="1">
        <row r="107">
          <cell r="C107" t="str">
            <v>SEVENTY SIX THOUSAND EIGHT HUNDRED NINETY SIX ONLY</v>
          </cell>
        </row>
      </sheetData>
      <sheetData sheetId="1" refreshError="1">
        <row r="95">
          <cell r="E95">
            <v>705447</v>
          </cell>
        </row>
      </sheetData>
      <sheetData sheetId="2" refreshError="1">
        <row r="2">
          <cell r="H2">
            <v>76896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summarywith exindia comparison"/>
      <sheetName val="datalcmar"/>
      <sheetName val="ex-india"/>
      <sheetName val="summary"/>
      <sheetName val="ebtreco"/>
      <sheetName val="DATA_INR"/>
      <sheetName val="Corp_EBTytd"/>
      <sheetName val="Global ytd"/>
      <sheetName val="Corp_Salesytd"/>
      <sheetName val="interco"/>
      <sheetName val="Sheet1"/>
      <sheetName val="Backup of global consolidation "/>
      <sheetName val="#REF"/>
      <sheetName val="LOM_MOD"/>
      <sheetName val="ICB"/>
      <sheetName val="TB Jan-DEC97"/>
      <sheetName val="BS&amp;PL_97"/>
      <sheetName val="summarywith_exindia_comparison"/>
      <sheetName val="Global_ytd"/>
      <sheetName val="Backup_of_global_consolidation_"/>
      <sheetName val="TB_Jan-DEC97"/>
      <sheetName val="summarywith_exindia_comparison1"/>
      <sheetName val="Global_ytd1"/>
      <sheetName val="Backup_of_global_consolidation1"/>
      <sheetName val="TB_Jan-DEC971"/>
      <sheetName val="summarywith_exindia_comparison2"/>
      <sheetName val="Global_ytd2"/>
      <sheetName val="Backup_of_global_consolidation2"/>
      <sheetName val="TB_Jan-DEC972"/>
      <sheetName val="fa"/>
      <sheetName val="summarywith_exindia_comparison3"/>
      <sheetName val="Global_ytd3"/>
      <sheetName val="Backup_of_global_consolidation3"/>
      <sheetName val="TB_Jan-DEC97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sheetData sheetId="32"/>
      <sheetData sheetId="33"/>
      <sheetData sheetId="3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 &amp; L"/>
      <sheetName val="SCH 1 - 4"/>
      <sheetName val="SCH 4 - 7"/>
      <sheetName val="SCH 8 - 9"/>
      <sheetName val="Trial Bal"/>
      <sheetName val="Sheet2"/>
      <sheetName val="Sheet1"/>
      <sheetName val="cbeam trial"/>
      <sheetName val="Annexure"/>
      <sheetName val="SCH  8"/>
      <sheetName val="Related party- Working"/>
      <sheetName val="cash flow - final"/>
      <sheetName val="Cash Flow-client"/>
      <sheetName val="Cash Flow Working"/>
      <sheetName val="Related party"/>
      <sheetName val="GT_Custom"/>
      <sheetName val="Design"/>
      <sheetName val="Shivaji"/>
      <sheetName val="Balance sheet"/>
      <sheetName val="Sch 1,2,3"/>
      <sheetName val="Sch 14,15,16"/>
      <sheetName val="profit &amp; loss account"/>
      <sheetName val="Data sheet"/>
      <sheetName val="Basement Budget"/>
      <sheetName val="Trial Balance"/>
      <sheetName val="LOM_MOD"/>
      <sheetName val="FORM7"/>
      <sheetName val="0-1"/>
      <sheetName val="EXIS-COMBINED"/>
      <sheetName val=""/>
      <sheetName val="balance sheet &amp; p&amp;l"/>
      <sheetName val="ABPData"/>
      <sheetName val="Ratio"/>
      <sheetName val="S &amp; A"/>
      <sheetName val="Sheet3"/>
      <sheetName val="madhu"/>
      <sheetName val="JOB WORK"/>
      <sheetName val="p"/>
      <sheetName val="ToolLife"/>
      <sheetName val="List"/>
      <sheetName val="??J"/>
      <sheetName val="office"/>
      <sheetName val="Lab"/>
      <sheetName val="Material&amp;equipment"/>
      <sheetName val="Balance sheet- info city CHD 31"/>
      <sheetName val="Cover sheet"/>
      <sheetName val="Hot"/>
      <sheetName val="월선수금"/>
      <sheetName val="Adj Memo - SHB lease"/>
      <sheetName val="Sales &amp; Revenue &amp; Sked"/>
      <sheetName val="MARCH04"/>
      <sheetName val="P_&amp;_L"/>
      <sheetName val="SCH_1_-_4"/>
      <sheetName val="SCH_4_-_7"/>
      <sheetName val="SCH_8_-_9"/>
      <sheetName val="Trial_Bal"/>
      <sheetName val="cbeam_trial"/>
      <sheetName val="SCH__8"/>
      <sheetName val="Related_party-_Working"/>
      <sheetName val="cash_flow_-_final"/>
      <sheetName val="Cash_Flow-client"/>
      <sheetName val="Cash_Flow_Working"/>
      <sheetName val="Related_party"/>
      <sheetName val="Trial_Balance"/>
      <sheetName val="Balance_sheet"/>
      <sheetName val="Sch_1,2,3"/>
      <sheetName val="Sch_14,15,16"/>
      <sheetName val="profit_&amp;_loss_account"/>
      <sheetName val="Data_sheet"/>
      <sheetName val="Basement_Budget"/>
      <sheetName val="balance_sheet_&amp;_p&amp;l"/>
      <sheetName val="S_&amp;_A"/>
      <sheetName val="JOB_WORK"/>
      <sheetName val="Balance_sheet-_info_city_CHD_31"/>
      <sheetName val="Cover_sheet"/>
      <sheetName val="Input"/>
      <sheetName val="b"/>
      <sheetName val="Inputs"/>
      <sheetName val="Fixed Assets-Last year"/>
      <sheetName val="BS Schdl- 1 &amp; 2"/>
      <sheetName val="P_&amp;_L1"/>
      <sheetName val="SCH_1_-_41"/>
      <sheetName val="SCH_4_-_71"/>
      <sheetName val="SCH_8_-_91"/>
      <sheetName val="Trial_Bal1"/>
      <sheetName val="cbeam_trial1"/>
      <sheetName val="SCH__81"/>
      <sheetName val="Related_party-_Working1"/>
      <sheetName val="cash_flow_-_final1"/>
      <sheetName val="Cash_Flow-client1"/>
      <sheetName val="Cash_Flow_Working1"/>
      <sheetName val="Related_party1"/>
      <sheetName val="Balance_sheet1"/>
      <sheetName val="Sch_1,2,31"/>
      <sheetName val="Sch_14,15,161"/>
      <sheetName val="profit_&amp;_loss_account1"/>
      <sheetName val="Data_sheet1"/>
      <sheetName val="Basement_Budget1"/>
      <sheetName val="Trial_Balance1"/>
      <sheetName val="balance_sheet_&amp;_p&amp;l1"/>
      <sheetName val="S_&amp;_A1"/>
      <sheetName val="JOB_WORK1"/>
      <sheetName val="Balance_sheet-_info_city_CHD_32"/>
      <sheetName val="Cover_sheet1"/>
      <sheetName val="Sales_&amp;_Revenue_&amp;_Sked"/>
      <sheetName val="Adj_Memo_-_SHB_lease"/>
      <sheetName val="Lead"/>
      <sheetName val="Non-Factory"/>
      <sheetName val="fa"/>
      <sheetName val="Break up Sheet"/>
      <sheetName val="FORM-16"/>
      <sheetName val="SALES-VAL"/>
      <sheetName val="Financials"/>
      <sheetName val="DJ1"/>
      <sheetName val="Annx."/>
      <sheetName val="Apr-Mar New"/>
      <sheetName val="Count Summary"/>
      <sheetName val="Ref"/>
      <sheetName val="P&amp;LSC"/>
      <sheetName val="PDN"/>
      <sheetName val="LINK GAP"/>
      <sheetName val="For Out"/>
      <sheetName val="UNIT-II"/>
      <sheetName val="Input-Function"/>
      <sheetName val="Introduction"/>
      <sheetName val="INTEREST CALUCATION"/>
      <sheetName val="analysis"/>
      <sheetName val="U-4_Investments &amp; FD"/>
      <sheetName val="Preside"/>
      <sheetName val="#REF"/>
      <sheetName val="COST SHEET"/>
      <sheetName val="SALREGJUNEFIXED"/>
      <sheetName val="Index"/>
      <sheetName val="Sheet01S"/>
      <sheetName val="JE10310X"/>
      <sheetName val="Wordsdata"/>
      <sheetName val="item"/>
      <sheetName val="Costing"/>
      <sheetName val="RCC,Ret. Wall"/>
      <sheetName val="Supplier"/>
      <sheetName val="mar04bs"/>
      <sheetName val="P_&amp;_L2"/>
      <sheetName val="SCH_1_-_42"/>
      <sheetName val="SCH_4_-_72"/>
      <sheetName val="SCH_8_-_92"/>
      <sheetName val="Trial_Bal2"/>
      <sheetName val="cbeam_trial2"/>
      <sheetName val="SCH__82"/>
      <sheetName val="Related_party-_Working2"/>
      <sheetName val="cash_flow_-_final2"/>
      <sheetName val="Cash_Flow-client2"/>
      <sheetName val="Cash_Flow_Working2"/>
      <sheetName val="Related_party2"/>
      <sheetName val="Balance_sheet2"/>
      <sheetName val="Sch_1,2,32"/>
      <sheetName val="Sch_14,15,162"/>
      <sheetName val="profit_&amp;_loss_account2"/>
      <sheetName val="Data_sheet2"/>
      <sheetName val="Basement_Budget2"/>
      <sheetName val="Trial_Balance2"/>
      <sheetName val="balance_sheet_&amp;_p&amp;l2"/>
      <sheetName val="S_&amp;_A2"/>
      <sheetName val="JOB_WORK2"/>
      <sheetName val="Balance_sheet-_info_city_CHD_33"/>
      <sheetName val="Cover_sheet2"/>
      <sheetName val="Sales_&amp;_Revenue_&amp;_Sked1"/>
      <sheetName val="Adj_Memo_-_SHB_lease1"/>
      <sheetName val="Fixed_Assets-Last_year"/>
      <sheetName val="BS_Schdl-_1_&amp;_2"/>
      <sheetName val="INTEREST_CALUCATION"/>
      <sheetName val="Balance sheet DCCDL Nov 06"/>
      <sheetName val="Indices"/>
      <sheetName val="FY2001-02"/>
      <sheetName val="Excess Calc"/>
      <sheetName val="__J"/>
      <sheetName val="Page 5"/>
      <sheetName val="P&amp;L"/>
      <sheetName val="DETAIL-SUB"/>
      <sheetName val="Depreciation"/>
      <sheetName val="VCH-SLC"/>
      <sheetName val="Data"/>
      <sheetName val="Rate list"/>
      <sheetName val="EXPENSES"/>
      <sheetName val="Sch5TO10"/>
      <sheetName val="VALIDATION_LIST"/>
      <sheetName val="A.O.R."/>
      <sheetName val="P_&amp;_L3"/>
      <sheetName val="SCH_1_-_43"/>
      <sheetName val="SCH_4_-_73"/>
      <sheetName val="SCH_8_-_93"/>
      <sheetName val="Trial_Bal3"/>
      <sheetName val="cbeam_trial3"/>
      <sheetName val="SCH__83"/>
      <sheetName val="Related_party-_Working3"/>
      <sheetName val="cash_flow_-_final3"/>
      <sheetName val="Cash_Flow-client3"/>
      <sheetName val="Cash_Flow_Working3"/>
      <sheetName val="Related_party3"/>
      <sheetName val="Balance_sheet3"/>
      <sheetName val="Sch_1,2,33"/>
      <sheetName val="Sch_14,15,163"/>
      <sheetName val="profit_&amp;_loss_account3"/>
      <sheetName val="Data_sheet3"/>
      <sheetName val="Basement_Budget3"/>
      <sheetName val="Trial_Balance3"/>
      <sheetName val="balance_sheet_&amp;_p&amp;l3"/>
      <sheetName val="S_&amp;_A3"/>
      <sheetName val="JOB_WORK3"/>
      <sheetName val="Balance_sheet-_info_city_CHD_34"/>
      <sheetName val="Cover_sheet3"/>
      <sheetName val="Sales_&amp;_Revenue_&amp;_Sked2"/>
      <sheetName val="Adj_Memo_-_SHB_lease2"/>
      <sheetName val="Fixed_Assets-Last_year1"/>
      <sheetName val="BS_Schdl-_1_&amp;_21"/>
      <sheetName val="Break_up_Sheet"/>
      <sheetName val="Excess_Calc"/>
      <sheetName val="Annx_"/>
      <sheetName val="Apr-Mar_New"/>
      <sheetName val="Count_Summary"/>
      <sheetName val="LINK_GAP"/>
      <sheetName val="For_Out"/>
      <sheetName val="INTEREST_CALUCATION1"/>
      <sheetName val="U-4_Investments_&amp;_FD"/>
      <sheetName val="COST_SHEET"/>
      <sheetName val="RCC,Ret__Wall"/>
      <sheetName val="Balance_sheet_DCCDL_Nov_06"/>
      <sheetName val="XL4Poppy"/>
      <sheetName val="BerechnungTilgungsplan"/>
      <sheetName val="Invt"/>
      <sheetName val="Assumptions"/>
      <sheetName val="ISL Trial"/>
      <sheetName val="Provisions"/>
      <sheetName val="RGIL"/>
      <sheetName val="BACKUP"/>
      <sheetName val="P-Ins &amp; Bonds"/>
      <sheetName val="CG"/>
      <sheetName val="Tool-112A"/>
      <sheetName val="Tool-115AD(1)(iii)(p)"/>
      <sheetName val="CYLA-BFLA"/>
      <sheetName val="DB"/>
      <sheetName val="Tax(N)"/>
      <sheetName val="80GGA"/>
      <sheetName val="RA"/>
      <sheetName val="OS"/>
      <sheetName val="IF"/>
      <sheetName val="SI"/>
      <sheetName val="MANUFACTURING ACCOUNT"/>
      <sheetName val="80G"/>
      <sheetName val="PROFIT_LOSS"/>
      <sheetName val="VI-A"/>
      <sheetName val="PART A - GENERAL"/>
      <sheetName val="BP"/>
      <sheetName val="EI"/>
      <sheetName val="PART - A OI"/>
      <sheetName val="PARTB - TI - TTI"/>
      <sheetName val="TRADING ACCOUNT"/>
      <sheetName val="매크로"/>
      <sheetName val=".01 Leadsheet"/>
      <sheetName val="Bal_Gr"/>
      <sheetName val="Form 16"/>
      <sheetName val="Schedules"/>
      <sheetName val="TBAL9697 -group wise  sdpl"/>
      <sheetName val="JV請款"/>
      <sheetName val="mkripa cap"/>
      <sheetName val="jala cap"/>
      <sheetName val="BI BS Dec'10"/>
      <sheetName val="P_&amp;_L4"/>
      <sheetName val="SCH_1_-_44"/>
      <sheetName val="SCH_4_-_74"/>
      <sheetName val="SCH_8_-_94"/>
      <sheetName val="Trial_Bal4"/>
      <sheetName val="cbeam_trial4"/>
      <sheetName val="SCH__84"/>
      <sheetName val="Related_party-_Working4"/>
      <sheetName val="cash_flow_-_final4"/>
      <sheetName val="Cash_Flow-client4"/>
      <sheetName val="Cash_Flow_Working4"/>
      <sheetName val="Related_party4"/>
      <sheetName val="Balance_sheet4"/>
      <sheetName val="Sch_1,2,34"/>
      <sheetName val="Sch_14,15,164"/>
      <sheetName val="profit_&amp;_loss_account4"/>
      <sheetName val="Data_sheet4"/>
      <sheetName val="Basement_Budget4"/>
      <sheetName val="Trial_Balance4"/>
      <sheetName val="balance_sheet_&amp;_p&amp;l4"/>
      <sheetName val="S_&amp;_A4"/>
      <sheetName val="JOB_WORK4"/>
      <sheetName val="Balance_sheet-_info_city_CHD_35"/>
      <sheetName val="Cover_sheet4"/>
      <sheetName val="Sales_&amp;_Revenue_&amp;_Sked3"/>
      <sheetName val="Adj_Memo_-_SHB_lease3"/>
      <sheetName val="Fixed_Assets-Last_year2"/>
      <sheetName val="BS_Schdl-_1_&amp;_22"/>
      <sheetName val="Break_up_Sheet1"/>
      <sheetName val="Annx_1"/>
      <sheetName val="Apr-Mar_New1"/>
      <sheetName val="Count_Summary1"/>
      <sheetName val="U-4_Investments_&amp;_FD1"/>
      <sheetName val="LINK_GAP1"/>
      <sheetName val="For_Out1"/>
      <sheetName val="INTEREST_CALUCATION2"/>
      <sheetName val="COST_SHEET1"/>
      <sheetName val="RCC,Ret__Wall1"/>
      <sheetName val="Balance_sheet_DCCDL_Nov_061"/>
      <sheetName val="Excess_Calc1"/>
      <sheetName val="Page_5"/>
      <sheetName val="Rate_list"/>
      <sheetName val="A_O_R_"/>
      <sheetName val="Form_16"/>
      <sheetName val="P-Ins_&amp;_Bonds"/>
      <sheetName val="MANUFACTURING_ACCOUNT"/>
      <sheetName val="PART_A_-_GENERAL"/>
      <sheetName val="PART_-_A_OI"/>
      <sheetName val="PARTB_-_TI_-_TTI"/>
      <sheetName val="TRADING_ACCOUNT"/>
      <sheetName val="_01_Leadsheet"/>
      <sheetName val="ISL_Trial"/>
      <sheetName val="TBAL9697_-group_wise__sdpl"/>
      <sheetName val="jv-Insurance 2016"/>
      <sheetName val="06月"/>
      <sheetName val="Balance Sheet "/>
      <sheetName val="Plug"/>
      <sheetName val="Builtup Area"/>
      <sheetName val="CIQ Multiples"/>
      <sheetName val="Key Assumptions"/>
      <sheetName val="Ex-Rate"/>
      <sheetName val="Quantity"/>
      <sheetName val="Ini"/>
      <sheetName val="Output"/>
      <sheetName val="NEARunoff"/>
      <sheetName val="OP"/>
      <sheetName val="EFP"/>
      <sheetName val="CD"/>
      <sheetName val="PD"/>
      <sheetName val="Perf"/>
      <sheetName val="IOC Backup"/>
      <sheetName val="詳細要件定義"/>
      <sheetName val="Locations"/>
      <sheetName val="Main Menu"/>
      <sheetName val="269T(final)"/>
      <sheetName val="Reference"/>
      <sheetName val="Dropdown"/>
      <sheetName val="Oct-11"/>
      <sheetName val="May-11"/>
      <sheetName val="June-11"/>
      <sheetName val="BEV"/>
      <sheetName val="XWR"/>
      <sheetName val="Database"/>
      <sheetName val="schedule nos"/>
      <sheetName val="INVBAL010202"/>
      <sheetName val="Trial"/>
      <sheetName val="CF Indirect Method"/>
      <sheetName val="사진"/>
      <sheetName val="IO LIST"/>
      <sheetName val="14061"/>
      <sheetName val="ESI"/>
      <sheetName val="BS before PMO"/>
      <sheetName val="KAFU new"/>
      <sheetName val="Summary"/>
      <sheetName val="KAFU_new"/>
      <sheetName val="Page_51"/>
      <sheetName val="KAFU_new1"/>
      <sheetName val="Set"/>
      <sheetName val="AOPFY13"/>
      <sheetName val="PrjCost"/>
      <sheetName val="Factor_sheet"/>
      <sheetName val="Actuals"/>
      <sheetName val="BUDGET"/>
      <sheetName val="New May"/>
      <sheetName val="New_May"/>
      <sheetName val="jv-Insurance_2016"/>
      <sheetName val="mkripa_cap"/>
      <sheetName val="jala_cap"/>
      <sheetName val="Balance_Sheet_"/>
      <sheetName val="CIQ_Multiples"/>
      <sheetName val="Key_Assumptions"/>
      <sheetName val="Settings"/>
      <sheetName val="Income"/>
      <sheetName val="Order Book"/>
      <sheetName val="Subcontract &amp; Consultancy"/>
      <sheetName val=" "/>
      <sheetName val="BHANDUP"/>
      <sheetName val="BI_BS_Dec'10"/>
      <sheetName val="IOC_Backup"/>
      <sheetName val="cash budget"/>
      <sheetName val="liab"/>
      <sheetName val="incexp-o"/>
      <sheetName val="共機J"/>
      <sheetName val="Assumption"/>
      <sheetName val="Legende"/>
      <sheetName val="sheet12"/>
      <sheetName val="Control commands"/>
      <sheetName val="2"/>
      <sheetName val="BSLA"/>
      <sheetName val="Dec Lookup Data"/>
      <sheetName val="sum"/>
      <sheetName val="Break_up_Sheet2"/>
      <sheetName val="U-4_Investments_&amp;_FD2"/>
      <sheetName val="Form_161"/>
      <sheetName val="CF_Indirect_Method"/>
      <sheetName val="schedule_nos"/>
      <sheetName val="Builtup_Area"/>
      <sheetName val="MainComp"/>
      <sheetName val="XREF"/>
      <sheetName val="Model"/>
      <sheetName val="INPUT SHEET"/>
      <sheetName val="RES-PLANNING"/>
      <sheetName val="Ass"/>
      <sheetName val="labour rates"/>
      <sheetName val="Headings"/>
      <sheetName val="SILICATE"/>
      <sheetName val="Construction"/>
      <sheetName val="water prop."/>
      <sheetName val="IO_LIST"/>
      <sheetName val="Weekly Rates"/>
      <sheetName val="Quarter"/>
      <sheetName val="groupcodes"/>
      <sheetName val="Resignations"/>
      <sheetName val="STATSUM"/>
      <sheetName val="master"/>
      <sheetName val="tuong"/>
      <sheetName val="Housing_Actuals"/>
      <sheetName val="Tucson_Seasonal_Hiring"/>
      <sheetName val="SALES"/>
      <sheetName val="POWER110"/>
      <sheetName val="SEW4"/>
      <sheetName val="Comps"/>
      <sheetName val="Opinion"/>
      <sheetName val="List of Vendors"/>
      <sheetName val="Adimi bldg"/>
      <sheetName val="Pump House"/>
      <sheetName val="Fuel Regu Station"/>
      <sheetName val="Rate analysis"/>
      <sheetName val="Gr. H"/>
      <sheetName val="Boq"/>
      <sheetName val="Project Budget Worksheet"/>
      <sheetName val="factors"/>
      <sheetName val="CAT_5"/>
      <sheetName val="Approved MTD Proj #'s"/>
      <sheetName val="Structure Bills Qty"/>
      <sheetName val="E1"/>
      <sheetName val="E2"/>
      <sheetName val="E3"/>
      <sheetName val="E4"/>
      <sheetName val="E5"/>
      <sheetName val="Arch"/>
      <sheetName val="SCHEDULE"/>
      <sheetName val="CTRs (HOURS) "/>
      <sheetName val="DGP-2002"/>
      <sheetName val="fORMULAE"/>
      <sheetName val="Closing Stock"/>
      <sheetName val="SBU ACCOUNTS "/>
      <sheetName val="ADDITION-FA"/>
      <sheetName val="POLY"/>
      <sheetName val="Salary Data"/>
      <sheetName val="P_&amp;_L5"/>
      <sheetName val="SCH_1_-_45"/>
      <sheetName val="SCH_4_-_75"/>
      <sheetName val="SCH_8_-_95"/>
      <sheetName val="Trial_Bal5"/>
      <sheetName val="cbeam_trial5"/>
      <sheetName val="SCH__85"/>
      <sheetName val="Related_party-_Working5"/>
      <sheetName val="cash_flow_-_final5"/>
      <sheetName val="Cash_Flow-client5"/>
      <sheetName val="Cash_Flow_Working5"/>
      <sheetName val="Related_party5"/>
      <sheetName val="Balance_sheet5"/>
      <sheetName val="Sch_1,2,35"/>
      <sheetName val="Sch_14,15,165"/>
      <sheetName val="profit_&amp;_loss_account5"/>
      <sheetName val="Data_sheet5"/>
      <sheetName val="Basement_Budget5"/>
      <sheetName val="Trial_Balance5"/>
      <sheetName val="balance_sheet_&amp;_p&amp;l5"/>
      <sheetName val="S_&amp;_A5"/>
      <sheetName val="JOB_WORK5"/>
      <sheetName val="Balance_sheet-_info_city_CHD_36"/>
      <sheetName val="Cover_sheet5"/>
      <sheetName val="Adj_Memo_-_SHB_lease4"/>
      <sheetName val="Sales_&amp;_Revenue_&amp;_Sked4"/>
      <sheetName val="Fixed_Assets-Last_year3"/>
      <sheetName val="BS_Schdl-_1_&amp;_23"/>
      <sheetName val="Break_up_Sheet3"/>
      <sheetName val="For_Out2"/>
      <sheetName val="LINK_GAP2"/>
      <sheetName val="INTEREST_CALUCATION3"/>
      <sheetName val="U-4_Investments_&amp;_FD3"/>
      <sheetName val="COST_SHEET2"/>
      <sheetName val="Annx_2"/>
      <sheetName val="Apr-Mar_New2"/>
      <sheetName val="Count_Summary2"/>
      <sheetName val="RCC,Ret__Wall2"/>
      <sheetName val="Balance_sheet_DCCDL_Nov_062"/>
      <sheetName val="Page_52"/>
      <sheetName val="Excess_Calc2"/>
      <sheetName val="Rate_list1"/>
      <sheetName val="A_O_R_1"/>
      <sheetName val="ISL_Trial1"/>
      <sheetName val="Form_162"/>
      <sheetName val="mkripa_cap1"/>
      <sheetName val="jala_cap1"/>
      <sheetName val="TBAL9697_-group_wise__sdpl1"/>
      <sheetName val="P-Ins_&amp;_Bonds1"/>
      <sheetName val="MANUFACTURING_ACCOUNT1"/>
      <sheetName val="PART_A_-_GENERAL1"/>
      <sheetName val="PART_-_A_OI1"/>
      <sheetName val="PARTB_-_TI_-_TTI1"/>
      <sheetName val="TRADING_ACCOUNT1"/>
      <sheetName val="_01_Leadsheet1"/>
      <sheetName val="BI_BS_Dec'101"/>
      <sheetName val="IOC_Backup1"/>
      <sheetName val="Balance_Sheet_1"/>
      <sheetName val="jv-Insurance_20161"/>
      <sheetName val="Builtup_Area1"/>
      <sheetName val="schedule_nos1"/>
      <sheetName val="Key_Assumptions1"/>
      <sheetName val="CIQ_Multiples1"/>
      <sheetName val="CF_Indirect_Method1"/>
      <sheetName val="_"/>
      <sheetName val="BS_before_PMO"/>
      <sheetName val="IO_LIST1"/>
      <sheetName val="Order_Book"/>
      <sheetName val="Subcontract_&amp;_Consultancy"/>
      <sheetName val="cash_budget"/>
      <sheetName val="New_May1"/>
      <sheetName val="Control_commands"/>
      <sheetName val="List_of_Vendors"/>
      <sheetName val="Main_Menu"/>
      <sheetName val="KAFU_new2"/>
      <sheetName val="Weekly_Rates"/>
      <sheetName val="INPUT_SHEET"/>
      <sheetName val="labour_rates"/>
      <sheetName val="water_prop_"/>
      <sheetName val="Dec_Lookup_Data"/>
      <sheetName val="Irregular Income"/>
      <sheetName val="P_&amp;_L6"/>
      <sheetName val="SCH_1_-_46"/>
      <sheetName val="SCH_4_-_76"/>
      <sheetName val="SCH_8_-_96"/>
      <sheetName val="Trial_Bal6"/>
      <sheetName val="cbeam_trial6"/>
      <sheetName val="SCH__86"/>
      <sheetName val="Related_party-_Working6"/>
      <sheetName val="cash_flow_-_final6"/>
      <sheetName val="Cash_Flow-client6"/>
      <sheetName val="Cash_Flow_Working6"/>
      <sheetName val="Related_party6"/>
      <sheetName val="Balance_sheet6"/>
      <sheetName val="Sch_1,2,36"/>
      <sheetName val="Sch_14,15,166"/>
      <sheetName val="profit_&amp;_loss_account6"/>
      <sheetName val="Data_sheet6"/>
      <sheetName val="Basement_Budget6"/>
      <sheetName val="Trial_Balance6"/>
      <sheetName val="balance_sheet_&amp;_p&amp;l6"/>
      <sheetName val="S_&amp;_A6"/>
      <sheetName val="JOB_WORK6"/>
      <sheetName val="Balance_sheet-_info_city_CHD_37"/>
      <sheetName val="Cover_sheet6"/>
      <sheetName val="Sales_&amp;_Revenue_&amp;_Sked5"/>
      <sheetName val="Adj_Memo_-_SHB_lease5"/>
      <sheetName val="Fixed_Assets-Last_year4"/>
      <sheetName val="BS_Schdl-_1_&amp;_24"/>
      <sheetName val="For_Out3"/>
      <sheetName val="LINK_GAP3"/>
      <sheetName val="INTEREST_CALUCATION4"/>
      <sheetName val="COST_SHEET3"/>
      <sheetName val="Annx_3"/>
      <sheetName val="Apr-Mar_New3"/>
      <sheetName val="Count_Summary3"/>
      <sheetName val="RCC,Ret__Wall3"/>
      <sheetName val="Balance_sheet_DCCDL_Nov_063"/>
      <sheetName val="Page_53"/>
      <sheetName val="Excess_Calc3"/>
      <sheetName val="Rate_list2"/>
      <sheetName val="A_O_R_2"/>
      <sheetName val="ISL_Trial2"/>
      <sheetName val="TBAL9697_-group_wise__sdpl2"/>
      <sheetName val="P-Ins_&amp;_Bonds2"/>
      <sheetName val="MANUFACTURING_ACCOUNT2"/>
      <sheetName val="PART_A_-_GENERAL2"/>
      <sheetName val="PART_-_A_OI2"/>
      <sheetName val="PARTB_-_TI_-_TTI2"/>
      <sheetName val="TRADING_ACCOUNT2"/>
      <sheetName val="_01_Leadsheet2"/>
      <sheetName val="mkripa_cap2"/>
      <sheetName val="jala_cap2"/>
      <sheetName val="BI_BS_Dec'102"/>
      <sheetName val="IOC_Backup2"/>
      <sheetName val="Balance_Sheet_2"/>
      <sheetName val="jv-Insurance_20162"/>
      <sheetName val="CIQ_Multiples2"/>
      <sheetName val="Key_Assumptions2"/>
      <sheetName val="_1"/>
      <sheetName val="cash_budget1"/>
      <sheetName val="BS_before_PMO1"/>
      <sheetName val="Order_Book1"/>
      <sheetName val="Subcontract_&amp;_Consultancy1"/>
      <sheetName val="New_May2"/>
      <sheetName val="KAFU_new3"/>
      <sheetName val="Control_commands1"/>
      <sheetName val="YTD-KER"/>
      <sheetName val="Other notes"/>
      <sheetName val="Facility"/>
      <sheetName val="PAP"/>
      <sheetName val="Yield-COB"/>
      <sheetName val="M-0003"/>
      <sheetName val="EAW Final Accounts - 99"/>
      <sheetName val="Other Inc"/>
      <sheetName val="F&amp;B"/>
      <sheetName val="Admin"/>
      <sheetName val="Room Rev"/>
      <sheetName val="Ground Rent"/>
      <sheetName val="07-08"/>
      <sheetName val="P&amp;L,BS"/>
      <sheetName val="Rajendra Kumar Malook Chand"/>
      <sheetName val="qtemp"/>
      <sheetName val="SizeGrowth Adjustments"/>
      <sheetName val="Sheet5"/>
      <sheetName val="Results PL"/>
      <sheetName val="BOM"/>
      <sheetName val="CE"/>
      <sheetName val="OPERATING HEAD"/>
      <sheetName val="CF LLP reimb"/>
      <sheetName val="form26"/>
      <sheetName val="ACCTS- 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sheetData sheetId="374"/>
      <sheetData sheetId="375"/>
      <sheetData sheetId="376"/>
      <sheetData sheetId="377"/>
      <sheetData sheetId="378" refreshError="1"/>
      <sheetData sheetId="379" refreshError="1"/>
      <sheetData sheetId="380" refreshError="1"/>
      <sheetData sheetId="381" refreshError="1"/>
      <sheetData sheetId="382" refreshError="1"/>
      <sheetData sheetId="383" refreshError="1"/>
      <sheetData sheetId="384"/>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hennai &amp; Hyd Summary"/>
      <sheetName val="CHENNAI-Combined"/>
      <sheetName val="Ph -I "/>
      <sheetName val="CHENNAI-PH II"/>
      <sheetName val="Cash Flow"/>
      <sheetName val="HYD-combine"/>
      <sheetName val="HYDERABAD-PH-I"/>
      <sheetName val="HYD-PH-2"/>
      <sheetName val="WBLOCK DATA"/>
      <sheetName val="Rai"/>
      <sheetName val="Pune"/>
      <sheetName val="Gandhinagar"/>
      <sheetName val="Silokhera"/>
      <sheetName val="Silokrera-1"/>
      <sheetName val="Assumptions"/>
      <sheetName val="Chennai- Master-Rajesh"/>
      <sheetName val="HYDERABAD-DATA-Rajesh"/>
      <sheetName val="Main Sheet"/>
      <sheetName val="Intaccrual"/>
      <sheetName val="A"/>
      <sheetName val="Cash Flow Working"/>
      <sheetName val="Financials"/>
      <sheetName val="Sheet2 (2)"/>
      <sheetName val="REPORT"/>
      <sheetName val="07-08"/>
      <sheetName val="Assumption"/>
      <sheetName val="Non-Factory"/>
      <sheetName val="Macro1"/>
      <sheetName val="Manual_Batch_Data"/>
      <sheetName val="Aladdin Macro1"/>
      <sheetName val="P&amp;LSum"/>
      <sheetName val="Sheet1"/>
      <sheetName val="DGP-2002"/>
      <sheetName val="FAR - FINAL 05.08.05"/>
      <sheetName val="115JB"/>
      <sheetName val="Business Summary Reports"/>
      <sheetName val="MPR_PA_1"/>
      <sheetName val="Site wise NADs"/>
      <sheetName val="TGT"/>
      <sheetName val="MAR"/>
      <sheetName val="Lead"/>
      <sheetName val="COSTMAR"/>
      <sheetName val="Lowside"/>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Schedule"/>
      <sheetName val="Annexure"/>
      <sheetName val="Trial Balance"/>
      <sheetName val="pocm"/>
      <sheetName val="CAPTLISATION OF INTEREST"/>
      <sheetName val="Depreciation"/>
      <sheetName val="CASH FLOW"/>
      <sheetName val="Related Party"/>
      <sheetName val="Capital Commitment"/>
      <sheetName val="Sheet2"/>
      <sheetName val="admn block"/>
      <sheetName val="Balance Sheet galleria as at 31"/>
      <sheetName val="Sheet1"/>
      <sheetName val=""/>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MRITSAR PRODUCTION DETAIL"/>
      <sheetName val="MONTHWISE DETAIL"/>
      <sheetName val="SUMMARY"/>
      <sheetName val="DETAIL OF BANK STATEMENT"/>
      <sheetName val="PIVOT-PUR"/>
      <sheetName val="PUR_DATA"/>
      <sheetName val="PIVOT-SALE"/>
      <sheetName val="SALE_DATA"/>
    </sheetNames>
    <sheetDataSet>
      <sheetData sheetId="0" refreshError="1"/>
      <sheetData sheetId="1"/>
      <sheetData sheetId="2">
        <row r="2">
          <cell r="A2" t="str">
            <v>as per bank</v>
          </cell>
        </row>
        <row r="3">
          <cell r="A3" t="str">
            <v>as per books</v>
          </cell>
        </row>
      </sheetData>
      <sheetData sheetId="3">
        <row r="4">
          <cell r="A4" t="str">
            <v>APRIL</v>
          </cell>
        </row>
        <row r="5">
          <cell r="A5" t="str">
            <v>MAY</v>
          </cell>
        </row>
        <row r="6">
          <cell r="A6" t="str">
            <v>JUNE</v>
          </cell>
        </row>
        <row r="7">
          <cell r="A7" t="str">
            <v>JULY</v>
          </cell>
        </row>
        <row r="8">
          <cell r="A8" t="str">
            <v>AUGUST</v>
          </cell>
        </row>
        <row r="9">
          <cell r="A9" t="str">
            <v>SEPTEMBER</v>
          </cell>
        </row>
        <row r="10">
          <cell r="A10" t="str">
            <v>OCTOBER</v>
          </cell>
        </row>
        <row r="11">
          <cell r="A11" t="str">
            <v>NOVEMBER</v>
          </cell>
        </row>
        <row r="12">
          <cell r="A12" t="str">
            <v>DECEMBER</v>
          </cell>
        </row>
        <row r="13">
          <cell r="A13" t="str">
            <v>JANUARY</v>
          </cell>
        </row>
        <row r="14">
          <cell r="A14" t="str">
            <v>FEBRUARY</v>
          </cell>
        </row>
        <row r="15">
          <cell r="A15" t="str">
            <v>MARCH</v>
          </cell>
        </row>
      </sheetData>
      <sheetData sheetId="4" refreshError="1"/>
      <sheetData sheetId="5" refreshError="1"/>
      <sheetData sheetId="6" refreshError="1"/>
      <sheetData sheetId="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ce summary"/>
      <sheetName val="Amb Care"/>
      <sheetName val="Diagnostics"/>
      <sheetName val="OTs"/>
      <sheetName val="ICUs"/>
      <sheetName val="IntCareArea"/>
      <sheetName val="Amb Care_Charitable"/>
      <sheetName val="admn block"/>
      <sheetName val="PRJCOST PHASING"/>
      <sheetName val="LAND SITE"/>
      <sheetName val="BUILDING"/>
      <sheetName val="ENGINEERING"/>
      <sheetName val="Medical Equipment"/>
      <sheetName val="INTERIOR"/>
      <sheetName val="INFOTECH"/>
      <sheetName val="MC_Amt"/>
      <sheetName val="Cash Flow Working"/>
      <sheetName val="Other assumptions"/>
      <sheetName val="Balance Sht"/>
      <sheetName val="Assumptions"/>
      <sheetName val="Other Liabilities"/>
      <sheetName val="TB FOR MIS"/>
      <sheetName val="Opdata (2)"/>
      <sheetName val="SCH-2"/>
      <sheetName val="SCH-19-26"/>
      <sheetName val="PL"/>
      <sheetName val="Introduction"/>
      <sheetName val="#REF"/>
      <sheetName val="new_main_20K"/>
      <sheetName val="15-21"/>
      <sheetName val="Intaccrual"/>
      <sheetName val="Input"/>
      <sheetName val="Assumption Sheet"/>
      <sheetName val="SBU"/>
      <sheetName val="Detail P&amp;L"/>
      <sheetName val="Aladdin Macro1"/>
      <sheetName val="Performance Report"/>
      <sheetName val="LINK GAP"/>
      <sheetName val="Results"/>
      <sheetName val="PLGroupings"/>
      <sheetName val="Ind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E COST "/>
      <sheetName val="HO COST"/>
      <sheetName val="INTT PROJ."/>
      <sheetName val="MKT COST"/>
      <sheetName val="PTE COST "/>
      <sheetName val="LEASE"/>
      <sheetName val="LEASE(REV)"/>
      <sheetName val="CAA COST "/>
      <sheetName val="EV COST "/>
      <sheetName val="C COST SUMMARY "/>
      <sheetName val="C COST %TO BILL"/>
      <sheetName val="STORE COST"/>
      <sheetName val="Licences"/>
    </sheetNames>
    <sheetDataSet>
      <sheetData sheetId="0">
        <row r="2">
          <cell r="B2" t="str">
            <v>"C" COST - MARKETING</v>
          </cell>
        </row>
        <row r="54">
          <cell r="B54" t="str">
            <v>D. TOTAL FINANCE COST.</v>
          </cell>
        </row>
        <row r="55">
          <cell r="B55" t="str">
            <v xml:space="preserve">    1. PRP - Existing</v>
          </cell>
          <cell r="D55">
            <v>27.135833333333334</v>
          </cell>
          <cell r="F55">
            <v>22.57</v>
          </cell>
          <cell r="G55">
            <v>32.74</v>
          </cell>
          <cell r="H55">
            <v>13.940000000000001</v>
          </cell>
          <cell r="I55">
            <v>2.6900000000000013</v>
          </cell>
          <cell r="J55">
            <v>8.0308333333333355</v>
          </cell>
          <cell r="K55">
            <v>-3.9800000000000004</v>
          </cell>
          <cell r="L55">
            <v>-8.1924089250000005</v>
          </cell>
          <cell r="M55">
            <v>0</v>
          </cell>
          <cell r="N55">
            <v>-10.407911066666667</v>
          </cell>
          <cell r="O55">
            <v>-12.110697533333333</v>
          </cell>
        </row>
        <row r="56">
          <cell r="B56" t="str">
            <v xml:space="preserve">    2. Line - V</v>
          </cell>
          <cell r="D56">
            <v>27.570833333333336</v>
          </cell>
          <cell r="F56" t="str">
            <v>+F14+F29+#REF!; ERR</v>
          </cell>
          <cell r="G56">
            <v>53.79</v>
          </cell>
          <cell r="H56">
            <v>46.690000000000005</v>
          </cell>
          <cell r="I56">
            <v>47.709999999999994</v>
          </cell>
          <cell r="J56">
            <v>36.366666666666667</v>
          </cell>
          <cell r="K56">
            <v>39.410000000000004</v>
          </cell>
          <cell r="L56" t="e">
            <v>#VALUE!</v>
          </cell>
          <cell r="M56">
            <v>0</v>
          </cell>
          <cell r="N56" t="e">
            <v>#VALUE!</v>
          </cell>
          <cell r="O56" t="e">
            <v>#VALUE!</v>
          </cell>
        </row>
        <row r="57">
          <cell r="B57" t="str">
            <v xml:space="preserve">    3. Line - VI</v>
          </cell>
          <cell r="D57">
            <v>0</v>
          </cell>
          <cell r="F57" t="str">
            <v>+F15+#REF!+F32; ERR</v>
          </cell>
          <cell r="G57">
            <v>8.2100000000000009</v>
          </cell>
          <cell r="H57">
            <v>6.91</v>
          </cell>
          <cell r="I57">
            <v>7.08</v>
          </cell>
          <cell r="J57">
            <v>5.5375000000000005</v>
          </cell>
          <cell r="K57">
            <v>5.6083333333333325</v>
          </cell>
          <cell r="L57">
            <v>4.7421352333333324</v>
          </cell>
          <cell r="M57">
            <v>0</v>
          </cell>
          <cell r="N57">
            <v>4.1658385666666682</v>
          </cell>
          <cell r="O57">
            <v>4.4539869000000003</v>
          </cell>
        </row>
        <row r="58">
          <cell r="B58" t="str">
            <v xml:space="preserve">    4. Engine Valves (W/o Expansion)</v>
          </cell>
          <cell r="D58">
            <v>22.666666666666668</v>
          </cell>
          <cell r="F58">
            <v>26.229166666666664</v>
          </cell>
          <cell r="G58">
            <v>31.970833333333331</v>
          </cell>
          <cell r="H58">
            <v>37.5</v>
          </cell>
          <cell r="I58">
            <v>32.1</v>
          </cell>
          <cell r="J58">
            <v>35.909999999999997</v>
          </cell>
          <cell r="K58">
            <v>35.79</v>
          </cell>
          <cell r="L58">
            <v>35.721107500000002</v>
          </cell>
          <cell r="M58">
            <v>0</v>
          </cell>
          <cell r="N58">
            <v>35.721107500000002</v>
          </cell>
          <cell r="O58">
            <v>35.721107500000002</v>
          </cell>
        </row>
        <row r="59">
          <cell r="B59" t="str">
            <v xml:space="preserve">    5. Expn.        - Ring Expansion</v>
          </cell>
          <cell r="D59">
            <v>12.630833333333333</v>
          </cell>
          <cell r="F59" t="str">
            <v>+F30+#REF!; ERR</v>
          </cell>
          <cell r="G59">
            <v>19.36</v>
          </cell>
          <cell r="H59">
            <v>63.28</v>
          </cell>
          <cell r="I59">
            <v>66.14</v>
          </cell>
          <cell r="J59">
            <v>62.921666666666667</v>
          </cell>
          <cell r="K59">
            <v>60.015000000000001</v>
          </cell>
          <cell r="L59">
            <v>56.515950458333343</v>
          </cell>
          <cell r="M59">
            <v>0</v>
          </cell>
          <cell r="N59">
            <v>53.415950458333334</v>
          </cell>
          <cell r="O59">
            <v>54.965950458333339</v>
          </cell>
        </row>
        <row r="60">
          <cell r="B60" t="str">
            <v xml:space="preserve">                          - Steel Ring</v>
          </cell>
          <cell r="G60">
            <v>0</v>
          </cell>
        </row>
        <row r="61">
          <cell r="B61" t="str">
            <v xml:space="preserve">                          - DVM Ring</v>
          </cell>
          <cell r="H61">
            <v>3.81</v>
          </cell>
          <cell r="I61">
            <v>0.44</v>
          </cell>
          <cell r="J61">
            <v>4.38225</v>
          </cell>
          <cell r="K61">
            <v>2.1095969999999999</v>
          </cell>
          <cell r="L61">
            <v>3.2603</v>
          </cell>
          <cell r="M61">
            <v>0</v>
          </cell>
          <cell r="N61">
            <v>2.9269249999999998</v>
          </cell>
          <cell r="O61">
            <v>3.0936124999999999</v>
          </cell>
        </row>
        <row r="62">
          <cell r="B62" t="str">
            <v xml:space="preserve">                          - Small Valves</v>
          </cell>
          <cell r="F62">
            <v>0</v>
          </cell>
          <cell r="G62">
            <v>0</v>
          </cell>
          <cell r="H62">
            <v>2.2799999999999998</v>
          </cell>
          <cell r="I62">
            <v>0.28000000000000003</v>
          </cell>
          <cell r="J62">
            <v>2.7980833333333335</v>
          </cell>
          <cell r="K62">
            <v>1.3447000000000002</v>
          </cell>
          <cell r="L62">
            <v>2.5300000000000002</v>
          </cell>
          <cell r="M62">
            <v>0</v>
          </cell>
          <cell r="N62">
            <v>2.3174999999999999</v>
          </cell>
          <cell r="O62">
            <v>2.4237500000000001</v>
          </cell>
        </row>
        <row r="63">
          <cell r="B63" t="str">
            <v xml:space="preserve">                          - Line VII</v>
          </cell>
          <cell r="F63">
            <v>0</v>
          </cell>
          <cell r="G63" t="e">
            <v>#VALUE!</v>
          </cell>
          <cell r="H63">
            <v>0</v>
          </cell>
          <cell r="I63">
            <v>0.94</v>
          </cell>
          <cell r="J63">
            <v>9.2446666666666673</v>
          </cell>
          <cell r="K63">
            <v>4.4557030000000006</v>
          </cell>
          <cell r="L63">
            <v>7.2896999999999998</v>
          </cell>
          <cell r="M63">
            <v>0</v>
          </cell>
          <cell r="N63">
            <v>6.5855750000000004</v>
          </cell>
          <cell r="O63">
            <v>6.937637500000001</v>
          </cell>
        </row>
        <row r="64">
          <cell r="B64" t="str">
            <v xml:space="preserve">                          - Line VIII / Land</v>
          </cell>
          <cell r="G64" t="e">
            <v>#VALUE!</v>
          </cell>
          <cell r="H64">
            <v>0</v>
          </cell>
          <cell r="I64" t="e">
            <v>#VALUE!</v>
          </cell>
          <cell r="J64" t="e">
            <v>#VALUE!</v>
          </cell>
          <cell r="K64">
            <v>0</v>
          </cell>
          <cell r="L64">
            <v>7.1944444444444446</v>
          </cell>
          <cell r="M64">
            <v>0</v>
          </cell>
          <cell r="N64">
            <v>28</v>
          </cell>
          <cell r="O64">
            <v>17.597222222222221</v>
          </cell>
        </row>
        <row r="65">
          <cell r="B65" t="str">
            <v xml:space="preserve">                          - Line IX</v>
          </cell>
          <cell r="G65">
            <v>0</v>
          </cell>
          <cell r="H65">
            <v>0</v>
          </cell>
          <cell r="I65">
            <v>0</v>
          </cell>
          <cell r="J65">
            <v>0</v>
          </cell>
          <cell r="K65">
            <v>0</v>
          </cell>
          <cell r="L65">
            <v>0.46</v>
          </cell>
          <cell r="M65">
            <v>0</v>
          </cell>
          <cell r="N65">
            <v>6.293333333333333</v>
          </cell>
          <cell r="O65">
            <v>3.3766666666666665</v>
          </cell>
        </row>
        <row r="66">
          <cell r="B66" t="str">
            <v xml:space="preserve">                          - Engine Valve Expansion</v>
          </cell>
          <cell r="G66">
            <v>3.3766651153564453</v>
          </cell>
          <cell r="H66">
            <v>3.3766651153564453</v>
          </cell>
          <cell r="I66">
            <v>3.3766651153564453</v>
          </cell>
          <cell r="J66">
            <v>3.3766651153564453</v>
          </cell>
          <cell r="K66">
            <v>0</v>
          </cell>
          <cell r="L66">
            <v>0.22</v>
          </cell>
          <cell r="M66">
            <v>0</v>
          </cell>
          <cell r="N66">
            <v>3.0200000000000005</v>
          </cell>
          <cell r="O66">
            <v>1.62</v>
          </cell>
        </row>
        <row r="67">
          <cell r="B67" t="str">
            <v xml:space="preserve">    6. Special projects R&amp;D / IT/Others</v>
          </cell>
          <cell r="G67">
            <v>1.619999885559082</v>
          </cell>
          <cell r="H67">
            <v>1.619999885559082</v>
          </cell>
          <cell r="I67">
            <v>1.619999885559082</v>
          </cell>
          <cell r="J67">
            <v>2.94</v>
          </cell>
          <cell r="K67">
            <v>2.9399986267089844</v>
          </cell>
        </row>
        <row r="69">
          <cell r="B69" t="str">
            <v xml:space="preserve">  T O T A L :</v>
          </cell>
          <cell r="C69">
            <v>2.9399986267089844</v>
          </cell>
          <cell r="D69">
            <v>90.004166666666663</v>
          </cell>
          <cell r="F69">
            <v>48.799166666666665</v>
          </cell>
          <cell r="G69" t="e">
            <v>#VALUE!</v>
          </cell>
          <cell r="H69">
            <v>174.41</v>
          </cell>
          <cell r="I69" t="e">
            <v>#VALUE!</v>
          </cell>
          <cell r="J69" t="e">
            <v>#VALUE!</v>
          </cell>
          <cell r="K69">
            <v>144.75333333333336</v>
          </cell>
          <cell r="L69" t="e">
            <v>#VALUE!</v>
          </cell>
          <cell r="M69">
            <v>0</v>
          </cell>
          <cell r="N69" t="e">
            <v>#VALUE!</v>
          </cell>
          <cell r="O69" t="e">
            <v>#VALUE!</v>
          </cell>
        </row>
        <row r="71">
          <cell r="B71" t="str">
            <v xml:space="preserve">      NOTES :   Additional term loan during 2001-2002 has been considered as under :</v>
          </cell>
        </row>
        <row r="72">
          <cell r="C72">
            <v>0</v>
          </cell>
          <cell r="E72">
            <v>0</v>
          </cell>
        </row>
        <row r="73">
          <cell r="C73" t="str">
            <v>- Line VIII / Land - Rs. 22.00 Cr.</v>
          </cell>
          <cell r="E73">
            <v>0</v>
          </cell>
        </row>
        <row r="74">
          <cell r="C74" t="str">
            <v>- Line IX - Rs. 5.00 Cr.</v>
          </cell>
        </row>
        <row r="75">
          <cell r="C75" t="str">
            <v>- EV Exp.  Rs. 2.5 Cr.</v>
          </cell>
        </row>
        <row r="76">
          <cell r="E76">
            <v>0</v>
          </cell>
        </row>
      </sheetData>
      <sheetData sheetId="1">
        <row r="2">
          <cell r="B2" t="str">
            <v>"C" COST  - PRP (PTE)</v>
          </cell>
          <cell r="C2" t="str">
            <v>"C" COST  - HEAD OFFICE</v>
          </cell>
        </row>
        <row r="4">
          <cell r="C4" t="str">
            <v>PARTICULARS</v>
          </cell>
          <cell r="E4" t="str">
            <v>SEE</v>
          </cell>
          <cell r="F4" t="str">
            <v>Y. E. M A R C H</v>
          </cell>
        </row>
        <row r="5">
          <cell r="D5" t="str">
            <v>SEE</v>
          </cell>
          <cell r="E5" t="str">
            <v>NOTE</v>
          </cell>
          <cell r="H5">
            <v>2000</v>
          </cell>
          <cell r="J5">
            <v>2001</v>
          </cell>
          <cell r="L5">
            <v>2002</v>
          </cell>
        </row>
        <row r="6">
          <cell r="H6" t="str">
            <v>BUDGET</v>
          </cell>
          <cell r="I6" t="str">
            <v>ACTUAL</v>
          </cell>
          <cell r="J6" t="str">
            <v>BUDGET</v>
          </cell>
          <cell r="K6" t="str">
            <v>ACTUAL</v>
          </cell>
          <cell r="L6" t="str">
            <v>APR-SEP 01</v>
          </cell>
          <cell r="N6" t="str">
            <v>OCT-MAR01</v>
          </cell>
        </row>
        <row r="7">
          <cell r="D7" t="str">
            <v>NOTE</v>
          </cell>
          <cell r="E7" t="str">
            <v>1997</v>
          </cell>
          <cell r="F7" t="str">
            <v>1997</v>
          </cell>
          <cell r="G7">
            <v>1999</v>
          </cell>
          <cell r="L7" t="str">
            <v>BUDGET</v>
          </cell>
          <cell r="M7" t="str">
            <v>ACTUAL</v>
          </cell>
          <cell r="N7" t="str">
            <v>ORIGINAL</v>
          </cell>
          <cell r="O7" t="str">
            <v>REVISED</v>
          </cell>
        </row>
        <row r="8">
          <cell r="E8" t="str">
            <v>L/R/M</v>
          </cell>
          <cell r="F8" t="str">
            <v>L/R/M</v>
          </cell>
          <cell r="G8" t="str">
            <v>L/R/M</v>
          </cell>
          <cell r="H8" t="str">
            <v>L/R/M</v>
          </cell>
          <cell r="I8" t="str">
            <v>L/R/M</v>
          </cell>
          <cell r="J8" t="str">
            <v>L/R/M</v>
          </cell>
          <cell r="K8" t="str">
            <v>L/R/M</v>
          </cell>
          <cell r="L8" t="str">
            <v>L/R/M</v>
          </cell>
          <cell r="M8" t="str">
            <v>L/R/M</v>
          </cell>
          <cell r="N8" t="str">
            <v>L/R/M</v>
          </cell>
          <cell r="O8" t="str">
            <v>L/R/M</v>
          </cell>
        </row>
        <row r="9">
          <cell r="C9" t="str">
            <v>-SALARIES/WAGES - EXISTING</v>
          </cell>
          <cell r="D9">
            <v>1</v>
          </cell>
          <cell r="E9">
            <v>72.099999999999994</v>
          </cell>
          <cell r="F9">
            <v>84.46</v>
          </cell>
          <cell r="G9">
            <v>97.5</v>
          </cell>
          <cell r="H9">
            <v>126.7</v>
          </cell>
          <cell r="I9">
            <v>119.83</v>
          </cell>
          <cell r="J9">
            <v>144.96</v>
          </cell>
          <cell r="K9">
            <v>136.75</v>
          </cell>
          <cell r="L9">
            <v>153.41</v>
          </cell>
          <cell r="N9">
            <v>153.41</v>
          </cell>
          <cell r="O9">
            <v>153.409912109375</v>
          </cell>
        </row>
        <row r="10">
          <cell r="C10" t="str">
            <v xml:space="preserve"> A. PERSONNEL </v>
          </cell>
          <cell r="D10" t="str">
            <v xml:space="preserve"> - Salaries - Existing</v>
          </cell>
          <cell r="E10">
            <v>1</v>
          </cell>
          <cell r="F10">
            <v>16.2</v>
          </cell>
          <cell r="G10">
            <v>16.63</v>
          </cell>
          <cell r="H10">
            <v>17.82</v>
          </cell>
          <cell r="I10">
            <v>16.899999999999999</v>
          </cell>
          <cell r="J10">
            <v>19.489999999999998</v>
          </cell>
          <cell r="K10">
            <v>21.9</v>
          </cell>
          <cell r="L10">
            <v>19.75</v>
          </cell>
          <cell r="N10">
            <v>19.75</v>
          </cell>
          <cell r="O10">
            <v>19.75</v>
          </cell>
        </row>
        <row r="11">
          <cell r="C11" t="str">
            <v>- Total :</v>
          </cell>
          <cell r="D11" t="str">
            <v xml:space="preserve"> - Additions/Vacancies</v>
          </cell>
          <cell r="E11">
            <v>72.099999999999994</v>
          </cell>
          <cell r="F11">
            <v>84.46</v>
          </cell>
          <cell r="G11">
            <v>0</v>
          </cell>
          <cell r="H11">
            <v>126.7</v>
          </cell>
          <cell r="I11">
            <v>119.83</v>
          </cell>
          <cell r="J11">
            <v>144.96</v>
          </cell>
          <cell r="K11">
            <v>0</v>
          </cell>
          <cell r="L11">
            <v>0</v>
          </cell>
          <cell r="M11">
            <v>0</v>
          </cell>
          <cell r="N11">
            <v>0</v>
          </cell>
          <cell r="O11">
            <v>0</v>
          </cell>
        </row>
        <row r="12">
          <cell r="D12" t="str">
            <v xml:space="preserve"> -  Medical Expenses (Corporate)</v>
          </cell>
          <cell r="G12">
            <v>0.46</v>
          </cell>
          <cell r="H12">
            <v>0.5</v>
          </cell>
          <cell r="I12">
            <v>0.54</v>
          </cell>
          <cell r="J12">
            <v>0.5</v>
          </cell>
          <cell r="K12">
            <v>0.56000000000000005</v>
          </cell>
          <cell r="L12">
            <v>0.5</v>
          </cell>
          <cell r="N12">
            <v>0.5</v>
          </cell>
          <cell r="O12">
            <v>0.5</v>
          </cell>
        </row>
        <row r="13">
          <cell r="D13" t="str">
            <v xml:space="preserve"> - Personnel Development Exps.</v>
          </cell>
          <cell r="E13">
            <v>2</v>
          </cell>
          <cell r="G13">
            <v>1.25</v>
          </cell>
          <cell r="H13">
            <v>4.62</v>
          </cell>
          <cell r="I13">
            <v>1.69</v>
          </cell>
          <cell r="J13">
            <v>3.45</v>
          </cell>
          <cell r="K13">
            <v>2.59</v>
          </cell>
          <cell r="L13">
            <v>2.86</v>
          </cell>
          <cell r="N13">
            <v>2.86</v>
          </cell>
          <cell r="O13">
            <v>2.86</v>
          </cell>
        </row>
        <row r="14">
          <cell r="C14" t="str">
            <v xml:space="preserve"> - Consumption       </v>
          </cell>
          <cell r="D14" t="str">
            <v xml:space="preserve"> - Total :</v>
          </cell>
          <cell r="E14">
            <v>35.82</v>
          </cell>
          <cell r="F14">
            <v>16.2</v>
          </cell>
          <cell r="G14">
            <v>18.34</v>
          </cell>
          <cell r="H14">
            <v>22.94</v>
          </cell>
          <cell r="I14">
            <v>19.13</v>
          </cell>
          <cell r="J14">
            <v>23.439999999999998</v>
          </cell>
          <cell r="K14">
            <v>25.049999999999997</v>
          </cell>
          <cell r="L14">
            <v>23.11</v>
          </cell>
          <cell r="M14">
            <v>0</v>
          </cell>
          <cell r="N14">
            <v>23.11</v>
          </cell>
          <cell r="O14">
            <v>23.11</v>
          </cell>
        </row>
        <row r="15">
          <cell r="C15" t="str">
            <v xml:space="preserve"> B. PREMISES</v>
          </cell>
          <cell r="D15" t="str">
            <v xml:space="preserve"> - Rent</v>
          </cell>
          <cell r="E15">
            <v>1.2116666666666667</v>
          </cell>
          <cell r="F15">
            <v>0.65749999999999986</v>
          </cell>
          <cell r="G15">
            <v>2.2599999999999998</v>
          </cell>
          <cell r="H15">
            <v>1.75</v>
          </cell>
          <cell r="I15">
            <v>1.38</v>
          </cell>
          <cell r="J15">
            <v>2.0699999999999998</v>
          </cell>
          <cell r="K15">
            <v>3.06</v>
          </cell>
          <cell r="L15">
            <v>2.5299999999999998</v>
          </cell>
          <cell r="N15">
            <v>2.5299999999999998</v>
          </cell>
          <cell r="O15">
            <v>2.5299999999999998</v>
          </cell>
        </row>
        <row r="16">
          <cell r="C16" t="str">
            <v xml:space="preserve"> - Freight Inward</v>
          </cell>
          <cell r="D16" t="str">
            <v xml:space="preserve"> - Rates &amp; Taxes</v>
          </cell>
          <cell r="E16">
            <v>1.9608333333333334</v>
          </cell>
          <cell r="F16">
            <v>0.76500000000000001</v>
          </cell>
          <cell r="G16">
            <v>0.37</v>
          </cell>
          <cell r="H16">
            <v>0.1</v>
          </cell>
          <cell r="I16">
            <v>0.45</v>
          </cell>
          <cell r="J16">
            <v>0.3</v>
          </cell>
          <cell r="K16">
            <v>0.17</v>
          </cell>
          <cell r="L16">
            <v>0.3</v>
          </cell>
          <cell r="N16">
            <v>0.3</v>
          </cell>
          <cell r="O16">
            <v>0.3</v>
          </cell>
        </row>
        <row r="17">
          <cell r="C17" t="str">
            <v xml:space="preserve"> - Safety Expenses </v>
          </cell>
          <cell r="D17" t="str">
            <v xml:space="preserve"> - Office &amp; Gen. Expenses</v>
          </cell>
          <cell r="E17">
            <v>0.29166666666666669</v>
          </cell>
          <cell r="F17">
            <v>1.2516666666666667</v>
          </cell>
          <cell r="G17">
            <v>2.54</v>
          </cell>
          <cell r="H17">
            <v>2.0299999999999998</v>
          </cell>
          <cell r="I17">
            <v>2.17</v>
          </cell>
          <cell r="J17">
            <v>3.5</v>
          </cell>
          <cell r="K17">
            <v>4.1900000000000004</v>
          </cell>
          <cell r="L17">
            <v>3.5</v>
          </cell>
          <cell r="N17">
            <v>3.5</v>
          </cell>
          <cell r="O17">
            <v>3.5</v>
          </cell>
        </row>
        <row r="18">
          <cell r="C18" t="str">
            <v xml:space="preserve"> - Total :</v>
          </cell>
          <cell r="D18" t="str">
            <v xml:space="preserve"> - Total :</v>
          </cell>
          <cell r="E18">
            <v>39.284166666666664</v>
          </cell>
          <cell r="F18">
            <v>2.6741666666666664</v>
          </cell>
          <cell r="G18">
            <v>5.17</v>
          </cell>
          <cell r="H18">
            <v>3.88</v>
          </cell>
          <cell r="I18">
            <v>4</v>
          </cell>
          <cell r="J18">
            <v>5.8699999999999992</v>
          </cell>
          <cell r="K18">
            <v>7.42</v>
          </cell>
          <cell r="L18">
            <v>6.33</v>
          </cell>
          <cell r="M18">
            <v>0</v>
          </cell>
          <cell r="N18">
            <v>6.33</v>
          </cell>
          <cell r="O18">
            <v>6.33</v>
          </cell>
        </row>
        <row r="19">
          <cell r="C19" t="str">
            <v xml:space="preserve"> C. TRAVELLING</v>
          </cell>
          <cell r="D19" t="str">
            <v xml:space="preserve"> - Domestic</v>
          </cell>
          <cell r="E19">
            <v>3.3049999999999997</v>
          </cell>
          <cell r="F19">
            <v>0.28833333333333333</v>
          </cell>
          <cell r="G19">
            <v>1.21</v>
          </cell>
          <cell r="H19">
            <v>0.7</v>
          </cell>
          <cell r="I19">
            <v>1.17</v>
          </cell>
          <cell r="J19">
            <v>0.8</v>
          </cell>
          <cell r="K19">
            <v>1.42</v>
          </cell>
          <cell r="L19">
            <v>0.8</v>
          </cell>
          <cell r="N19">
            <v>0.8</v>
          </cell>
          <cell r="O19">
            <v>0.8</v>
          </cell>
        </row>
        <row r="20">
          <cell r="C20" t="str">
            <v xml:space="preserve"> - Machines</v>
          </cell>
          <cell r="D20" t="str">
            <v xml:space="preserve"> - Foreign</v>
          </cell>
          <cell r="E20">
            <v>3</v>
          </cell>
          <cell r="F20">
            <v>4.2875000000000005</v>
          </cell>
          <cell r="G20">
            <v>2.76</v>
          </cell>
          <cell r="H20">
            <v>3</v>
          </cell>
          <cell r="I20">
            <v>3.37</v>
          </cell>
          <cell r="J20">
            <v>4</v>
          </cell>
          <cell r="K20">
            <v>1.81</v>
          </cell>
          <cell r="L20">
            <v>3.1</v>
          </cell>
          <cell r="N20">
            <v>3.1</v>
          </cell>
          <cell r="O20">
            <v>3.1</v>
          </cell>
        </row>
        <row r="21">
          <cell r="C21" t="str">
            <v xml:space="preserve"> - Total :</v>
          </cell>
          <cell r="D21" t="str">
            <v xml:space="preserve"> - Total :</v>
          </cell>
          <cell r="E21">
            <v>5.645833333333333</v>
          </cell>
          <cell r="F21">
            <v>4.5758333333333336</v>
          </cell>
          <cell r="G21">
            <v>3.9699999999999998</v>
          </cell>
          <cell r="H21">
            <v>3.7</v>
          </cell>
          <cell r="I21">
            <v>4.54</v>
          </cell>
          <cell r="J21">
            <v>4.8</v>
          </cell>
          <cell r="K21">
            <v>3.23</v>
          </cell>
          <cell r="L21">
            <v>3.9000000000000004</v>
          </cell>
          <cell r="M21">
            <v>0</v>
          </cell>
          <cell r="N21">
            <v>3.9000000000000004</v>
          </cell>
          <cell r="O21">
            <v>3.9000000000000004</v>
          </cell>
        </row>
        <row r="22">
          <cell r="C22" t="str">
            <v xml:space="preserve"> D. ADMINISTRATION</v>
          </cell>
          <cell r="E22">
            <v>44.93</v>
          </cell>
          <cell r="F22">
            <v>42.569999999999993</v>
          </cell>
          <cell r="G22">
            <v>47.09</v>
          </cell>
          <cell r="H22">
            <v>56.65</v>
          </cell>
          <cell r="I22">
            <v>52.429999999999993</v>
          </cell>
          <cell r="J22">
            <v>52.42999267578125</v>
          </cell>
          <cell r="K22">
            <v>59.86</v>
          </cell>
          <cell r="L22">
            <v>74.319999999999993</v>
          </cell>
          <cell r="M22">
            <v>0</v>
          </cell>
          <cell r="N22">
            <v>74.319999999999993</v>
          </cell>
          <cell r="O22">
            <v>72.23</v>
          </cell>
        </row>
        <row r="23">
          <cell r="D23" t="str">
            <v xml:space="preserve"> - Printing &amp; Stationery</v>
          </cell>
          <cell r="E23">
            <v>1.0691666666666666</v>
          </cell>
          <cell r="F23">
            <v>1.3316666666666668</v>
          </cell>
          <cell r="G23">
            <v>1.48</v>
          </cell>
          <cell r="H23">
            <v>1.2</v>
          </cell>
          <cell r="I23">
            <v>1.47</v>
          </cell>
          <cell r="J23">
            <v>2.12</v>
          </cell>
          <cell r="K23">
            <v>1.56</v>
          </cell>
          <cell r="L23">
            <v>2.11</v>
          </cell>
          <cell r="N23">
            <v>2.11</v>
          </cell>
          <cell r="O23">
            <v>2.11</v>
          </cell>
        </row>
        <row r="24">
          <cell r="C24" t="str">
            <v xml:space="preserve">                         -  Line VIII / IX</v>
          </cell>
          <cell r="D24" t="str">
            <v xml:space="preserve"> - Communications</v>
          </cell>
          <cell r="F24">
            <v>2.1658333333333331</v>
          </cell>
          <cell r="G24">
            <v>4.63</v>
          </cell>
          <cell r="H24">
            <v>4</v>
          </cell>
          <cell r="I24">
            <v>5.46</v>
          </cell>
          <cell r="J24">
            <v>6.41</v>
          </cell>
          <cell r="K24">
            <v>5.15</v>
          </cell>
          <cell r="L24">
            <v>6.19</v>
          </cell>
          <cell r="N24">
            <v>6.19</v>
          </cell>
          <cell r="O24">
            <v>6.19</v>
          </cell>
        </row>
        <row r="25">
          <cell r="C25" t="str">
            <v xml:space="preserve">       - Foreign      - Normal</v>
          </cell>
          <cell r="D25" t="str">
            <v xml:space="preserve"> - Conveyance</v>
          </cell>
          <cell r="E25">
            <v>1.1116666666666666</v>
          </cell>
          <cell r="F25">
            <v>1.0216666666666667</v>
          </cell>
          <cell r="G25">
            <v>1.06</v>
          </cell>
          <cell r="H25">
            <v>1</v>
          </cell>
          <cell r="I25">
            <v>0.73</v>
          </cell>
          <cell r="J25">
            <v>1</v>
          </cell>
          <cell r="K25">
            <v>1.1499999999999999</v>
          </cell>
          <cell r="L25">
            <v>1</v>
          </cell>
          <cell r="N25">
            <v>1</v>
          </cell>
          <cell r="O25">
            <v>1</v>
          </cell>
        </row>
        <row r="26">
          <cell r="C26" t="str">
            <v xml:space="preserve">                         - Line VIII / IX</v>
          </cell>
          <cell r="D26" t="str">
            <v xml:space="preserve"> - Public relations</v>
          </cell>
          <cell r="F26">
            <v>1.2950000000000002</v>
          </cell>
          <cell r="G26">
            <v>1.48</v>
          </cell>
          <cell r="H26">
            <v>1.25</v>
          </cell>
          <cell r="I26">
            <v>2</v>
          </cell>
          <cell r="J26">
            <v>1.8</v>
          </cell>
          <cell r="K26">
            <v>2</v>
          </cell>
          <cell r="L26">
            <v>2.33</v>
          </cell>
          <cell r="N26">
            <v>2.33</v>
          </cell>
          <cell r="O26">
            <v>2.33</v>
          </cell>
        </row>
        <row r="27">
          <cell r="C27" t="str">
            <v xml:space="preserve"> - Total :</v>
          </cell>
          <cell r="D27" t="str">
            <v xml:space="preserve"> - Legal &amp; Professional Fee</v>
          </cell>
          <cell r="E27">
            <v>4</v>
          </cell>
          <cell r="F27">
            <v>1.7383333333333333</v>
          </cell>
          <cell r="G27">
            <v>2.17</v>
          </cell>
          <cell r="H27">
            <v>1.25</v>
          </cell>
          <cell r="I27">
            <v>1.86</v>
          </cell>
          <cell r="J27">
            <v>1.75</v>
          </cell>
          <cell r="K27">
            <v>3.71</v>
          </cell>
          <cell r="L27">
            <v>3.7</v>
          </cell>
          <cell r="M27">
            <v>0</v>
          </cell>
          <cell r="N27">
            <v>3.7</v>
          </cell>
          <cell r="O27">
            <v>3.7</v>
          </cell>
        </row>
        <row r="28">
          <cell r="C28" t="str">
            <v xml:space="preserve"> - Foreign Tech. Exps./Knowhow Fees</v>
          </cell>
          <cell r="D28" t="str">
            <v xml:space="preserve"> - Assn. Memb. Fee</v>
          </cell>
          <cell r="E28">
            <v>0.80583333333333329</v>
          </cell>
          <cell r="F28">
            <v>0.3125</v>
          </cell>
          <cell r="G28">
            <v>0.26</v>
          </cell>
          <cell r="H28">
            <v>0.4</v>
          </cell>
          <cell r="I28">
            <v>0.38</v>
          </cell>
          <cell r="J28">
            <v>0.5</v>
          </cell>
          <cell r="K28">
            <v>0.19</v>
          </cell>
          <cell r="L28">
            <v>1</v>
          </cell>
          <cell r="N28">
            <v>1</v>
          </cell>
          <cell r="O28">
            <v>1</v>
          </cell>
        </row>
        <row r="29">
          <cell r="C29" t="str">
            <v xml:space="preserve"> - Insurance on Assets</v>
          </cell>
          <cell r="D29" t="str">
            <v xml:space="preserve"> - Advertisement</v>
          </cell>
          <cell r="E29">
            <v>5.0941666666666672</v>
          </cell>
          <cell r="F29">
            <v>0.46333333333333337</v>
          </cell>
          <cell r="G29">
            <v>0.42</v>
          </cell>
          <cell r="H29">
            <v>0.5</v>
          </cell>
          <cell r="I29">
            <v>0.53</v>
          </cell>
          <cell r="J29">
            <v>0.65</v>
          </cell>
          <cell r="K29">
            <v>0.64</v>
          </cell>
          <cell r="L29">
            <v>0.79</v>
          </cell>
          <cell r="N29">
            <v>0.79</v>
          </cell>
          <cell r="O29">
            <v>0.79</v>
          </cell>
        </row>
        <row r="30">
          <cell r="C30" t="str">
            <v xml:space="preserve"> - Total :</v>
          </cell>
          <cell r="D30" t="str">
            <v xml:space="preserve"> - Repairs - Equipments</v>
          </cell>
          <cell r="E30">
            <v>5</v>
          </cell>
          <cell r="F30">
            <v>0.66416666666666668</v>
          </cell>
          <cell r="G30">
            <v>1.19</v>
          </cell>
          <cell r="H30">
            <v>1.05</v>
          </cell>
          <cell r="I30">
            <v>0.73</v>
          </cell>
          <cell r="J30">
            <v>1.3</v>
          </cell>
          <cell r="K30">
            <v>0.66</v>
          </cell>
          <cell r="L30">
            <v>1.44</v>
          </cell>
          <cell r="M30">
            <v>0</v>
          </cell>
          <cell r="N30">
            <v>1.44</v>
          </cell>
          <cell r="O30">
            <v>1.44</v>
          </cell>
        </row>
        <row r="31">
          <cell r="C31" t="str">
            <v>- Overhauling</v>
          </cell>
          <cell r="D31" t="str">
            <v xml:space="preserve"> - Misc. Exp.</v>
          </cell>
          <cell r="E31">
            <v>9.9</v>
          </cell>
          <cell r="F31">
            <v>4.0833333333333333E-2</v>
          </cell>
          <cell r="G31">
            <v>0.25</v>
          </cell>
          <cell r="H31">
            <v>0.02</v>
          </cell>
          <cell r="I31">
            <v>0.08</v>
          </cell>
          <cell r="J31">
            <v>0.15</v>
          </cell>
          <cell r="K31">
            <v>7.0000000000000007E-2</v>
          </cell>
          <cell r="L31">
            <v>0.17</v>
          </cell>
          <cell r="N31">
            <v>0.17</v>
          </cell>
          <cell r="O31">
            <v>0.17</v>
          </cell>
        </row>
        <row r="32">
          <cell r="C32" t="str">
            <v>- Others</v>
          </cell>
          <cell r="D32" t="str">
            <v xml:space="preserve"> - Total :</v>
          </cell>
          <cell r="E32">
            <v>0.16999995708465576</v>
          </cell>
          <cell r="F32">
            <v>9.0333333333333332</v>
          </cell>
          <cell r="G32">
            <v>12.94</v>
          </cell>
          <cell r="H32">
            <v>10.67</v>
          </cell>
          <cell r="I32">
            <v>13.24</v>
          </cell>
          <cell r="J32">
            <v>15.680000000000003</v>
          </cell>
          <cell r="K32">
            <v>15.13</v>
          </cell>
          <cell r="L32">
            <v>18.730000000000004</v>
          </cell>
          <cell r="M32">
            <v>0</v>
          </cell>
          <cell r="N32">
            <v>18.730000000000004</v>
          </cell>
          <cell r="O32">
            <v>18.730000000000004</v>
          </cell>
        </row>
        <row r="33">
          <cell r="C33" t="str">
            <v>- For Quality Upgradation</v>
          </cell>
          <cell r="L33">
            <v>13.13</v>
          </cell>
          <cell r="N33">
            <v>13.13</v>
          </cell>
          <cell r="O33">
            <v>13.13</v>
          </cell>
        </row>
        <row r="34">
          <cell r="C34" t="str">
            <v xml:space="preserve"> E. CORPORATE</v>
          </cell>
          <cell r="D34" t="str">
            <v xml:space="preserve"> - Directors Expenses</v>
          </cell>
          <cell r="F34">
            <v>2.5608333333333331</v>
          </cell>
          <cell r="G34">
            <v>2.0699999999999998</v>
          </cell>
          <cell r="H34">
            <v>3.6</v>
          </cell>
          <cell r="I34">
            <v>2.34</v>
          </cell>
          <cell r="J34">
            <v>4.5</v>
          </cell>
          <cell r="K34">
            <v>1.7625</v>
          </cell>
          <cell r="L34">
            <v>3.22</v>
          </cell>
          <cell r="M34">
            <v>0</v>
          </cell>
          <cell r="N34">
            <v>3.22</v>
          </cell>
          <cell r="O34">
            <v>3.22</v>
          </cell>
        </row>
        <row r="35">
          <cell r="C35" t="str">
            <v xml:space="preserve">    - Hiring of D.G. Set</v>
          </cell>
          <cell r="D35" t="str">
            <v xml:space="preserve"> - Commission</v>
          </cell>
          <cell r="E35">
            <v>3.4608333333333334</v>
          </cell>
          <cell r="F35">
            <v>3.5</v>
          </cell>
          <cell r="G35">
            <v>3.37</v>
          </cell>
          <cell r="H35">
            <v>6.5</v>
          </cell>
          <cell r="I35">
            <v>5.28</v>
          </cell>
          <cell r="J35">
            <v>9</v>
          </cell>
          <cell r="K35">
            <v>7.72</v>
          </cell>
          <cell r="L35">
            <v>7.5</v>
          </cell>
          <cell r="N35">
            <v>7.5</v>
          </cell>
          <cell r="O35">
            <v>7.5</v>
          </cell>
        </row>
        <row r="36">
          <cell r="C36" t="str">
            <v xml:space="preserve">    - Building Repairs/ Additions</v>
          </cell>
          <cell r="D36" t="str">
            <v xml:space="preserve"> - Recruitment Expenses</v>
          </cell>
          <cell r="E36">
            <v>3.8933333333333331</v>
          </cell>
          <cell r="F36">
            <v>1.2033333333333334</v>
          </cell>
          <cell r="G36">
            <v>0.7</v>
          </cell>
          <cell r="H36">
            <v>1.67</v>
          </cell>
          <cell r="I36">
            <v>0.66</v>
          </cell>
          <cell r="J36">
            <v>2.1666666666666701</v>
          </cell>
          <cell r="K36">
            <v>1.5</v>
          </cell>
          <cell r="L36">
            <v>1.3</v>
          </cell>
          <cell r="N36">
            <v>1.3</v>
          </cell>
          <cell r="O36">
            <v>1.3</v>
          </cell>
        </row>
        <row r="37">
          <cell r="C37" t="str">
            <v xml:space="preserve">    - ISO 1400 / QS 9000/ 5 'S'</v>
          </cell>
          <cell r="D37" t="str">
            <v xml:space="preserve"> - Total :</v>
          </cell>
          <cell r="E37">
            <v>0.23</v>
          </cell>
          <cell r="F37">
            <v>3.7641666666666662</v>
          </cell>
          <cell r="G37">
            <v>6.14</v>
          </cell>
          <cell r="H37">
            <v>11.77</v>
          </cell>
          <cell r="I37">
            <v>8.2799999999999994</v>
          </cell>
          <cell r="J37">
            <v>15.66666666666667</v>
          </cell>
          <cell r="K37">
            <v>10.9825</v>
          </cell>
          <cell r="L37">
            <v>12.020000000000001</v>
          </cell>
          <cell r="M37">
            <v>0</v>
          </cell>
          <cell r="N37">
            <v>12.020000000000001</v>
          </cell>
          <cell r="O37">
            <v>12.020000000000001</v>
          </cell>
        </row>
        <row r="38">
          <cell r="C38" t="str">
            <v xml:space="preserve"> F. OTHERS</v>
          </cell>
          <cell r="D38">
            <v>6</v>
          </cell>
          <cell r="F38">
            <v>0</v>
          </cell>
          <cell r="G38">
            <v>1.61</v>
          </cell>
          <cell r="H38">
            <v>0</v>
          </cell>
          <cell r="I38">
            <v>0</v>
          </cell>
          <cell r="J38">
            <v>10.67</v>
          </cell>
          <cell r="K38">
            <v>0</v>
          </cell>
          <cell r="L38">
            <v>4.97</v>
          </cell>
          <cell r="N38">
            <v>4.97</v>
          </cell>
          <cell r="O38">
            <v>4.97</v>
          </cell>
        </row>
        <row r="39">
          <cell r="C39" t="str">
            <v xml:space="preserve">    -  TPM </v>
          </cell>
          <cell r="D39" t="str">
            <v xml:space="preserve"> - Information Technology</v>
          </cell>
          <cell r="E39">
            <v>4.9699974060058594</v>
          </cell>
          <cell r="F39">
            <v>0</v>
          </cell>
          <cell r="G39">
            <v>0</v>
          </cell>
          <cell r="H39">
            <v>0</v>
          </cell>
          <cell r="I39">
            <v>0</v>
          </cell>
          <cell r="J39">
            <v>5.5</v>
          </cell>
          <cell r="K39">
            <v>4.5883333333333338</v>
          </cell>
          <cell r="L39">
            <v>4.5</v>
          </cell>
          <cell r="N39">
            <v>4.5</v>
          </cell>
          <cell r="O39">
            <v>4.5</v>
          </cell>
        </row>
        <row r="40">
          <cell r="C40" t="str">
            <v xml:space="preserve">    - Pollution Control</v>
          </cell>
          <cell r="D40" t="str">
            <v xml:space="preserve"> - H.O. Lay-out</v>
          </cell>
          <cell r="E40">
            <v>0.25666666666666665</v>
          </cell>
          <cell r="F40">
            <v>3.1575000000000002</v>
          </cell>
          <cell r="G40">
            <v>2.59</v>
          </cell>
          <cell r="H40">
            <v>0</v>
          </cell>
          <cell r="I40">
            <v>0</v>
          </cell>
          <cell r="J40">
            <v>0</v>
          </cell>
          <cell r="K40">
            <v>0</v>
          </cell>
          <cell r="L40">
            <v>0</v>
          </cell>
          <cell r="N40">
            <v>0</v>
          </cell>
          <cell r="O40">
            <v>0</v>
          </cell>
        </row>
        <row r="41">
          <cell r="C41" t="str">
            <v xml:space="preserve">    - Total :</v>
          </cell>
          <cell r="D41" t="str">
            <v xml:space="preserve"> - Consultancy Exp.</v>
          </cell>
          <cell r="E41">
            <v>7.8408333333333333</v>
          </cell>
          <cell r="F41">
            <v>5.94</v>
          </cell>
          <cell r="G41">
            <v>0</v>
          </cell>
          <cell r="H41">
            <v>0</v>
          </cell>
          <cell r="I41">
            <v>6.9</v>
          </cell>
          <cell r="J41">
            <v>0</v>
          </cell>
          <cell r="K41">
            <v>1.58</v>
          </cell>
          <cell r="L41">
            <v>3.33</v>
          </cell>
          <cell r="M41">
            <v>0</v>
          </cell>
          <cell r="N41">
            <v>3.33</v>
          </cell>
          <cell r="O41">
            <v>3.33</v>
          </cell>
        </row>
        <row r="42">
          <cell r="D42" t="str">
            <v xml:space="preserve"> -  Contigency</v>
          </cell>
          <cell r="E42">
            <v>142.85166666666666</v>
          </cell>
          <cell r="F42">
            <v>0</v>
          </cell>
          <cell r="G42">
            <v>0</v>
          </cell>
          <cell r="H42">
            <v>4</v>
          </cell>
          <cell r="I42">
            <v>0</v>
          </cell>
          <cell r="J42">
            <v>4</v>
          </cell>
          <cell r="K42">
            <v>2.0825</v>
          </cell>
          <cell r="L42">
            <v>4</v>
          </cell>
          <cell r="M42">
            <v>0</v>
          </cell>
          <cell r="N42">
            <v>4</v>
          </cell>
          <cell r="O42">
            <v>4</v>
          </cell>
        </row>
        <row r="43">
          <cell r="D43" t="str">
            <v xml:space="preserve"> - Total :</v>
          </cell>
          <cell r="G43">
            <v>2.59</v>
          </cell>
          <cell r="H43">
            <v>4</v>
          </cell>
          <cell r="I43">
            <v>6.9</v>
          </cell>
          <cell r="J43">
            <v>9.5</v>
          </cell>
          <cell r="K43">
            <v>8.2508333333333344</v>
          </cell>
          <cell r="L43">
            <v>11.83</v>
          </cell>
          <cell r="M43">
            <v>0</v>
          </cell>
          <cell r="N43">
            <v>11.83</v>
          </cell>
          <cell r="O43">
            <v>11.83</v>
          </cell>
        </row>
        <row r="44">
          <cell r="C44" t="str">
            <v>G . Bank Charges / FD Charges</v>
          </cell>
          <cell r="D44">
            <v>7</v>
          </cell>
          <cell r="E44">
            <v>2.8325</v>
          </cell>
          <cell r="F44">
            <v>4.4024999999999999</v>
          </cell>
          <cell r="G44">
            <v>6.45</v>
          </cell>
          <cell r="H44">
            <v>6.8</v>
          </cell>
          <cell r="I44">
            <v>6.36</v>
          </cell>
          <cell r="J44">
            <v>7</v>
          </cell>
          <cell r="K44">
            <v>6.5375000000000005</v>
          </cell>
          <cell r="L44">
            <v>7</v>
          </cell>
          <cell r="N44">
            <v>7</v>
          </cell>
          <cell r="O44">
            <v>7</v>
          </cell>
        </row>
        <row r="45">
          <cell r="C45" t="str">
            <v>H. Total H.O .Cost ( A to G)</v>
          </cell>
          <cell r="D45">
            <v>0</v>
          </cell>
          <cell r="E45">
            <v>17.022499999999997</v>
          </cell>
          <cell r="F45">
            <v>0.49083333333333329</v>
          </cell>
          <cell r="G45">
            <v>55.600000000000009</v>
          </cell>
          <cell r="H45">
            <v>63.759999999999991</v>
          </cell>
          <cell r="I45">
            <v>62.45</v>
          </cell>
          <cell r="J45">
            <v>81.956666666666678</v>
          </cell>
          <cell r="K45">
            <v>76.600833333333327</v>
          </cell>
          <cell r="L45">
            <v>82.92</v>
          </cell>
          <cell r="M45">
            <v>0</v>
          </cell>
          <cell r="N45">
            <v>82.92</v>
          </cell>
          <cell r="O45">
            <v>82.92</v>
          </cell>
        </row>
        <row r="46">
          <cell r="C46" t="str">
            <v xml:space="preserve"> I. ONE TIME EXP.</v>
          </cell>
          <cell r="E46">
            <v>4.4741666666666662</v>
          </cell>
          <cell r="F46">
            <v>1.2783333333333333</v>
          </cell>
          <cell r="G46">
            <v>0</v>
          </cell>
          <cell r="H46">
            <v>0</v>
          </cell>
          <cell r="I46">
            <v>0</v>
          </cell>
          <cell r="J46">
            <v>0</v>
          </cell>
          <cell r="K46">
            <v>-0.09</v>
          </cell>
          <cell r="L46">
            <v>0</v>
          </cell>
          <cell r="N46">
            <v>0</v>
          </cell>
          <cell r="O46">
            <v>0</v>
          </cell>
        </row>
        <row r="47">
          <cell r="C47" t="str">
            <v xml:space="preserve">    - Total :</v>
          </cell>
          <cell r="D47" t="str">
            <v xml:space="preserve"> -  Previous Year Exp.(Rent)                      </v>
          </cell>
          <cell r="E47">
            <v>24.329166666666662</v>
          </cell>
          <cell r="F47">
            <v>4.083333333333333</v>
          </cell>
          <cell r="G47">
            <v>0</v>
          </cell>
          <cell r="H47">
            <v>0</v>
          </cell>
          <cell r="I47">
            <v>4</v>
          </cell>
          <cell r="J47">
            <v>0</v>
          </cell>
          <cell r="K47">
            <v>4.2875000000000005</v>
          </cell>
          <cell r="L47">
            <v>0</v>
          </cell>
          <cell r="M47">
            <v>0</v>
          </cell>
          <cell r="N47">
            <v>0</v>
          </cell>
          <cell r="O47">
            <v>0</v>
          </cell>
        </row>
        <row r="48">
          <cell r="D48" t="str">
            <v xml:space="preserve"> - Loss on sale/scrap of assets/Dies                         </v>
          </cell>
          <cell r="E48">
            <v>167.18083333333331</v>
          </cell>
          <cell r="F48">
            <v>3.4000000000000004</v>
          </cell>
          <cell r="G48">
            <v>3.15</v>
          </cell>
          <cell r="H48">
            <v>4</v>
          </cell>
          <cell r="I48">
            <v>1.66</v>
          </cell>
          <cell r="J48">
            <v>4</v>
          </cell>
          <cell r="K48">
            <v>3.5933333333333333</v>
          </cell>
          <cell r="L48">
            <v>2</v>
          </cell>
          <cell r="M48">
            <v>0</v>
          </cell>
          <cell r="N48">
            <v>2</v>
          </cell>
          <cell r="O48">
            <v>2</v>
          </cell>
        </row>
        <row r="49">
          <cell r="D49" t="str">
            <v xml:space="preserve"> - Bad  &amp; Doubtful Debts</v>
          </cell>
          <cell r="F49">
            <v>0.98333333333333339</v>
          </cell>
          <cell r="G49">
            <v>0.92</v>
          </cell>
          <cell r="H49">
            <v>1.1499999999999999</v>
          </cell>
          <cell r="I49">
            <v>3.28</v>
          </cell>
          <cell r="J49">
            <v>2</v>
          </cell>
          <cell r="K49">
            <v>3.855</v>
          </cell>
          <cell r="L49">
            <v>2</v>
          </cell>
          <cell r="N49">
            <v>2</v>
          </cell>
          <cell r="O49">
            <v>2</v>
          </cell>
        </row>
        <row r="50">
          <cell r="D50" t="str">
            <v xml:space="preserve"> - Donation</v>
          </cell>
          <cell r="F50">
            <v>1.7808333333333335</v>
          </cell>
          <cell r="G50">
            <v>3.5</v>
          </cell>
          <cell r="H50">
            <v>3.5</v>
          </cell>
          <cell r="I50">
            <v>0.06</v>
          </cell>
          <cell r="J50">
            <v>3.5</v>
          </cell>
          <cell r="K50">
            <v>0</v>
          </cell>
          <cell r="L50">
            <v>3.5</v>
          </cell>
          <cell r="N50">
            <v>3.5</v>
          </cell>
          <cell r="O50">
            <v>3.5</v>
          </cell>
        </row>
        <row r="51">
          <cell r="D51" t="str">
            <v xml:space="preserve"> - Total :</v>
          </cell>
          <cell r="F51">
            <v>13.405000000000001</v>
          </cell>
          <cell r="G51">
            <v>7.57</v>
          </cell>
          <cell r="H51">
            <v>8.65</v>
          </cell>
          <cell r="I51">
            <v>9</v>
          </cell>
          <cell r="J51">
            <v>9.5</v>
          </cell>
          <cell r="K51">
            <v>11.735833333333334</v>
          </cell>
          <cell r="L51">
            <v>7.5</v>
          </cell>
          <cell r="M51">
            <v>0</v>
          </cell>
          <cell r="N51">
            <v>7.5</v>
          </cell>
          <cell r="O51">
            <v>7.5</v>
          </cell>
        </row>
        <row r="52">
          <cell r="C52" t="str">
            <v xml:space="preserve"> J. GRAND TOTAL (H+I) </v>
          </cell>
          <cell r="F52" t="str">
            <v>+F37+#REF!+F51; ERR</v>
          </cell>
          <cell r="G52">
            <v>63.170000000000009</v>
          </cell>
          <cell r="H52">
            <v>72.41</v>
          </cell>
          <cell r="I52">
            <v>71.45</v>
          </cell>
          <cell r="J52">
            <v>91.466666666666683</v>
          </cell>
          <cell r="K52">
            <v>88.336666666666659</v>
          </cell>
          <cell r="L52">
            <v>90.42</v>
          </cell>
          <cell r="M52">
            <v>0</v>
          </cell>
          <cell r="N52">
            <v>90.42</v>
          </cell>
          <cell r="O52">
            <v>90.42</v>
          </cell>
        </row>
        <row r="53">
          <cell r="C53" t="str">
            <v xml:space="preserve"> NOTE:-    1. Personnel Cost increase has been taken at  6% on current salaries.</v>
          </cell>
        </row>
      </sheetData>
      <sheetData sheetId="2">
        <row r="77">
          <cell r="S77">
            <v>0</v>
          </cell>
        </row>
        <row r="78">
          <cell r="B78" t="str">
            <v xml:space="preserve"> 1999-2000</v>
          </cell>
          <cell r="C78" t="str">
            <v xml:space="preserve"> - Q.E. JUNE</v>
          </cell>
          <cell r="F78" t="e">
            <v>#VALUE!</v>
          </cell>
          <cell r="G78">
            <v>15.140737025</v>
          </cell>
          <cell r="H78" t="e">
            <v>#VALUE!</v>
          </cell>
          <cell r="I78">
            <v>68.183720000000008</v>
          </cell>
          <cell r="J78">
            <v>22.494150000000001</v>
          </cell>
          <cell r="S78" t="e">
            <v>#VALUE!</v>
          </cell>
        </row>
        <row r="79">
          <cell r="C79" t="str">
            <v xml:space="preserve"> - Q.E. SEPT</v>
          </cell>
          <cell r="F79" t="e">
            <v>#VALUE!</v>
          </cell>
          <cell r="G79">
            <v>14.250306600000002</v>
          </cell>
          <cell r="H79" t="e">
            <v>#VALUE!</v>
          </cell>
          <cell r="I79">
            <v>63.534829999999999</v>
          </cell>
          <cell r="J79">
            <v>22.494150000000001</v>
          </cell>
          <cell r="K79">
            <v>0</v>
          </cell>
          <cell r="S79" t="e">
            <v>#VALUE!</v>
          </cell>
        </row>
        <row r="80">
          <cell r="C80" t="str">
            <v xml:space="preserve"> - Q.E. DEC</v>
          </cell>
          <cell r="F80" t="e">
            <v>#VALUE!</v>
          </cell>
          <cell r="G80">
            <v>13.359876175000002</v>
          </cell>
          <cell r="H80" t="e">
            <v>#VALUE!</v>
          </cell>
          <cell r="I80">
            <v>58.885939999999998</v>
          </cell>
          <cell r="J80">
            <v>22.494150000000001</v>
          </cell>
          <cell r="K80">
            <v>0</v>
          </cell>
          <cell r="S80" t="e">
            <v>#VALUE!</v>
          </cell>
        </row>
        <row r="81">
          <cell r="C81" t="str">
            <v xml:space="preserve"> - Q.E. MARCH</v>
          </cell>
          <cell r="F81" t="e">
            <v>#VALUE!</v>
          </cell>
          <cell r="G81">
            <v>12.469445750000002</v>
          </cell>
          <cell r="H81" t="e">
            <v>#VALUE!</v>
          </cell>
          <cell r="I81">
            <v>54.237049999999996</v>
          </cell>
          <cell r="J81">
            <v>20.6196375</v>
          </cell>
          <cell r="K81">
            <v>0</v>
          </cell>
          <cell r="S81" t="e">
            <v>#VALUE!</v>
          </cell>
        </row>
        <row r="82">
          <cell r="C82" t="str">
            <v xml:space="preserve"> - TOTAL</v>
          </cell>
          <cell r="D82">
            <v>0</v>
          </cell>
          <cell r="E82">
            <v>205.61575650000003</v>
          </cell>
          <cell r="F82" t="e">
            <v>#VALUE!</v>
          </cell>
          <cell r="G82">
            <v>55.220365550000011</v>
          </cell>
          <cell r="H82" t="e">
            <v>#VALUE!</v>
          </cell>
          <cell r="I82">
            <v>244.84154000000001</v>
          </cell>
          <cell r="J82">
            <v>88.102087499999996</v>
          </cell>
          <cell r="S82" t="e">
            <v>#VALUE!</v>
          </cell>
        </row>
        <row r="83">
          <cell r="B83" t="str">
            <v xml:space="preserve"> 2000-2001</v>
          </cell>
          <cell r="C83" t="str">
            <v xml:space="preserve"> - Q.E. JUNE</v>
          </cell>
          <cell r="D83">
            <v>0</v>
          </cell>
          <cell r="E83">
            <v>57.349136625</v>
          </cell>
          <cell r="F83" t="e">
            <v>#VALUE!</v>
          </cell>
          <cell r="G83">
            <v>14.698885000000001</v>
          </cell>
          <cell r="H83" t="e">
            <v>#VALUE!</v>
          </cell>
          <cell r="I83">
            <v>68.2</v>
          </cell>
          <cell r="J83">
            <v>22.5</v>
          </cell>
          <cell r="K83">
            <v>0</v>
          </cell>
          <cell r="S83" t="e">
            <v>#VALUE!</v>
          </cell>
        </row>
        <row r="84">
          <cell r="C84" t="str">
            <v xml:space="preserve"> - Q.E. SEPT</v>
          </cell>
          <cell r="D84">
            <v>0</v>
          </cell>
          <cell r="E84">
            <v>53.385671625000008</v>
          </cell>
          <cell r="F84" t="e">
            <v>#VALUE!</v>
          </cell>
          <cell r="G84">
            <v>13.834440000000003</v>
          </cell>
          <cell r="H84" t="e">
            <v>#VALUE!</v>
          </cell>
          <cell r="I84">
            <v>63.55</v>
          </cell>
          <cell r="J84">
            <v>22.5</v>
          </cell>
          <cell r="K84">
            <v>0</v>
          </cell>
          <cell r="S84" t="e">
            <v>#VALUE!</v>
          </cell>
        </row>
        <row r="85">
          <cell r="C85" t="str">
            <v xml:space="preserve"> - Q.E. DEC</v>
          </cell>
          <cell r="D85">
            <v>0</v>
          </cell>
          <cell r="E85">
            <v>49.422206625000001</v>
          </cell>
          <cell r="F85" t="e">
            <v>#VALUE!</v>
          </cell>
          <cell r="G85">
            <v>12.969995000000001</v>
          </cell>
          <cell r="H85" t="e">
            <v>#VALUE!</v>
          </cell>
          <cell r="I85">
            <v>58.9</v>
          </cell>
          <cell r="J85">
            <v>22.5</v>
          </cell>
          <cell r="K85">
            <v>0</v>
          </cell>
          <cell r="S85" t="e">
            <v>#VALUE!</v>
          </cell>
        </row>
        <row r="86">
          <cell r="C86" t="str">
            <v xml:space="preserve"> - Q.E. MARCH</v>
          </cell>
          <cell r="D86">
            <v>0</v>
          </cell>
          <cell r="E86">
            <v>45.458741625000002</v>
          </cell>
          <cell r="F86" t="e">
            <v>#VALUE!</v>
          </cell>
          <cell r="G86">
            <v>12.105550000000003</v>
          </cell>
          <cell r="H86" t="e">
            <v>#VALUE!</v>
          </cell>
          <cell r="I86">
            <v>54.25</v>
          </cell>
          <cell r="J86">
            <v>20.625</v>
          </cell>
          <cell r="K86">
            <v>0</v>
          </cell>
          <cell r="S86" t="e">
            <v>#VALUE!</v>
          </cell>
        </row>
        <row r="87">
          <cell r="C87" t="str">
            <v xml:space="preserve"> - TOTAL</v>
          </cell>
          <cell r="D87">
            <v>0</v>
          </cell>
          <cell r="E87">
            <v>205.61575650000003</v>
          </cell>
          <cell r="F87" t="e">
            <v>#VALUE!</v>
          </cell>
          <cell r="G87">
            <v>53.608870000000003</v>
          </cell>
          <cell r="H87" t="e">
            <v>#VALUE!</v>
          </cell>
          <cell r="I87">
            <v>244.9</v>
          </cell>
          <cell r="J87">
            <v>88.125</v>
          </cell>
          <cell r="K87">
            <v>0</v>
          </cell>
          <cell r="S87" t="e">
            <v>#VALUE!</v>
          </cell>
        </row>
        <row r="88">
          <cell r="B88" t="str">
            <v xml:space="preserve"> 2001-2002</v>
          </cell>
          <cell r="C88" t="str">
            <v xml:space="preserve"> - Q.E. JUNE</v>
          </cell>
          <cell r="D88">
            <v>0</v>
          </cell>
          <cell r="E88">
            <v>41.495276625000002</v>
          </cell>
          <cell r="F88" t="e">
            <v>#VALUE!</v>
          </cell>
          <cell r="G88">
            <v>11.241104999999999</v>
          </cell>
          <cell r="H88" t="e">
            <v>#VALUE!</v>
          </cell>
          <cell r="I88">
            <v>55.412500000000001</v>
          </cell>
          <cell r="J88">
            <v>27.9375</v>
          </cell>
          <cell r="K88">
            <v>0</v>
          </cell>
          <cell r="S88" t="e">
            <v>#VALUE!</v>
          </cell>
        </row>
        <row r="89">
          <cell r="C89" t="str">
            <v xml:space="preserve"> - Q.E. SEPT</v>
          </cell>
          <cell r="D89">
            <v>0</v>
          </cell>
          <cell r="E89">
            <v>37.531811625000003</v>
          </cell>
          <cell r="F89" t="e">
            <v>#VALUE!</v>
          </cell>
          <cell r="G89">
            <v>10.376660000000001</v>
          </cell>
          <cell r="H89" t="e">
            <v>#VALUE!</v>
          </cell>
          <cell r="I89">
            <v>50.762500000000003</v>
          </cell>
          <cell r="J89">
            <v>26.0625</v>
          </cell>
          <cell r="K89">
            <v>0</v>
          </cell>
          <cell r="O89">
            <v>22.166666666666668</v>
          </cell>
          <cell r="P89">
            <v>1.6333333333333335</v>
          </cell>
          <cell r="S89" t="e">
            <v>#VALUE!</v>
          </cell>
        </row>
        <row r="90">
          <cell r="C90" t="str">
            <v xml:space="preserve"> - Q.E. DEC</v>
          </cell>
          <cell r="D90">
            <v>0</v>
          </cell>
          <cell r="E90">
            <v>33.568346625000004</v>
          </cell>
          <cell r="F90">
            <v>21</v>
          </cell>
          <cell r="G90">
            <v>9.512215000000003</v>
          </cell>
          <cell r="H90" t="e">
            <v>#VALUE!</v>
          </cell>
          <cell r="I90">
            <v>46.112499999999997</v>
          </cell>
          <cell r="J90">
            <v>24.1875</v>
          </cell>
          <cell r="K90">
            <v>0</v>
          </cell>
          <cell r="L90">
            <v>17.5</v>
          </cell>
          <cell r="M90">
            <v>33.950000000000003</v>
          </cell>
          <cell r="N90">
            <v>4.2</v>
          </cell>
          <cell r="O90">
            <v>66.5</v>
          </cell>
          <cell r="P90">
            <v>4.9000000000000004</v>
          </cell>
          <cell r="Q90">
            <v>3.5</v>
          </cell>
          <cell r="R90">
            <v>8.4</v>
          </cell>
          <cell r="S90">
            <v>230.28056162499999</v>
          </cell>
        </row>
        <row r="91">
          <cell r="C91" t="str">
            <v xml:space="preserve"> - Q.E. MARCH</v>
          </cell>
          <cell r="D91">
            <v>0</v>
          </cell>
          <cell r="E91">
            <v>29.604881625000004</v>
          </cell>
          <cell r="F91" t="e">
            <v>#VALUE!</v>
          </cell>
          <cell r="G91">
            <v>8.6477700000000031</v>
          </cell>
          <cell r="H91" t="e">
            <v>#VALUE!</v>
          </cell>
          <cell r="I91">
            <v>41.462499999999999</v>
          </cell>
          <cell r="J91">
            <v>22.3125</v>
          </cell>
          <cell r="K91">
            <v>0</v>
          </cell>
          <cell r="L91">
            <v>17.5</v>
          </cell>
          <cell r="M91">
            <v>33.950000000000003</v>
          </cell>
          <cell r="N91">
            <v>6.3</v>
          </cell>
          <cell r="O91">
            <v>66.5</v>
          </cell>
          <cell r="P91">
            <v>4.9000000000000004</v>
          </cell>
          <cell r="Q91">
            <v>10.5</v>
          </cell>
          <cell r="R91">
            <v>8.4</v>
          </cell>
          <cell r="S91" t="e">
            <v>#VALUE!</v>
          </cell>
        </row>
        <row r="92">
          <cell r="C92" t="str">
            <v xml:space="preserve"> - TOTAL</v>
          </cell>
          <cell r="D92">
            <v>0</v>
          </cell>
          <cell r="E92">
            <v>142.20031650000001</v>
          </cell>
          <cell r="F92" t="e">
            <v>#VALUE!</v>
          </cell>
          <cell r="G92">
            <v>39.777750000000005</v>
          </cell>
          <cell r="H92" t="e">
            <v>#VALUE!</v>
          </cell>
          <cell r="I92">
            <v>193.75000000000003</v>
          </cell>
          <cell r="J92">
            <v>100.5</v>
          </cell>
          <cell r="K92">
            <v>0</v>
          </cell>
          <cell r="L92">
            <v>35</v>
          </cell>
          <cell r="M92">
            <v>67.900000000000006</v>
          </cell>
          <cell r="N92">
            <v>10.5</v>
          </cell>
          <cell r="O92">
            <v>155.16666666666669</v>
          </cell>
          <cell r="P92">
            <v>11.433333333333334</v>
          </cell>
          <cell r="Q92">
            <v>14</v>
          </cell>
          <cell r="R92">
            <v>16.8</v>
          </cell>
          <cell r="S92" t="e">
            <v>#VALUE!</v>
          </cell>
        </row>
        <row r="93">
          <cell r="B93" t="str">
            <v xml:space="preserve"> 2002-2003</v>
          </cell>
          <cell r="C93" t="str">
            <v xml:space="preserve"> - Q.E. JUNE</v>
          </cell>
          <cell r="D93">
            <v>0</v>
          </cell>
          <cell r="E93">
            <v>25.641416625000002</v>
          </cell>
          <cell r="F93" t="e">
            <v>#VALUE!</v>
          </cell>
          <cell r="G93">
            <v>7.7833250000000014</v>
          </cell>
          <cell r="H93" t="e">
            <v>#VALUE!</v>
          </cell>
          <cell r="I93">
            <v>36.8125</v>
          </cell>
          <cell r="J93">
            <v>20.4375</v>
          </cell>
          <cell r="K93">
            <v>0</v>
          </cell>
          <cell r="L93">
            <v>17.5</v>
          </cell>
          <cell r="M93">
            <v>33.950000000000003</v>
          </cell>
          <cell r="N93">
            <v>6.3</v>
          </cell>
          <cell r="O93">
            <v>66.5</v>
          </cell>
          <cell r="P93">
            <v>4.9000000000000004</v>
          </cell>
          <cell r="Q93">
            <v>10.5</v>
          </cell>
          <cell r="R93">
            <v>8.4</v>
          </cell>
          <cell r="S93" t="e">
            <v>#VALUE!</v>
          </cell>
        </row>
        <row r="94">
          <cell r="C94" t="str">
            <v xml:space="preserve"> - Q.E. SEPT</v>
          </cell>
          <cell r="D94">
            <v>0</v>
          </cell>
          <cell r="E94">
            <v>21.677951625000002</v>
          </cell>
          <cell r="F94" t="e">
            <v>#VALUE!</v>
          </cell>
          <cell r="G94">
            <v>6.9188800000000015</v>
          </cell>
          <cell r="H94" t="e">
            <v>#VALUE!</v>
          </cell>
          <cell r="I94">
            <v>32.162500000000001</v>
          </cell>
          <cell r="J94">
            <v>18.5625</v>
          </cell>
          <cell r="K94">
            <v>0</v>
          </cell>
          <cell r="L94">
            <v>17.5</v>
          </cell>
          <cell r="M94">
            <v>33.950000000000003</v>
          </cell>
          <cell r="N94">
            <v>6.3</v>
          </cell>
          <cell r="O94">
            <v>66.5</v>
          </cell>
          <cell r="P94">
            <v>4.9000000000000004</v>
          </cell>
          <cell r="Q94">
            <v>10.5</v>
          </cell>
          <cell r="R94">
            <v>8.4</v>
          </cell>
          <cell r="S94" t="e">
            <v>#VALUE!</v>
          </cell>
        </row>
        <row r="95">
          <cell r="C95" t="str">
            <v xml:space="preserve"> - Q.E. DEC</v>
          </cell>
          <cell r="D95">
            <v>0</v>
          </cell>
          <cell r="E95">
            <v>17.714486625000003</v>
          </cell>
          <cell r="F95" t="e">
            <v>#VALUE!</v>
          </cell>
          <cell r="G95">
            <v>6.0544350000000016</v>
          </cell>
          <cell r="H95" t="e">
            <v>#VALUE!</v>
          </cell>
          <cell r="I95">
            <v>27.512499999999999</v>
          </cell>
          <cell r="J95">
            <v>16.6875</v>
          </cell>
          <cell r="K95">
            <v>0</v>
          </cell>
          <cell r="L95">
            <v>16.625</v>
          </cell>
          <cell r="M95">
            <v>32.252499999999998</v>
          </cell>
          <cell r="N95">
            <v>6.3</v>
          </cell>
          <cell r="O95">
            <v>63.174999999999997</v>
          </cell>
          <cell r="P95">
            <v>4.6550000000000002</v>
          </cell>
          <cell r="Q95">
            <v>10.5</v>
          </cell>
          <cell r="R95">
            <v>7.98</v>
          </cell>
          <cell r="S95" t="e">
            <v>#VALUE!</v>
          </cell>
        </row>
        <row r="96">
          <cell r="C96" t="str">
            <v xml:space="preserve"> - Q.E. MARCH</v>
          </cell>
          <cell r="D96">
            <v>0</v>
          </cell>
          <cell r="E96">
            <v>13.751021625</v>
          </cell>
          <cell r="F96" t="e">
            <v>#VALUE!</v>
          </cell>
          <cell r="G96">
            <v>5.1899900000000025</v>
          </cell>
          <cell r="H96" t="e">
            <v>#VALUE!</v>
          </cell>
          <cell r="I96">
            <v>22.862500000000001</v>
          </cell>
          <cell r="J96">
            <v>14.8125</v>
          </cell>
          <cell r="K96">
            <v>0</v>
          </cell>
          <cell r="L96">
            <v>15.75</v>
          </cell>
          <cell r="M96">
            <v>30.555</v>
          </cell>
          <cell r="N96">
            <v>5.9850000000000003</v>
          </cell>
          <cell r="O96">
            <v>59.85</v>
          </cell>
          <cell r="P96">
            <v>4.41</v>
          </cell>
          <cell r="Q96">
            <v>9.9749999999999996</v>
          </cell>
          <cell r="R96">
            <v>7.56</v>
          </cell>
          <cell r="S96" t="e">
            <v>#VALUE!</v>
          </cell>
        </row>
        <row r="97">
          <cell r="C97" t="str">
            <v xml:space="preserve"> - TOTAL</v>
          </cell>
          <cell r="D97">
            <v>0</v>
          </cell>
          <cell r="E97">
            <v>78.784876499999996</v>
          </cell>
          <cell r="F97" t="e">
            <v>#VALUE!</v>
          </cell>
          <cell r="G97">
            <v>25.946630000000006</v>
          </cell>
          <cell r="H97" t="e">
            <v>#VALUE!</v>
          </cell>
          <cell r="I97">
            <v>119.35</v>
          </cell>
          <cell r="J97">
            <v>70.5</v>
          </cell>
          <cell r="K97">
            <v>0</v>
          </cell>
          <cell r="L97">
            <v>67.375</v>
          </cell>
          <cell r="M97">
            <v>130.70750000000001</v>
          </cell>
          <cell r="N97">
            <v>24.884999999999998</v>
          </cell>
          <cell r="O97">
            <v>256.02500000000003</v>
          </cell>
          <cell r="P97">
            <v>18.865000000000002</v>
          </cell>
          <cell r="Q97">
            <v>41.475000000000001</v>
          </cell>
          <cell r="R97">
            <v>32.340000000000003</v>
          </cell>
          <cell r="S97" t="e">
            <v>#VALUE!</v>
          </cell>
        </row>
        <row r="98">
          <cell r="B98" t="str">
            <v xml:space="preserve"> 2003-2004</v>
          </cell>
          <cell r="C98" t="str">
            <v xml:space="preserve"> - Q.E. JUNE</v>
          </cell>
          <cell r="D98">
            <v>0</v>
          </cell>
          <cell r="E98">
            <v>9.7875566250000006</v>
          </cell>
          <cell r="F98" t="e">
            <v>#VALUE!</v>
          </cell>
          <cell r="G98">
            <v>4.3255450000000017</v>
          </cell>
          <cell r="H98" t="e">
            <v>#VALUE!</v>
          </cell>
          <cell r="I98">
            <v>18.212499999999999</v>
          </cell>
          <cell r="J98">
            <v>12.9375</v>
          </cell>
          <cell r="K98">
            <v>0</v>
          </cell>
          <cell r="L98">
            <v>14.875</v>
          </cell>
          <cell r="M98">
            <v>28.857500000000002</v>
          </cell>
          <cell r="N98">
            <v>5.67</v>
          </cell>
          <cell r="O98">
            <v>56.524999999999999</v>
          </cell>
          <cell r="P98">
            <v>4.165</v>
          </cell>
          <cell r="Q98">
            <v>9.4499999999999993</v>
          </cell>
          <cell r="R98">
            <v>7.14</v>
          </cell>
          <cell r="S98" t="e">
            <v>#VALUE!</v>
          </cell>
        </row>
        <row r="99">
          <cell r="C99" t="str">
            <v xml:space="preserve"> - Q.E. SEPT</v>
          </cell>
          <cell r="D99">
            <v>0</v>
          </cell>
          <cell r="E99">
            <v>5.8240916249999994</v>
          </cell>
          <cell r="F99" t="e">
            <v>#VALUE!</v>
          </cell>
          <cell r="G99">
            <v>3.4611000000000014</v>
          </cell>
          <cell r="H99" t="e">
            <v>#VALUE!</v>
          </cell>
          <cell r="I99">
            <v>13.5625</v>
          </cell>
          <cell r="J99">
            <v>11.0625</v>
          </cell>
          <cell r="K99">
            <v>0</v>
          </cell>
          <cell r="L99">
            <v>14</v>
          </cell>
          <cell r="M99">
            <v>27.16</v>
          </cell>
          <cell r="N99">
            <v>5.3550000000000004</v>
          </cell>
          <cell r="O99">
            <v>53.2</v>
          </cell>
          <cell r="P99">
            <v>3.92</v>
          </cell>
          <cell r="Q99">
            <v>8.9250000000000007</v>
          </cell>
          <cell r="R99">
            <v>6.72</v>
          </cell>
          <cell r="S99" t="e">
            <v>#VALUE!</v>
          </cell>
        </row>
        <row r="100">
          <cell r="C100" t="str">
            <v xml:space="preserve"> - Q.E. DEC</v>
          </cell>
          <cell r="D100">
            <v>0</v>
          </cell>
          <cell r="E100">
            <v>1.8606266250000001</v>
          </cell>
          <cell r="F100" t="e">
            <v>#VALUE!</v>
          </cell>
          <cell r="G100">
            <v>2.596655000000001</v>
          </cell>
          <cell r="H100" t="e">
            <v>#VALUE!</v>
          </cell>
          <cell r="I100">
            <v>8.9124999999999996</v>
          </cell>
          <cell r="J100">
            <v>9.1875</v>
          </cell>
          <cell r="K100">
            <v>0</v>
          </cell>
          <cell r="L100">
            <v>13.125</v>
          </cell>
          <cell r="M100">
            <v>25.462499999999999</v>
          </cell>
          <cell r="N100">
            <v>5.04</v>
          </cell>
          <cell r="O100">
            <v>49.875</v>
          </cell>
          <cell r="P100">
            <v>3.6749999999999998</v>
          </cell>
          <cell r="Q100">
            <v>8.4</v>
          </cell>
          <cell r="R100">
            <v>6.3</v>
          </cell>
          <cell r="S100" t="e">
            <v>#VALUE!</v>
          </cell>
        </row>
        <row r="101">
          <cell r="C101" t="str">
            <v xml:space="preserve"> - Q.E. MARCH</v>
          </cell>
          <cell r="D101">
            <v>0</v>
          </cell>
          <cell r="E101">
            <v>0</v>
          </cell>
          <cell r="F101" t="e">
            <v>#VALUE!</v>
          </cell>
          <cell r="G101">
            <v>1.7322100000000011</v>
          </cell>
          <cell r="H101" t="e">
            <v>#VALUE!</v>
          </cell>
          <cell r="I101">
            <v>4.2625000000000002</v>
          </cell>
          <cell r="J101">
            <v>7.3125</v>
          </cell>
          <cell r="K101">
            <v>0</v>
          </cell>
          <cell r="L101">
            <v>12.25</v>
          </cell>
          <cell r="M101">
            <v>23.765000000000001</v>
          </cell>
          <cell r="N101">
            <v>4.7249999999999996</v>
          </cell>
          <cell r="O101">
            <v>46.55</v>
          </cell>
          <cell r="P101">
            <v>3.43</v>
          </cell>
          <cell r="Q101">
            <v>7.875</v>
          </cell>
          <cell r="R101">
            <v>5.88</v>
          </cell>
          <cell r="S101" t="e">
            <v>#VALUE!</v>
          </cell>
        </row>
        <row r="102">
          <cell r="C102" t="str">
            <v xml:space="preserve"> - TOTAL</v>
          </cell>
          <cell r="D102">
            <v>0</v>
          </cell>
          <cell r="E102">
            <v>17.472274875</v>
          </cell>
          <cell r="F102" t="e">
            <v>#VALUE!</v>
          </cell>
          <cell r="G102">
            <v>12.115510000000008</v>
          </cell>
          <cell r="H102" t="e">
            <v>#VALUE!</v>
          </cell>
          <cell r="I102">
            <v>44.95</v>
          </cell>
          <cell r="J102">
            <v>40.5</v>
          </cell>
          <cell r="K102">
            <v>0</v>
          </cell>
          <cell r="L102">
            <v>54.25</v>
          </cell>
          <cell r="M102">
            <v>105.24499999999999</v>
          </cell>
          <cell r="N102">
            <v>20.79</v>
          </cell>
          <cell r="O102">
            <v>206.14999999999998</v>
          </cell>
          <cell r="P102">
            <v>15.190000000000001</v>
          </cell>
          <cell r="Q102">
            <v>34.65</v>
          </cell>
          <cell r="R102">
            <v>26.04</v>
          </cell>
          <cell r="S102" t="e">
            <v>#VALUE!</v>
          </cell>
        </row>
        <row r="103">
          <cell r="B103" t="str">
            <v xml:space="preserve"> 2004-2005</v>
          </cell>
          <cell r="C103" t="str">
            <v xml:space="preserve"> - Q.E. JUNE</v>
          </cell>
          <cell r="D103">
            <v>0</v>
          </cell>
          <cell r="E103">
            <v>0</v>
          </cell>
          <cell r="F103" t="e">
            <v>#VALUE!</v>
          </cell>
          <cell r="G103">
            <v>0.86776500000000112</v>
          </cell>
          <cell r="H103" t="e">
            <v>#VALUE!</v>
          </cell>
          <cell r="I103">
            <v>0</v>
          </cell>
          <cell r="J103">
            <v>5.4375</v>
          </cell>
          <cell r="K103">
            <v>0</v>
          </cell>
          <cell r="L103">
            <v>11.375</v>
          </cell>
          <cell r="M103">
            <v>22.067499999999999</v>
          </cell>
          <cell r="N103">
            <v>4.41</v>
          </cell>
          <cell r="O103">
            <v>43.225000000000001</v>
          </cell>
          <cell r="P103">
            <v>3.1850000000000001</v>
          </cell>
          <cell r="Q103">
            <v>7.35</v>
          </cell>
          <cell r="R103">
            <v>5.46</v>
          </cell>
          <cell r="S103" t="e">
            <v>#VALUE!</v>
          </cell>
        </row>
        <row r="104">
          <cell r="C104" t="str">
            <v xml:space="preserve"> - Q.E. SEPT</v>
          </cell>
          <cell r="D104">
            <v>0</v>
          </cell>
          <cell r="E104">
            <v>0</v>
          </cell>
          <cell r="F104" t="e">
            <v>#VALUE!</v>
          </cell>
          <cell r="G104">
            <v>0</v>
          </cell>
          <cell r="H104" t="e">
            <v>#VALUE!</v>
          </cell>
          <cell r="I104">
            <v>0</v>
          </cell>
          <cell r="J104">
            <v>3.5625</v>
          </cell>
          <cell r="K104">
            <v>0</v>
          </cell>
          <cell r="L104">
            <v>10.5</v>
          </cell>
          <cell r="M104">
            <v>20.37</v>
          </cell>
          <cell r="N104">
            <v>4.0949999999999998</v>
          </cell>
          <cell r="O104">
            <v>39.9</v>
          </cell>
          <cell r="P104">
            <v>2.94</v>
          </cell>
          <cell r="Q104">
            <v>6.8250000000000002</v>
          </cell>
          <cell r="R104">
            <v>5.04</v>
          </cell>
          <cell r="S104" t="e">
            <v>#VALUE!</v>
          </cell>
        </row>
        <row r="105">
          <cell r="C105" t="str">
            <v xml:space="preserve"> - Q.E. DEC</v>
          </cell>
          <cell r="D105">
            <v>0</v>
          </cell>
          <cell r="E105">
            <v>0</v>
          </cell>
          <cell r="F105" t="e">
            <v>#VALUE!</v>
          </cell>
          <cell r="G105" t="e">
            <v>#VALUE!</v>
          </cell>
          <cell r="H105" t="e">
            <v>#VALUE!</v>
          </cell>
          <cell r="I105" t="e">
            <v>#VALUE!</v>
          </cell>
          <cell r="J105">
            <v>1.6875</v>
          </cell>
          <cell r="K105">
            <v>0</v>
          </cell>
          <cell r="L105">
            <v>9.625</v>
          </cell>
          <cell r="M105">
            <v>18.672499999999999</v>
          </cell>
          <cell r="N105">
            <v>3.78</v>
          </cell>
          <cell r="O105">
            <v>36.575000000000003</v>
          </cell>
          <cell r="P105">
            <v>2.6949999999999998</v>
          </cell>
          <cell r="Q105">
            <v>6.3</v>
          </cell>
          <cell r="R105">
            <v>4.62</v>
          </cell>
          <cell r="S105" t="e">
            <v>#VALUE!</v>
          </cell>
        </row>
        <row r="106">
          <cell r="C106" t="str">
            <v xml:space="preserve"> - Q.E. MARCH</v>
          </cell>
          <cell r="D106">
            <v>0</v>
          </cell>
          <cell r="E106">
            <v>0</v>
          </cell>
          <cell r="F106" t="e">
            <v>#VALUE!</v>
          </cell>
          <cell r="G106" t="e">
            <v>#VALUE!</v>
          </cell>
          <cell r="H106" t="e">
            <v>#VALUE!</v>
          </cell>
          <cell r="I106" t="e">
            <v>#VALUE!</v>
          </cell>
          <cell r="J106">
            <v>0</v>
          </cell>
          <cell r="K106">
            <v>0</v>
          </cell>
          <cell r="L106">
            <v>8.75</v>
          </cell>
          <cell r="M106">
            <v>16.975000000000001</v>
          </cell>
          <cell r="N106">
            <v>3.4649999999999999</v>
          </cell>
          <cell r="O106">
            <v>33.25</v>
          </cell>
          <cell r="P106">
            <v>2.4500000000000002</v>
          </cell>
          <cell r="Q106">
            <v>5.7750000000000004</v>
          </cell>
          <cell r="R106">
            <v>4.2</v>
          </cell>
          <cell r="S106" t="e">
            <v>#VALUE!</v>
          </cell>
        </row>
        <row r="107">
          <cell r="C107" t="str">
            <v xml:space="preserve"> - TOTAL</v>
          </cell>
          <cell r="D107">
            <v>0</v>
          </cell>
          <cell r="E107">
            <v>0</v>
          </cell>
          <cell r="F107" t="e">
            <v>#VALUE!</v>
          </cell>
          <cell r="G107" t="e">
            <v>#VALUE!</v>
          </cell>
          <cell r="H107" t="e">
            <v>#VALUE!</v>
          </cell>
          <cell r="I107" t="e">
            <v>#VALUE!</v>
          </cell>
          <cell r="J107">
            <v>10.6875</v>
          </cell>
          <cell r="K107">
            <v>0</v>
          </cell>
          <cell r="L107">
            <v>40.25</v>
          </cell>
          <cell r="M107">
            <v>78.085000000000008</v>
          </cell>
          <cell r="N107">
            <v>15.749999999999998</v>
          </cell>
          <cell r="O107">
            <v>152.94999999999999</v>
          </cell>
          <cell r="P107">
            <v>11.27</v>
          </cell>
          <cell r="Q107">
            <v>26.25</v>
          </cell>
          <cell r="R107">
            <v>19.32</v>
          </cell>
          <cell r="S107" t="e">
            <v>#VALUE!</v>
          </cell>
        </row>
        <row r="108">
          <cell r="B108" t="str">
            <v xml:space="preserve"> 2005-2006</v>
          </cell>
          <cell r="C108" t="str">
            <v xml:space="preserve"> - Q.E. JUNE</v>
          </cell>
          <cell r="L108">
            <v>7.875</v>
          </cell>
          <cell r="M108">
            <v>15.2775</v>
          </cell>
          <cell r="N108">
            <v>3.15</v>
          </cell>
          <cell r="O108">
            <v>29.925000000000001</v>
          </cell>
          <cell r="P108">
            <v>2.2050000000000001</v>
          </cell>
          <cell r="Q108">
            <v>5.25</v>
          </cell>
          <cell r="R108">
            <v>3.78</v>
          </cell>
          <cell r="S108">
            <v>46.83</v>
          </cell>
        </row>
        <row r="109">
          <cell r="C109" t="str">
            <v xml:space="preserve"> - Q.E. SEPT</v>
          </cell>
          <cell r="H109">
            <v>46.829986572265625</v>
          </cell>
          <cell r="J109">
            <v>46.829986572265625</v>
          </cell>
          <cell r="L109">
            <v>7</v>
          </cell>
          <cell r="M109">
            <v>13.58</v>
          </cell>
          <cell r="N109">
            <v>2.835</v>
          </cell>
          <cell r="O109">
            <v>26.6</v>
          </cell>
          <cell r="P109">
            <v>1.96</v>
          </cell>
          <cell r="Q109">
            <v>4.7249999999999996</v>
          </cell>
          <cell r="R109">
            <v>3.36</v>
          </cell>
          <cell r="S109" t="e">
            <v>#VALUE!</v>
          </cell>
        </row>
      </sheetData>
      <sheetData sheetId="3">
        <row r="2">
          <cell r="B2" t="str">
            <v>"C" COST - MARKETING</v>
          </cell>
        </row>
        <row r="5">
          <cell r="B5" t="str">
            <v>PARTICULARS</v>
          </cell>
          <cell r="E5" t="str">
            <v>Y. E . M A R C H</v>
          </cell>
        </row>
        <row r="6">
          <cell r="D6" t="str">
            <v>SEE</v>
          </cell>
          <cell r="H6">
            <v>2000</v>
          </cell>
          <cell r="J6">
            <v>2001</v>
          </cell>
          <cell r="L6">
            <v>2002</v>
          </cell>
        </row>
        <row r="7">
          <cell r="H7" t="str">
            <v>BUDGET</v>
          </cell>
          <cell r="I7" t="str">
            <v>ACTUAL</v>
          </cell>
          <cell r="J7" t="str">
            <v>BUDGET</v>
          </cell>
          <cell r="K7" t="str">
            <v>ACTUAL</v>
          </cell>
          <cell r="L7" t="str">
            <v>APR-SEP 01</v>
          </cell>
          <cell r="N7" t="str">
            <v>OCT-MAR 01</v>
          </cell>
        </row>
        <row r="8">
          <cell r="D8" t="str">
            <v>NOTE</v>
          </cell>
          <cell r="E8" t="str">
            <v>1997</v>
          </cell>
          <cell r="F8" t="str">
            <v>1998</v>
          </cell>
          <cell r="G8">
            <v>1999</v>
          </cell>
          <cell r="L8" t="str">
            <v>BUDGET</v>
          </cell>
          <cell r="M8" t="str">
            <v>ACTUAL</v>
          </cell>
          <cell r="N8" t="str">
            <v>ORIGINAL</v>
          </cell>
          <cell r="O8" t="str">
            <v>REVISED</v>
          </cell>
        </row>
        <row r="9">
          <cell r="E9" t="str">
            <v>L/R/M</v>
          </cell>
          <cell r="F9" t="str">
            <v>L/R/M</v>
          </cell>
          <cell r="G9" t="str">
            <v>L/R/M</v>
          </cell>
          <cell r="H9" t="str">
            <v>L/R/M</v>
          </cell>
          <cell r="I9" t="str">
            <v>L/R/M</v>
          </cell>
          <cell r="J9" t="str">
            <v>L/R/M</v>
          </cell>
          <cell r="K9" t="str">
            <v>L/R/M</v>
          </cell>
          <cell r="L9" t="str">
            <v>L/R/M</v>
          </cell>
          <cell r="M9" t="str">
            <v>L/R/M</v>
          </cell>
          <cell r="N9" t="str">
            <v>L/R/M</v>
          </cell>
          <cell r="O9" t="str">
            <v>L/R/M</v>
          </cell>
        </row>
        <row r="11">
          <cell r="B11" t="str">
            <v xml:space="preserve"> A. PERSONNEL </v>
          </cell>
          <cell r="C11" t="str">
            <v xml:space="preserve"> - Salaries  - Existing</v>
          </cell>
          <cell r="D11">
            <v>1</v>
          </cell>
          <cell r="E11">
            <v>14.9</v>
          </cell>
          <cell r="F11">
            <v>18.16</v>
          </cell>
          <cell r="G11">
            <v>21.21</v>
          </cell>
          <cell r="H11">
            <v>25.66</v>
          </cell>
          <cell r="I11">
            <v>26.56</v>
          </cell>
          <cell r="J11">
            <v>30.24</v>
          </cell>
          <cell r="K11">
            <v>34.14</v>
          </cell>
          <cell r="L11">
            <v>32.200000000000003</v>
          </cell>
          <cell r="N11">
            <v>32.200000000000003</v>
          </cell>
          <cell r="O11">
            <v>32.200000000000003</v>
          </cell>
        </row>
        <row r="12">
          <cell r="C12" t="str">
            <v xml:space="preserve"> - New Recruits Cost</v>
          </cell>
          <cell r="F12">
            <v>0</v>
          </cell>
          <cell r="G12">
            <v>0</v>
          </cell>
          <cell r="I12">
            <v>0</v>
          </cell>
          <cell r="K12">
            <v>0</v>
          </cell>
          <cell r="L12">
            <v>0</v>
          </cell>
          <cell r="N12">
            <v>0</v>
          </cell>
          <cell r="O12">
            <v>0</v>
          </cell>
        </row>
        <row r="13">
          <cell r="C13" t="str">
            <v xml:space="preserve"> - Meeting/Conference Exps.</v>
          </cell>
          <cell r="E13">
            <v>1.1616666666666666</v>
          </cell>
          <cell r="F13">
            <v>0</v>
          </cell>
          <cell r="G13">
            <v>0</v>
          </cell>
          <cell r="H13">
            <v>1.5</v>
          </cell>
          <cell r="I13">
            <v>7.0000000000000007E-2</v>
          </cell>
          <cell r="J13">
            <v>1.5</v>
          </cell>
          <cell r="K13">
            <v>0.98</v>
          </cell>
          <cell r="L13">
            <v>1.25</v>
          </cell>
          <cell r="N13">
            <v>1.25</v>
          </cell>
          <cell r="O13">
            <v>1.25</v>
          </cell>
        </row>
        <row r="14">
          <cell r="C14" t="str">
            <v xml:space="preserve"> - Total :</v>
          </cell>
          <cell r="E14">
            <v>14.9</v>
          </cell>
          <cell r="F14">
            <v>18.16</v>
          </cell>
          <cell r="G14">
            <v>21.21</v>
          </cell>
          <cell r="H14">
            <v>27.16</v>
          </cell>
          <cell r="I14">
            <v>26.63</v>
          </cell>
          <cell r="J14">
            <v>31.74</v>
          </cell>
          <cell r="K14">
            <v>35.119999999999997</v>
          </cell>
          <cell r="L14">
            <v>33.450000000000003</v>
          </cell>
          <cell r="N14">
            <v>33.450000000000003</v>
          </cell>
          <cell r="O14">
            <v>33.450000000000003</v>
          </cell>
        </row>
        <row r="15">
          <cell r="B15" t="str">
            <v xml:space="preserve"> B. TRAVELLING</v>
          </cell>
          <cell r="C15" t="str">
            <v xml:space="preserve"> - Domestic</v>
          </cell>
          <cell r="D15">
            <v>2</v>
          </cell>
          <cell r="E15">
            <v>6.6991666666666667</v>
          </cell>
          <cell r="F15">
            <v>6.52</v>
          </cell>
          <cell r="G15">
            <v>8.59</v>
          </cell>
          <cell r="H15">
            <v>9</v>
          </cell>
          <cell r="I15">
            <v>9.69</v>
          </cell>
          <cell r="J15">
            <v>10</v>
          </cell>
          <cell r="K15">
            <v>11.75</v>
          </cell>
          <cell r="L15">
            <v>11.4</v>
          </cell>
          <cell r="N15">
            <v>11.4</v>
          </cell>
          <cell r="O15">
            <v>11.4</v>
          </cell>
        </row>
        <row r="16">
          <cell r="C16" t="str">
            <v xml:space="preserve"> - Foreign</v>
          </cell>
          <cell r="D16">
            <v>3</v>
          </cell>
          <cell r="E16">
            <v>0.94166666666666676</v>
          </cell>
          <cell r="F16">
            <v>0.99</v>
          </cell>
          <cell r="G16">
            <v>1.67</v>
          </cell>
          <cell r="H16">
            <v>2</v>
          </cell>
          <cell r="I16">
            <v>3.76</v>
          </cell>
          <cell r="J16">
            <v>3.7</v>
          </cell>
          <cell r="K16">
            <v>1.6</v>
          </cell>
          <cell r="L16">
            <v>2</v>
          </cell>
          <cell r="N16">
            <v>2</v>
          </cell>
          <cell r="O16">
            <v>2</v>
          </cell>
        </row>
        <row r="17">
          <cell r="C17" t="str">
            <v xml:space="preserve"> - Total :</v>
          </cell>
          <cell r="E17">
            <v>7.6408333333333331</v>
          </cell>
          <cell r="F17">
            <v>7.51</v>
          </cell>
          <cell r="G17">
            <v>10.26</v>
          </cell>
          <cell r="H17">
            <v>11</v>
          </cell>
          <cell r="I17">
            <v>13.45</v>
          </cell>
          <cell r="J17">
            <v>13.7</v>
          </cell>
          <cell r="K17">
            <v>13.35</v>
          </cell>
          <cell r="L17">
            <v>13.4</v>
          </cell>
          <cell r="M17">
            <v>0</v>
          </cell>
          <cell r="N17">
            <v>13.4</v>
          </cell>
          <cell r="O17">
            <v>13.4</v>
          </cell>
        </row>
        <row r="18">
          <cell r="B18" t="str">
            <v xml:space="preserve"> C. REGIONAL SALES OFFICE EXP.</v>
          </cell>
        </row>
        <row r="19">
          <cell r="B19" t="str">
            <v xml:space="preserve">       - PREMISES</v>
          </cell>
          <cell r="C19" t="str">
            <v xml:space="preserve"> - Rent</v>
          </cell>
          <cell r="D19">
            <v>4</v>
          </cell>
          <cell r="H19">
            <v>0</v>
          </cell>
          <cell r="I19">
            <v>0.31</v>
          </cell>
          <cell r="J19">
            <v>0.98</v>
          </cell>
          <cell r="K19">
            <v>0</v>
          </cell>
          <cell r="L19">
            <v>1.05</v>
          </cell>
          <cell r="N19">
            <v>1.05</v>
          </cell>
          <cell r="O19">
            <v>1.05</v>
          </cell>
        </row>
        <row r="20">
          <cell r="C20" t="str">
            <v xml:space="preserve"> - Office &amp; Gen. Expenses</v>
          </cell>
          <cell r="H20">
            <v>0</v>
          </cell>
          <cell r="I20">
            <v>0.04</v>
          </cell>
          <cell r="J20">
            <v>0.1</v>
          </cell>
          <cell r="K20">
            <v>0</v>
          </cell>
          <cell r="L20">
            <v>0.1</v>
          </cell>
          <cell r="N20">
            <v>0.1</v>
          </cell>
          <cell r="O20">
            <v>0.1</v>
          </cell>
        </row>
        <row r="21">
          <cell r="C21" t="str">
            <v xml:space="preserve"> - Sub Total :</v>
          </cell>
          <cell r="E21">
            <v>0</v>
          </cell>
          <cell r="F21">
            <v>0</v>
          </cell>
          <cell r="G21">
            <v>0</v>
          </cell>
          <cell r="H21">
            <v>0</v>
          </cell>
          <cell r="I21">
            <v>0.35</v>
          </cell>
          <cell r="J21">
            <v>1.08</v>
          </cell>
          <cell r="K21">
            <v>0</v>
          </cell>
          <cell r="L21">
            <v>1.1500000000000001</v>
          </cell>
          <cell r="M21">
            <v>0</v>
          </cell>
          <cell r="N21">
            <v>1.1500000000000001</v>
          </cell>
          <cell r="O21">
            <v>1.1500000000000001</v>
          </cell>
        </row>
        <row r="22">
          <cell r="B22" t="str">
            <v>D. PUBLICITY</v>
          </cell>
          <cell r="F22">
            <v>9</v>
          </cell>
          <cell r="G22">
            <v>11.9</v>
          </cell>
          <cell r="H22">
            <v>15</v>
          </cell>
          <cell r="I22">
            <v>16.190000000000001</v>
          </cell>
          <cell r="J22">
            <v>15.8</v>
          </cell>
          <cell r="K22">
            <v>18.18</v>
          </cell>
          <cell r="L22">
            <v>18</v>
          </cell>
          <cell r="N22">
            <v>18</v>
          </cell>
          <cell r="O22">
            <v>18</v>
          </cell>
        </row>
        <row r="23">
          <cell r="B23" t="str">
            <v>E. CONSULTANCY EXPENSES</v>
          </cell>
          <cell r="F23">
            <v>0</v>
          </cell>
          <cell r="G23">
            <v>0</v>
          </cell>
          <cell r="H23">
            <v>0</v>
          </cell>
          <cell r="I23">
            <v>0</v>
          </cell>
          <cell r="J23">
            <v>8.33</v>
          </cell>
          <cell r="K23">
            <v>0</v>
          </cell>
          <cell r="L23">
            <v>1.25</v>
          </cell>
          <cell r="N23">
            <v>1.25</v>
          </cell>
          <cell r="O23">
            <v>1.25</v>
          </cell>
        </row>
        <row r="24">
          <cell r="B24" t="str">
            <v>F. TOTAL MKTG. COST( A TO E )</v>
          </cell>
          <cell r="E24" t="str">
            <v>+E23+E22+#REF!+#REF!+E17+E14; ERR</v>
          </cell>
          <cell r="F24" t="str">
            <v>+F23+F22+#REF!++F17+F14; ERR</v>
          </cell>
          <cell r="G24">
            <v>43.370000000000005</v>
          </cell>
          <cell r="H24">
            <v>53.16</v>
          </cell>
          <cell r="I24">
            <v>56.620000000000005</v>
          </cell>
          <cell r="J24">
            <v>70.649999999999991</v>
          </cell>
          <cell r="K24">
            <v>66.650000000000006</v>
          </cell>
          <cell r="L24">
            <v>67.25</v>
          </cell>
          <cell r="M24">
            <v>0</v>
          </cell>
          <cell r="N24">
            <v>67.25</v>
          </cell>
          <cell r="O24">
            <v>67.25</v>
          </cell>
        </row>
        <row r="25">
          <cell r="B25" t="str">
            <v>G. ONE TIME EXPENSES</v>
          </cell>
        </row>
        <row r="26">
          <cell r="C26" t="str">
            <v xml:space="preserve"> -Modification of models</v>
          </cell>
          <cell r="D26">
            <v>67.25</v>
          </cell>
          <cell r="E26">
            <v>6.1666666666666668E-2</v>
          </cell>
          <cell r="F26">
            <v>1.1316666666666666</v>
          </cell>
          <cell r="G26">
            <v>3.18</v>
          </cell>
          <cell r="H26">
            <v>3</v>
          </cell>
          <cell r="I26">
            <v>4.4000000000000004</v>
          </cell>
          <cell r="J26">
            <v>4.5</v>
          </cell>
          <cell r="K26">
            <v>2.06</v>
          </cell>
          <cell r="L26">
            <v>4.2</v>
          </cell>
          <cell r="N26">
            <v>4.2</v>
          </cell>
          <cell r="O26">
            <v>4.2</v>
          </cell>
        </row>
        <row r="27">
          <cell r="B27" t="str">
            <v xml:space="preserve">H. GRAND TOTAL (F+G) </v>
          </cell>
          <cell r="E27" t="e">
            <v>#VALUE!</v>
          </cell>
          <cell r="F27" t="e">
            <v>#VALUE!</v>
          </cell>
          <cell r="G27">
            <v>46.550000000000004</v>
          </cell>
          <cell r="H27">
            <v>56.16</v>
          </cell>
          <cell r="I27">
            <v>61.02</v>
          </cell>
          <cell r="J27">
            <v>75.149999999999991</v>
          </cell>
          <cell r="K27">
            <v>68.710000000000008</v>
          </cell>
          <cell r="L27">
            <v>71.45</v>
          </cell>
          <cell r="M27">
            <v>0</v>
          </cell>
          <cell r="N27">
            <v>71.45</v>
          </cell>
          <cell r="O27">
            <v>71.45</v>
          </cell>
        </row>
      </sheetData>
      <sheetData sheetId="4">
        <row r="2">
          <cell r="B2" t="str">
            <v>"C" COST  - PRP (PTE)</v>
          </cell>
          <cell r="C2" t="str">
            <v>"C" COST  - HEAD OFFICE</v>
          </cell>
        </row>
        <row r="4">
          <cell r="B4" t="str">
            <v>PARTICULARS</v>
          </cell>
          <cell r="C4" t="str">
            <v>PARTICULARS</v>
          </cell>
          <cell r="E4" t="str">
            <v>Y.E. MARCH</v>
          </cell>
          <cell r="F4" t="str">
            <v>Y. E. M A R C H</v>
          </cell>
        </row>
        <row r="5">
          <cell r="D5" t="str">
            <v>SEE</v>
          </cell>
          <cell r="E5" t="str">
            <v>NOTE</v>
          </cell>
          <cell r="H5">
            <v>2000</v>
          </cell>
          <cell r="J5">
            <v>2001</v>
          </cell>
          <cell r="L5">
            <v>2002</v>
          </cell>
        </row>
        <row r="6">
          <cell r="H6" t="str">
            <v>BUDGET</v>
          </cell>
          <cell r="I6" t="str">
            <v>ACTUAL</v>
          </cell>
          <cell r="J6" t="str">
            <v>BUDGET</v>
          </cell>
          <cell r="K6" t="str">
            <v>ACTUAL</v>
          </cell>
          <cell r="L6" t="str">
            <v>APR-MAR 01</v>
          </cell>
          <cell r="N6" t="str">
            <v>OCT-MAR 01</v>
          </cell>
        </row>
        <row r="7">
          <cell r="D7" t="str">
            <v>NOTE</v>
          </cell>
          <cell r="E7" t="str">
            <v>1997</v>
          </cell>
          <cell r="F7" t="str">
            <v>1998</v>
          </cell>
          <cell r="G7">
            <v>1999</v>
          </cell>
          <cell r="L7" t="str">
            <v>BUDGET</v>
          </cell>
          <cell r="M7" t="str">
            <v>ACTUAL</v>
          </cell>
          <cell r="N7" t="str">
            <v>ORIGINAL</v>
          </cell>
          <cell r="O7" t="str">
            <v>REVISED</v>
          </cell>
        </row>
        <row r="8">
          <cell r="E8" t="str">
            <v>L/R/M</v>
          </cell>
          <cell r="F8" t="str">
            <v>L/R/M</v>
          </cell>
          <cell r="G8" t="str">
            <v>L/R/M</v>
          </cell>
          <cell r="H8" t="str">
            <v>L/R/M</v>
          </cell>
          <cell r="I8" t="str">
            <v>L/R/M</v>
          </cell>
          <cell r="J8" t="str">
            <v>L/R/M</v>
          </cell>
          <cell r="K8" t="str">
            <v>L/R/M</v>
          </cell>
          <cell r="L8" t="str">
            <v>L/R/M</v>
          </cell>
          <cell r="M8" t="str">
            <v>L/R/M</v>
          </cell>
          <cell r="N8" t="str">
            <v>L/R/M</v>
          </cell>
          <cell r="O8" t="str">
            <v>L/R/M</v>
          </cell>
        </row>
        <row r="9">
          <cell r="B9" t="str">
            <v xml:space="preserve"> A. PERSONNEL - </v>
          </cell>
          <cell r="C9" t="str">
            <v>-SALARIES/WAGES - EXISTING</v>
          </cell>
          <cell r="D9">
            <v>1</v>
          </cell>
          <cell r="E9">
            <v>72.099999999999994</v>
          </cell>
          <cell r="F9">
            <v>84.46</v>
          </cell>
          <cell r="G9">
            <v>97.5</v>
          </cell>
          <cell r="H9">
            <v>126.7</v>
          </cell>
          <cell r="I9">
            <v>119.83</v>
          </cell>
          <cell r="J9">
            <v>144.96</v>
          </cell>
          <cell r="K9">
            <v>136.75</v>
          </cell>
          <cell r="L9">
            <v>153.41</v>
          </cell>
          <cell r="N9">
            <v>153.41</v>
          </cell>
          <cell r="O9">
            <v>153.41</v>
          </cell>
        </row>
        <row r="10">
          <cell r="C10" t="str">
            <v>- VACANCIES/NEW RECRUITMENT</v>
          </cell>
          <cell r="D10">
            <v>2</v>
          </cell>
          <cell r="E10">
            <v>1</v>
          </cell>
          <cell r="F10">
            <v>0</v>
          </cell>
          <cell r="G10">
            <v>0</v>
          </cell>
          <cell r="H10">
            <v>17.82</v>
          </cell>
          <cell r="I10">
            <v>16.899999999999999</v>
          </cell>
          <cell r="J10">
            <v>19.489999999999998</v>
          </cell>
          <cell r="K10">
            <v>21.9</v>
          </cell>
          <cell r="L10">
            <v>9.4</v>
          </cell>
          <cell r="N10">
            <v>9.4</v>
          </cell>
          <cell r="O10">
            <v>9.4</v>
          </cell>
        </row>
        <row r="11">
          <cell r="C11" t="str">
            <v>- Total :</v>
          </cell>
          <cell r="D11" t="str">
            <v xml:space="preserve"> - Additions/Vacancies</v>
          </cell>
          <cell r="E11">
            <v>72.099999999999994</v>
          </cell>
          <cell r="F11">
            <v>84.46</v>
          </cell>
          <cell r="G11">
            <v>97.5</v>
          </cell>
          <cell r="H11">
            <v>126.7</v>
          </cell>
          <cell r="I11">
            <v>119.83</v>
          </cell>
          <cell r="J11">
            <v>144.96</v>
          </cell>
          <cell r="K11">
            <v>136.75</v>
          </cell>
          <cell r="L11">
            <v>162.81</v>
          </cell>
          <cell r="M11">
            <v>0</v>
          </cell>
          <cell r="N11">
            <v>162.81</v>
          </cell>
          <cell r="O11">
            <v>162.81</v>
          </cell>
        </row>
        <row r="12">
          <cell r="B12" t="str">
            <v xml:space="preserve"> B. STORES/REPAIRS</v>
          </cell>
          <cell r="D12" t="str">
            <v xml:space="preserve"> -  Medical Expenses (Corporate)</v>
          </cell>
          <cell r="G12">
            <v>0.46</v>
          </cell>
          <cell r="H12">
            <v>0.5</v>
          </cell>
          <cell r="I12">
            <v>0.54</v>
          </cell>
          <cell r="J12">
            <v>0.5</v>
          </cell>
          <cell r="K12">
            <v>0.56000000000000005</v>
          </cell>
          <cell r="L12">
            <v>0.5</v>
          </cell>
          <cell r="N12">
            <v>0.5</v>
          </cell>
          <cell r="O12">
            <v>0.5</v>
          </cell>
        </row>
        <row r="13">
          <cell r="B13">
            <v>0.5</v>
          </cell>
          <cell r="D13" t="str">
            <v xml:space="preserve"> - Personnel Development Exps.</v>
          </cell>
          <cell r="E13">
            <v>2</v>
          </cell>
          <cell r="G13">
            <v>1.25</v>
          </cell>
          <cell r="H13">
            <v>4.62</v>
          </cell>
          <cell r="I13">
            <v>1.69</v>
          </cell>
          <cell r="J13">
            <v>3.45</v>
          </cell>
          <cell r="K13">
            <v>2.59</v>
          </cell>
          <cell r="L13">
            <v>2.86</v>
          </cell>
          <cell r="N13">
            <v>2.86</v>
          </cell>
          <cell r="O13">
            <v>2.86</v>
          </cell>
        </row>
        <row r="14">
          <cell r="B14" t="str">
            <v xml:space="preserve">    STORES</v>
          </cell>
          <cell r="C14" t="str">
            <v xml:space="preserve"> - Consumption       </v>
          </cell>
          <cell r="D14" t="str">
            <v xml:space="preserve"> - Total :</v>
          </cell>
          <cell r="E14">
            <v>35.82</v>
          </cell>
          <cell r="F14">
            <v>33.71</v>
          </cell>
          <cell r="G14">
            <v>35.46</v>
          </cell>
          <cell r="H14">
            <v>45.64</v>
          </cell>
          <cell r="I14">
            <v>39.97</v>
          </cell>
          <cell r="J14">
            <v>58.51</v>
          </cell>
          <cell r="K14">
            <v>47</v>
          </cell>
          <cell r="L14">
            <v>58.43</v>
          </cell>
          <cell r="M14">
            <v>0</v>
          </cell>
          <cell r="N14">
            <v>58.43</v>
          </cell>
          <cell r="O14">
            <v>56.34</v>
          </cell>
        </row>
        <row r="15">
          <cell r="C15" t="str">
            <v xml:space="preserve"> - Mfg./Stores Exp.</v>
          </cell>
          <cell r="D15" t="str">
            <v xml:space="preserve"> - Rent</v>
          </cell>
          <cell r="E15">
            <v>1.2116666666666667</v>
          </cell>
          <cell r="F15">
            <v>0.36</v>
          </cell>
          <cell r="G15">
            <v>2.6</v>
          </cell>
          <cell r="H15">
            <v>1.25</v>
          </cell>
          <cell r="I15">
            <v>2.2200000000000002</v>
          </cell>
          <cell r="J15">
            <v>1.7</v>
          </cell>
          <cell r="K15">
            <v>2.2400000000000002</v>
          </cell>
          <cell r="L15">
            <v>2.8</v>
          </cell>
          <cell r="N15">
            <v>2.8</v>
          </cell>
          <cell r="O15">
            <v>2.8</v>
          </cell>
        </row>
        <row r="16">
          <cell r="C16" t="str">
            <v xml:space="preserve"> - Freight Inward</v>
          </cell>
          <cell r="D16" t="str">
            <v xml:space="preserve"> - Rates &amp; Taxes</v>
          </cell>
          <cell r="E16">
            <v>1.9608333333333334</v>
          </cell>
          <cell r="F16">
            <v>1.9</v>
          </cell>
          <cell r="G16">
            <v>1.99</v>
          </cell>
          <cell r="H16">
            <v>2.2999999999999998</v>
          </cell>
          <cell r="I16">
            <v>2.46</v>
          </cell>
          <cell r="J16">
            <v>2.5</v>
          </cell>
          <cell r="K16">
            <v>2.72</v>
          </cell>
          <cell r="L16">
            <v>3</v>
          </cell>
          <cell r="N16">
            <v>3</v>
          </cell>
          <cell r="O16">
            <v>3</v>
          </cell>
        </row>
        <row r="17">
          <cell r="C17" t="str">
            <v xml:space="preserve"> - Safety Expenses </v>
          </cell>
          <cell r="D17" t="str">
            <v xml:space="preserve"> - Office &amp; Gen. Expenses</v>
          </cell>
          <cell r="E17">
            <v>0.29166666666666669</v>
          </cell>
          <cell r="F17">
            <v>0.94</v>
          </cell>
          <cell r="G17">
            <v>0.28000000000000003</v>
          </cell>
          <cell r="H17">
            <v>0.4</v>
          </cell>
          <cell r="I17">
            <v>0.3</v>
          </cell>
          <cell r="J17">
            <v>0.45</v>
          </cell>
          <cell r="K17">
            <v>0.31</v>
          </cell>
          <cell r="L17">
            <v>0.4</v>
          </cell>
          <cell r="N17">
            <v>0.4</v>
          </cell>
          <cell r="O17">
            <v>0.4</v>
          </cell>
        </row>
        <row r="18">
          <cell r="C18" t="str">
            <v xml:space="preserve"> - Total :</v>
          </cell>
          <cell r="D18" t="str">
            <v xml:space="preserve"> - Total :</v>
          </cell>
          <cell r="E18">
            <v>39.284166666666664</v>
          </cell>
          <cell r="F18">
            <v>36.909999999999997</v>
          </cell>
          <cell r="G18">
            <v>40.330000000000005</v>
          </cell>
          <cell r="H18">
            <v>49.589999999999996</v>
          </cell>
          <cell r="I18">
            <v>44.949999999999996</v>
          </cell>
          <cell r="J18">
            <v>63.160000000000004</v>
          </cell>
          <cell r="K18">
            <v>52.27</v>
          </cell>
          <cell r="L18">
            <v>64.63</v>
          </cell>
          <cell r="M18">
            <v>0</v>
          </cell>
          <cell r="N18">
            <v>64.63</v>
          </cell>
          <cell r="O18">
            <v>62.54</v>
          </cell>
        </row>
        <row r="19">
          <cell r="B19" t="str">
            <v xml:space="preserve">    REPAIRS</v>
          </cell>
          <cell r="C19" t="str">
            <v xml:space="preserve"> - Building</v>
          </cell>
          <cell r="D19" t="str">
            <v xml:space="preserve"> - Domestic</v>
          </cell>
          <cell r="E19">
            <v>3.3049999999999997</v>
          </cell>
          <cell r="F19">
            <v>2.91</v>
          </cell>
          <cell r="G19">
            <v>3.57</v>
          </cell>
          <cell r="H19">
            <v>3.45</v>
          </cell>
          <cell r="I19">
            <v>4.01</v>
          </cell>
          <cell r="J19">
            <v>3.8</v>
          </cell>
          <cell r="K19">
            <v>4.09</v>
          </cell>
          <cell r="L19">
            <v>3.9</v>
          </cell>
          <cell r="N19">
            <v>3.9</v>
          </cell>
          <cell r="O19">
            <v>3.9</v>
          </cell>
        </row>
        <row r="20">
          <cell r="C20" t="str">
            <v xml:space="preserve"> - Machines</v>
          </cell>
          <cell r="D20">
            <v>3</v>
          </cell>
          <cell r="E20">
            <v>2.3408333333333333</v>
          </cell>
          <cell r="F20">
            <v>2.75</v>
          </cell>
          <cell r="G20">
            <v>3.19</v>
          </cell>
          <cell r="H20">
            <v>3.61</v>
          </cell>
          <cell r="I20">
            <v>3.47</v>
          </cell>
          <cell r="J20">
            <v>5.69</v>
          </cell>
          <cell r="K20">
            <v>3.5</v>
          </cell>
          <cell r="L20">
            <v>5.79</v>
          </cell>
          <cell r="N20">
            <v>5.79</v>
          </cell>
          <cell r="O20">
            <v>5.79</v>
          </cell>
        </row>
        <row r="21">
          <cell r="C21" t="str">
            <v xml:space="preserve"> - Total :</v>
          </cell>
          <cell r="D21" t="str">
            <v xml:space="preserve"> - Total :</v>
          </cell>
          <cell r="E21">
            <v>5.645833333333333</v>
          </cell>
          <cell r="F21">
            <v>5.66</v>
          </cell>
          <cell r="G21">
            <v>6.76</v>
          </cell>
          <cell r="H21">
            <v>7.0600000000000005</v>
          </cell>
          <cell r="I21">
            <v>7.48</v>
          </cell>
          <cell r="J21">
            <v>9.49</v>
          </cell>
          <cell r="K21">
            <v>7.59</v>
          </cell>
          <cell r="L21">
            <v>9.69</v>
          </cell>
          <cell r="M21">
            <v>0</v>
          </cell>
          <cell r="N21">
            <v>9.69</v>
          </cell>
          <cell r="O21">
            <v>9.69</v>
          </cell>
        </row>
        <row r="22">
          <cell r="C22" t="str">
            <v xml:space="preserve"> - Total (B)</v>
          </cell>
          <cell r="E22">
            <v>44.93</v>
          </cell>
          <cell r="F22">
            <v>42.569999999999993</v>
          </cell>
          <cell r="G22">
            <v>47.09</v>
          </cell>
          <cell r="H22">
            <v>56.65</v>
          </cell>
          <cell r="I22">
            <v>52.429999999999993</v>
          </cell>
          <cell r="J22">
            <v>72.650000000000006</v>
          </cell>
          <cell r="K22">
            <v>59.86</v>
          </cell>
          <cell r="L22">
            <v>74.319999999999993</v>
          </cell>
          <cell r="M22">
            <v>0</v>
          </cell>
          <cell r="N22">
            <v>74.319999999999993</v>
          </cell>
          <cell r="O22">
            <v>72.23</v>
          </cell>
        </row>
        <row r="23">
          <cell r="B23" t="str">
            <v xml:space="preserve"> C. TRAVELLING          - Domestic - Normal</v>
          </cell>
          <cell r="D23" t="str">
            <v xml:space="preserve"> - Printing &amp; Stationery</v>
          </cell>
          <cell r="E23">
            <v>1.0691666666666666</v>
          </cell>
          <cell r="F23">
            <v>1.63</v>
          </cell>
          <cell r="G23">
            <v>1.33</v>
          </cell>
          <cell r="H23">
            <v>1.8</v>
          </cell>
          <cell r="I23">
            <v>2.67</v>
          </cell>
          <cell r="J23">
            <v>2.62</v>
          </cell>
          <cell r="K23">
            <v>2.56</v>
          </cell>
          <cell r="L23">
            <v>2.9</v>
          </cell>
          <cell r="N23">
            <v>2.9</v>
          </cell>
          <cell r="O23">
            <v>2.9</v>
          </cell>
        </row>
        <row r="24">
          <cell r="C24" t="str">
            <v xml:space="preserve">                         -  Line VIII / IX</v>
          </cell>
          <cell r="D24" t="str">
            <v xml:space="preserve"> - Communications</v>
          </cell>
          <cell r="F24">
            <v>0</v>
          </cell>
          <cell r="G24">
            <v>0</v>
          </cell>
          <cell r="H24">
            <v>0</v>
          </cell>
          <cell r="I24">
            <v>0</v>
          </cell>
          <cell r="J24">
            <v>0.75</v>
          </cell>
          <cell r="K24">
            <v>0</v>
          </cell>
          <cell r="L24">
            <v>0.33</v>
          </cell>
          <cell r="N24">
            <v>0.33</v>
          </cell>
          <cell r="O24">
            <v>0.33</v>
          </cell>
        </row>
        <row r="25">
          <cell r="C25" t="str">
            <v xml:space="preserve">       - Foreign      - Normal</v>
          </cell>
          <cell r="D25" t="str">
            <v xml:space="preserve"> - Conveyance</v>
          </cell>
          <cell r="E25">
            <v>1.1116666666666666</v>
          </cell>
          <cell r="F25">
            <v>2.95</v>
          </cell>
          <cell r="G25">
            <v>3.91</v>
          </cell>
          <cell r="H25">
            <v>2.7</v>
          </cell>
          <cell r="I25">
            <v>3.63</v>
          </cell>
          <cell r="J25">
            <v>3.05</v>
          </cell>
          <cell r="K25">
            <v>3.02</v>
          </cell>
          <cell r="L25">
            <v>3</v>
          </cell>
          <cell r="N25">
            <v>3</v>
          </cell>
          <cell r="O25">
            <v>3</v>
          </cell>
        </row>
        <row r="26">
          <cell r="C26" t="str">
            <v xml:space="preserve">                         - Line VIII / IX</v>
          </cell>
          <cell r="D26" t="str">
            <v xml:space="preserve"> - Public relations</v>
          </cell>
          <cell r="F26">
            <v>0</v>
          </cell>
          <cell r="G26">
            <v>0</v>
          </cell>
          <cell r="H26">
            <v>0</v>
          </cell>
          <cell r="I26">
            <v>0</v>
          </cell>
          <cell r="J26">
            <v>2.5</v>
          </cell>
          <cell r="K26">
            <v>0</v>
          </cell>
          <cell r="L26">
            <v>1</v>
          </cell>
          <cell r="N26">
            <v>1</v>
          </cell>
          <cell r="O26">
            <v>1</v>
          </cell>
        </row>
        <row r="27">
          <cell r="C27" t="str">
            <v xml:space="preserve"> - Total :</v>
          </cell>
          <cell r="D27" t="str">
            <v xml:space="preserve"> - Legal &amp; Professional Fee</v>
          </cell>
          <cell r="E27">
            <v>2.1808333333333332</v>
          </cell>
          <cell r="F27">
            <v>4.58</v>
          </cell>
          <cell r="G27">
            <v>5.24</v>
          </cell>
          <cell r="H27">
            <v>4.5</v>
          </cell>
          <cell r="I27">
            <v>6.3</v>
          </cell>
          <cell r="J27">
            <v>8.92</v>
          </cell>
          <cell r="K27">
            <v>5.58</v>
          </cell>
          <cell r="L27">
            <v>7.23</v>
          </cell>
          <cell r="M27">
            <v>0</v>
          </cell>
          <cell r="N27">
            <v>7.23</v>
          </cell>
          <cell r="O27">
            <v>7.23</v>
          </cell>
        </row>
        <row r="28">
          <cell r="B28" t="str">
            <v xml:space="preserve"> D. SPECIFIC</v>
          </cell>
          <cell r="C28" t="str">
            <v xml:space="preserve"> - Foreign Tech. Exps./Knowhow Fees</v>
          </cell>
          <cell r="D28" t="str">
            <v xml:space="preserve"> - Assn. Memb. Fee</v>
          </cell>
          <cell r="E28">
            <v>0.80583333333333329</v>
          </cell>
          <cell r="F28">
            <v>0.25083333333333335</v>
          </cell>
          <cell r="G28">
            <v>2.15</v>
          </cell>
          <cell r="H28">
            <v>3.4</v>
          </cell>
          <cell r="I28">
            <v>1.39</v>
          </cell>
          <cell r="J28">
            <v>1</v>
          </cell>
          <cell r="K28">
            <v>2.36</v>
          </cell>
          <cell r="L28">
            <v>2.2000000000000002</v>
          </cell>
          <cell r="N28">
            <v>2.2000000000000002</v>
          </cell>
          <cell r="O28">
            <v>2.2000000000000002</v>
          </cell>
        </row>
        <row r="29">
          <cell r="C29" t="str">
            <v xml:space="preserve"> - Insurance on Assets</v>
          </cell>
          <cell r="D29" t="str">
            <v xml:space="preserve"> - Advertisement</v>
          </cell>
          <cell r="E29">
            <v>5.0941666666666672</v>
          </cell>
          <cell r="F29">
            <v>6.96</v>
          </cell>
          <cell r="G29">
            <v>8.2100000000000009</v>
          </cell>
          <cell r="H29">
            <v>9.1</v>
          </cell>
          <cell r="I29">
            <v>10.11</v>
          </cell>
          <cell r="J29">
            <v>10.1</v>
          </cell>
          <cell r="K29">
            <v>10.26</v>
          </cell>
          <cell r="L29">
            <v>11.3</v>
          </cell>
          <cell r="N29">
            <v>11.3</v>
          </cell>
          <cell r="O29">
            <v>11.3</v>
          </cell>
        </row>
        <row r="30">
          <cell r="C30" t="str">
            <v xml:space="preserve"> - Total :</v>
          </cell>
          <cell r="D30" t="str">
            <v xml:space="preserve"> - Repairs - Equipments</v>
          </cell>
          <cell r="E30">
            <v>5.9</v>
          </cell>
          <cell r="F30">
            <v>7.2108333333333334</v>
          </cell>
          <cell r="G30">
            <v>10.360000000000001</v>
          </cell>
          <cell r="H30">
            <v>12.5</v>
          </cell>
          <cell r="I30">
            <v>11.5</v>
          </cell>
          <cell r="J30">
            <v>11.1</v>
          </cell>
          <cell r="K30">
            <v>12.62</v>
          </cell>
          <cell r="L30">
            <v>13.5</v>
          </cell>
          <cell r="M30">
            <v>0</v>
          </cell>
          <cell r="N30">
            <v>13.5</v>
          </cell>
          <cell r="O30">
            <v>13.5</v>
          </cell>
        </row>
        <row r="31">
          <cell r="B31" t="str">
            <v xml:space="preserve"> E. MACHINE</v>
          </cell>
          <cell r="C31" t="str">
            <v>- Overhauling</v>
          </cell>
          <cell r="D31" t="str">
            <v xml:space="preserve"> - Misc. Exp.</v>
          </cell>
          <cell r="E31">
            <v>9.9</v>
          </cell>
          <cell r="F31">
            <v>9.1</v>
          </cell>
          <cell r="G31">
            <v>0.25</v>
          </cell>
          <cell r="H31">
            <v>0.02</v>
          </cell>
          <cell r="I31">
            <v>0.08</v>
          </cell>
          <cell r="J31">
            <v>0.15</v>
          </cell>
          <cell r="K31">
            <v>7.0000000000000007E-2</v>
          </cell>
          <cell r="L31">
            <v>37.78</v>
          </cell>
          <cell r="N31">
            <v>37.78</v>
          </cell>
          <cell r="O31">
            <v>37.78</v>
          </cell>
        </row>
        <row r="32">
          <cell r="C32" t="str">
            <v>- Others</v>
          </cell>
          <cell r="D32" t="str">
            <v xml:space="preserve"> - Total :</v>
          </cell>
          <cell r="E32">
            <v>0</v>
          </cell>
          <cell r="F32">
            <v>9.0333333333333332</v>
          </cell>
          <cell r="G32">
            <v>34.4</v>
          </cell>
          <cell r="H32">
            <v>63.66</v>
          </cell>
          <cell r="I32">
            <v>45.75</v>
          </cell>
          <cell r="J32">
            <v>64.75</v>
          </cell>
          <cell r="K32">
            <v>37.049999999999997</v>
          </cell>
          <cell r="L32">
            <v>13.26</v>
          </cell>
          <cell r="M32">
            <v>0</v>
          </cell>
          <cell r="N32">
            <v>13.26</v>
          </cell>
          <cell r="O32">
            <v>8.86</v>
          </cell>
        </row>
        <row r="33">
          <cell r="C33" t="str">
            <v>- For Quality Upgradation</v>
          </cell>
          <cell r="L33">
            <v>13.13</v>
          </cell>
          <cell r="N33">
            <v>13.13</v>
          </cell>
          <cell r="O33">
            <v>13.13</v>
          </cell>
        </row>
        <row r="34">
          <cell r="C34" t="str">
            <v>- Sub Total :</v>
          </cell>
          <cell r="D34">
            <v>4</v>
          </cell>
          <cell r="F34">
            <v>2.5608333333333331</v>
          </cell>
          <cell r="G34">
            <v>34.4</v>
          </cell>
          <cell r="H34">
            <v>63.66</v>
          </cell>
          <cell r="I34">
            <v>45.75</v>
          </cell>
          <cell r="J34">
            <v>64.75</v>
          </cell>
          <cell r="K34">
            <v>37.049999999999997</v>
          </cell>
          <cell r="L34">
            <v>64.17</v>
          </cell>
          <cell r="M34">
            <v>0</v>
          </cell>
          <cell r="N34">
            <v>64.17</v>
          </cell>
          <cell r="O34">
            <v>59.77</v>
          </cell>
        </row>
        <row r="35">
          <cell r="B35" t="str">
            <v xml:space="preserve"> F. PROJECTS</v>
          </cell>
          <cell r="C35" t="str">
            <v xml:space="preserve">    - Hiring of D.G. Set</v>
          </cell>
          <cell r="D35" t="str">
            <v xml:space="preserve"> - Commission</v>
          </cell>
          <cell r="E35">
            <v>3.4608333333333334</v>
          </cell>
          <cell r="F35">
            <v>3.5</v>
          </cell>
          <cell r="G35">
            <v>2.06</v>
          </cell>
          <cell r="H35">
            <v>2.79</v>
          </cell>
          <cell r="I35">
            <v>2.46</v>
          </cell>
          <cell r="J35">
            <v>3.83</v>
          </cell>
          <cell r="K35">
            <v>2.36</v>
          </cell>
          <cell r="L35">
            <v>4</v>
          </cell>
          <cell r="N35">
            <v>4</v>
          </cell>
          <cell r="O35">
            <v>3.33</v>
          </cell>
        </row>
        <row r="36">
          <cell r="C36" t="str">
            <v xml:space="preserve">    - Building Repairs/ Additions</v>
          </cell>
          <cell r="D36" t="str">
            <v xml:space="preserve"> - Recruitment Expenses</v>
          </cell>
          <cell r="E36">
            <v>3.8933333333333331</v>
          </cell>
          <cell r="F36">
            <v>1.86</v>
          </cell>
          <cell r="G36">
            <v>8.77</v>
          </cell>
          <cell r="H36">
            <v>5.9</v>
          </cell>
          <cell r="I36">
            <v>5.47</v>
          </cell>
          <cell r="J36">
            <v>6.46</v>
          </cell>
          <cell r="K36">
            <v>3.01</v>
          </cell>
          <cell r="L36">
            <v>5.25</v>
          </cell>
          <cell r="N36">
            <v>5.25</v>
          </cell>
          <cell r="O36">
            <v>4.42</v>
          </cell>
        </row>
        <row r="37">
          <cell r="C37" t="str">
            <v xml:space="preserve">    - ISO 1400 / QS 9000/ 5 'S'</v>
          </cell>
          <cell r="D37">
            <v>5</v>
          </cell>
          <cell r="E37">
            <v>0.23</v>
          </cell>
          <cell r="F37">
            <v>0.23</v>
          </cell>
          <cell r="G37">
            <v>0.42</v>
          </cell>
          <cell r="H37">
            <v>5.52</v>
          </cell>
          <cell r="I37">
            <v>2.74</v>
          </cell>
          <cell r="J37">
            <v>1.3258333333333354</v>
          </cell>
          <cell r="K37">
            <v>0.46</v>
          </cell>
          <cell r="L37">
            <v>1.05</v>
          </cell>
          <cell r="M37">
            <v>0</v>
          </cell>
          <cell r="N37">
            <v>1.05</v>
          </cell>
          <cell r="O37">
            <v>1.05</v>
          </cell>
        </row>
        <row r="38">
          <cell r="C38" t="str">
            <v xml:space="preserve">    - R&amp;D </v>
          </cell>
          <cell r="D38">
            <v>6</v>
          </cell>
          <cell r="F38">
            <v>0</v>
          </cell>
          <cell r="G38">
            <v>1.61</v>
          </cell>
          <cell r="H38">
            <v>0</v>
          </cell>
          <cell r="I38">
            <v>0</v>
          </cell>
          <cell r="J38">
            <v>10.67</v>
          </cell>
          <cell r="K38">
            <v>0</v>
          </cell>
          <cell r="L38">
            <v>4.97</v>
          </cell>
          <cell r="N38">
            <v>4.97</v>
          </cell>
          <cell r="O38">
            <v>4.97</v>
          </cell>
        </row>
        <row r="39">
          <cell r="C39" t="str">
            <v xml:space="preserve">    -  TPM </v>
          </cell>
          <cell r="D39" t="str">
            <v xml:space="preserve"> - Information Technology</v>
          </cell>
          <cell r="E39">
            <v>0</v>
          </cell>
          <cell r="F39">
            <v>0</v>
          </cell>
          <cell r="G39">
            <v>0</v>
          </cell>
          <cell r="H39">
            <v>0</v>
          </cell>
          <cell r="I39">
            <v>0</v>
          </cell>
          <cell r="J39">
            <v>5.78</v>
          </cell>
          <cell r="K39">
            <v>1.3</v>
          </cell>
          <cell r="L39">
            <v>4.32</v>
          </cell>
          <cell r="N39">
            <v>4.32</v>
          </cell>
          <cell r="O39">
            <v>4.32</v>
          </cell>
        </row>
        <row r="40">
          <cell r="C40" t="str">
            <v xml:space="preserve">    - Pollution Control</v>
          </cell>
          <cell r="D40" t="str">
            <v xml:space="preserve"> - H.O. Lay-out</v>
          </cell>
          <cell r="E40">
            <v>0.25666666666666665</v>
          </cell>
          <cell r="F40">
            <v>0.35</v>
          </cell>
          <cell r="G40">
            <v>0.27</v>
          </cell>
          <cell r="H40">
            <v>1.65</v>
          </cell>
          <cell r="I40">
            <v>0.47</v>
          </cell>
          <cell r="J40">
            <v>2.06</v>
          </cell>
          <cell r="K40">
            <v>1.69</v>
          </cell>
          <cell r="L40">
            <v>2.35</v>
          </cell>
          <cell r="N40">
            <v>2.35</v>
          </cell>
          <cell r="O40">
            <v>2.35</v>
          </cell>
        </row>
        <row r="41">
          <cell r="C41" t="str">
            <v xml:space="preserve">    - Total :</v>
          </cell>
          <cell r="D41" t="str">
            <v xml:space="preserve"> - Consultancy Exp.</v>
          </cell>
          <cell r="E41">
            <v>7.8408333333333333</v>
          </cell>
          <cell r="F41">
            <v>5.94</v>
          </cell>
          <cell r="G41">
            <v>13.129999999999999</v>
          </cell>
          <cell r="H41">
            <v>15.860000000000001</v>
          </cell>
          <cell r="I41">
            <v>11.14</v>
          </cell>
          <cell r="J41">
            <v>30.125833333333336</v>
          </cell>
          <cell r="K41">
            <v>8.8199999999999985</v>
          </cell>
          <cell r="L41">
            <v>21.94</v>
          </cell>
          <cell r="M41">
            <v>0</v>
          </cell>
          <cell r="N41">
            <v>21.94</v>
          </cell>
          <cell r="O41">
            <v>20.440000000000001</v>
          </cell>
        </row>
        <row r="42">
          <cell r="B42" t="str">
            <v>G. TOTAL PTE COST( A TO F )</v>
          </cell>
          <cell r="D42" t="str">
            <v xml:space="preserve"> -  Contigency</v>
          </cell>
          <cell r="E42">
            <v>142.85166666666666</v>
          </cell>
          <cell r="F42">
            <v>153.86083333333332</v>
          </cell>
          <cell r="G42">
            <v>207.72</v>
          </cell>
          <cell r="H42">
            <v>279.87</v>
          </cell>
          <cell r="I42">
            <v>246.95</v>
          </cell>
          <cell r="J42">
            <v>332.50583333333338</v>
          </cell>
          <cell r="K42">
            <v>260.68</v>
          </cell>
          <cell r="L42">
            <v>343.97</v>
          </cell>
          <cell r="M42">
            <v>0</v>
          </cell>
          <cell r="N42">
            <v>343.97</v>
          </cell>
          <cell r="O42">
            <v>335.98</v>
          </cell>
        </row>
        <row r="43">
          <cell r="B43" t="str">
            <v>H. ONE TIME EXP.</v>
          </cell>
          <cell r="D43" t="str">
            <v xml:space="preserve"> - Total :</v>
          </cell>
          <cell r="G43">
            <v>2.59</v>
          </cell>
          <cell r="H43">
            <v>4</v>
          </cell>
          <cell r="I43">
            <v>6.9</v>
          </cell>
          <cell r="J43">
            <v>9.5</v>
          </cell>
          <cell r="K43">
            <v>8.2508333333333344</v>
          </cell>
          <cell r="L43">
            <v>11.83</v>
          </cell>
          <cell r="M43">
            <v>0</v>
          </cell>
          <cell r="N43">
            <v>11.83</v>
          </cell>
          <cell r="O43">
            <v>11.83</v>
          </cell>
        </row>
        <row r="44">
          <cell r="C44" t="str">
            <v xml:space="preserve"> - N.E.D - Cost of Development</v>
          </cell>
          <cell r="D44">
            <v>7</v>
          </cell>
          <cell r="E44">
            <v>2.8325</v>
          </cell>
          <cell r="F44">
            <v>4.4024999999999999</v>
          </cell>
          <cell r="G44">
            <v>5.04</v>
          </cell>
          <cell r="H44">
            <v>9.33</v>
          </cell>
          <cell r="I44">
            <v>6.72</v>
          </cell>
          <cell r="J44">
            <v>9.6300000000000008</v>
          </cell>
          <cell r="K44">
            <v>6.82</v>
          </cell>
          <cell r="L44">
            <v>10.08</v>
          </cell>
          <cell r="N44">
            <v>10.08</v>
          </cell>
          <cell r="O44">
            <v>10.06</v>
          </cell>
        </row>
        <row r="45">
          <cell r="C45" t="str">
            <v xml:space="preserve"> - C to R </v>
          </cell>
          <cell r="D45">
            <v>10.05999755859375</v>
          </cell>
          <cell r="E45">
            <v>17.022499999999997</v>
          </cell>
          <cell r="F45">
            <v>0.49083333333333329</v>
          </cell>
          <cell r="G45">
            <v>0.13000000000000006</v>
          </cell>
          <cell r="H45">
            <v>3.5</v>
          </cell>
          <cell r="I45">
            <v>2.88</v>
          </cell>
          <cell r="J45">
            <v>3.5</v>
          </cell>
          <cell r="K45">
            <v>76.600833333333327</v>
          </cell>
          <cell r="L45">
            <v>3</v>
          </cell>
          <cell r="M45">
            <v>0</v>
          </cell>
          <cell r="N45">
            <v>3</v>
          </cell>
          <cell r="O45">
            <v>3</v>
          </cell>
        </row>
        <row r="46">
          <cell r="C46" t="str">
            <v xml:space="preserve"> - Prev. Yr. Exp.</v>
          </cell>
          <cell r="E46">
            <v>4.4741666666666662</v>
          </cell>
          <cell r="F46">
            <v>1.2783333333333333</v>
          </cell>
          <cell r="G46">
            <v>0</v>
          </cell>
          <cell r="H46">
            <v>0</v>
          </cell>
          <cell r="I46">
            <v>0</v>
          </cell>
          <cell r="J46">
            <v>0</v>
          </cell>
          <cell r="K46">
            <v>-0.09</v>
          </cell>
          <cell r="L46">
            <v>0</v>
          </cell>
          <cell r="N46">
            <v>0</v>
          </cell>
          <cell r="O46">
            <v>0</v>
          </cell>
        </row>
        <row r="47">
          <cell r="C47" t="str">
            <v xml:space="preserve">    - Total :</v>
          </cell>
          <cell r="D47" t="str">
            <v xml:space="preserve"> -  Previous Year Exp.(Rent)                      </v>
          </cell>
          <cell r="E47">
            <v>24.329166666666662</v>
          </cell>
          <cell r="F47">
            <v>6.1716666666666669</v>
          </cell>
          <cell r="G47">
            <v>5.17</v>
          </cell>
          <cell r="H47">
            <v>12.83</v>
          </cell>
          <cell r="I47">
            <v>9.6</v>
          </cell>
          <cell r="J47">
            <v>13.13</v>
          </cell>
          <cell r="K47">
            <v>6.73</v>
          </cell>
          <cell r="L47">
            <v>13.08</v>
          </cell>
          <cell r="M47">
            <v>0</v>
          </cell>
          <cell r="N47">
            <v>13.08</v>
          </cell>
          <cell r="O47">
            <v>13.06</v>
          </cell>
        </row>
        <row r="48">
          <cell r="B48" t="str">
            <v xml:space="preserve"> I.  GRAND  TOTAL(G + H)</v>
          </cell>
          <cell r="D48" t="str">
            <v xml:space="preserve"> - Loss on sale/scrap of assets/Dies                         </v>
          </cell>
          <cell r="E48">
            <v>167.18083333333331</v>
          </cell>
          <cell r="F48">
            <v>160.03249999999997</v>
          </cell>
          <cell r="G48">
            <v>212.89</v>
          </cell>
          <cell r="H48">
            <v>292.7</v>
          </cell>
          <cell r="I48">
            <v>256.55</v>
          </cell>
          <cell r="J48">
            <v>345.63583333333338</v>
          </cell>
          <cell r="K48">
            <v>267.41000000000003</v>
          </cell>
          <cell r="L48">
            <v>357.05</v>
          </cell>
          <cell r="M48">
            <v>0</v>
          </cell>
          <cell r="N48">
            <v>357.05</v>
          </cell>
          <cell r="O48">
            <v>349.04</v>
          </cell>
        </row>
        <row r="49">
          <cell r="B49" t="str">
            <v xml:space="preserve"> NOTE:-    1. Personnel Cost (Existing Employees) has been budgeted as under :</v>
          </cell>
          <cell r="D49" t="str">
            <v xml:space="preserve"> - Bad  &amp; Doubtful Debts</v>
          </cell>
          <cell r="F49">
            <v>0.98333333333333339</v>
          </cell>
          <cell r="G49">
            <v>0.92</v>
          </cell>
          <cell r="H49">
            <v>1.1499999999999999</v>
          </cell>
          <cell r="I49">
            <v>3.28</v>
          </cell>
          <cell r="J49">
            <v>2</v>
          </cell>
          <cell r="K49">
            <v>3.855</v>
          </cell>
          <cell r="L49">
            <v>2</v>
          </cell>
          <cell r="N49">
            <v>2</v>
          </cell>
          <cell r="O49">
            <v>2</v>
          </cell>
        </row>
        <row r="50">
          <cell r="B50" t="str">
            <v xml:space="preserve">                       - Increase for Officer &amp; Staff  - 6% on current salaries.</v>
          </cell>
          <cell r="D50" t="str">
            <v xml:space="preserve"> - Donation</v>
          </cell>
          <cell r="F50">
            <v>1.7808333333333335</v>
          </cell>
          <cell r="G50">
            <v>3.5</v>
          </cell>
          <cell r="H50">
            <v>3.5</v>
          </cell>
          <cell r="I50">
            <v>0.06</v>
          </cell>
          <cell r="J50">
            <v>3.5</v>
          </cell>
          <cell r="K50">
            <v>0</v>
          </cell>
          <cell r="L50">
            <v>3.5</v>
          </cell>
          <cell r="N50">
            <v>3.5</v>
          </cell>
          <cell r="O50">
            <v>3.5</v>
          </cell>
        </row>
        <row r="51">
          <cell r="B51" t="str">
            <v xml:space="preserve">                       - Increase for Workers - 10% on wages including V.D.A.</v>
          </cell>
          <cell r="D51" t="str">
            <v xml:space="preserve"> - Total :</v>
          </cell>
          <cell r="F51">
            <v>13.405000000000001</v>
          </cell>
          <cell r="G51">
            <v>7.57</v>
          </cell>
          <cell r="H51">
            <v>8.65</v>
          </cell>
          <cell r="I51">
            <v>9</v>
          </cell>
          <cell r="J51">
            <v>9.5</v>
          </cell>
          <cell r="K51">
            <v>11.735833333333334</v>
          </cell>
          <cell r="L51">
            <v>7.5</v>
          </cell>
          <cell r="M51">
            <v>0</v>
          </cell>
          <cell r="N51">
            <v>7.5</v>
          </cell>
          <cell r="O51">
            <v>7.5</v>
          </cell>
        </row>
        <row r="52">
          <cell r="B52" t="str">
            <v xml:space="preserve">                   2. New Recurits Cost has been taken as per O&amp;P Deptt. Letter of dt.24.01.2001 &amp; additional provision of 180 Workers &amp; 5 Staff have</v>
          </cell>
          <cell r="C52" t="str">
            <v xml:space="preserve"> J. GRAND TOTAL (H+I) </v>
          </cell>
          <cell r="F52" t="str">
            <v>+F37+#REF!+F51; ERR</v>
          </cell>
          <cell r="G52">
            <v>63.170000000000009</v>
          </cell>
          <cell r="H52">
            <v>72.41</v>
          </cell>
          <cell r="I52">
            <v>71.45</v>
          </cell>
          <cell r="J52">
            <v>91.466666666666683</v>
          </cell>
          <cell r="K52">
            <v>88.336666666666659</v>
          </cell>
          <cell r="L52">
            <v>90.42</v>
          </cell>
          <cell r="M52">
            <v>0</v>
          </cell>
          <cell r="N52">
            <v>90.42</v>
          </cell>
          <cell r="O52">
            <v>90.42</v>
          </cell>
        </row>
        <row r="53">
          <cell r="B53" t="str">
            <v xml:space="preserve">                       been provided for expansion @ Rs.5000/- per workmen and Rs.8,000/- per staff respectively.</v>
          </cell>
          <cell r="C53" t="str">
            <v xml:space="preserve"> NOTE:-    1. Personnel Cost increase has been taken at  6% on current salaries.</v>
          </cell>
        </row>
        <row r="54">
          <cell r="B54" t="str">
            <v xml:space="preserve">                   3. Repair machine budget includes 1.62 L/R/M for repairs for computer.</v>
          </cell>
        </row>
        <row r="57">
          <cell r="B57" t="str">
            <v xml:space="preserve">                   4. Project exp. for the year as proposed by Works is Rs.14.30 Cr. which includes carry over sanctions of Rs. 2.0 Cr. </v>
          </cell>
        </row>
        <row r="58">
          <cell r="B58" t="str">
            <v xml:space="preserve">                       However, the total amount of project expenditure will be restricted to Rs. 8.00 Cr.as under :</v>
          </cell>
        </row>
        <row r="59">
          <cell r="B59">
            <v>90.41998291015625</v>
          </cell>
          <cell r="C59" t="str">
            <v>-  PRP - Rs. 7.70 Cr.</v>
          </cell>
        </row>
        <row r="60">
          <cell r="B60">
            <v>90.41998291015625</v>
          </cell>
          <cell r="C60" t="str">
            <v>-  EV - Rs. 0.30 Cr.</v>
          </cell>
        </row>
        <row r="62">
          <cell r="B62" t="str">
            <v xml:space="preserve">                   5. Details of budget of ISO 14000/QS9000/5S is as under :</v>
          </cell>
        </row>
        <row r="64">
          <cell r="C64" t="str">
            <v>PROJECT</v>
          </cell>
          <cell r="D64" t="str">
            <v>AMOUNT</v>
          </cell>
        </row>
        <row r="65">
          <cell r="D65" t="str">
            <v>L/R</v>
          </cell>
        </row>
        <row r="66">
          <cell r="C66" t="str">
            <v>- ISO 14000</v>
          </cell>
          <cell r="D66">
            <v>0.42</v>
          </cell>
        </row>
        <row r="67">
          <cell r="C67" t="str">
            <v>- QS 9000</v>
          </cell>
          <cell r="D67">
            <v>0.5</v>
          </cell>
        </row>
        <row r="68">
          <cell r="C68" t="str">
            <v>- 5S</v>
          </cell>
          <cell r="D68">
            <v>0.63</v>
          </cell>
        </row>
        <row r="69">
          <cell r="C69" t="str">
            <v>TOTAL :</v>
          </cell>
          <cell r="D69">
            <v>1.5499999999999998</v>
          </cell>
        </row>
        <row r="72">
          <cell r="B72" t="str">
            <v xml:space="preserve">                   6. Details of R&amp;D expenditure is as under : </v>
          </cell>
        </row>
        <row r="74">
          <cell r="C74" t="str">
            <v>PROJECT</v>
          </cell>
          <cell r="D74" t="str">
            <v>AMOUNT</v>
          </cell>
        </row>
        <row r="75">
          <cell r="D75" t="str">
            <v>L/R</v>
          </cell>
        </row>
        <row r="76">
          <cell r="C76" t="str">
            <v>R&amp;D</v>
          </cell>
        </row>
        <row r="77">
          <cell r="C77" t="str">
            <v xml:space="preserve"> Pro Engineer Software</v>
          </cell>
          <cell r="D77">
            <v>6.5</v>
          </cell>
        </row>
        <row r="78">
          <cell r="C78" t="str">
            <v>- F.E. Analysis Software</v>
          </cell>
          <cell r="D78">
            <v>16.5</v>
          </cell>
        </row>
        <row r="79">
          <cell r="C79" t="str">
            <v>- TSA with Recardo</v>
          </cell>
          <cell r="D79">
            <v>14.6</v>
          </cell>
        </row>
        <row r="80">
          <cell r="C80" t="str">
            <v>- C&amp;I with AVL</v>
          </cell>
          <cell r="D80">
            <v>15.6</v>
          </cell>
        </row>
        <row r="81">
          <cell r="C81" t="str">
            <v>- Leasing of Magma Software</v>
          </cell>
          <cell r="D81">
            <v>6.3</v>
          </cell>
        </row>
        <row r="82">
          <cell r="C82" t="str">
            <v>TOTAL</v>
          </cell>
          <cell r="D82">
            <v>59.5</v>
          </cell>
        </row>
        <row r="84">
          <cell r="B84" t="str">
            <v xml:space="preserve">                   7. Details of N.E.D. Cost is as under : </v>
          </cell>
        </row>
        <row r="86">
          <cell r="C86" t="str">
            <v>PARTICULARS</v>
          </cell>
          <cell r="D86" t="str">
            <v>COST PER MODEL (L/R)</v>
          </cell>
          <cell r="G86" t="str">
            <v>NO. OF MODEL</v>
          </cell>
          <cell r="H86" t="str">
            <v>NO. OF MODELS</v>
          </cell>
          <cell r="I86" t="str">
            <v>AMOUNT L/R</v>
          </cell>
        </row>
        <row r="87">
          <cell r="C87" t="str">
            <v>PISTON/PIN</v>
          </cell>
          <cell r="D87">
            <v>3</v>
          </cell>
          <cell r="G87">
            <v>20</v>
          </cell>
          <cell r="H87">
            <v>20</v>
          </cell>
          <cell r="I87">
            <v>60</v>
          </cell>
        </row>
        <row r="88">
          <cell r="C88" t="str">
            <v>STEEL RING</v>
          </cell>
          <cell r="D88">
            <v>5</v>
          </cell>
          <cell r="G88">
            <v>5</v>
          </cell>
          <cell r="H88">
            <v>5</v>
          </cell>
          <cell r="I88">
            <v>25</v>
          </cell>
        </row>
        <row r="89">
          <cell r="C89" t="str">
            <v>C.I. RING</v>
          </cell>
          <cell r="D89">
            <v>1</v>
          </cell>
          <cell r="G89">
            <v>36</v>
          </cell>
          <cell r="H89">
            <v>36</v>
          </cell>
          <cell r="I89">
            <v>36</v>
          </cell>
        </row>
        <row r="90">
          <cell r="C90" t="str">
            <v>E. VALVE</v>
          </cell>
          <cell r="D90" t="str">
            <v>-</v>
          </cell>
          <cell r="G90">
            <v>11</v>
          </cell>
          <cell r="H90">
            <v>11</v>
          </cell>
          <cell r="I90" t="str">
            <v>-</v>
          </cell>
        </row>
        <row r="91">
          <cell r="C91" t="str">
            <v>TOTAL</v>
          </cell>
          <cell r="E91">
            <v>0</v>
          </cell>
          <cell r="F91">
            <v>0</v>
          </cell>
          <cell r="G91">
            <v>72</v>
          </cell>
          <cell r="I91">
            <v>121</v>
          </cell>
        </row>
        <row r="94">
          <cell r="B94">
            <v>121</v>
          </cell>
        </row>
        <row r="96">
          <cell r="D96">
            <v>121</v>
          </cell>
        </row>
        <row r="131">
          <cell r="B131">
            <v>121</v>
          </cell>
        </row>
      </sheetData>
      <sheetData sheetId="5">
        <row r="2">
          <cell r="B2" t="str">
            <v>"C" COST - MARKETING</v>
          </cell>
        </row>
      </sheetData>
      <sheetData sheetId="6">
        <row r="2">
          <cell r="B2" t="str">
            <v>"C" COST  - PRP (PTE)</v>
          </cell>
        </row>
      </sheetData>
      <sheetData sheetId="7">
        <row r="2">
          <cell r="B2" t="str">
            <v>"C" COST  - PRP (PTE)</v>
          </cell>
        </row>
      </sheetData>
      <sheetData sheetId="8">
        <row r="2">
          <cell r="B2" t="str">
            <v>"C" COST  - PRP (PTE)</v>
          </cell>
        </row>
      </sheetData>
      <sheetData sheetId="9"/>
      <sheetData sheetId="10"/>
      <sheetData sheetId="11"/>
      <sheetData sheetId="1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CAPEX"/>
      <sheetName val="Interconnect"/>
      <sheetName val="admn block"/>
      <sheetName val="Backup"/>
      <sheetName val="formulas"/>
      <sheetName val="Dels"/>
      <sheetName val="Other"/>
      <sheetName val="Summary"/>
      <sheetName val="Trial Balance"/>
      <sheetName val="Assumptions"/>
      <sheetName val="Extra Sheet"/>
      <sheetName val="Product"/>
      <sheetName val="BS"/>
      <sheetName val="Consolidated"/>
      <sheetName val="stat C (2)"/>
      <sheetName val="VOL1"/>
      <sheetName val="Main Sheet"/>
      <sheetName val="10. &amp; 11. Rate Code &amp; BQ"/>
      <sheetName val="MFG FORE"/>
      <sheetName val="YTD"/>
      <sheetName val="dec00"/>
      <sheetName val=" TRIAL BALANCE"/>
      <sheetName val="Main Account 14940"/>
      <sheetName val="BSsep07 TRIAL BALANCE"/>
      <sheetName val="Plas &amp; WP"/>
      <sheetName val="Field Values"/>
      <sheetName val="TOC"/>
      <sheetName val="Tariff"/>
      <sheetName val="Results"/>
      <sheetName val="PLGroupings"/>
      <sheetName val="Consolidation"/>
      <sheetName val="ARDetails"/>
      <sheetName val="MAN(C)"/>
      <sheetName val="MAN(H)"/>
      <sheetName val="MAN(B)"/>
      <sheetName val="CAPEX (CON)"/>
      <sheetName val="CAPEX (HYD)"/>
      <sheetName val="HYD(D)"/>
      <sheetName val="CAPEX(BAW)"/>
      <sheetName val="BAW(D)"/>
      <sheetName val="DEP (IT)"/>
      <sheetName val="DEP"/>
      <sheetName val="Fincost"/>
      <sheetName val="FORM7"/>
      <sheetName val="BAW_D_"/>
      <sheetName val="DHANBAD"/>
      <sheetName val="1-OBJ98 "/>
      <sheetName val="#REF"/>
      <sheetName val="SALES-VAL"/>
      <sheetName val="Contactica"/>
      <sheetName val="Summary (Cum)"/>
      <sheetName val="Summary (Adds)"/>
      <sheetName val="BSS"/>
      <sheetName val="NSS"/>
      <sheetName val="Microwave"/>
      <sheetName val="Sites"/>
      <sheetName val="O&amp;M"/>
      <sheetName val="Installation"/>
      <sheetName val="laroux"/>
      <sheetName val="XXXXXX"/>
      <sheetName val="NWCapex"/>
      <sheetName val="USD working"/>
      <sheetName val="Site Details"/>
      <sheetName val="ITCapex"/>
      <sheetName val="AdmCap"/>
      <sheetName val="Pending Issues"/>
      <sheetName val="Qty"/>
      <sheetName val="Pricing"/>
      <sheetName val="Capex USD"/>
      <sheetName val="Capex Rs."/>
      <sheetName val="Capex Duty"/>
      <sheetName val="Capex Total"/>
      <sheetName val="Cap S"/>
      <sheetName val="CC Capex"/>
      <sheetName val="IT Qty"/>
      <sheetName val="IT Price"/>
      <sheetName val="IT Capex  "/>
      <sheetName val="IT summ"/>
      <sheetName val="Other Capex"/>
      <sheetName val="Summ"/>
      <sheetName val="Cashflow"/>
      <sheetName val="format"/>
      <sheetName val="Capex Format"/>
      <sheetName val="New Capex Format"/>
      <sheetName val="Comp with UP west"/>
      <sheetName val="12. Sales &amp; Mktg "/>
      <sheetName val="14. Manpower"/>
      <sheetName val="CTC-May,2002"/>
      <sheetName val="Assumptions - 2"/>
      <sheetName val="HRY OG"/>
      <sheetName val="MODEL"/>
      <sheetName val="Sheet2 (2)"/>
      <sheetName val="Master"/>
      <sheetName val="Europe Consolidated"/>
      <sheetName val="MAY"/>
      <sheetName val="PO"/>
      <sheetName val="Total Additions"/>
      <sheetName val="KKDu2"/>
      <sheetName val="KKDU1 &amp; others"/>
      <sheetName val="Leadshee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Schedule"/>
      <sheetName val="Annexure"/>
      <sheetName val="trial Balance"/>
      <sheetName val="CAPITAL WORK IN PROGRESS"/>
      <sheetName val="depreciation"/>
      <sheetName val="CAPTLISATION OF INTEREST"/>
      <sheetName val="Cash Flow"/>
      <sheetName val="Related Party"/>
      <sheetName val="Capital Commitment"/>
      <sheetName val="PARTY DETAILS"/>
      <sheetName val="FORM111"/>
      <sheetName val="FORMII"/>
      <sheetName val="Philippines"/>
      <sheetName val="PRINT-BL"/>
      <sheetName val="Comp"/>
      <sheetName val="N. F. Calculator_Sep"/>
      <sheetName val="Cash flow -not to use"/>
      <sheetName val="Balance_sheet"/>
      <sheetName val="trial_Balance"/>
      <sheetName val="CAPITAL_WORK_IN_PROGRESS"/>
      <sheetName val="CAPTLISATION_OF_INTEREST"/>
      <sheetName val="Cash_Flow"/>
      <sheetName val="Related_Party"/>
      <sheetName val="Capital_Commitment"/>
      <sheetName val="PARTY_DETAILS"/>
      <sheetName val="N__F__Calculator_Sep"/>
      <sheetName val="Cash_flow_-not_to_use"/>
      <sheetName val="Aseet1998"/>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Schedule"/>
      <sheetName val="Annexure"/>
      <sheetName val="Trial Balance"/>
      <sheetName val="Capital work in Progress"/>
      <sheetName val="CAPTLISATION OF INTEREST"/>
      <sheetName val="Related Party"/>
      <sheetName val="PARTY DETAILS"/>
    </sheetNames>
    <sheetDataSet>
      <sheetData sheetId="0" refreshError="1"/>
      <sheetData sheetId="1"/>
      <sheetData sheetId="2" refreshError="1"/>
      <sheetData sheetId="3"/>
      <sheetData sheetId="4" refreshError="1"/>
      <sheetData sheetId="5" refreshError="1"/>
      <sheetData sheetId="6" refreshError="1"/>
      <sheetData sheetId="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Schedule"/>
      <sheetName val="Annexure"/>
      <sheetName val="Trial Balance"/>
      <sheetName val="pocm"/>
      <sheetName val="Depreciation"/>
      <sheetName val="CAPTLISATION OF INTEREST"/>
      <sheetName val="CASH FLOW"/>
      <sheetName val="Related Party"/>
    </sheetNames>
    <sheetDataSet>
      <sheetData sheetId="0"/>
      <sheetData sheetId="1"/>
      <sheetData sheetId="2"/>
      <sheetData sheetId="3"/>
      <sheetData sheetId="4"/>
      <sheetData sheetId="5"/>
      <sheetData sheetId="6"/>
      <sheetData sheetId="7"/>
      <sheetData sheetId="8"/>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Schedule"/>
      <sheetName val="Annexure"/>
      <sheetName val="Trial Balance"/>
      <sheetName val="Capital work in Progress"/>
      <sheetName val="CAPTLISATION OF INTEREST"/>
      <sheetName val="Consolidation Cash Flow"/>
      <sheetName val="Related Party"/>
      <sheetName val="Capital commitment"/>
    </sheetNames>
    <sheetDataSet>
      <sheetData sheetId="0"/>
      <sheetData sheetId="1"/>
      <sheetData sheetId="2"/>
      <sheetData sheetId="3"/>
      <sheetData sheetId="4"/>
      <sheetData sheetId="5"/>
      <sheetData sheetId="6"/>
      <sheetData sheetId="7"/>
      <sheetData sheetId="8"/>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Schedule"/>
      <sheetName val="Annexure"/>
      <sheetName val="Trial Balance"/>
      <sheetName val="Capital work in Progress"/>
      <sheetName val="CAPTLISATION OF INTEREST"/>
      <sheetName val="Consolidation Cash Flow"/>
      <sheetName val="Capital commitment"/>
      <sheetName val="Related Party"/>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nus-Sep-03"/>
      <sheetName val="2003"/>
      <sheetName val="cost centers"/>
      <sheetName val="Cover"/>
      <sheetName val="cost_centers"/>
      <sheetName val="Rates"/>
      <sheetName val="Comp"/>
      <sheetName val="04-060 Rents"/>
      <sheetName val="M B-QtyRecn"/>
      <sheetName val="Macro1"/>
      <sheetName val="cost_centers1"/>
    </sheetNames>
    <sheetDataSet>
      <sheetData sheetId="0"/>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nus-Sep-03"/>
      <sheetName val="2003"/>
      <sheetName val="Rates"/>
      <sheetName val="Consolidation _Rs"/>
      <sheetName val="TB March 2002"/>
      <sheetName val="BS-203"/>
      <sheetName val="Consolidation__Rs"/>
      <sheetName val="TB_March_2002"/>
      <sheetName val="Consolidation__Rs1"/>
      <sheetName val="TB_March_20021"/>
      <sheetName val="Consolidation__Rs2"/>
      <sheetName val="TB_March_20022"/>
      <sheetName val="Comp"/>
      <sheetName val="cost centers"/>
      <sheetName val="Consolidation__Rs3"/>
      <sheetName val="TB_March_20023"/>
    </sheetNames>
    <sheetDataSet>
      <sheetData sheetId="0"/>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refreshError="1"/>
      <sheetData sheetId="13" refreshError="1"/>
      <sheetData sheetId="14"/>
      <sheetData sheetId="15"/>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 I.TAX"/>
      <sheetName val="addition"/>
      <sheetName val="YTD"/>
      <sheetName val="SUMMARY"/>
      <sheetName val="Assumptions US-Rev"/>
      <sheetName val="tables"/>
      <sheetName val="Deduction_and_Rebate"/>
      <sheetName val="words"/>
      <sheetName val="AsstBA2100Mar2003"/>
      <sheetName val="2003"/>
      <sheetName val="addition_I_TAX"/>
      <sheetName val="coa_ramco_168"/>
      <sheetName val="5(a)"/>
      <sheetName val="AG00060"/>
      <sheetName val="Assumptions"/>
      <sheetName val="CRITERIA4"/>
    </sheetNames>
    <sheetDataSet>
      <sheetData sheetId="0" refreshError="1"/>
      <sheetData sheetId="1" refreshError="1"/>
      <sheetData sheetId="2" refreshError="1">
        <row r="2653">
          <cell r="A2653">
            <v>1</v>
          </cell>
        </row>
        <row r="2654">
          <cell r="A2654">
            <v>2</v>
          </cell>
        </row>
        <row r="2655">
          <cell r="A2655">
            <v>3</v>
          </cell>
        </row>
        <row r="2656">
          <cell r="A2656">
            <v>4</v>
          </cell>
        </row>
        <row r="2657">
          <cell r="A2657">
            <v>5</v>
          </cell>
        </row>
        <row r="2658">
          <cell r="A2658">
            <v>6</v>
          </cell>
        </row>
        <row r="2659">
          <cell r="A2659">
            <v>7</v>
          </cell>
        </row>
        <row r="2660">
          <cell r="A2660">
            <v>8</v>
          </cell>
        </row>
        <row r="2661">
          <cell r="A2661">
            <v>9</v>
          </cell>
        </row>
        <row r="2662">
          <cell r="A2662">
            <v>10</v>
          </cell>
        </row>
        <row r="2663">
          <cell r="A2663">
            <v>11</v>
          </cell>
        </row>
        <row r="2664">
          <cell r="A2664">
            <v>12</v>
          </cell>
        </row>
        <row r="2665">
          <cell r="A2665">
            <v>13</v>
          </cell>
        </row>
        <row r="2666">
          <cell r="A2666">
            <v>14</v>
          </cell>
        </row>
        <row r="2667">
          <cell r="A2667">
            <v>15</v>
          </cell>
        </row>
        <row r="2668">
          <cell r="A2668">
            <v>16</v>
          </cell>
        </row>
        <row r="2669">
          <cell r="A2669">
            <v>17</v>
          </cell>
        </row>
        <row r="2670">
          <cell r="A2670">
            <v>18</v>
          </cell>
        </row>
        <row r="2671">
          <cell r="A2671">
            <v>19</v>
          </cell>
        </row>
        <row r="2672">
          <cell r="A2672">
            <v>20</v>
          </cell>
        </row>
        <row r="2674">
          <cell r="A2674">
            <v>21</v>
          </cell>
        </row>
        <row r="2675">
          <cell r="A2675">
            <v>22</v>
          </cell>
        </row>
        <row r="2676">
          <cell r="A2676">
            <v>23</v>
          </cell>
        </row>
        <row r="2677">
          <cell r="A2677">
            <v>24</v>
          </cell>
        </row>
        <row r="2678">
          <cell r="A2678">
            <v>25</v>
          </cell>
        </row>
        <row r="2680">
          <cell r="A2680">
            <v>26</v>
          </cell>
        </row>
        <row r="2681">
          <cell r="A2681">
            <v>27</v>
          </cell>
        </row>
        <row r="2682">
          <cell r="A2682">
            <v>28</v>
          </cell>
        </row>
        <row r="2683">
          <cell r="A2683">
            <v>29</v>
          </cell>
        </row>
        <row r="2684">
          <cell r="A2684">
            <v>30</v>
          </cell>
        </row>
        <row r="2685">
          <cell r="A2685">
            <v>31</v>
          </cell>
        </row>
        <row r="2686">
          <cell r="A2686">
            <v>32</v>
          </cell>
        </row>
        <row r="2687">
          <cell r="A2687">
            <v>33</v>
          </cell>
        </row>
        <row r="2688">
          <cell r="A2688">
            <v>34</v>
          </cell>
        </row>
        <row r="2689">
          <cell r="A2689">
            <v>35</v>
          </cell>
        </row>
        <row r="2690">
          <cell r="A2690">
            <v>36</v>
          </cell>
        </row>
        <row r="2691">
          <cell r="A2691">
            <v>37</v>
          </cell>
        </row>
        <row r="2692">
          <cell r="A2692">
            <v>38</v>
          </cell>
        </row>
        <row r="2694">
          <cell r="A2694">
            <v>39</v>
          </cell>
        </row>
        <row r="2695">
          <cell r="A2695">
            <v>40</v>
          </cell>
        </row>
        <row r="2696">
          <cell r="A2696">
            <v>41</v>
          </cell>
        </row>
        <row r="2697">
          <cell r="A2697">
            <v>42</v>
          </cell>
        </row>
        <row r="2698">
          <cell r="A2698">
            <v>43</v>
          </cell>
        </row>
        <row r="2699">
          <cell r="A2699">
            <v>44</v>
          </cell>
        </row>
        <row r="2700">
          <cell r="A2700">
            <v>45</v>
          </cell>
        </row>
        <row r="2701">
          <cell r="A2701">
            <v>46</v>
          </cell>
        </row>
        <row r="2702">
          <cell r="A2702">
            <v>47</v>
          </cell>
        </row>
        <row r="2703">
          <cell r="A2703">
            <v>48</v>
          </cell>
        </row>
        <row r="2704">
          <cell r="A2704">
            <v>49</v>
          </cell>
        </row>
        <row r="2705">
          <cell r="A2705">
            <v>50</v>
          </cell>
        </row>
        <row r="2706">
          <cell r="A2706">
            <v>51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ep"/>
      <sheetName val="ridgewood"/>
      <sheetName val="Shivaji-Marg"/>
      <sheetName val="Sheet1"/>
      <sheetName val="Trial Balance"/>
      <sheetName val="Labour"/>
      <sheetName val="CDR"/>
      <sheetName val="YTD"/>
      <sheetName val="BALDETL"/>
    </sheetNames>
    <sheetDataSet>
      <sheetData sheetId="0" refreshError="1"/>
      <sheetData sheetId="1">
        <row r="1">
          <cell r="B1" t="str">
            <v>Proper</v>
          </cell>
          <cell r="C1" t="str">
            <v>Payment</v>
          </cell>
          <cell r="D1" t="str">
            <v>Booking Date</v>
          </cell>
          <cell r="E1" t="str">
            <v>Customer</v>
          </cell>
          <cell r="F1" t="str">
            <v>customer</v>
          </cell>
          <cell r="G1" t="str">
            <v>Property No.</v>
          </cell>
          <cell r="H1" t="str">
            <v>Covered</v>
          </cell>
          <cell r="I1" t="str">
            <v>Area  Rate</v>
          </cell>
          <cell r="J1" t="str">
            <v>Booking Amount</v>
          </cell>
          <cell r="K1" t="str">
            <v>Booking Receipt</v>
          </cell>
          <cell r="L1" t="str">
            <v>Total Amount</v>
          </cell>
          <cell r="M1" t="str">
            <v>Broker Name</v>
          </cell>
          <cell r="N1" t="str">
            <v>Cust Name</v>
          </cell>
        </row>
        <row r="2">
          <cell r="B2" t="str">
            <v>DTS022</v>
          </cell>
          <cell r="C2">
            <v>2.5</v>
          </cell>
          <cell r="D2">
            <v>39352</v>
          </cell>
          <cell r="E2">
            <v>78497</v>
          </cell>
          <cell r="F2" t="str">
            <v>T00337</v>
          </cell>
          <cell r="G2" t="str">
            <v>DTS022/UB1007#DTS</v>
          </cell>
          <cell r="H2">
            <v>132.85</v>
          </cell>
          <cell r="I2">
            <v>17000</v>
          </cell>
          <cell r="J2">
            <v>4465800</v>
          </cell>
          <cell r="K2">
            <v>4465800</v>
          </cell>
          <cell r="L2">
            <v>30487000</v>
          </cell>
          <cell r="M2" t="str">
            <v>SIKHAR CHAND JAIN &amp; SONS</v>
          </cell>
          <cell r="N2" t="str">
            <v>TARSILLO NATALONI</v>
          </cell>
        </row>
        <row r="3">
          <cell r="B3" t="str">
            <v>DTS030</v>
          </cell>
          <cell r="C3">
            <v>2.5</v>
          </cell>
          <cell r="D3">
            <v>39352</v>
          </cell>
          <cell r="E3">
            <v>78488</v>
          </cell>
          <cell r="F3" t="str">
            <v>K01249</v>
          </cell>
          <cell r="G3" t="str">
            <v>DTS030/UB1003#DTS</v>
          </cell>
          <cell r="H3">
            <v>148.36000000000001</v>
          </cell>
          <cell r="I3">
            <v>17000</v>
          </cell>
          <cell r="J3">
            <v>4569585</v>
          </cell>
          <cell r="K3">
            <v>4569585</v>
          </cell>
          <cell r="L3">
            <v>31262400</v>
          </cell>
          <cell r="M3" t="str">
            <v>MAXX REALTORS</v>
          </cell>
          <cell r="N3" t="str">
            <v>KRISHAN LAL NAGPAL</v>
          </cell>
        </row>
        <row r="4">
          <cell r="B4" t="str">
            <v>DTS042</v>
          </cell>
          <cell r="C4">
            <v>2.5</v>
          </cell>
          <cell r="D4">
            <v>39352</v>
          </cell>
          <cell r="E4">
            <v>78498</v>
          </cell>
          <cell r="F4" t="str">
            <v>V00102</v>
          </cell>
          <cell r="G4" t="str">
            <v>DTS042/UB1004#DTS</v>
          </cell>
          <cell r="H4">
            <v>84.82</v>
          </cell>
          <cell r="I4">
            <v>17000</v>
          </cell>
          <cell r="J4">
            <v>2883780</v>
          </cell>
          <cell r="K4">
            <v>2883780</v>
          </cell>
          <cell r="L4">
            <v>19681700</v>
          </cell>
          <cell r="M4" t="str">
            <v>BNB INVESTMENTS &amp; PROPERTIES</v>
          </cell>
          <cell r="N4" t="str">
            <v>VIJAY GUPTA</v>
          </cell>
        </row>
        <row r="5">
          <cell r="B5" t="str">
            <v>DTS123</v>
          </cell>
          <cell r="C5">
            <v>2.5</v>
          </cell>
          <cell r="D5">
            <v>39352</v>
          </cell>
          <cell r="E5">
            <v>78480</v>
          </cell>
          <cell r="F5" t="str">
            <v>C00490</v>
          </cell>
          <cell r="G5" t="str">
            <v>DTS123/UB1012#DTS</v>
          </cell>
          <cell r="H5">
            <v>89.74</v>
          </cell>
          <cell r="I5">
            <v>14000</v>
          </cell>
          <cell r="J5">
            <v>2118600</v>
          </cell>
          <cell r="K5">
            <v>2118600</v>
          </cell>
          <cell r="L5">
            <v>14607000</v>
          </cell>
          <cell r="M5" t="str">
            <v>OPC REALTORS</v>
          </cell>
          <cell r="N5" t="str">
            <v>CHHATRAPATI RANJIT RAI</v>
          </cell>
        </row>
        <row r="6">
          <cell r="B6" t="str">
            <v>DTS415</v>
          </cell>
          <cell r="C6">
            <v>2.5</v>
          </cell>
          <cell r="D6">
            <v>39352</v>
          </cell>
          <cell r="E6">
            <v>78493</v>
          </cell>
          <cell r="F6" t="str">
            <v>S04763</v>
          </cell>
          <cell r="G6" t="str">
            <v>DTS415/UB1020#DTS</v>
          </cell>
          <cell r="H6">
            <v>89</v>
          </cell>
          <cell r="I6">
            <v>13000</v>
          </cell>
          <cell r="J6">
            <v>1958100</v>
          </cell>
          <cell r="K6">
            <v>2000000</v>
          </cell>
          <cell r="L6">
            <v>13533000</v>
          </cell>
          <cell r="M6" t="str">
            <v>SIKHAR CHAND JAIN &amp; SONS</v>
          </cell>
          <cell r="N6" t="str">
            <v>SANDEEP MIDHA</v>
          </cell>
        </row>
        <row r="7">
          <cell r="B7" t="str">
            <v>DTS416</v>
          </cell>
          <cell r="C7">
            <v>2.5</v>
          </cell>
          <cell r="D7">
            <v>39352</v>
          </cell>
          <cell r="E7">
            <v>78494</v>
          </cell>
          <cell r="F7" t="str">
            <v>S04764</v>
          </cell>
          <cell r="G7" t="str">
            <v>DTS416/UB1010#DTS</v>
          </cell>
          <cell r="H7">
            <v>89.74</v>
          </cell>
          <cell r="I7">
            <v>13000</v>
          </cell>
          <cell r="J7">
            <v>1973700</v>
          </cell>
          <cell r="K7">
            <v>2000000</v>
          </cell>
          <cell r="L7">
            <v>13641000</v>
          </cell>
          <cell r="M7" t="str">
            <v>SIKHAR CHAND JAIN &amp; SONS</v>
          </cell>
          <cell r="N7" t="str">
            <v>SHRIYA LALL</v>
          </cell>
        </row>
        <row r="8">
          <cell r="B8" t="str">
            <v>DTS421</v>
          </cell>
          <cell r="C8">
            <v>2.5</v>
          </cell>
          <cell r="D8">
            <v>39352</v>
          </cell>
          <cell r="E8">
            <v>78491</v>
          </cell>
          <cell r="F8" t="str">
            <v>S04761</v>
          </cell>
          <cell r="G8" t="str">
            <v>DTS421/UB1015#DTS</v>
          </cell>
          <cell r="H8">
            <v>69.209999999999994</v>
          </cell>
          <cell r="I8">
            <v>13000</v>
          </cell>
          <cell r="J8">
            <v>1542750</v>
          </cell>
          <cell r="K8">
            <v>1542750</v>
          </cell>
          <cell r="L8">
            <v>10657500</v>
          </cell>
          <cell r="M8" t="str">
            <v>ALLIED SERVICES</v>
          </cell>
          <cell r="N8" t="str">
            <v>S. BALWANT SINGH</v>
          </cell>
        </row>
        <row r="9">
          <cell r="B9" t="str">
            <v>DTS431</v>
          </cell>
          <cell r="C9">
            <v>2.5</v>
          </cell>
          <cell r="D9">
            <v>39352</v>
          </cell>
          <cell r="E9">
            <v>78486</v>
          </cell>
          <cell r="F9" t="str">
            <v>P01684</v>
          </cell>
          <cell r="G9" t="str">
            <v>DTS431/UB1008#DTS</v>
          </cell>
          <cell r="H9">
            <v>69.209999999999994</v>
          </cell>
          <cell r="I9">
            <v>13000</v>
          </cell>
          <cell r="J9">
            <v>1542750</v>
          </cell>
          <cell r="K9">
            <v>1542750</v>
          </cell>
          <cell r="L9">
            <v>10657500</v>
          </cell>
          <cell r="M9" t="str">
            <v>ALLIED SERVICES</v>
          </cell>
          <cell r="N9" t="str">
            <v>PROMILA BHATIA</v>
          </cell>
        </row>
        <row r="10">
          <cell r="B10" t="str">
            <v>DTS458</v>
          </cell>
          <cell r="C10">
            <v>2.5</v>
          </cell>
          <cell r="D10">
            <v>39352</v>
          </cell>
          <cell r="E10">
            <v>78489</v>
          </cell>
          <cell r="F10" t="str">
            <v>R03961</v>
          </cell>
          <cell r="G10" t="str">
            <v>DTS458/UB1019#DTS</v>
          </cell>
          <cell r="H10">
            <v>178.84</v>
          </cell>
          <cell r="I10">
            <v>14000</v>
          </cell>
          <cell r="J10">
            <v>4132500</v>
          </cell>
          <cell r="K10">
            <v>5400000</v>
          </cell>
          <cell r="L10">
            <v>28512500</v>
          </cell>
          <cell r="M10" t="str">
            <v>FOCUS CONSULTANTS</v>
          </cell>
          <cell r="N10" t="str">
            <v>RAM KISHAN</v>
          </cell>
        </row>
        <row r="11">
          <cell r="B11" t="str">
            <v>DTS462</v>
          </cell>
          <cell r="C11">
            <v>2.5</v>
          </cell>
          <cell r="D11">
            <v>39352</v>
          </cell>
          <cell r="E11">
            <v>78495</v>
          </cell>
          <cell r="F11" t="str">
            <v>S04765</v>
          </cell>
          <cell r="G11" t="str">
            <v>DTS462/UB1009#DTS</v>
          </cell>
          <cell r="H11">
            <v>69.209999999999994</v>
          </cell>
          <cell r="I11">
            <v>13000</v>
          </cell>
          <cell r="J11">
            <v>1542750</v>
          </cell>
          <cell r="K11">
            <v>2700000</v>
          </cell>
          <cell r="L11">
            <v>10657500</v>
          </cell>
          <cell r="M11">
            <v>10657500</v>
          </cell>
          <cell r="N11" t="str">
            <v>SUNIL KUMAR JALAN</v>
          </cell>
        </row>
        <row r="12">
          <cell r="B12" t="str">
            <v>DTS504</v>
          </cell>
          <cell r="C12">
            <v>2.5</v>
          </cell>
          <cell r="D12">
            <v>39352</v>
          </cell>
          <cell r="E12">
            <v>78482</v>
          </cell>
          <cell r="F12" t="str">
            <v>F00065</v>
          </cell>
          <cell r="G12" t="str">
            <v>DTS504/UB1016#DTS</v>
          </cell>
          <cell r="H12">
            <v>69.209999999999994</v>
          </cell>
          <cell r="I12">
            <v>13000</v>
          </cell>
          <cell r="J12">
            <v>1542750</v>
          </cell>
          <cell r="K12">
            <v>1542750</v>
          </cell>
          <cell r="L12">
            <v>10657500</v>
          </cell>
          <cell r="M12" t="str">
            <v>KEDAR ESTATE &amp; INVESTMENTS</v>
          </cell>
          <cell r="N12" t="str">
            <v>FORNES BUILDWELL P LTD</v>
          </cell>
        </row>
        <row r="13">
          <cell r="B13" t="str">
            <v>DTS505</v>
          </cell>
          <cell r="C13">
            <v>2.5</v>
          </cell>
          <cell r="D13">
            <v>39352</v>
          </cell>
          <cell r="E13">
            <v>78484</v>
          </cell>
          <cell r="F13" t="str">
            <v>M02179</v>
          </cell>
          <cell r="G13" t="str">
            <v>DTS505/UB1017#DTS</v>
          </cell>
          <cell r="H13">
            <v>69.209999999999994</v>
          </cell>
          <cell r="I13">
            <v>13000</v>
          </cell>
          <cell r="J13">
            <v>1542750</v>
          </cell>
          <cell r="K13">
            <v>1542750</v>
          </cell>
          <cell r="L13">
            <v>10657500</v>
          </cell>
          <cell r="M13" t="str">
            <v>KEDAR ESTATE &amp; INVESTMENTS</v>
          </cell>
          <cell r="N13" t="str">
            <v>MOHAN SINGH RAWAT</v>
          </cell>
        </row>
        <row r="14">
          <cell r="B14" t="str">
            <v>DTS519</v>
          </cell>
          <cell r="C14">
            <v>2.5</v>
          </cell>
          <cell r="D14">
            <v>39352</v>
          </cell>
          <cell r="E14">
            <v>78479</v>
          </cell>
          <cell r="F14" t="str">
            <v>Y00245</v>
          </cell>
          <cell r="G14" t="str">
            <v>DTS519/UB1001#DTS</v>
          </cell>
          <cell r="H14">
            <v>69.209999999999994</v>
          </cell>
          <cell r="I14">
            <v>13000</v>
          </cell>
          <cell r="J14">
            <v>1542750</v>
          </cell>
          <cell r="K14">
            <v>2700000</v>
          </cell>
          <cell r="L14">
            <v>10657500</v>
          </cell>
          <cell r="M14" t="str">
            <v>FOCUS CONSULTANTS</v>
          </cell>
          <cell r="N14" t="str">
            <v>YAKESH ANAND</v>
          </cell>
        </row>
        <row r="15">
          <cell r="B15" t="str">
            <v>DTS521</v>
          </cell>
          <cell r="C15">
            <v>2.5</v>
          </cell>
          <cell r="D15">
            <v>39352</v>
          </cell>
          <cell r="E15">
            <v>78492</v>
          </cell>
          <cell r="F15" t="str">
            <v>S04762</v>
          </cell>
          <cell r="G15" t="str">
            <v>DTS521/UB1013#DTS</v>
          </cell>
          <cell r="H15">
            <v>89.74</v>
          </cell>
          <cell r="I15">
            <v>13000</v>
          </cell>
          <cell r="J15">
            <v>1973700</v>
          </cell>
          <cell r="K15">
            <v>2700000</v>
          </cell>
          <cell r="L15">
            <v>13641000</v>
          </cell>
          <cell r="M15" t="str">
            <v>FOCUS CONSULTANTS</v>
          </cell>
          <cell r="N15" t="str">
            <v>SANJEEV SARIN</v>
          </cell>
        </row>
        <row r="16">
          <cell r="B16" t="str">
            <v>DTS522</v>
          </cell>
          <cell r="C16">
            <v>2.5</v>
          </cell>
          <cell r="D16">
            <v>39352</v>
          </cell>
          <cell r="E16">
            <v>78490</v>
          </cell>
          <cell r="F16" t="str">
            <v>R03962</v>
          </cell>
          <cell r="G16" t="str">
            <v>DTS522/UB1002#DTS</v>
          </cell>
          <cell r="H16">
            <v>89</v>
          </cell>
          <cell r="I16">
            <v>13000</v>
          </cell>
          <cell r="J16">
            <v>1958100</v>
          </cell>
          <cell r="K16">
            <v>2700000</v>
          </cell>
          <cell r="L16">
            <v>13533000</v>
          </cell>
          <cell r="M16" t="str">
            <v>SETTLERS INDIA</v>
          </cell>
          <cell r="N16" t="str">
            <v>RITESH BHATIA</v>
          </cell>
        </row>
        <row r="17">
          <cell r="B17" t="str">
            <v>DTS555</v>
          </cell>
          <cell r="C17">
            <v>2.5</v>
          </cell>
          <cell r="D17">
            <v>39352</v>
          </cell>
          <cell r="E17">
            <v>78496</v>
          </cell>
          <cell r="F17" t="str">
            <v>S04766</v>
          </cell>
          <cell r="G17" t="str">
            <v>DTS555/UB1006#DTS</v>
          </cell>
          <cell r="H17">
            <v>65.400000000000006</v>
          </cell>
          <cell r="I17">
            <v>13000</v>
          </cell>
          <cell r="J17">
            <v>1462800</v>
          </cell>
          <cell r="K17">
            <v>1462800</v>
          </cell>
          <cell r="L17">
            <v>10104000</v>
          </cell>
          <cell r="M17" t="str">
            <v>LINK PROPERTIES INDIA COM</v>
          </cell>
          <cell r="N17" t="str">
            <v>SHWETABH KUMAR SINGH</v>
          </cell>
        </row>
        <row r="18">
          <cell r="B18" t="str">
            <v>DTS556</v>
          </cell>
          <cell r="C18">
            <v>2.5</v>
          </cell>
          <cell r="D18">
            <v>39352</v>
          </cell>
          <cell r="E18">
            <v>78483</v>
          </cell>
          <cell r="F18" t="str">
            <v>A03470</v>
          </cell>
          <cell r="G18" t="str">
            <v>DTS556/UB1011#DTS</v>
          </cell>
          <cell r="H18">
            <v>89.93</v>
          </cell>
          <cell r="I18">
            <v>13000</v>
          </cell>
          <cell r="J18">
            <v>1977600</v>
          </cell>
          <cell r="K18">
            <v>2700000</v>
          </cell>
          <cell r="L18">
            <v>13668000</v>
          </cell>
          <cell r="M18" t="str">
            <v>SHEFALI &amp; ASSOCIATES</v>
          </cell>
          <cell r="N18" t="str">
            <v>ANIL AGENCIES (P) LTD</v>
          </cell>
        </row>
        <row r="19">
          <cell r="B19" t="str">
            <v>DTS702</v>
          </cell>
          <cell r="C19">
            <v>2.5</v>
          </cell>
          <cell r="D19">
            <v>39352</v>
          </cell>
          <cell r="E19">
            <v>78481</v>
          </cell>
          <cell r="F19" t="str">
            <v>A03469</v>
          </cell>
          <cell r="G19" t="str">
            <v>DTS702/UB1018#DTS</v>
          </cell>
          <cell r="H19">
            <v>69.209999999999994</v>
          </cell>
          <cell r="I19">
            <v>13000</v>
          </cell>
          <cell r="J19">
            <v>1542750</v>
          </cell>
          <cell r="K19">
            <v>2700000</v>
          </cell>
          <cell r="L19">
            <v>10657500</v>
          </cell>
          <cell r="M19" t="str">
            <v>DR DEVINDER GUPTA AND SONS (H</v>
          </cell>
          <cell r="N19" t="str">
            <v>ANAND SARUP BHARDWAJ</v>
          </cell>
        </row>
        <row r="20">
          <cell r="B20" t="str">
            <v>DTS704</v>
          </cell>
          <cell r="C20">
            <v>2.5</v>
          </cell>
          <cell r="D20">
            <v>39352</v>
          </cell>
          <cell r="E20">
            <v>78487</v>
          </cell>
          <cell r="F20" t="str">
            <v>A03471</v>
          </cell>
          <cell r="G20" t="str">
            <v>DTS704/UB1014#DTS</v>
          </cell>
          <cell r="H20">
            <v>69.209999999999994</v>
          </cell>
          <cell r="I20">
            <v>13000</v>
          </cell>
          <cell r="J20">
            <v>1542750</v>
          </cell>
          <cell r="K20">
            <v>1560300</v>
          </cell>
          <cell r="L20">
            <v>10657500</v>
          </cell>
          <cell r="M20" t="str">
            <v>DR DEVINDER GUPTA AND SONS (H</v>
          </cell>
          <cell r="N20" t="str">
            <v>A ONE PROP-MART PVT. LTD.</v>
          </cell>
        </row>
        <row r="21">
          <cell r="B21" t="str">
            <v>DTS705</v>
          </cell>
          <cell r="C21">
            <v>2.5</v>
          </cell>
          <cell r="D21">
            <v>39352</v>
          </cell>
          <cell r="E21">
            <v>78485</v>
          </cell>
          <cell r="F21" t="str">
            <v>A03472</v>
          </cell>
          <cell r="G21" t="str">
            <v>DTS705/UB1005#DTS</v>
          </cell>
          <cell r="H21">
            <v>69.209999999999994</v>
          </cell>
          <cell r="I21">
            <v>13000</v>
          </cell>
          <cell r="J21">
            <v>1542750</v>
          </cell>
          <cell r="K21">
            <v>1560300</v>
          </cell>
          <cell r="L21">
            <v>10657500</v>
          </cell>
          <cell r="M21" t="str">
            <v>DR DEVINDER GUPTA AND SONS (H</v>
          </cell>
          <cell r="N21" t="str">
            <v>A ONE PROP-MART PVT. LTD.</v>
          </cell>
        </row>
        <row r="22">
          <cell r="B22" t="str">
            <v>DTS002</v>
          </cell>
          <cell r="C22">
            <v>2.5</v>
          </cell>
          <cell r="D22">
            <v>39353</v>
          </cell>
          <cell r="E22">
            <v>78679</v>
          </cell>
          <cell r="F22" t="str">
            <v>N01124</v>
          </cell>
          <cell r="G22" t="str">
            <v>DTS002/UB1168#DTS</v>
          </cell>
          <cell r="H22">
            <v>116.78</v>
          </cell>
          <cell r="I22">
            <v>17000</v>
          </cell>
          <cell r="J22">
            <v>3295350</v>
          </cell>
          <cell r="K22">
            <v>3575885</v>
          </cell>
          <cell r="L22">
            <v>22597500</v>
          </cell>
          <cell r="M22" t="str">
            <v>ALLIED SERVICES</v>
          </cell>
          <cell r="N22" t="str">
            <v>NARESH KUMAR BUDHIRAJA</v>
          </cell>
        </row>
        <row r="23">
          <cell r="B23" t="str">
            <v>DTS003</v>
          </cell>
          <cell r="C23">
            <v>2.5</v>
          </cell>
          <cell r="D23">
            <v>39353</v>
          </cell>
          <cell r="E23">
            <v>78670</v>
          </cell>
          <cell r="F23" t="str">
            <v>C00493</v>
          </cell>
          <cell r="G23" t="str">
            <v>DTS003/UB1192#DTS</v>
          </cell>
          <cell r="H23">
            <v>103.49</v>
          </cell>
          <cell r="I23">
            <v>17000</v>
          </cell>
          <cell r="J23">
            <v>2930700</v>
          </cell>
          <cell r="K23">
            <v>3124770</v>
          </cell>
          <cell r="L23">
            <v>20095000</v>
          </cell>
          <cell r="M23" t="str">
            <v>SANJAY NAGPAL ESTATES</v>
          </cell>
          <cell r="N23" t="str">
            <v>CHANDER SHEKHAR</v>
          </cell>
        </row>
        <row r="24">
          <cell r="B24" t="str">
            <v>DTS006</v>
          </cell>
          <cell r="C24">
            <v>2.5</v>
          </cell>
          <cell r="D24">
            <v>39353</v>
          </cell>
          <cell r="E24">
            <v>78699</v>
          </cell>
          <cell r="F24" t="str">
            <v>J01478</v>
          </cell>
          <cell r="G24" t="str">
            <v>DTS006/UB1199#DTS</v>
          </cell>
          <cell r="H24">
            <v>84.82</v>
          </cell>
          <cell r="I24">
            <v>17000</v>
          </cell>
          <cell r="J24">
            <v>2650965</v>
          </cell>
          <cell r="K24">
            <v>2700000</v>
          </cell>
          <cell r="L24">
            <v>18129600</v>
          </cell>
          <cell r="M24" t="str">
            <v>SANJAY NAGPAL ESTATES</v>
          </cell>
          <cell r="N24" t="str">
            <v>JAGDISH MALIK</v>
          </cell>
        </row>
        <row r="25">
          <cell r="B25" t="str">
            <v>DTS009</v>
          </cell>
          <cell r="C25">
            <v>2.5</v>
          </cell>
          <cell r="D25">
            <v>39353</v>
          </cell>
          <cell r="E25">
            <v>78691</v>
          </cell>
          <cell r="F25" t="str">
            <v>S04799</v>
          </cell>
          <cell r="G25" t="str">
            <v>DTS009/UB1164#DTS</v>
          </cell>
          <cell r="H25">
            <v>100.98</v>
          </cell>
          <cell r="I25">
            <v>17000</v>
          </cell>
          <cell r="J25">
            <v>3139035</v>
          </cell>
          <cell r="K25">
            <v>3500000</v>
          </cell>
          <cell r="L25">
            <v>21470400</v>
          </cell>
          <cell r="M25" t="str">
            <v>KEDAR ESTATE &amp; INVESTMENTS</v>
          </cell>
          <cell r="N25" t="str">
            <v>SURVI PROJECTS</v>
          </cell>
        </row>
        <row r="26">
          <cell r="B26" t="str">
            <v>DTS012</v>
          </cell>
          <cell r="C26">
            <v>2.5</v>
          </cell>
          <cell r="D26">
            <v>39353</v>
          </cell>
          <cell r="E26">
            <v>78571</v>
          </cell>
          <cell r="F26" t="str">
            <v>L00321</v>
          </cell>
          <cell r="G26" t="str">
            <v>DTS012/UB1067#DTS</v>
          </cell>
          <cell r="H26">
            <v>137.77000000000001</v>
          </cell>
          <cell r="I26">
            <v>17000</v>
          </cell>
          <cell r="J26">
            <v>4249815</v>
          </cell>
          <cell r="K26">
            <v>4249815</v>
          </cell>
          <cell r="L26">
            <v>29073600</v>
          </cell>
          <cell r="M26" t="str">
            <v>BANKEY BIHARI ESTATE</v>
          </cell>
          <cell r="N26" t="str">
            <v>LAKHPAT RAI AGARWAL          _x000C_</v>
          </cell>
        </row>
        <row r="27">
          <cell r="B27" t="str">
            <v>DTS014</v>
          </cell>
          <cell r="C27">
            <v>2.5</v>
          </cell>
          <cell r="D27">
            <v>39353</v>
          </cell>
          <cell r="E27">
            <v>78683</v>
          </cell>
          <cell r="F27" t="str">
            <v>P01694</v>
          </cell>
          <cell r="G27" t="str">
            <v>DTS014/UB1169#DTS</v>
          </cell>
          <cell r="H27">
            <v>74.040000000000006</v>
          </cell>
          <cell r="I27">
            <v>17000</v>
          </cell>
          <cell r="J27">
            <v>2528820</v>
          </cell>
          <cell r="K27">
            <v>2122350</v>
          </cell>
          <cell r="L27">
            <v>17257300</v>
          </cell>
          <cell r="M27" t="str">
            <v>C S &amp; ASSOCIATES</v>
          </cell>
          <cell r="N27" t="str">
            <v>PUNARDEEP SINGH SAHNI</v>
          </cell>
        </row>
        <row r="28">
          <cell r="B28" t="str">
            <v>DTS025</v>
          </cell>
          <cell r="C28">
            <v>2.5</v>
          </cell>
          <cell r="D28">
            <v>39353</v>
          </cell>
          <cell r="E28">
            <v>78540</v>
          </cell>
          <cell r="F28" t="str">
            <v>H00975</v>
          </cell>
          <cell r="G28" t="str">
            <v>DTS025/UB1055#DTS</v>
          </cell>
          <cell r="H28">
            <v>159.33000000000001</v>
          </cell>
          <cell r="I28">
            <v>16000</v>
          </cell>
          <cell r="J28">
            <v>4617600</v>
          </cell>
          <cell r="K28">
            <v>4617600</v>
          </cell>
          <cell r="L28">
            <v>31641500</v>
          </cell>
          <cell r="M28" t="str">
            <v>HARBANS MAHAJAN REAL ESTATE C</v>
          </cell>
          <cell r="N28" t="str">
            <v>HERITAGE HOLIDAYS PVT LTD</v>
          </cell>
        </row>
        <row r="29">
          <cell r="B29" t="str">
            <v>DTS029</v>
          </cell>
          <cell r="C29">
            <v>2.5</v>
          </cell>
          <cell r="D29">
            <v>39353</v>
          </cell>
          <cell r="E29">
            <v>78646</v>
          </cell>
          <cell r="F29" t="str">
            <v>V02024</v>
          </cell>
          <cell r="G29" t="str">
            <v>DTS029/UB1128#DTS</v>
          </cell>
          <cell r="H29">
            <v>67.73</v>
          </cell>
          <cell r="I29">
            <v>17000</v>
          </cell>
          <cell r="J29">
            <v>2134845</v>
          </cell>
          <cell r="K29">
            <v>2134845</v>
          </cell>
          <cell r="L29">
            <v>14596800</v>
          </cell>
          <cell r="M29" t="str">
            <v>K.K. REAL ESTATE</v>
          </cell>
          <cell r="N29" t="str">
            <v>VIVEK SHEEL SEHTIA</v>
          </cell>
        </row>
        <row r="30">
          <cell r="B30" t="str">
            <v>DTS037</v>
          </cell>
          <cell r="C30">
            <v>2.5</v>
          </cell>
          <cell r="D30">
            <v>39353</v>
          </cell>
          <cell r="E30">
            <v>78618</v>
          </cell>
          <cell r="F30" t="str">
            <v>S04792</v>
          </cell>
          <cell r="G30" t="str">
            <v>DTS037/UB1172#DTS</v>
          </cell>
          <cell r="H30">
            <v>189.71</v>
          </cell>
          <cell r="I30">
            <v>17000</v>
          </cell>
          <cell r="J30">
            <v>5817810</v>
          </cell>
          <cell r="K30">
            <v>6000000</v>
          </cell>
          <cell r="L30">
            <v>39806400</v>
          </cell>
          <cell r="M30" t="str">
            <v>SAR REALTY PVT LTD</v>
          </cell>
          <cell r="N30" t="str">
            <v>SANJEEV LAL</v>
          </cell>
        </row>
        <row r="31">
          <cell r="B31" t="str">
            <v>DTS039</v>
          </cell>
          <cell r="C31">
            <v>2.5</v>
          </cell>
          <cell r="D31">
            <v>39353</v>
          </cell>
          <cell r="E31">
            <v>78663</v>
          </cell>
          <cell r="F31" t="str">
            <v>M02192</v>
          </cell>
          <cell r="G31" t="str">
            <v>DTS039/UB1124#DTS</v>
          </cell>
          <cell r="H31">
            <v>100.98</v>
          </cell>
          <cell r="I31">
            <v>17000</v>
          </cell>
          <cell r="J31">
            <v>3416220</v>
          </cell>
          <cell r="K31">
            <v>5017260</v>
          </cell>
          <cell r="L31">
            <v>23318300</v>
          </cell>
          <cell r="M31" t="str">
            <v>MICKEY SIBAL</v>
          </cell>
          <cell r="N31" t="str">
            <v>MICKEY SIBAL</v>
          </cell>
        </row>
        <row r="32">
          <cell r="B32" t="str">
            <v>DTS040</v>
          </cell>
          <cell r="C32">
            <v>2.5</v>
          </cell>
          <cell r="D32">
            <v>39353</v>
          </cell>
          <cell r="E32">
            <v>78693</v>
          </cell>
          <cell r="F32" t="str">
            <v>V02025</v>
          </cell>
          <cell r="G32" t="str">
            <v>DTS040/UB1166#DTS</v>
          </cell>
          <cell r="H32">
            <v>64.290000000000006</v>
          </cell>
          <cell r="I32">
            <v>17000</v>
          </cell>
          <cell r="J32">
            <v>1854600</v>
          </cell>
          <cell r="K32">
            <v>2000000</v>
          </cell>
          <cell r="L32">
            <v>12710000</v>
          </cell>
          <cell r="M32" t="str">
            <v>TIRUPATI MARKETING</v>
          </cell>
          <cell r="N32" t="str">
            <v>V K JAIN</v>
          </cell>
        </row>
        <row r="33">
          <cell r="B33" t="str">
            <v>DTS044</v>
          </cell>
          <cell r="C33">
            <v>2.5</v>
          </cell>
          <cell r="D33">
            <v>39353</v>
          </cell>
          <cell r="E33">
            <v>78567</v>
          </cell>
          <cell r="F33" t="str">
            <v>H00977</v>
          </cell>
          <cell r="G33" t="str">
            <v>DTS044/UB1085#DTS</v>
          </cell>
          <cell r="H33">
            <v>100.06</v>
          </cell>
          <cell r="I33">
            <v>17000</v>
          </cell>
          <cell r="J33">
            <v>3110985</v>
          </cell>
          <cell r="K33">
            <v>3110985</v>
          </cell>
          <cell r="L33">
            <v>21278400</v>
          </cell>
          <cell r="M33" t="str">
            <v>MAXX REALTORS</v>
          </cell>
          <cell r="N33" t="str">
            <v>HERITAGE HOLIDAYS PVT LTD</v>
          </cell>
        </row>
        <row r="34">
          <cell r="B34" t="str">
            <v>DTS045</v>
          </cell>
          <cell r="C34">
            <v>2.5</v>
          </cell>
          <cell r="D34">
            <v>39353</v>
          </cell>
          <cell r="E34">
            <v>78543</v>
          </cell>
          <cell r="F34" t="str">
            <v>P01685</v>
          </cell>
          <cell r="G34" t="str">
            <v>DTS045/UB1054#DTS</v>
          </cell>
          <cell r="H34">
            <v>103.49</v>
          </cell>
          <cell r="I34">
            <v>16000</v>
          </cell>
          <cell r="J34">
            <v>3030960</v>
          </cell>
          <cell r="K34">
            <v>3030960</v>
          </cell>
          <cell r="L34">
            <v>20763400</v>
          </cell>
          <cell r="M34" t="str">
            <v>HARBANS MAHAJAN REAL ESTATE C</v>
          </cell>
          <cell r="N34" t="str">
            <v>PANKAJ KUMAR</v>
          </cell>
        </row>
        <row r="35">
          <cell r="B35" t="str">
            <v>DTS047</v>
          </cell>
          <cell r="C35">
            <v>2.5</v>
          </cell>
          <cell r="D35">
            <v>39353</v>
          </cell>
          <cell r="E35">
            <v>78617</v>
          </cell>
          <cell r="F35" t="str">
            <v>R03976</v>
          </cell>
          <cell r="G35" t="str">
            <v>DTS047/UB1149#DTS</v>
          </cell>
          <cell r="H35">
            <v>175.31</v>
          </cell>
          <cell r="I35">
            <v>16000</v>
          </cell>
          <cell r="J35">
            <v>5071680</v>
          </cell>
          <cell r="K35">
            <v>5071680</v>
          </cell>
          <cell r="L35">
            <v>34754700</v>
          </cell>
          <cell r="M35" t="str">
            <v>K.K. REAL ESTATE</v>
          </cell>
          <cell r="N35" t="str">
            <v>RAJEEV ARORA</v>
          </cell>
        </row>
        <row r="36">
          <cell r="B36" t="str">
            <v>DTS050</v>
          </cell>
          <cell r="C36">
            <v>2.5</v>
          </cell>
          <cell r="D36">
            <v>39353</v>
          </cell>
          <cell r="E36">
            <v>78551</v>
          </cell>
          <cell r="F36" t="str">
            <v>V02020</v>
          </cell>
          <cell r="G36" t="str">
            <v>DTS050/UB1037#DTS</v>
          </cell>
          <cell r="H36">
            <v>99.96</v>
          </cell>
          <cell r="I36">
            <v>17000</v>
          </cell>
          <cell r="J36">
            <v>3108180</v>
          </cell>
          <cell r="K36">
            <v>3108180</v>
          </cell>
          <cell r="L36">
            <v>21259200</v>
          </cell>
          <cell r="M36" t="str">
            <v>A K JAIN &amp; ASSOCIATES</v>
          </cell>
          <cell r="N36" t="str">
            <v>VIPIN KUMAR JAIN</v>
          </cell>
        </row>
        <row r="37">
          <cell r="B37" t="str">
            <v>DTS053</v>
          </cell>
          <cell r="C37">
            <v>2.5</v>
          </cell>
          <cell r="D37">
            <v>39353</v>
          </cell>
          <cell r="E37">
            <v>78558</v>
          </cell>
          <cell r="F37" t="str">
            <v>H00976</v>
          </cell>
          <cell r="G37" t="str">
            <v>DTS053/UB1093#DTS</v>
          </cell>
          <cell r="H37">
            <v>64.94</v>
          </cell>
          <cell r="I37">
            <v>17000</v>
          </cell>
          <cell r="J37">
            <v>1872450</v>
          </cell>
          <cell r="K37">
            <v>1875000</v>
          </cell>
          <cell r="L37">
            <v>12832500</v>
          </cell>
          <cell r="M37" t="str">
            <v>BUSINESS ASSOCIATES</v>
          </cell>
          <cell r="N37" t="str">
            <v>HI RISE BUILDERS PVT. LTD.</v>
          </cell>
        </row>
        <row r="38">
          <cell r="B38" t="str">
            <v>DTS055</v>
          </cell>
          <cell r="C38">
            <v>2.5</v>
          </cell>
          <cell r="D38">
            <v>39353</v>
          </cell>
          <cell r="E38">
            <v>78657</v>
          </cell>
          <cell r="F38" t="str">
            <v>U00336</v>
          </cell>
          <cell r="G38" t="str">
            <v>DTS055/UB1144#DTS</v>
          </cell>
          <cell r="H38">
            <v>193.79</v>
          </cell>
          <cell r="I38">
            <v>16000</v>
          </cell>
          <cell r="J38">
            <v>5597040</v>
          </cell>
          <cell r="K38">
            <v>5597040</v>
          </cell>
          <cell r="L38">
            <v>38356600</v>
          </cell>
          <cell r="M38" t="str">
            <v>K.K. REAL ESTATE</v>
          </cell>
          <cell r="N38" t="str">
            <v>UNITED AIR PRODUCTS PVT LTD</v>
          </cell>
        </row>
        <row r="39">
          <cell r="B39" t="str">
            <v>DTS057</v>
          </cell>
          <cell r="C39">
            <v>2.5</v>
          </cell>
          <cell r="D39">
            <v>39353</v>
          </cell>
          <cell r="E39">
            <v>78610</v>
          </cell>
          <cell r="F39" t="str">
            <v>P01688</v>
          </cell>
          <cell r="G39" t="str">
            <v>DTS057/UB1148#DTS</v>
          </cell>
          <cell r="H39">
            <v>116.41</v>
          </cell>
          <cell r="I39">
            <v>16000</v>
          </cell>
          <cell r="J39">
            <v>3097200</v>
          </cell>
          <cell r="K39">
            <v>3007200</v>
          </cell>
          <cell r="L39">
            <v>21274500</v>
          </cell>
          <cell r="M39" t="str">
            <v>K.K. REAL ESTATE</v>
          </cell>
          <cell r="N39" t="str">
            <v>PAWAN KATYAL</v>
          </cell>
        </row>
        <row r="40">
          <cell r="B40" t="str">
            <v>DTS072</v>
          </cell>
          <cell r="C40">
            <v>2.5</v>
          </cell>
          <cell r="D40">
            <v>39353</v>
          </cell>
          <cell r="E40">
            <v>78542</v>
          </cell>
          <cell r="F40" t="str">
            <v>K01251</v>
          </cell>
          <cell r="G40" t="str">
            <v>DTS072/UB1030#DTS</v>
          </cell>
          <cell r="H40">
            <v>99.96</v>
          </cell>
          <cell r="I40">
            <v>17000</v>
          </cell>
          <cell r="J40">
            <v>3108180</v>
          </cell>
          <cell r="K40">
            <v>3108180</v>
          </cell>
          <cell r="L40">
            <v>21259200</v>
          </cell>
          <cell r="M40" t="str">
            <v>RENAISSANCE &amp; CITY REALTY SER</v>
          </cell>
          <cell r="N40" t="str">
            <v>KIMATI LAL JAIN</v>
          </cell>
        </row>
        <row r="41">
          <cell r="B41" t="str">
            <v>DTS073</v>
          </cell>
          <cell r="C41">
            <v>2.5</v>
          </cell>
          <cell r="D41">
            <v>39353</v>
          </cell>
          <cell r="E41">
            <v>78621</v>
          </cell>
          <cell r="F41" t="str">
            <v>R03978</v>
          </cell>
          <cell r="G41" t="str">
            <v>DTS073/UB1118#DTS</v>
          </cell>
          <cell r="H41">
            <v>106.37</v>
          </cell>
          <cell r="I41">
            <v>17000</v>
          </cell>
          <cell r="J41">
            <v>3301725</v>
          </cell>
          <cell r="K41">
            <v>3500000</v>
          </cell>
          <cell r="L41">
            <v>22584000</v>
          </cell>
          <cell r="M41" t="str">
            <v>ANAND AGARWAL PROPERTIES</v>
          </cell>
          <cell r="N41" t="str">
            <v>RADHEY SHYAM BANSAL</v>
          </cell>
        </row>
        <row r="42">
          <cell r="B42" t="str">
            <v>DTS105</v>
          </cell>
          <cell r="C42">
            <v>2.5</v>
          </cell>
          <cell r="D42">
            <v>39353</v>
          </cell>
          <cell r="E42">
            <v>78579</v>
          </cell>
          <cell r="F42" t="str">
            <v>R03971</v>
          </cell>
          <cell r="G42" t="str">
            <v>DTS105/UB1072#DTS</v>
          </cell>
          <cell r="H42">
            <v>69.209999999999994</v>
          </cell>
          <cell r="I42">
            <v>14000</v>
          </cell>
          <cell r="J42">
            <v>1654500</v>
          </cell>
          <cell r="K42">
            <v>1654500</v>
          </cell>
          <cell r="L42">
            <v>11402500</v>
          </cell>
          <cell r="M42" t="str">
            <v>ANAND AGARWAL PROPERTIES</v>
          </cell>
          <cell r="N42" t="str">
            <v>R G ENTERPRISES</v>
          </cell>
        </row>
        <row r="43">
          <cell r="B43" t="str">
            <v>DTS112</v>
          </cell>
          <cell r="C43">
            <v>2.5</v>
          </cell>
          <cell r="D43">
            <v>39353</v>
          </cell>
          <cell r="E43">
            <v>78528</v>
          </cell>
          <cell r="F43" t="str">
            <v>S04773</v>
          </cell>
          <cell r="G43" t="str">
            <v>DTS112/UB1052#DTS</v>
          </cell>
          <cell r="H43">
            <v>114.08</v>
          </cell>
          <cell r="I43">
            <v>14000</v>
          </cell>
          <cell r="J43">
            <v>2668800</v>
          </cell>
          <cell r="K43">
            <v>2700000</v>
          </cell>
          <cell r="L43">
            <v>18406000</v>
          </cell>
          <cell r="M43" t="str">
            <v>CALON ESTATES</v>
          </cell>
          <cell r="N43" t="str">
            <v>STUDIO PARALLELE</v>
          </cell>
        </row>
        <row r="44">
          <cell r="B44" t="str">
            <v>DTS115</v>
          </cell>
          <cell r="C44">
            <v>2.5</v>
          </cell>
          <cell r="D44">
            <v>39353</v>
          </cell>
          <cell r="E44">
            <v>78539</v>
          </cell>
          <cell r="F44" t="str">
            <v>G00767</v>
          </cell>
          <cell r="G44" t="str">
            <v>DTS115/UB1043#DTS</v>
          </cell>
          <cell r="H44">
            <v>89</v>
          </cell>
          <cell r="I44">
            <v>14000</v>
          </cell>
          <cell r="J44">
            <v>2101800</v>
          </cell>
          <cell r="K44">
            <v>2101800</v>
          </cell>
          <cell r="L44">
            <v>14491000</v>
          </cell>
          <cell r="M44" t="str">
            <v>INNOVATIVE INTEX (P) LTD.</v>
          </cell>
          <cell r="N44" t="str">
            <v>GRAFAX COTTAN PVT LTD</v>
          </cell>
        </row>
        <row r="45">
          <cell r="B45" t="str">
            <v>DTS118</v>
          </cell>
          <cell r="C45">
            <v>2.5</v>
          </cell>
          <cell r="D45">
            <v>39353</v>
          </cell>
          <cell r="E45">
            <v>78577</v>
          </cell>
          <cell r="F45" t="str">
            <v>H00978</v>
          </cell>
          <cell r="G45" t="str">
            <v>DTS118/UB1071#DTS</v>
          </cell>
          <cell r="H45">
            <v>69.209999999999994</v>
          </cell>
          <cell r="I45">
            <v>14000</v>
          </cell>
          <cell r="J45">
            <v>1654500</v>
          </cell>
          <cell r="K45">
            <v>1654500</v>
          </cell>
          <cell r="L45">
            <v>11402500</v>
          </cell>
          <cell r="M45" t="str">
            <v>MAXX REALTORS</v>
          </cell>
          <cell r="N45" t="str">
            <v>HERITAGE HOLIDAYS PVT LTD</v>
          </cell>
        </row>
        <row r="46">
          <cell r="B46" t="str">
            <v>DTS119</v>
          </cell>
          <cell r="C46">
            <v>2.5</v>
          </cell>
          <cell r="D46">
            <v>39353</v>
          </cell>
          <cell r="E46">
            <v>78629</v>
          </cell>
          <cell r="F46" t="str">
            <v>G00769</v>
          </cell>
          <cell r="G46" t="str">
            <v>DTS119/UB1117#DTS</v>
          </cell>
          <cell r="H46">
            <v>75.53</v>
          </cell>
          <cell r="I46">
            <v>14000</v>
          </cell>
          <cell r="J46">
            <v>1797300</v>
          </cell>
          <cell r="K46">
            <v>1797300</v>
          </cell>
          <cell r="L46">
            <v>12388500</v>
          </cell>
          <cell r="M46" t="str">
            <v>N K JAIN &amp; CO.</v>
          </cell>
          <cell r="N46" t="str">
            <v>GOLDEN TURTLE INFORMATION TEC</v>
          </cell>
        </row>
        <row r="47">
          <cell r="B47" t="str">
            <v>DTS120</v>
          </cell>
          <cell r="C47">
            <v>2.5</v>
          </cell>
          <cell r="D47">
            <v>39353</v>
          </cell>
          <cell r="E47">
            <v>78595</v>
          </cell>
          <cell r="F47" t="str">
            <v>G00768</v>
          </cell>
          <cell r="G47" t="str">
            <v>DTS120/UB1115#DTS</v>
          </cell>
          <cell r="H47">
            <v>75.53</v>
          </cell>
          <cell r="I47">
            <v>14000</v>
          </cell>
          <cell r="J47">
            <v>1797300</v>
          </cell>
          <cell r="K47">
            <v>1797300</v>
          </cell>
          <cell r="L47">
            <v>12388500</v>
          </cell>
          <cell r="M47" t="str">
            <v>N K JAIN &amp; CO.</v>
          </cell>
          <cell r="N47" t="str">
            <v>GOLDEN TURTLE INFORMATION TEC</v>
          </cell>
        </row>
        <row r="48">
          <cell r="B48" t="str">
            <v>DTS121</v>
          </cell>
          <cell r="C48">
            <v>2.5</v>
          </cell>
          <cell r="D48">
            <v>39353</v>
          </cell>
          <cell r="E48">
            <v>78565</v>
          </cell>
          <cell r="F48" t="str">
            <v>K01254</v>
          </cell>
          <cell r="G48" t="str">
            <v>DTS121/UB1069#DTS</v>
          </cell>
          <cell r="H48">
            <v>69.209999999999994</v>
          </cell>
          <cell r="I48">
            <v>14000</v>
          </cell>
          <cell r="J48">
            <v>1654500</v>
          </cell>
          <cell r="K48">
            <v>1655000</v>
          </cell>
          <cell r="L48">
            <v>11402500</v>
          </cell>
          <cell r="M48" t="str">
            <v>RITES ASSOCIATES</v>
          </cell>
          <cell r="N48" t="str">
            <v>KEWAL SEHGAL</v>
          </cell>
        </row>
        <row r="49">
          <cell r="B49" t="str">
            <v>DTS124</v>
          </cell>
          <cell r="C49">
            <v>2.5</v>
          </cell>
          <cell r="D49">
            <v>39353</v>
          </cell>
          <cell r="E49">
            <v>78589</v>
          </cell>
          <cell r="F49" t="str">
            <v>S04786</v>
          </cell>
          <cell r="G49" t="str">
            <v>DTS124/UB1106#DTS</v>
          </cell>
          <cell r="H49">
            <v>89</v>
          </cell>
          <cell r="I49">
            <v>14000</v>
          </cell>
          <cell r="J49">
            <v>2101800</v>
          </cell>
          <cell r="K49">
            <v>2102000</v>
          </cell>
          <cell r="L49">
            <v>14491000</v>
          </cell>
          <cell r="M49" t="str">
            <v>IMAGE REALTORS</v>
          </cell>
          <cell r="N49" t="str">
            <v>SINGDHA SALUJA</v>
          </cell>
        </row>
        <row r="50">
          <cell r="B50" t="str">
            <v>DTS126</v>
          </cell>
          <cell r="C50">
            <v>2.5</v>
          </cell>
          <cell r="D50">
            <v>39353</v>
          </cell>
          <cell r="E50">
            <v>78512</v>
          </cell>
          <cell r="F50" t="str">
            <v>N01116</v>
          </cell>
          <cell r="G50" t="str">
            <v>DTS126/UB1048#DTS</v>
          </cell>
          <cell r="H50">
            <v>114.08</v>
          </cell>
          <cell r="I50">
            <v>14000</v>
          </cell>
          <cell r="J50">
            <v>2668800</v>
          </cell>
          <cell r="K50">
            <v>2700000</v>
          </cell>
          <cell r="L50">
            <v>18406000</v>
          </cell>
          <cell r="M50" t="str">
            <v>ONS REALTORS AND PROMOTERS</v>
          </cell>
          <cell r="N50" t="str">
            <v>NEERAJ MANCHANDA</v>
          </cell>
        </row>
        <row r="51">
          <cell r="B51" t="str">
            <v>DTS128</v>
          </cell>
          <cell r="C51">
            <v>2.5</v>
          </cell>
          <cell r="D51">
            <v>39353</v>
          </cell>
          <cell r="E51">
            <v>78538</v>
          </cell>
          <cell r="F51" t="str">
            <v>E00094</v>
          </cell>
          <cell r="G51" t="str">
            <v>DTS128/UB1046#DTS</v>
          </cell>
          <cell r="H51">
            <v>89.93</v>
          </cell>
          <cell r="I51">
            <v>14000</v>
          </cell>
          <cell r="J51">
            <v>2122800</v>
          </cell>
          <cell r="K51">
            <v>2700000</v>
          </cell>
          <cell r="L51">
            <v>14636000</v>
          </cell>
          <cell r="M51" t="str">
            <v>ONS REALTORS AND PROMOTERS</v>
          </cell>
          <cell r="N51" t="str">
            <v>ENRICH AGRO FOOD PRODUCTS PVT_x000C_</v>
          </cell>
        </row>
        <row r="52">
          <cell r="B52" t="str">
            <v>DTS129</v>
          </cell>
          <cell r="C52">
            <v>2.5</v>
          </cell>
          <cell r="D52">
            <v>39353</v>
          </cell>
          <cell r="E52">
            <v>78526</v>
          </cell>
          <cell r="F52" t="str">
            <v>G00766</v>
          </cell>
          <cell r="G52" t="str">
            <v>DTS129/UB1065#DTS</v>
          </cell>
          <cell r="H52">
            <v>90.02</v>
          </cell>
          <cell r="I52">
            <v>14000</v>
          </cell>
          <cell r="J52">
            <v>2124900</v>
          </cell>
          <cell r="K52">
            <v>2700000</v>
          </cell>
          <cell r="L52">
            <v>14650500</v>
          </cell>
          <cell r="M52" t="str">
            <v>ONS REALTORS AND PROMOTERS</v>
          </cell>
          <cell r="N52" t="str">
            <v>GURINDER SINGH</v>
          </cell>
        </row>
        <row r="53">
          <cell r="B53" t="str">
            <v>DTS134</v>
          </cell>
          <cell r="C53">
            <v>2.5</v>
          </cell>
          <cell r="D53">
            <v>39353</v>
          </cell>
          <cell r="E53">
            <v>78601</v>
          </cell>
          <cell r="F53" t="str">
            <v>N01121</v>
          </cell>
          <cell r="G53" t="str">
            <v>DTS134/UB1121#DTS</v>
          </cell>
          <cell r="H53">
            <v>69.209999999999994</v>
          </cell>
          <cell r="I53">
            <v>14000</v>
          </cell>
          <cell r="J53">
            <v>1654500</v>
          </cell>
          <cell r="K53">
            <v>2700000</v>
          </cell>
          <cell r="L53">
            <v>11402500</v>
          </cell>
          <cell r="M53" t="str">
            <v>SANJEEV BHATIA &amp; ASSOCIATES</v>
          </cell>
          <cell r="N53" t="str">
            <v>NARENDRA KUMAR BANSAL</v>
          </cell>
        </row>
        <row r="54">
          <cell r="B54" t="str">
            <v>DTS135</v>
          </cell>
          <cell r="C54">
            <v>2.5</v>
          </cell>
          <cell r="D54">
            <v>39353</v>
          </cell>
          <cell r="E54">
            <v>78634</v>
          </cell>
          <cell r="F54" t="str">
            <v>K01256</v>
          </cell>
          <cell r="G54" t="str">
            <v>DTS135/UB1136#DTS</v>
          </cell>
          <cell r="H54">
            <v>71.91</v>
          </cell>
          <cell r="I54">
            <v>14000</v>
          </cell>
          <cell r="J54">
            <v>1715400</v>
          </cell>
          <cell r="K54">
            <v>1715400</v>
          </cell>
          <cell r="L54">
            <v>11823000</v>
          </cell>
          <cell r="M54" t="str">
            <v>SANJEEV BHATIA &amp; ASSOCIATES</v>
          </cell>
          <cell r="N54" t="str">
            <v>KARTIKYA LAND HOLDING &amp; DEVEL</v>
          </cell>
        </row>
        <row r="55">
          <cell r="B55" t="str">
            <v>DTS136</v>
          </cell>
          <cell r="C55">
            <v>2.5</v>
          </cell>
          <cell r="D55">
            <v>39353</v>
          </cell>
          <cell r="E55">
            <v>78623</v>
          </cell>
          <cell r="F55" t="str">
            <v>S04794</v>
          </cell>
          <cell r="G55" t="str">
            <v>DTS136/UB1120#DTS</v>
          </cell>
          <cell r="H55">
            <v>77.760000000000005</v>
          </cell>
          <cell r="I55">
            <v>14000</v>
          </cell>
          <cell r="J55">
            <v>1847700</v>
          </cell>
          <cell r="K55">
            <v>1847700</v>
          </cell>
          <cell r="L55">
            <v>12736500</v>
          </cell>
          <cell r="M55" t="str">
            <v>SANJEEV BHATIA &amp; ASSOCIATES</v>
          </cell>
          <cell r="N55" t="str">
            <v>SURESH KUMAR &amp; COMPANY (IMPEX</v>
          </cell>
        </row>
        <row r="56">
          <cell r="B56" t="str">
            <v>DTS138</v>
          </cell>
          <cell r="C56">
            <v>2.5</v>
          </cell>
          <cell r="D56">
            <v>39353</v>
          </cell>
          <cell r="E56">
            <v>78575</v>
          </cell>
          <cell r="F56" t="str">
            <v>A03487</v>
          </cell>
          <cell r="G56" t="str">
            <v>DTS138/UB1070#DTS</v>
          </cell>
          <cell r="H56">
            <v>73.760000000000005</v>
          </cell>
          <cell r="I56">
            <v>14000</v>
          </cell>
          <cell r="J56">
            <v>1757400</v>
          </cell>
          <cell r="K56">
            <v>2700000</v>
          </cell>
          <cell r="L56">
            <v>12113000</v>
          </cell>
          <cell r="M56" t="str">
            <v>SINGH PROPERTIES</v>
          </cell>
          <cell r="N56" t="str">
            <v>AUTO TOOLS PVT LTD</v>
          </cell>
        </row>
        <row r="57">
          <cell r="B57" t="str">
            <v>DTS140</v>
          </cell>
          <cell r="C57">
            <v>2.5</v>
          </cell>
          <cell r="D57">
            <v>39353</v>
          </cell>
          <cell r="E57">
            <v>78692</v>
          </cell>
          <cell r="F57" t="str">
            <v>J01476</v>
          </cell>
          <cell r="G57" t="str">
            <v>DTS140/UB1179#DTS</v>
          </cell>
          <cell r="H57">
            <v>69.209999999999994</v>
          </cell>
          <cell r="I57">
            <v>14000</v>
          </cell>
          <cell r="J57">
            <v>1654500</v>
          </cell>
          <cell r="K57">
            <v>1654500</v>
          </cell>
          <cell r="L57">
            <v>11402500</v>
          </cell>
          <cell r="M57" t="str">
            <v>SUPER ESTATE AGENCY</v>
          </cell>
          <cell r="N57" t="str">
            <v>J.R.D. ARORA</v>
          </cell>
        </row>
        <row r="58">
          <cell r="B58" t="str">
            <v>DTS141</v>
          </cell>
          <cell r="C58">
            <v>2.5</v>
          </cell>
          <cell r="D58">
            <v>39353</v>
          </cell>
          <cell r="E58">
            <v>78608</v>
          </cell>
          <cell r="F58" t="str">
            <v>N01122</v>
          </cell>
          <cell r="G58" t="str">
            <v>DTS141/UB1119#DTS</v>
          </cell>
          <cell r="H58">
            <v>74.97</v>
          </cell>
          <cell r="I58">
            <v>14000</v>
          </cell>
          <cell r="J58">
            <v>1784700</v>
          </cell>
          <cell r="K58">
            <v>1784700</v>
          </cell>
          <cell r="L58">
            <v>12301500</v>
          </cell>
          <cell r="M58" t="str">
            <v>SUPER ESTATE AGENCY</v>
          </cell>
          <cell r="N58" t="str">
            <v>NIKHIL UDYOG PVT LTD</v>
          </cell>
        </row>
        <row r="59">
          <cell r="B59" t="str">
            <v>DTS142</v>
          </cell>
          <cell r="C59">
            <v>2.5</v>
          </cell>
          <cell r="D59">
            <v>39353</v>
          </cell>
          <cell r="E59">
            <v>78592</v>
          </cell>
          <cell r="F59" t="str">
            <v>M02185</v>
          </cell>
          <cell r="G59" t="str">
            <v>DTS142/UB1107#DTS</v>
          </cell>
          <cell r="H59">
            <v>205.13</v>
          </cell>
          <cell r="I59">
            <v>14000</v>
          </cell>
          <cell r="J59">
            <v>4726800</v>
          </cell>
          <cell r="K59">
            <v>4726800</v>
          </cell>
          <cell r="L59">
            <v>32616000</v>
          </cell>
          <cell r="M59" t="str">
            <v>J.K. PROPERTIES</v>
          </cell>
          <cell r="N59" t="str">
            <v>MAHENDER KUMAR GUPTA</v>
          </cell>
        </row>
        <row r="60">
          <cell r="B60" t="str">
            <v>DTS143</v>
          </cell>
          <cell r="C60">
            <v>2.5</v>
          </cell>
          <cell r="D60">
            <v>39353</v>
          </cell>
          <cell r="E60">
            <v>78677</v>
          </cell>
          <cell r="F60" t="str">
            <v>K01259</v>
          </cell>
          <cell r="G60" t="str">
            <v>DTS143/UB1171#DTS</v>
          </cell>
          <cell r="H60">
            <v>140.93</v>
          </cell>
          <cell r="I60">
            <v>14000</v>
          </cell>
          <cell r="J60">
            <v>3275700</v>
          </cell>
          <cell r="K60">
            <v>2750000</v>
          </cell>
          <cell r="L60">
            <v>22596500</v>
          </cell>
          <cell r="M60" t="str">
            <v>TIRUPATI MARKETING</v>
          </cell>
          <cell r="N60" t="str">
            <v>KAJAL MATAI</v>
          </cell>
        </row>
        <row r="61">
          <cell r="B61" t="str">
            <v>DTS147</v>
          </cell>
          <cell r="C61">
            <v>2.5</v>
          </cell>
          <cell r="D61">
            <v>39353</v>
          </cell>
          <cell r="E61">
            <v>78690</v>
          </cell>
          <cell r="F61" t="str">
            <v>S04798</v>
          </cell>
          <cell r="G61" t="str">
            <v>DTS147/UB1170#DTS</v>
          </cell>
          <cell r="H61">
            <v>173.08</v>
          </cell>
          <cell r="I61">
            <v>14000</v>
          </cell>
          <cell r="J61">
            <v>4002300</v>
          </cell>
          <cell r="K61">
            <v>4003000</v>
          </cell>
          <cell r="L61">
            <v>27613500</v>
          </cell>
          <cell r="M61" t="str">
            <v>ALLIED SERVICES</v>
          </cell>
          <cell r="N61" t="str">
            <v>SIMMI CHOPRA</v>
          </cell>
        </row>
        <row r="62">
          <cell r="B62" t="str">
            <v>DTS149</v>
          </cell>
          <cell r="C62">
            <v>2.5</v>
          </cell>
          <cell r="D62">
            <v>39353</v>
          </cell>
          <cell r="E62">
            <v>78582</v>
          </cell>
          <cell r="F62" t="str">
            <v>J01473</v>
          </cell>
          <cell r="G62" t="str">
            <v>DTS149/UB1074#DTS</v>
          </cell>
          <cell r="H62">
            <v>153.85</v>
          </cell>
          <cell r="I62">
            <v>14000</v>
          </cell>
          <cell r="J62">
            <v>3567600</v>
          </cell>
          <cell r="K62">
            <v>3567600</v>
          </cell>
          <cell r="L62">
            <v>24612000</v>
          </cell>
          <cell r="M62" t="str">
            <v>UTTAM PROPERTY DEALER</v>
          </cell>
          <cell r="N62" t="str">
            <v>J C INTERNATIONAL</v>
          </cell>
        </row>
        <row r="63">
          <cell r="B63" t="str">
            <v>DTS151</v>
          </cell>
          <cell r="C63">
            <v>2.5</v>
          </cell>
          <cell r="D63">
            <v>39353</v>
          </cell>
          <cell r="E63">
            <v>78581</v>
          </cell>
          <cell r="F63" t="str">
            <v>S04783</v>
          </cell>
          <cell r="G63" t="str">
            <v>DTS151/UB1073#DTS</v>
          </cell>
          <cell r="H63">
            <v>140.93</v>
          </cell>
          <cell r="I63">
            <v>14000</v>
          </cell>
          <cell r="J63">
            <v>3275700</v>
          </cell>
          <cell r="K63">
            <v>3275700</v>
          </cell>
          <cell r="L63">
            <v>22596500</v>
          </cell>
          <cell r="M63" t="str">
            <v>RAHEJA ASSOCIATES</v>
          </cell>
          <cell r="N63" t="str">
            <v>SANJEEV BANSAL</v>
          </cell>
        </row>
        <row r="64">
          <cell r="B64" t="str">
            <v>DTS156</v>
          </cell>
          <cell r="C64">
            <v>2.5</v>
          </cell>
          <cell r="D64">
            <v>39353</v>
          </cell>
          <cell r="E64">
            <v>78590</v>
          </cell>
          <cell r="F64" t="str">
            <v>B00842</v>
          </cell>
          <cell r="G64" t="str">
            <v>DTS156/UB1104#DTS</v>
          </cell>
          <cell r="H64">
            <v>140.93</v>
          </cell>
          <cell r="I64">
            <v>14000</v>
          </cell>
          <cell r="J64">
            <v>3275700</v>
          </cell>
          <cell r="K64">
            <v>3275700</v>
          </cell>
          <cell r="L64">
            <v>22596500</v>
          </cell>
          <cell r="M64" t="str">
            <v>UTTAM PROPERTY DEALER</v>
          </cell>
          <cell r="N64" t="str">
            <v>BHUPINDER SINGH</v>
          </cell>
        </row>
        <row r="65">
          <cell r="B65" t="str">
            <v>DTS157</v>
          </cell>
          <cell r="C65">
            <v>2.5</v>
          </cell>
          <cell r="D65">
            <v>39353</v>
          </cell>
          <cell r="E65">
            <v>78600</v>
          </cell>
          <cell r="F65" t="str">
            <v>M02186</v>
          </cell>
          <cell r="G65" t="str">
            <v>DTS157/UB1125#DTS</v>
          </cell>
          <cell r="H65">
            <v>205.13</v>
          </cell>
          <cell r="I65">
            <v>14000</v>
          </cell>
          <cell r="J65">
            <v>4726800</v>
          </cell>
          <cell r="K65">
            <v>5017260</v>
          </cell>
          <cell r="L65">
            <v>32616000</v>
          </cell>
          <cell r="M65" t="str">
            <v>MICKEY SIBAL</v>
          </cell>
          <cell r="N65" t="str">
            <v>MICKEY SIBAL</v>
          </cell>
        </row>
        <row r="66">
          <cell r="B66" t="str">
            <v>DTS250</v>
          </cell>
          <cell r="C66">
            <v>2.5</v>
          </cell>
          <cell r="D66">
            <v>39353</v>
          </cell>
          <cell r="E66">
            <v>78696</v>
          </cell>
          <cell r="F66" t="str">
            <v>I00305</v>
          </cell>
          <cell r="G66" t="str">
            <v>DTS250/UB1183#DTS</v>
          </cell>
          <cell r="H66">
            <v>85</v>
          </cell>
          <cell r="I66">
            <v>13000</v>
          </cell>
          <cell r="J66">
            <v>1874250</v>
          </cell>
          <cell r="K66">
            <v>1874250</v>
          </cell>
          <cell r="L66">
            <v>12952500</v>
          </cell>
          <cell r="M66" t="str">
            <v>C S &amp; ASSOCIATES</v>
          </cell>
          <cell r="N66" t="str">
            <v>ISHWAR INDUSTRIES LTD</v>
          </cell>
        </row>
        <row r="67">
          <cell r="B67" t="str">
            <v>DTS251</v>
          </cell>
          <cell r="C67">
            <v>2.5</v>
          </cell>
          <cell r="D67">
            <v>39353</v>
          </cell>
          <cell r="E67">
            <v>78568</v>
          </cell>
          <cell r="F67" t="str">
            <v>V02022</v>
          </cell>
          <cell r="G67" t="str">
            <v>DTS251/UB1068#DTS</v>
          </cell>
          <cell r="H67">
            <v>69.12</v>
          </cell>
          <cell r="I67">
            <v>13000</v>
          </cell>
          <cell r="J67">
            <v>1540800</v>
          </cell>
          <cell r="K67">
            <v>2000000</v>
          </cell>
          <cell r="L67">
            <v>10644000</v>
          </cell>
          <cell r="M67" t="str">
            <v>C S &amp; ASSOCIATES</v>
          </cell>
          <cell r="N67" t="str">
            <v>VIKRAM SAHNY</v>
          </cell>
        </row>
        <row r="68">
          <cell r="B68" t="str">
            <v>DTS252</v>
          </cell>
          <cell r="C68">
            <v>2.5</v>
          </cell>
          <cell r="D68">
            <v>39353</v>
          </cell>
          <cell r="E68">
            <v>78570</v>
          </cell>
          <cell r="F68" t="str">
            <v>S04780</v>
          </cell>
          <cell r="G68" t="str">
            <v>DTS252/UB1078#DTS</v>
          </cell>
          <cell r="H68">
            <v>75.53</v>
          </cell>
          <cell r="I68">
            <v>13000</v>
          </cell>
          <cell r="J68">
            <v>1675350</v>
          </cell>
          <cell r="K68">
            <v>2700000</v>
          </cell>
          <cell r="L68">
            <v>11575500</v>
          </cell>
          <cell r="M68" t="str">
            <v>SAR REALTY PVT LTD</v>
          </cell>
          <cell r="N68" t="str">
            <v>SHAM CHOPRA</v>
          </cell>
        </row>
        <row r="69">
          <cell r="B69" t="str">
            <v>DTS253</v>
          </cell>
          <cell r="C69">
            <v>2.5</v>
          </cell>
          <cell r="D69">
            <v>39353</v>
          </cell>
          <cell r="E69">
            <v>78648</v>
          </cell>
          <cell r="F69" t="str">
            <v>S04795</v>
          </cell>
          <cell r="G69" t="str">
            <v>DTS253/UB1156#DTS</v>
          </cell>
          <cell r="H69">
            <v>75.53</v>
          </cell>
          <cell r="I69">
            <v>13000</v>
          </cell>
          <cell r="J69">
            <v>1675350</v>
          </cell>
          <cell r="K69">
            <v>1675350</v>
          </cell>
          <cell r="L69">
            <v>11575500</v>
          </cell>
          <cell r="M69" t="str">
            <v>SAR REALTY PVT LTD</v>
          </cell>
          <cell r="N69" t="str">
            <v>SUZY SINGH</v>
          </cell>
        </row>
        <row r="70">
          <cell r="B70" t="str">
            <v>DTS254</v>
          </cell>
          <cell r="C70">
            <v>2.5</v>
          </cell>
          <cell r="D70">
            <v>39353</v>
          </cell>
          <cell r="E70">
            <v>78655</v>
          </cell>
          <cell r="F70" t="str">
            <v>H00983</v>
          </cell>
          <cell r="G70" t="str">
            <v>DTS254/UB1134#DTS</v>
          </cell>
          <cell r="H70">
            <v>69.12</v>
          </cell>
          <cell r="I70">
            <v>13000</v>
          </cell>
          <cell r="J70">
            <v>1540800</v>
          </cell>
          <cell r="K70">
            <v>1540800</v>
          </cell>
          <cell r="L70">
            <v>10644000</v>
          </cell>
          <cell r="M70" t="str">
            <v>MITTAL CO</v>
          </cell>
          <cell r="N70" t="str">
            <v>HARINDER SINGH NANDA</v>
          </cell>
        </row>
        <row r="71">
          <cell r="B71" t="str">
            <v>DTS301</v>
          </cell>
          <cell r="C71">
            <v>2.5</v>
          </cell>
          <cell r="D71">
            <v>39353</v>
          </cell>
          <cell r="E71">
            <v>78697</v>
          </cell>
          <cell r="F71" t="str">
            <v>I00306</v>
          </cell>
          <cell r="G71" t="str">
            <v>DTS301/UB1178#DTS</v>
          </cell>
          <cell r="H71">
            <v>132.19999999999999</v>
          </cell>
          <cell r="I71">
            <v>12000</v>
          </cell>
          <cell r="J71">
            <v>2651400</v>
          </cell>
          <cell r="K71">
            <v>2651400</v>
          </cell>
          <cell r="L71">
            <v>18387500</v>
          </cell>
          <cell r="M71" t="str">
            <v>C S &amp; ASSOCIATES</v>
          </cell>
          <cell r="N71" t="str">
            <v>INDER PREET SINGH SAHNI</v>
          </cell>
        </row>
        <row r="72">
          <cell r="B72" t="str">
            <v>DTS302</v>
          </cell>
          <cell r="C72">
            <v>2.5</v>
          </cell>
          <cell r="D72">
            <v>39353</v>
          </cell>
          <cell r="E72">
            <v>78676</v>
          </cell>
          <cell r="F72" t="str">
            <v>P01692</v>
          </cell>
          <cell r="G72" t="str">
            <v>DTS302/UB1201#DTS</v>
          </cell>
          <cell r="H72">
            <v>77.760000000000005</v>
          </cell>
          <cell r="I72">
            <v>12000</v>
          </cell>
          <cell r="J72">
            <v>1596600</v>
          </cell>
          <cell r="K72">
            <v>1596600</v>
          </cell>
          <cell r="L72">
            <v>11062500</v>
          </cell>
          <cell r="M72" t="str">
            <v>C S &amp; ASSOCIATES</v>
          </cell>
          <cell r="N72" t="str">
            <v>PARLAD SINGH SAWHNEY</v>
          </cell>
        </row>
        <row r="73">
          <cell r="B73" t="str">
            <v>DTS303</v>
          </cell>
          <cell r="C73">
            <v>2.5</v>
          </cell>
          <cell r="D73">
            <v>39353</v>
          </cell>
          <cell r="E73">
            <v>78666</v>
          </cell>
          <cell r="F73" t="str">
            <v>R03996</v>
          </cell>
          <cell r="G73" t="str">
            <v>DTS303/UB1200#DTS</v>
          </cell>
          <cell r="H73">
            <v>71.91</v>
          </cell>
          <cell r="I73">
            <v>12000</v>
          </cell>
          <cell r="J73">
            <v>1483200</v>
          </cell>
          <cell r="K73">
            <v>1483200</v>
          </cell>
          <cell r="L73">
            <v>10275000</v>
          </cell>
          <cell r="M73" t="str">
            <v>C S &amp; ASSOCIATES</v>
          </cell>
          <cell r="N73" t="str">
            <v>RANJEET KAUR SAWHNEY</v>
          </cell>
        </row>
        <row r="74">
          <cell r="B74" t="str">
            <v>DTS305</v>
          </cell>
          <cell r="C74">
            <v>2.5</v>
          </cell>
          <cell r="D74">
            <v>39353</v>
          </cell>
          <cell r="E74">
            <v>78668</v>
          </cell>
          <cell r="F74" t="str">
            <v>R03997</v>
          </cell>
          <cell r="G74" t="str">
            <v>DTS305/UB1202#DTS</v>
          </cell>
          <cell r="H74">
            <v>69.209999999999994</v>
          </cell>
          <cell r="I74">
            <v>12000</v>
          </cell>
          <cell r="J74">
            <v>1431000</v>
          </cell>
          <cell r="K74">
            <v>1431000</v>
          </cell>
          <cell r="L74">
            <v>9912500</v>
          </cell>
          <cell r="M74" t="str">
            <v>C S &amp; ASSOCIATES</v>
          </cell>
          <cell r="N74" t="str">
            <v>RANJEET KAUR SAWHNEY</v>
          </cell>
        </row>
        <row r="75">
          <cell r="B75" t="str">
            <v>DTS306</v>
          </cell>
          <cell r="C75">
            <v>2.5</v>
          </cell>
          <cell r="D75">
            <v>39353</v>
          </cell>
          <cell r="E75">
            <v>78685</v>
          </cell>
          <cell r="F75" t="str">
            <v>P01695</v>
          </cell>
          <cell r="G75" t="str">
            <v>DTS306/UB1182#DTS</v>
          </cell>
          <cell r="H75">
            <v>69.209999999999994</v>
          </cell>
          <cell r="I75">
            <v>12000</v>
          </cell>
          <cell r="J75">
            <v>1431000</v>
          </cell>
          <cell r="K75">
            <v>1431000</v>
          </cell>
          <cell r="L75">
            <v>9912500</v>
          </cell>
          <cell r="M75" t="str">
            <v>C S &amp; ASSOCIATES</v>
          </cell>
          <cell r="N75" t="str">
            <v>PUNARDEEP SINGH SAWHNEY</v>
          </cell>
        </row>
        <row r="76">
          <cell r="B76" t="str">
            <v>DTS307</v>
          </cell>
          <cell r="C76">
            <v>2.5</v>
          </cell>
          <cell r="D76">
            <v>39353</v>
          </cell>
          <cell r="E76">
            <v>78706</v>
          </cell>
          <cell r="F76" t="str">
            <v>G00770</v>
          </cell>
          <cell r="G76" t="str">
            <v>DTS307/UB1185#DTS</v>
          </cell>
          <cell r="H76">
            <v>69.209999999999994</v>
          </cell>
          <cell r="I76">
            <v>12000</v>
          </cell>
          <cell r="J76">
            <v>1431000</v>
          </cell>
          <cell r="K76">
            <v>1431000</v>
          </cell>
          <cell r="L76">
            <v>9912500</v>
          </cell>
          <cell r="M76" t="str">
            <v>C S &amp; ASSOCIATES</v>
          </cell>
          <cell r="N76" t="str">
            <v>GAGANDEEP SINGH SURI         _x000C_</v>
          </cell>
        </row>
        <row r="77">
          <cell r="B77" t="str">
            <v>DTS308</v>
          </cell>
          <cell r="C77">
            <v>2.5</v>
          </cell>
          <cell r="D77">
            <v>39353</v>
          </cell>
          <cell r="E77">
            <v>78700</v>
          </cell>
          <cell r="F77" t="str">
            <v>J01479</v>
          </cell>
          <cell r="G77" t="str">
            <v>DTS308/UB1184#DTS</v>
          </cell>
          <cell r="H77">
            <v>69.209999999999994</v>
          </cell>
          <cell r="I77">
            <v>12000</v>
          </cell>
          <cell r="J77">
            <v>1431000</v>
          </cell>
          <cell r="K77">
            <v>1431000</v>
          </cell>
          <cell r="L77">
            <v>9912500</v>
          </cell>
          <cell r="M77" t="str">
            <v>C S &amp; ASSOCIATES</v>
          </cell>
          <cell r="N77" t="str">
            <v>JASBIR SINGH</v>
          </cell>
        </row>
        <row r="78">
          <cell r="B78" t="str">
            <v>DTS311</v>
          </cell>
          <cell r="C78">
            <v>2.5</v>
          </cell>
          <cell r="D78">
            <v>39353</v>
          </cell>
          <cell r="E78">
            <v>78624</v>
          </cell>
          <cell r="F78" t="str">
            <v>R03979</v>
          </cell>
          <cell r="G78" t="str">
            <v>DTS311/UB1138#DTS</v>
          </cell>
          <cell r="H78">
            <v>65.400000000000006</v>
          </cell>
          <cell r="I78">
            <v>14000</v>
          </cell>
          <cell r="J78">
            <v>1568400</v>
          </cell>
          <cell r="K78">
            <v>2700000</v>
          </cell>
          <cell r="L78">
            <v>10808000</v>
          </cell>
          <cell r="M78" t="str">
            <v>UTTAM PROPERTY DEALER</v>
          </cell>
          <cell r="N78" t="str">
            <v>RAJEEV VERMA</v>
          </cell>
        </row>
        <row r="79">
          <cell r="B79" t="str">
            <v>DTS314</v>
          </cell>
          <cell r="C79">
            <v>2.5</v>
          </cell>
          <cell r="D79">
            <v>39353</v>
          </cell>
          <cell r="E79">
            <v>78578</v>
          </cell>
          <cell r="F79" t="str">
            <v>N01120</v>
          </cell>
          <cell r="G79" t="str">
            <v>DTS314/UB1077#DTS</v>
          </cell>
          <cell r="H79">
            <v>150.22</v>
          </cell>
          <cell r="I79">
            <v>14000</v>
          </cell>
          <cell r="J79">
            <v>3485700</v>
          </cell>
          <cell r="K79">
            <v>5400000</v>
          </cell>
          <cell r="L79">
            <v>24046500</v>
          </cell>
          <cell r="M79" t="str">
            <v>S KUMAR &amp; CO.</v>
          </cell>
          <cell r="N79" t="str">
            <v>NAVTEJ KHOLI</v>
          </cell>
        </row>
        <row r="80">
          <cell r="B80" t="str">
            <v>DTS342</v>
          </cell>
          <cell r="C80">
            <v>2.5</v>
          </cell>
          <cell r="D80">
            <v>39353</v>
          </cell>
          <cell r="E80">
            <v>78574</v>
          </cell>
          <cell r="F80" t="str">
            <v>A03486</v>
          </cell>
          <cell r="G80" t="str">
            <v>DTS342/UB1098#DTS</v>
          </cell>
          <cell r="H80">
            <v>104.52</v>
          </cell>
          <cell r="I80">
            <v>13000</v>
          </cell>
          <cell r="J80">
            <v>2283750</v>
          </cell>
          <cell r="K80">
            <v>2700000</v>
          </cell>
          <cell r="L80">
            <v>15787500</v>
          </cell>
          <cell r="M80" t="str">
            <v>SAR REALTY PVT LTD</v>
          </cell>
          <cell r="N80" t="str">
            <v>ABHINAV SINGAL</v>
          </cell>
        </row>
        <row r="81">
          <cell r="B81" t="str">
            <v>DTS343</v>
          </cell>
          <cell r="C81">
            <v>2.5</v>
          </cell>
          <cell r="D81">
            <v>39353</v>
          </cell>
          <cell r="E81">
            <v>78694</v>
          </cell>
          <cell r="F81" t="str">
            <v>T00338</v>
          </cell>
          <cell r="G81" t="str">
            <v>DTS343/UB1177#DTS</v>
          </cell>
          <cell r="H81">
            <v>69.209999999999994</v>
          </cell>
          <cell r="I81">
            <v>13000</v>
          </cell>
          <cell r="J81">
            <v>1542750</v>
          </cell>
          <cell r="K81">
            <v>1542750</v>
          </cell>
          <cell r="L81">
            <v>10657500</v>
          </cell>
          <cell r="M81" t="str">
            <v>C S &amp; ASSOCIATES</v>
          </cell>
          <cell r="N81" t="str">
            <v>TEJBIR SINGH SETHI</v>
          </cell>
        </row>
        <row r="82">
          <cell r="B82" t="str">
            <v>DTS360</v>
          </cell>
          <cell r="C82">
            <v>2.5</v>
          </cell>
          <cell r="D82">
            <v>39353</v>
          </cell>
          <cell r="E82">
            <v>78585</v>
          </cell>
          <cell r="F82" t="str">
            <v>M02184</v>
          </cell>
          <cell r="G82" t="str">
            <v>DTS360/UB1105#DTS</v>
          </cell>
          <cell r="H82">
            <v>89.93</v>
          </cell>
          <cell r="I82">
            <v>13000</v>
          </cell>
          <cell r="J82">
            <v>1977600</v>
          </cell>
          <cell r="K82">
            <v>2700000</v>
          </cell>
          <cell r="L82">
            <v>13668000</v>
          </cell>
          <cell r="M82" t="str">
            <v>MICKEY SIBAL</v>
          </cell>
          <cell r="N82" t="str">
            <v>MICKEY SIBAL</v>
          </cell>
        </row>
        <row r="83">
          <cell r="B83" t="str">
            <v>DTS402</v>
          </cell>
          <cell r="C83">
            <v>2.5</v>
          </cell>
          <cell r="D83">
            <v>39353</v>
          </cell>
          <cell r="E83">
            <v>78531</v>
          </cell>
          <cell r="F83" t="str">
            <v>S04775</v>
          </cell>
          <cell r="G83" t="str">
            <v>DTS402/UB1051#DTS</v>
          </cell>
          <cell r="H83">
            <v>77.760000000000005</v>
          </cell>
          <cell r="I83">
            <v>13000</v>
          </cell>
          <cell r="J83">
            <v>1722150</v>
          </cell>
          <cell r="K83">
            <v>1722150</v>
          </cell>
          <cell r="L83">
            <v>11899500</v>
          </cell>
          <cell r="M83" t="str">
            <v>CYPRUS CONSULTANTS</v>
          </cell>
          <cell r="N83" t="str">
            <v>SANDEEP PARWAL</v>
          </cell>
        </row>
        <row r="84">
          <cell r="B84" t="str">
            <v>DTS403</v>
          </cell>
          <cell r="C84">
            <v>2.5</v>
          </cell>
          <cell r="D84">
            <v>39353</v>
          </cell>
          <cell r="E84">
            <v>78681</v>
          </cell>
          <cell r="F84" t="str">
            <v>P01693</v>
          </cell>
          <cell r="G84" t="str">
            <v>DTS403/UB1161#DTS</v>
          </cell>
          <cell r="H84">
            <v>71.91</v>
          </cell>
          <cell r="I84">
            <v>13000</v>
          </cell>
          <cell r="J84">
            <v>1599300</v>
          </cell>
          <cell r="K84">
            <v>1600000</v>
          </cell>
          <cell r="L84">
            <v>11049000</v>
          </cell>
          <cell r="M84" t="str">
            <v>A K JAIN &amp; ASSOCIATES</v>
          </cell>
          <cell r="N84" t="str">
            <v>PEE EMPRO EXPORTS PVT. LTD</v>
          </cell>
        </row>
        <row r="85">
          <cell r="B85" t="str">
            <v>DTS405</v>
          </cell>
          <cell r="C85">
            <v>2.5</v>
          </cell>
          <cell r="D85">
            <v>39353</v>
          </cell>
          <cell r="E85">
            <v>78560</v>
          </cell>
          <cell r="F85" t="str">
            <v>P01687</v>
          </cell>
          <cell r="G85" t="str">
            <v>DTS405/UB1081#DTS</v>
          </cell>
          <cell r="H85">
            <v>69.209999999999994</v>
          </cell>
          <cell r="I85">
            <v>13000</v>
          </cell>
          <cell r="J85">
            <v>1542750</v>
          </cell>
          <cell r="K85">
            <v>1542750</v>
          </cell>
          <cell r="L85">
            <v>10657500</v>
          </cell>
          <cell r="M85" t="str">
            <v>AADHUNIK ESTATES</v>
          </cell>
          <cell r="N85" t="str">
            <v>PRITI BADER</v>
          </cell>
        </row>
        <row r="86">
          <cell r="B86" t="str">
            <v>DTS406</v>
          </cell>
          <cell r="C86">
            <v>2.5</v>
          </cell>
          <cell r="D86">
            <v>39353</v>
          </cell>
          <cell r="E86">
            <v>78555</v>
          </cell>
          <cell r="F86" t="str">
            <v>N01119</v>
          </cell>
          <cell r="G86" t="str">
            <v>DTS406/UB1080#DTS</v>
          </cell>
          <cell r="H86">
            <v>69.209999999999994</v>
          </cell>
          <cell r="I86">
            <v>13000</v>
          </cell>
          <cell r="J86">
            <v>1542750</v>
          </cell>
          <cell r="K86">
            <v>1542750</v>
          </cell>
          <cell r="L86">
            <v>10657500</v>
          </cell>
          <cell r="M86" t="str">
            <v>AADHUNIK ESTATES</v>
          </cell>
          <cell r="N86" t="str">
            <v>NAVEEN GAMBHIR</v>
          </cell>
        </row>
        <row r="87">
          <cell r="B87" t="str">
            <v>DTS409</v>
          </cell>
          <cell r="C87">
            <v>2.5</v>
          </cell>
          <cell r="D87">
            <v>39353</v>
          </cell>
          <cell r="E87">
            <v>78563</v>
          </cell>
          <cell r="F87" t="str">
            <v>R03969</v>
          </cell>
          <cell r="G87" t="str">
            <v>DTS409/UB1091#DTS</v>
          </cell>
          <cell r="H87">
            <v>90.02</v>
          </cell>
          <cell r="I87">
            <v>13000</v>
          </cell>
          <cell r="J87">
            <v>1979550</v>
          </cell>
          <cell r="K87">
            <v>2700000</v>
          </cell>
          <cell r="L87">
            <v>13681500</v>
          </cell>
          <cell r="M87" t="str">
            <v>SKN PROPMART PVT. LTD.</v>
          </cell>
          <cell r="N87" t="str">
            <v>RAJAT K. DHAWAN</v>
          </cell>
        </row>
        <row r="88">
          <cell r="B88" t="str">
            <v>DTS410</v>
          </cell>
          <cell r="C88">
            <v>2.5</v>
          </cell>
          <cell r="D88">
            <v>39353</v>
          </cell>
          <cell r="E88">
            <v>78569</v>
          </cell>
          <cell r="F88" t="str">
            <v>J01472</v>
          </cell>
          <cell r="G88" t="str">
            <v>DTS410/UB1088#DTS</v>
          </cell>
          <cell r="H88">
            <v>89.93</v>
          </cell>
          <cell r="I88">
            <v>13000</v>
          </cell>
          <cell r="J88">
            <v>1977600</v>
          </cell>
          <cell r="K88">
            <v>2700000</v>
          </cell>
          <cell r="L88">
            <v>13668000</v>
          </cell>
          <cell r="M88" t="str">
            <v>SKN PROPMART PVT. LTD.</v>
          </cell>
          <cell r="N88" t="str">
            <v>JITENDER RAJPAL</v>
          </cell>
        </row>
        <row r="89">
          <cell r="B89" t="str">
            <v>DTS412</v>
          </cell>
          <cell r="C89">
            <v>2.5</v>
          </cell>
          <cell r="D89">
            <v>39353</v>
          </cell>
          <cell r="E89">
            <v>78525</v>
          </cell>
          <cell r="F89" t="str">
            <v>R03965</v>
          </cell>
          <cell r="G89" t="str">
            <v>DTS412/UB1049#DTS</v>
          </cell>
          <cell r="H89">
            <v>114.08</v>
          </cell>
          <cell r="I89">
            <v>13000</v>
          </cell>
          <cell r="J89">
            <v>2484600</v>
          </cell>
          <cell r="K89">
            <v>2484600</v>
          </cell>
          <cell r="L89">
            <v>17178000</v>
          </cell>
          <cell r="M89" t="str">
            <v>KHUSHAL SETHI HOUSING SOLUTIO</v>
          </cell>
          <cell r="N89" t="str">
            <v>RAJENDER KUMAR SALUJA</v>
          </cell>
        </row>
        <row r="90">
          <cell r="B90" t="str">
            <v>DTS419</v>
          </cell>
          <cell r="C90">
            <v>2.5</v>
          </cell>
          <cell r="D90">
            <v>39353</v>
          </cell>
          <cell r="E90">
            <v>78587</v>
          </cell>
          <cell r="F90" t="str">
            <v>A03488</v>
          </cell>
          <cell r="G90" t="str">
            <v>DTS419/UB1100#DTS</v>
          </cell>
          <cell r="H90">
            <v>75.53</v>
          </cell>
          <cell r="I90">
            <v>13000</v>
          </cell>
          <cell r="J90">
            <v>1675350</v>
          </cell>
          <cell r="K90">
            <v>2700000</v>
          </cell>
          <cell r="L90">
            <v>11575500</v>
          </cell>
          <cell r="M90" t="str">
            <v>ALLIED SERVICES</v>
          </cell>
          <cell r="N90" t="str">
            <v>AJAY SATIJA</v>
          </cell>
        </row>
        <row r="91">
          <cell r="B91" t="str">
            <v>DTS420</v>
          </cell>
          <cell r="C91">
            <v>2.5</v>
          </cell>
          <cell r="D91">
            <v>39353</v>
          </cell>
          <cell r="E91">
            <v>78661</v>
          </cell>
          <cell r="F91" t="str">
            <v>J01475</v>
          </cell>
          <cell r="G91" t="str">
            <v>DTS420/UB1137#DTS</v>
          </cell>
          <cell r="H91">
            <v>75.53</v>
          </cell>
          <cell r="I91">
            <v>13000</v>
          </cell>
          <cell r="J91">
            <v>1675350</v>
          </cell>
          <cell r="K91">
            <v>2700000</v>
          </cell>
          <cell r="L91">
            <v>11575500</v>
          </cell>
          <cell r="M91" t="str">
            <v>ALLIED SERVICES</v>
          </cell>
          <cell r="N91" t="str">
            <v>JAI EESH DEVELOPERS &amp; INFRAST</v>
          </cell>
        </row>
        <row r="92">
          <cell r="B92" t="str">
            <v>DTS422</v>
          </cell>
          <cell r="C92">
            <v>2.5</v>
          </cell>
          <cell r="D92">
            <v>39353</v>
          </cell>
          <cell r="E92">
            <v>78509</v>
          </cell>
          <cell r="F92" t="str">
            <v>S04769</v>
          </cell>
          <cell r="G92" t="str">
            <v>DTS422/UB1025#DTS</v>
          </cell>
          <cell r="H92">
            <v>85</v>
          </cell>
          <cell r="I92">
            <v>13000</v>
          </cell>
          <cell r="J92">
            <v>1874250</v>
          </cell>
          <cell r="K92">
            <v>2700000</v>
          </cell>
          <cell r="L92">
            <v>12952500</v>
          </cell>
          <cell r="M92" t="str">
            <v>ALLIED SERVICES</v>
          </cell>
          <cell r="N92" t="str">
            <v>SUSHANT CHHABRA</v>
          </cell>
        </row>
        <row r="93">
          <cell r="B93" t="str">
            <v>DTS423</v>
          </cell>
          <cell r="C93">
            <v>2.5</v>
          </cell>
          <cell r="D93">
            <v>39353</v>
          </cell>
          <cell r="E93">
            <v>78669</v>
          </cell>
          <cell r="F93" t="str">
            <v>I00303</v>
          </cell>
          <cell r="G93" t="str">
            <v>DTS423/UB1159#DTS</v>
          </cell>
          <cell r="H93">
            <v>89.74</v>
          </cell>
          <cell r="I93">
            <v>13000</v>
          </cell>
          <cell r="J93">
            <v>1973700</v>
          </cell>
          <cell r="K93">
            <v>2700000</v>
          </cell>
          <cell r="L93">
            <v>13641000</v>
          </cell>
          <cell r="M93" t="str">
            <v>ALLIED SERVICES</v>
          </cell>
          <cell r="N93" t="str">
            <v>INSTRONICS LIMITED</v>
          </cell>
        </row>
        <row r="94">
          <cell r="B94" t="str">
            <v>DTS424</v>
          </cell>
          <cell r="C94">
            <v>2.5</v>
          </cell>
          <cell r="D94">
            <v>39353</v>
          </cell>
          <cell r="E94">
            <v>78611</v>
          </cell>
          <cell r="F94" t="str">
            <v>M02188</v>
          </cell>
          <cell r="G94" t="str">
            <v>DTS424/UB1158#DTS</v>
          </cell>
          <cell r="H94">
            <v>89</v>
          </cell>
          <cell r="I94">
            <v>13000</v>
          </cell>
          <cell r="J94">
            <v>1958100</v>
          </cell>
          <cell r="K94">
            <v>3000000</v>
          </cell>
          <cell r="L94">
            <v>13533000</v>
          </cell>
          <cell r="M94" t="str">
            <v>MICKEY SIBAL</v>
          </cell>
          <cell r="N94" t="str">
            <v>MICKEY SIBAL</v>
          </cell>
        </row>
        <row r="95">
          <cell r="B95" t="str">
            <v>DTS425</v>
          </cell>
          <cell r="C95">
            <v>2.5</v>
          </cell>
          <cell r="D95">
            <v>39353</v>
          </cell>
          <cell r="E95">
            <v>78607</v>
          </cell>
          <cell r="F95" t="str">
            <v>M02187</v>
          </cell>
          <cell r="G95" t="str">
            <v>DTS425/UB1155#DTS</v>
          </cell>
          <cell r="H95">
            <v>150.22</v>
          </cell>
          <cell r="I95">
            <v>13000</v>
          </cell>
          <cell r="J95">
            <v>3243150</v>
          </cell>
          <cell r="K95">
            <v>5000000</v>
          </cell>
          <cell r="L95">
            <v>22429500</v>
          </cell>
          <cell r="M95" t="str">
            <v>MICKEY SIBAL</v>
          </cell>
          <cell r="N95" t="str">
            <v>MICKEY SIBAL</v>
          </cell>
        </row>
        <row r="96">
          <cell r="B96" t="str">
            <v>DTS426</v>
          </cell>
          <cell r="C96">
            <v>2.5</v>
          </cell>
          <cell r="D96">
            <v>39353</v>
          </cell>
          <cell r="E96">
            <v>78615</v>
          </cell>
          <cell r="F96" t="str">
            <v>M02189</v>
          </cell>
          <cell r="G96" t="str">
            <v>DTS426/UB1160#DTS</v>
          </cell>
          <cell r="H96">
            <v>114.08</v>
          </cell>
          <cell r="I96">
            <v>13000</v>
          </cell>
          <cell r="J96">
            <v>2484600</v>
          </cell>
          <cell r="K96">
            <v>5000000</v>
          </cell>
          <cell r="L96">
            <v>17178000</v>
          </cell>
          <cell r="M96" t="str">
            <v>MICKEY SIBAL</v>
          </cell>
          <cell r="N96" t="str">
            <v>MICKEY SIBAL</v>
          </cell>
        </row>
        <row r="97">
          <cell r="B97" t="str">
            <v>DTS429</v>
          </cell>
          <cell r="C97">
            <v>2.5</v>
          </cell>
          <cell r="D97">
            <v>39353</v>
          </cell>
          <cell r="E97">
            <v>78627</v>
          </cell>
          <cell r="F97" t="str">
            <v>J01474</v>
          </cell>
          <cell r="G97" t="str">
            <v>DTS429/UB1135#DTS</v>
          </cell>
          <cell r="H97">
            <v>90.02</v>
          </cell>
          <cell r="I97">
            <v>13000</v>
          </cell>
          <cell r="J97">
            <v>1979550</v>
          </cell>
          <cell r="K97">
            <v>1979550</v>
          </cell>
          <cell r="L97">
            <v>13681500</v>
          </cell>
          <cell r="M97" t="str">
            <v>MITTAL CO</v>
          </cell>
          <cell r="N97" t="str">
            <v>JASJIT SINGH</v>
          </cell>
        </row>
        <row r="98">
          <cell r="B98" t="str">
            <v>DTS438</v>
          </cell>
          <cell r="C98">
            <v>2.5</v>
          </cell>
          <cell r="D98">
            <v>39353</v>
          </cell>
          <cell r="E98">
            <v>78636</v>
          </cell>
          <cell r="F98" t="str">
            <v>K01257</v>
          </cell>
          <cell r="G98" t="str">
            <v>DTS438/UB1133#DTS</v>
          </cell>
          <cell r="H98">
            <v>73.760000000000005</v>
          </cell>
          <cell r="I98">
            <v>13000</v>
          </cell>
          <cell r="J98">
            <v>1638300</v>
          </cell>
          <cell r="K98">
            <v>2700000</v>
          </cell>
          <cell r="L98">
            <v>11319000</v>
          </cell>
          <cell r="M98" t="str">
            <v>BAJAJ LEASING &amp; FINANCE LTD</v>
          </cell>
          <cell r="N98" t="str">
            <v>KAPIL KUMAR MONGA</v>
          </cell>
        </row>
        <row r="99">
          <cell r="B99" t="str">
            <v>DTS442</v>
          </cell>
          <cell r="C99">
            <v>2.5</v>
          </cell>
          <cell r="D99">
            <v>39353</v>
          </cell>
          <cell r="E99">
            <v>78650</v>
          </cell>
          <cell r="F99" t="str">
            <v>I00301</v>
          </cell>
          <cell r="G99" t="str">
            <v>DTS442/UB1142#DTS</v>
          </cell>
          <cell r="H99">
            <v>104.52</v>
          </cell>
          <cell r="I99">
            <v>13000</v>
          </cell>
          <cell r="J99">
            <v>2283750</v>
          </cell>
          <cell r="K99">
            <v>2283750</v>
          </cell>
          <cell r="L99">
            <v>15787500</v>
          </cell>
          <cell r="M99" t="str">
            <v>SAR REALTY PVT LTD</v>
          </cell>
          <cell r="N99" t="str">
            <v>INAPEX PRIVATE LIMITED</v>
          </cell>
        </row>
        <row r="100">
          <cell r="B100" t="str">
            <v>DTS443</v>
          </cell>
          <cell r="C100">
            <v>2.5</v>
          </cell>
          <cell r="D100">
            <v>39353</v>
          </cell>
          <cell r="E100">
            <v>78562</v>
          </cell>
          <cell r="F100" t="str">
            <v>A03484</v>
          </cell>
          <cell r="G100" t="str">
            <v>DTS443/UB1094#DTS</v>
          </cell>
          <cell r="H100">
            <v>69.209999999999994</v>
          </cell>
          <cell r="I100">
            <v>13000</v>
          </cell>
          <cell r="J100">
            <v>1542750</v>
          </cell>
          <cell r="K100">
            <v>1542750</v>
          </cell>
          <cell r="L100">
            <v>10657500</v>
          </cell>
          <cell r="M100" t="str">
            <v>D. S. CONSULTANTS</v>
          </cell>
          <cell r="N100" t="str">
            <v>ARTEE CHAUHAN</v>
          </cell>
        </row>
        <row r="101">
          <cell r="B101" t="str">
            <v>DTS444</v>
          </cell>
          <cell r="C101">
            <v>2.5</v>
          </cell>
          <cell r="D101">
            <v>39353</v>
          </cell>
          <cell r="E101">
            <v>78511</v>
          </cell>
          <cell r="F101" t="str">
            <v>A03476</v>
          </cell>
          <cell r="G101" t="str">
            <v>DTS444/UB1032#DTS</v>
          </cell>
          <cell r="H101">
            <v>89.93</v>
          </cell>
          <cell r="I101">
            <v>13000</v>
          </cell>
          <cell r="J101">
            <v>1977600</v>
          </cell>
          <cell r="K101">
            <v>1977600</v>
          </cell>
          <cell r="L101">
            <v>13668000</v>
          </cell>
          <cell r="M101" t="str">
            <v>SANIYA ESTATE</v>
          </cell>
          <cell r="N101" t="str">
            <v>ANIL SATIA                   _x000C_</v>
          </cell>
        </row>
        <row r="102">
          <cell r="B102" t="str">
            <v>DTS445</v>
          </cell>
          <cell r="C102">
            <v>2.5</v>
          </cell>
          <cell r="D102">
            <v>39353</v>
          </cell>
          <cell r="E102">
            <v>78510</v>
          </cell>
          <cell r="F102" t="str">
            <v>A03475</v>
          </cell>
          <cell r="G102" t="str">
            <v>DTS445/UB1033#DTS</v>
          </cell>
          <cell r="H102">
            <v>89.93</v>
          </cell>
          <cell r="I102">
            <v>13000</v>
          </cell>
          <cell r="J102">
            <v>1977600</v>
          </cell>
          <cell r="K102">
            <v>1977600</v>
          </cell>
          <cell r="L102">
            <v>13668000</v>
          </cell>
          <cell r="M102" t="str">
            <v>SANIYA ESTATE</v>
          </cell>
          <cell r="N102" t="str">
            <v>ANIL SATIA</v>
          </cell>
        </row>
        <row r="103">
          <cell r="B103" t="str">
            <v>DTS447</v>
          </cell>
          <cell r="C103">
            <v>2.5</v>
          </cell>
          <cell r="D103">
            <v>39353</v>
          </cell>
          <cell r="E103">
            <v>78566</v>
          </cell>
          <cell r="F103" t="str">
            <v>E00095</v>
          </cell>
          <cell r="G103" t="str">
            <v>DTS447/UB1086#DTS</v>
          </cell>
          <cell r="H103">
            <v>178.84</v>
          </cell>
          <cell r="I103">
            <v>14000</v>
          </cell>
          <cell r="J103">
            <v>4132500</v>
          </cell>
          <cell r="K103">
            <v>5400000</v>
          </cell>
          <cell r="L103">
            <v>28512500</v>
          </cell>
          <cell r="M103" t="str">
            <v>FOCUS CONSULTANTS</v>
          </cell>
          <cell r="N103" t="str">
            <v>EDGE INFRASTRUCTURE PVT. LTD.</v>
          </cell>
        </row>
        <row r="104">
          <cell r="B104" t="str">
            <v>DTS506</v>
          </cell>
          <cell r="C104">
            <v>2.5</v>
          </cell>
          <cell r="D104">
            <v>39353</v>
          </cell>
          <cell r="E104">
            <v>78651</v>
          </cell>
          <cell r="F104" t="str">
            <v>A03490</v>
          </cell>
          <cell r="G104" t="str">
            <v>DTS506/UB1132#DTS</v>
          </cell>
          <cell r="H104">
            <v>69.209999999999994</v>
          </cell>
          <cell r="I104">
            <v>13000</v>
          </cell>
          <cell r="J104">
            <v>1542750</v>
          </cell>
          <cell r="K104">
            <v>1542750</v>
          </cell>
          <cell r="L104">
            <v>10657500</v>
          </cell>
          <cell r="M104" t="str">
            <v>KEDAR ESTATE &amp; INVESTMENTS</v>
          </cell>
          <cell r="N104" t="str">
            <v>ASHISH PAL</v>
          </cell>
        </row>
        <row r="105">
          <cell r="B105" t="str">
            <v>DTS507</v>
          </cell>
          <cell r="C105">
            <v>2.5</v>
          </cell>
          <cell r="D105">
            <v>39353</v>
          </cell>
          <cell r="E105">
            <v>78549</v>
          </cell>
          <cell r="F105" t="str">
            <v>U00334</v>
          </cell>
          <cell r="G105" t="str">
            <v>DTS507/UB1029#DTS</v>
          </cell>
          <cell r="H105">
            <v>90.02</v>
          </cell>
          <cell r="I105">
            <v>13000</v>
          </cell>
          <cell r="J105">
            <v>1979550</v>
          </cell>
          <cell r="K105">
            <v>1979550</v>
          </cell>
          <cell r="L105">
            <v>13681500</v>
          </cell>
          <cell r="M105" t="str">
            <v>KEDAR ESTATE &amp; INVESTMENTS</v>
          </cell>
          <cell r="N105" t="str">
            <v>UNITED INFRA PROJECTS PVT LTD</v>
          </cell>
        </row>
        <row r="106">
          <cell r="B106" t="str">
            <v>DTS508</v>
          </cell>
          <cell r="C106">
            <v>2.5</v>
          </cell>
          <cell r="D106">
            <v>39353</v>
          </cell>
          <cell r="E106">
            <v>78550</v>
          </cell>
          <cell r="F106" t="str">
            <v>U00335</v>
          </cell>
          <cell r="G106" t="str">
            <v>DTS508/UB1040#DTS</v>
          </cell>
          <cell r="H106">
            <v>89.93</v>
          </cell>
          <cell r="I106">
            <v>13000</v>
          </cell>
          <cell r="J106">
            <v>1977600</v>
          </cell>
          <cell r="K106">
            <v>1977600</v>
          </cell>
          <cell r="L106">
            <v>13668000</v>
          </cell>
          <cell r="M106" t="str">
            <v>KEDAR ESTATE &amp; INVESTMENTS</v>
          </cell>
          <cell r="N106" t="str">
            <v>UNITED INFRA PROJECTS PVT LTD</v>
          </cell>
        </row>
        <row r="107">
          <cell r="B107" t="str">
            <v>DTS509</v>
          </cell>
          <cell r="C107">
            <v>2.5</v>
          </cell>
          <cell r="D107">
            <v>39353</v>
          </cell>
          <cell r="E107">
            <v>78513</v>
          </cell>
          <cell r="F107" t="str">
            <v>U00332</v>
          </cell>
          <cell r="G107" t="str">
            <v>DTS509/UB1053#DTS</v>
          </cell>
          <cell r="H107">
            <v>65.400000000000006</v>
          </cell>
          <cell r="I107">
            <v>13000</v>
          </cell>
          <cell r="J107">
            <v>1462800</v>
          </cell>
          <cell r="K107">
            <v>1462800</v>
          </cell>
          <cell r="L107">
            <v>10104000</v>
          </cell>
          <cell r="M107" t="str">
            <v>KEDAR ESTATE &amp; INVESTMENTS</v>
          </cell>
          <cell r="N107" t="str">
            <v>UNITED INFRA PROJECT PVT. LTD</v>
          </cell>
        </row>
        <row r="108">
          <cell r="B108" t="str">
            <v>DTS511</v>
          </cell>
          <cell r="C108">
            <v>2.5</v>
          </cell>
          <cell r="D108">
            <v>39353</v>
          </cell>
          <cell r="E108">
            <v>78653</v>
          </cell>
          <cell r="F108" t="str">
            <v>P01689</v>
          </cell>
          <cell r="G108" t="str">
            <v>DTS511/UB1130#DTS</v>
          </cell>
          <cell r="H108">
            <v>150.22</v>
          </cell>
          <cell r="I108">
            <v>14000</v>
          </cell>
          <cell r="J108">
            <v>3485700</v>
          </cell>
          <cell r="K108">
            <v>3485700</v>
          </cell>
          <cell r="L108">
            <v>24046500</v>
          </cell>
          <cell r="M108" t="str">
            <v>K.K. REAL ESTATE</v>
          </cell>
          <cell r="N108" t="str">
            <v>POONAM NANGIA</v>
          </cell>
        </row>
        <row r="109">
          <cell r="B109" t="str">
            <v>DTS512</v>
          </cell>
          <cell r="C109">
            <v>2.5</v>
          </cell>
          <cell r="D109">
            <v>39353</v>
          </cell>
          <cell r="E109">
            <v>78672</v>
          </cell>
          <cell r="F109" t="str">
            <v>K01258</v>
          </cell>
          <cell r="G109" t="str">
            <v>DTS512/UB1165#DTS</v>
          </cell>
          <cell r="H109">
            <v>89</v>
          </cell>
          <cell r="I109">
            <v>13000</v>
          </cell>
          <cell r="J109">
            <v>1958100</v>
          </cell>
          <cell r="K109">
            <v>1958100</v>
          </cell>
          <cell r="L109">
            <v>13533000</v>
          </cell>
          <cell r="M109" t="str">
            <v>PIYUSH JAIN</v>
          </cell>
          <cell r="N109" t="str">
            <v>KIMTI LAL JAIN</v>
          </cell>
        </row>
        <row r="110">
          <cell r="B110" t="str">
            <v>DTS518</v>
          </cell>
          <cell r="C110">
            <v>2.5</v>
          </cell>
          <cell r="D110">
            <v>39353</v>
          </cell>
          <cell r="E110">
            <v>78556</v>
          </cell>
          <cell r="F110" t="str">
            <v>S04779</v>
          </cell>
          <cell r="G110" t="str">
            <v>DTS518/UB1079#DTS</v>
          </cell>
          <cell r="H110">
            <v>75.53</v>
          </cell>
          <cell r="I110">
            <v>13000</v>
          </cell>
          <cell r="J110">
            <v>1675350</v>
          </cell>
          <cell r="K110">
            <v>2700000</v>
          </cell>
          <cell r="L110">
            <v>11575500</v>
          </cell>
          <cell r="M110" t="str">
            <v>FOCUS CONSULTANTS</v>
          </cell>
          <cell r="N110" t="str">
            <v>SHILPA BHARGAVA</v>
          </cell>
        </row>
        <row r="111">
          <cell r="B111" t="str">
            <v>DTS520</v>
          </cell>
          <cell r="C111">
            <v>2.5</v>
          </cell>
          <cell r="D111">
            <v>39353</v>
          </cell>
          <cell r="E111">
            <v>78591</v>
          </cell>
          <cell r="F111" t="str">
            <v>R03972</v>
          </cell>
          <cell r="G111" t="str">
            <v>DTS520/UB1103#DTS</v>
          </cell>
          <cell r="H111">
            <v>85</v>
          </cell>
          <cell r="I111">
            <v>13000</v>
          </cell>
          <cell r="J111">
            <v>1874250</v>
          </cell>
          <cell r="K111">
            <v>2700000</v>
          </cell>
          <cell r="L111">
            <v>12952500</v>
          </cell>
          <cell r="M111" t="str">
            <v>FOCUS CONSULTANTS</v>
          </cell>
          <cell r="N111" t="str">
            <v>RAJIV SARIN</v>
          </cell>
        </row>
        <row r="112">
          <cell r="B112" t="str">
            <v>DTS523</v>
          </cell>
          <cell r="C112">
            <v>2.5</v>
          </cell>
          <cell r="D112">
            <v>39353</v>
          </cell>
          <cell r="E112">
            <v>78658</v>
          </cell>
          <cell r="F112" t="str">
            <v>M02191</v>
          </cell>
          <cell r="G112" t="str">
            <v>DTS523/UB1188#DTS</v>
          </cell>
          <cell r="H112">
            <v>150.22</v>
          </cell>
          <cell r="I112">
            <v>14000</v>
          </cell>
          <cell r="J112">
            <v>3485700</v>
          </cell>
          <cell r="K112">
            <v>3485700</v>
          </cell>
          <cell r="L112">
            <v>24046500</v>
          </cell>
          <cell r="M112" t="str">
            <v>K.K. REAL ESTATE</v>
          </cell>
          <cell r="N112" t="str">
            <v>MANOJ NANGIA</v>
          </cell>
        </row>
        <row r="113">
          <cell r="B113" t="str">
            <v>DTS524</v>
          </cell>
          <cell r="C113">
            <v>2.5</v>
          </cell>
          <cell r="D113">
            <v>39353</v>
          </cell>
          <cell r="E113">
            <v>78576</v>
          </cell>
          <cell r="F113" t="str">
            <v>R03970</v>
          </cell>
          <cell r="G113" t="str">
            <v>DTS524/UB1099#DTS</v>
          </cell>
          <cell r="H113">
            <v>114.08</v>
          </cell>
          <cell r="I113">
            <v>13000</v>
          </cell>
          <cell r="J113">
            <v>2484600</v>
          </cell>
          <cell r="K113">
            <v>2500000</v>
          </cell>
          <cell r="L113">
            <v>17178000</v>
          </cell>
          <cell r="M113" t="str">
            <v>SAR REALTY PVT LTD</v>
          </cell>
          <cell r="N113" t="str">
            <v>RAJEEV VASUDEVA</v>
          </cell>
        </row>
        <row r="114">
          <cell r="B114" t="str">
            <v>DTS526</v>
          </cell>
          <cell r="C114">
            <v>2.5</v>
          </cell>
          <cell r="D114">
            <v>39353</v>
          </cell>
          <cell r="E114">
            <v>78514</v>
          </cell>
          <cell r="F114" t="str">
            <v>A03477</v>
          </cell>
          <cell r="G114" t="str">
            <v>DTS526/UB1031#DTS</v>
          </cell>
          <cell r="H114">
            <v>89.93</v>
          </cell>
          <cell r="I114">
            <v>13000</v>
          </cell>
          <cell r="J114">
            <v>1977600</v>
          </cell>
          <cell r="K114">
            <v>1977600</v>
          </cell>
          <cell r="L114">
            <v>13668000</v>
          </cell>
          <cell r="M114" t="str">
            <v>SANIYA ESTATE</v>
          </cell>
          <cell r="N114" t="str">
            <v>ANIL SATIA</v>
          </cell>
        </row>
        <row r="115">
          <cell r="B115" t="str">
            <v>DTS527</v>
          </cell>
          <cell r="C115">
            <v>2.5</v>
          </cell>
          <cell r="D115">
            <v>39353</v>
          </cell>
          <cell r="E115">
            <v>78547</v>
          </cell>
          <cell r="F115" t="str">
            <v>S04777</v>
          </cell>
          <cell r="G115" t="str">
            <v>DTS527/UB1038#DTS</v>
          </cell>
          <cell r="H115">
            <v>90.02</v>
          </cell>
          <cell r="I115">
            <v>13000</v>
          </cell>
          <cell r="J115">
            <v>1979550</v>
          </cell>
          <cell r="K115">
            <v>2000000</v>
          </cell>
          <cell r="L115">
            <v>13681500</v>
          </cell>
          <cell r="M115" t="str">
            <v>KEDAR ESTATE &amp; INVESTMENTS</v>
          </cell>
          <cell r="N115" t="str">
            <v>SETIA EXPORTS PVT. LTD.</v>
          </cell>
        </row>
        <row r="116">
          <cell r="B116" t="str">
            <v>DTS528</v>
          </cell>
          <cell r="C116">
            <v>2.5</v>
          </cell>
          <cell r="D116">
            <v>39353</v>
          </cell>
          <cell r="E116">
            <v>78553</v>
          </cell>
          <cell r="F116" t="str">
            <v>K01252</v>
          </cell>
          <cell r="G116" t="str">
            <v>DTS528/UB1084#DTS</v>
          </cell>
          <cell r="H116">
            <v>69.209999999999994</v>
          </cell>
          <cell r="I116">
            <v>13000</v>
          </cell>
          <cell r="J116">
            <v>1542750</v>
          </cell>
          <cell r="K116">
            <v>1542750</v>
          </cell>
          <cell r="L116">
            <v>10657500</v>
          </cell>
          <cell r="M116" t="str">
            <v>KEDAR ESTATE &amp; INVESTMENTS</v>
          </cell>
          <cell r="N116" t="str">
            <v>KAISER INDUSTRIES LTD</v>
          </cell>
        </row>
        <row r="117">
          <cell r="B117" t="str">
            <v>DTS529</v>
          </cell>
          <cell r="C117">
            <v>2.5</v>
          </cell>
          <cell r="D117">
            <v>39353</v>
          </cell>
          <cell r="E117">
            <v>78554</v>
          </cell>
          <cell r="F117" t="str">
            <v>K01253</v>
          </cell>
          <cell r="G117" t="str">
            <v>DTS529/UB1083#DTS</v>
          </cell>
          <cell r="H117">
            <v>69.209999999999994</v>
          </cell>
          <cell r="I117">
            <v>13000</v>
          </cell>
          <cell r="J117">
            <v>1542750</v>
          </cell>
          <cell r="K117">
            <v>1542750</v>
          </cell>
          <cell r="L117">
            <v>10657500</v>
          </cell>
          <cell r="M117" t="str">
            <v>KEDAR ESTATE &amp; INVESTMENTS</v>
          </cell>
          <cell r="N117" t="str">
            <v>KAISER INDUSTRIES LTD</v>
          </cell>
        </row>
        <row r="118">
          <cell r="B118" t="str">
            <v>DTS530</v>
          </cell>
          <cell r="C118">
            <v>2.5</v>
          </cell>
          <cell r="D118">
            <v>39353</v>
          </cell>
          <cell r="E118">
            <v>78604</v>
          </cell>
          <cell r="F118" t="str">
            <v>S04790</v>
          </cell>
          <cell r="G118" t="str">
            <v>DTS530/UB1109#DTS</v>
          </cell>
          <cell r="H118">
            <v>69.209999999999994</v>
          </cell>
          <cell r="I118">
            <v>13000</v>
          </cell>
          <cell r="J118">
            <v>1542750</v>
          </cell>
          <cell r="K118">
            <v>1542750</v>
          </cell>
          <cell r="L118">
            <v>10657500</v>
          </cell>
          <cell r="M118" t="str">
            <v>KEDAR ESTATE &amp; INVESTMENTS</v>
          </cell>
          <cell r="N118" t="str">
            <v>SUNAYANA MALHOTRA</v>
          </cell>
        </row>
        <row r="119">
          <cell r="B119" t="str">
            <v>DTS531</v>
          </cell>
          <cell r="C119">
            <v>2.5</v>
          </cell>
          <cell r="D119">
            <v>39353</v>
          </cell>
          <cell r="E119">
            <v>78596</v>
          </cell>
          <cell r="F119" t="str">
            <v>S04788</v>
          </cell>
          <cell r="G119" t="str">
            <v>DTS531/UB1111#DTS</v>
          </cell>
          <cell r="H119">
            <v>69.209999999999994</v>
          </cell>
          <cell r="I119">
            <v>13000</v>
          </cell>
          <cell r="J119">
            <v>1542750</v>
          </cell>
          <cell r="K119">
            <v>1542750</v>
          </cell>
          <cell r="L119">
            <v>10657500</v>
          </cell>
          <cell r="M119" t="str">
            <v>KEDAR ESTATE &amp; INVESTMENTS</v>
          </cell>
          <cell r="N119" t="str">
            <v>SUNAYANA MALHOTRA</v>
          </cell>
        </row>
        <row r="120">
          <cell r="B120" t="str">
            <v>DTS532</v>
          </cell>
          <cell r="C120">
            <v>2.5</v>
          </cell>
          <cell r="D120">
            <v>39353</v>
          </cell>
          <cell r="E120">
            <v>78594</v>
          </cell>
          <cell r="F120" t="str">
            <v>S04787</v>
          </cell>
          <cell r="G120" t="str">
            <v>DTS532/UB1110#DTS</v>
          </cell>
          <cell r="H120">
            <v>69.209999999999994</v>
          </cell>
          <cell r="I120">
            <v>13000</v>
          </cell>
          <cell r="J120">
            <v>1542750</v>
          </cell>
          <cell r="K120">
            <v>1542750</v>
          </cell>
          <cell r="L120">
            <v>10657500</v>
          </cell>
          <cell r="M120" t="str">
            <v>KEDAR ESTATE &amp; INVESTMENTS</v>
          </cell>
          <cell r="N120" t="str">
            <v>SUNAYANA MALHOTRA</v>
          </cell>
        </row>
        <row r="121">
          <cell r="B121" t="str">
            <v>DTS533</v>
          </cell>
          <cell r="C121">
            <v>2.5</v>
          </cell>
          <cell r="D121">
            <v>39353</v>
          </cell>
          <cell r="E121">
            <v>78593</v>
          </cell>
          <cell r="F121" t="str">
            <v>V02023</v>
          </cell>
          <cell r="G121" t="str">
            <v>DTS533/UB1102#DTS</v>
          </cell>
          <cell r="H121">
            <v>71.91</v>
          </cell>
          <cell r="I121">
            <v>13000</v>
          </cell>
          <cell r="J121">
            <v>1599300</v>
          </cell>
          <cell r="K121">
            <v>1599300</v>
          </cell>
          <cell r="L121">
            <v>11049000</v>
          </cell>
          <cell r="M121" t="str">
            <v>KEDAR ESTATE &amp; INVESTMENTS</v>
          </cell>
          <cell r="N121" t="str">
            <v>VIRENDER KR JAIN</v>
          </cell>
        </row>
        <row r="122">
          <cell r="B122" t="str">
            <v>DTS534</v>
          </cell>
          <cell r="C122">
            <v>2.5</v>
          </cell>
          <cell r="D122">
            <v>39353</v>
          </cell>
          <cell r="E122">
            <v>78619</v>
          </cell>
          <cell r="F122" t="str">
            <v>S04793</v>
          </cell>
          <cell r="G122" t="str">
            <v>DTS534/UB1146#DTS</v>
          </cell>
          <cell r="H122">
            <v>73.760000000000005</v>
          </cell>
          <cell r="I122">
            <v>13000</v>
          </cell>
          <cell r="J122">
            <v>1638300</v>
          </cell>
          <cell r="K122">
            <v>1638300</v>
          </cell>
          <cell r="L122">
            <v>11319000</v>
          </cell>
          <cell r="M122" t="str">
            <v>K.K. REAL ESTATE</v>
          </cell>
          <cell r="N122" t="str">
            <v>SHAMA SACHDEVA</v>
          </cell>
        </row>
        <row r="123">
          <cell r="B123" t="str">
            <v>DTS535</v>
          </cell>
          <cell r="C123">
            <v>2.5</v>
          </cell>
          <cell r="D123">
            <v>39353</v>
          </cell>
          <cell r="E123">
            <v>78620</v>
          </cell>
          <cell r="F123" t="str">
            <v>R03977</v>
          </cell>
          <cell r="G123" t="str">
            <v>DTS535/UB1150#DTS</v>
          </cell>
          <cell r="H123">
            <v>69.209999999999994</v>
          </cell>
          <cell r="I123">
            <v>13000</v>
          </cell>
          <cell r="J123">
            <v>1542750</v>
          </cell>
          <cell r="K123">
            <v>1542750</v>
          </cell>
          <cell r="L123">
            <v>10657500</v>
          </cell>
          <cell r="M123" t="str">
            <v>K.K. REAL ESTATE</v>
          </cell>
          <cell r="N123" t="str">
            <v>RAMESH SACHDEVA</v>
          </cell>
        </row>
        <row r="124">
          <cell r="B124" t="str">
            <v>DTS536</v>
          </cell>
          <cell r="C124">
            <v>2.5</v>
          </cell>
          <cell r="D124">
            <v>39353</v>
          </cell>
          <cell r="E124">
            <v>78613</v>
          </cell>
          <cell r="F124" t="str">
            <v>R03975</v>
          </cell>
          <cell r="G124" t="str">
            <v>DTS536/UB1151#DTS</v>
          </cell>
          <cell r="H124">
            <v>69.209999999999994</v>
          </cell>
          <cell r="I124">
            <v>13000</v>
          </cell>
          <cell r="J124">
            <v>1542750</v>
          </cell>
          <cell r="K124">
            <v>1542750</v>
          </cell>
          <cell r="L124">
            <v>10657500</v>
          </cell>
          <cell r="M124" t="str">
            <v>K.K. REAL ESTATE</v>
          </cell>
          <cell r="N124" t="str">
            <v>RAMESH SACHDEVA</v>
          </cell>
        </row>
        <row r="125">
          <cell r="B125" t="str">
            <v>DTS537</v>
          </cell>
          <cell r="C125">
            <v>2.5</v>
          </cell>
          <cell r="D125">
            <v>39353</v>
          </cell>
          <cell r="E125">
            <v>78649</v>
          </cell>
          <cell r="F125" t="str">
            <v>R03995</v>
          </cell>
          <cell r="G125" t="str">
            <v>DTS537/UB1127#DTS</v>
          </cell>
          <cell r="H125">
            <v>74.97</v>
          </cell>
          <cell r="I125">
            <v>13000</v>
          </cell>
          <cell r="J125">
            <v>1663650</v>
          </cell>
          <cell r="K125">
            <v>1663650</v>
          </cell>
          <cell r="L125">
            <v>11494500</v>
          </cell>
          <cell r="M125" t="str">
            <v>K.K. REAL ESTATE</v>
          </cell>
          <cell r="N125" t="str">
            <v>RAMESH SACHDEVA</v>
          </cell>
        </row>
        <row r="126">
          <cell r="B126" t="str">
            <v>DTS538</v>
          </cell>
          <cell r="C126">
            <v>2.5</v>
          </cell>
          <cell r="D126">
            <v>39353</v>
          </cell>
          <cell r="E126">
            <v>78573</v>
          </cell>
          <cell r="F126" t="str">
            <v>S04781</v>
          </cell>
          <cell r="G126" t="str">
            <v>DTS538/UB1097#DTS</v>
          </cell>
          <cell r="H126">
            <v>104.52</v>
          </cell>
          <cell r="I126">
            <v>13000</v>
          </cell>
          <cell r="J126">
            <v>2283750</v>
          </cell>
          <cell r="K126">
            <v>2700000</v>
          </cell>
          <cell r="L126">
            <v>15787500</v>
          </cell>
          <cell r="M126" t="str">
            <v>SAR REALTY PVT LTD</v>
          </cell>
          <cell r="N126" t="str">
            <v>SITA SACHAR                  _x000C_</v>
          </cell>
        </row>
        <row r="127">
          <cell r="B127" t="str">
            <v>DTS540</v>
          </cell>
          <cell r="C127">
            <v>2.5</v>
          </cell>
          <cell r="D127">
            <v>39353</v>
          </cell>
          <cell r="E127">
            <v>78507</v>
          </cell>
          <cell r="F127" t="str">
            <v>A03474</v>
          </cell>
          <cell r="G127" t="str">
            <v>DTS540/UB1034#DTS</v>
          </cell>
          <cell r="H127">
            <v>89.93</v>
          </cell>
          <cell r="I127">
            <v>13000</v>
          </cell>
          <cell r="J127">
            <v>1977600</v>
          </cell>
          <cell r="K127">
            <v>1977600</v>
          </cell>
          <cell r="L127">
            <v>13668000</v>
          </cell>
          <cell r="M127" t="str">
            <v>SANIYA ESTATE</v>
          </cell>
          <cell r="N127" t="str">
            <v>ANIL SATIA</v>
          </cell>
        </row>
        <row r="128">
          <cell r="B128" t="str">
            <v>DTS541</v>
          </cell>
          <cell r="C128">
            <v>2.5</v>
          </cell>
          <cell r="D128">
            <v>39353</v>
          </cell>
          <cell r="E128">
            <v>78506</v>
          </cell>
          <cell r="F128" t="str">
            <v>A03473</v>
          </cell>
          <cell r="G128" t="str">
            <v>DTS541/UB1035#DTS</v>
          </cell>
          <cell r="H128">
            <v>89.93</v>
          </cell>
          <cell r="I128">
            <v>13000</v>
          </cell>
          <cell r="J128">
            <v>1977600</v>
          </cell>
          <cell r="K128">
            <v>1977600</v>
          </cell>
          <cell r="L128">
            <v>13668000</v>
          </cell>
          <cell r="M128" t="str">
            <v>SANIYA ESTATE</v>
          </cell>
          <cell r="N128" t="str">
            <v>ANIL SATIA</v>
          </cell>
        </row>
        <row r="129">
          <cell r="B129" t="str">
            <v>DTS542</v>
          </cell>
          <cell r="C129">
            <v>2.5</v>
          </cell>
          <cell r="D129">
            <v>39353</v>
          </cell>
          <cell r="E129">
            <v>78561</v>
          </cell>
          <cell r="F129" t="str">
            <v>C00491</v>
          </cell>
          <cell r="G129" t="str">
            <v>DTS542/UB1089#DTS</v>
          </cell>
          <cell r="H129">
            <v>65.400000000000006</v>
          </cell>
          <cell r="I129">
            <v>13000</v>
          </cell>
          <cell r="J129">
            <v>1462800</v>
          </cell>
          <cell r="K129">
            <v>2700000</v>
          </cell>
          <cell r="L129">
            <v>10104000</v>
          </cell>
          <cell r="M129" t="str">
            <v>FOCUS CONSULTANTS</v>
          </cell>
          <cell r="N129" t="str">
            <v>CHANDER BHAN NUTHRA</v>
          </cell>
        </row>
        <row r="130">
          <cell r="B130" t="str">
            <v>DTS544</v>
          </cell>
          <cell r="C130">
            <v>2.5</v>
          </cell>
          <cell r="D130">
            <v>39353</v>
          </cell>
          <cell r="E130">
            <v>78557</v>
          </cell>
          <cell r="F130" t="str">
            <v>P01686</v>
          </cell>
          <cell r="G130" t="str">
            <v>DTS544/UB1082#DTS</v>
          </cell>
          <cell r="H130">
            <v>65.400000000000006</v>
          </cell>
          <cell r="I130">
            <v>13000</v>
          </cell>
          <cell r="J130">
            <v>1462800</v>
          </cell>
          <cell r="K130">
            <v>1462800</v>
          </cell>
          <cell r="L130">
            <v>10104000</v>
          </cell>
          <cell r="M130" t="str">
            <v>KEDAR ESTATE &amp; INVESTMENTS</v>
          </cell>
          <cell r="N130" t="str">
            <v>PLICA INDIA PVT LTD</v>
          </cell>
        </row>
        <row r="131">
          <cell r="B131" t="str">
            <v>DTS551</v>
          </cell>
          <cell r="C131">
            <v>2.5</v>
          </cell>
          <cell r="D131">
            <v>39353</v>
          </cell>
          <cell r="E131">
            <v>78671</v>
          </cell>
          <cell r="F131" t="str">
            <v>I00304</v>
          </cell>
          <cell r="G131" t="str">
            <v>DTS551/UB1162#DTS</v>
          </cell>
          <cell r="H131">
            <v>85</v>
          </cell>
          <cell r="I131">
            <v>13000</v>
          </cell>
          <cell r="J131">
            <v>1874250</v>
          </cell>
          <cell r="K131">
            <v>2700000</v>
          </cell>
          <cell r="L131">
            <v>12952500</v>
          </cell>
          <cell r="M131" t="str">
            <v>JONES LANG LASALLE MEGHRAJ PR</v>
          </cell>
          <cell r="N131" t="str">
            <v>INDER CHAWLA</v>
          </cell>
        </row>
        <row r="132">
          <cell r="B132" t="str">
            <v>DTS552</v>
          </cell>
          <cell r="C132">
            <v>2.5</v>
          </cell>
          <cell r="D132">
            <v>39353</v>
          </cell>
          <cell r="E132">
            <v>78660</v>
          </cell>
          <cell r="F132" t="str">
            <v>D01044</v>
          </cell>
          <cell r="G132" t="str">
            <v>DTS552/UB1139#DTS</v>
          </cell>
          <cell r="H132">
            <v>85</v>
          </cell>
          <cell r="I132">
            <v>13000</v>
          </cell>
          <cell r="J132">
            <v>1874250</v>
          </cell>
          <cell r="K132">
            <v>1874250</v>
          </cell>
          <cell r="L132">
            <v>12952500</v>
          </cell>
          <cell r="M132" t="str">
            <v>JONES LANG LASALLE MEGHRAJ PR</v>
          </cell>
          <cell r="N132" t="str">
            <v>DTS HOUSING &amp; PROJECTS PRIVAT</v>
          </cell>
        </row>
        <row r="133">
          <cell r="B133" t="str">
            <v>DTS553</v>
          </cell>
          <cell r="C133">
            <v>2.5</v>
          </cell>
          <cell r="D133">
            <v>39353</v>
          </cell>
          <cell r="E133">
            <v>78695</v>
          </cell>
          <cell r="F133" t="str">
            <v>D01046</v>
          </cell>
          <cell r="G133" t="str">
            <v>DTS553/UB1196#DTS</v>
          </cell>
          <cell r="H133">
            <v>65.400000000000006</v>
          </cell>
          <cell r="I133">
            <v>13000</v>
          </cell>
          <cell r="J133">
            <v>1462800</v>
          </cell>
          <cell r="K133">
            <v>1462800</v>
          </cell>
          <cell r="L133">
            <v>10104000</v>
          </cell>
          <cell r="M133" t="str">
            <v>JONES LANG LASALLE MEGHRAJ PR</v>
          </cell>
          <cell r="N133" t="str">
            <v>DTS HOUSING &amp; PROJECTS PVT LT</v>
          </cell>
        </row>
        <row r="134">
          <cell r="B134" t="str">
            <v>DTS557</v>
          </cell>
          <cell r="C134">
            <v>2.5</v>
          </cell>
          <cell r="D134">
            <v>39353</v>
          </cell>
          <cell r="E134">
            <v>78701</v>
          </cell>
          <cell r="F134" t="str">
            <v>M02193</v>
          </cell>
          <cell r="G134" t="str">
            <v>DTS557/UB1198#DTS</v>
          </cell>
          <cell r="H134">
            <v>89.93</v>
          </cell>
          <cell r="I134">
            <v>13000</v>
          </cell>
          <cell r="J134">
            <v>1977600</v>
          </cell>
          <cell r="K134">
            <v>2700000</v>
          </cell>
          <cell r="L134">
            <v>13668000</v>
          </cell>
          <cell r="M134" t="str">
            <v>MRS. MADHVI BERY</v>
          </cell>
          <cell r="N134" t="str">
            <v>MEENA SETHI</v>
          </cell>
        </row>
        <row r="135">
          <cell r="B135" t="str">
            <v>DTS559</v>
          </cell>
          <cell r="C135">
            <v>2.5</v>
          </cell>
          <cell r="D135">
            <v>39353</v>
          </cell>
          <cell r="E135">
            <v>78580</v>
          </cell>
          <cell r="F135" t="str">
            <v>S04782</v>
          </cell>
          <cell r="G135" t="str">
            <v>DTS559/UB1076#DTS</v>
          </cell>
          <cell r="H135">
            <v>104.52</v>
          </cell>
          <cell r="I135">
            <v>13000</v>
          </cell>
          <cell r="J135">
            <v>2283750</v>
          </cell>
          <cell r="K135">
            <v>2700000</v>
          </cell>
          <cell r="L135">
            <v>15787500</v>
          </cell>
          <cell r="M135" t="str">
            <v>SAR REALTY PVT LTD</v>
          </cell>
          <cell r="N135" t="str">
            <v>SONNY IQBAL</v>
          </cell>
        </row>
        <row r="136">
          <cell r="B136" t="str">
            <v>DTS560</v>
          </cell>
          <cell r="C136">
            <v>2.5</v>
          </cell>
          <cell r="D136">
            <v>39353</v>
          </cell>
          <cell r="E136">
            <v>78609</v>
          </cell>
          <cell r="F136" t="str">
            <v>S04791</v>
          </cell>
          <cell r="G136" t="str">
            <v>DTS560/UB1152#DTS</v>
          </cell>
          <cell r="H136">
            <v>74.97</v>
          </cell>
          <cell r="I136">
            <v>13000</v>
          </cell>
          <cell r="J136">
            <v>1663650</v>
          </cell>
          <cell r="K136">
            <v>1663650</v>
          </cell>
          <cell r="L136">
            <v>11494500</v>
          </cell>
          <cell r="M136" t="str">
            <v>K.K. REAL ESTATE</v>
          </cell>
          <cell r="N136" t="str">
            <v>SHAMA SACHDEVA</v>
          </cell>
        </row>
        <row r="137">
          <cell r="B137" t="str">
            <v>DTS561</v>
          </cell>
          <cell r="C137">
            <v>2.5</v>
          </cell>
          <cell r="D137">
            <v>39353</v>
          </cell>
          <cell r="E137">
            <v>78656</v>
          </cell>
          <cell r="F137" t="str">
            <v>S04796</v>
          </cell>
          <cell r="G137" t="str">
            <v>DTS561/UB1129#DTS</v>
          </cell>
          <cell r="H137">
            <v>69.209999999999994</v>
          </cell>
          <cell r="I137">
            <v>13000</v>
          </cell>
          <cell r="J137">
            <v>1542750</v>
          </cell>
          <cell r="K137">
            <v>1542750</v>
          </cell>
          <cell r="L137">
            <v>10657500</v>
          </cell>
          <cell r="M137" t="str">
            <v>K.K. REAL ESTATE</v>
          </cell>
          <cell r="N137" t="str">
            <v>SINDHU (INDIA) PVT. LTD.</v>
          </cell>
        </row>
        <row r="138">
          <cell r="B138" t="str">
            <v>DTS563</v>
          </cell>
          <cell r="C138">
            <v>2.5</v>
          </cell>
          <cell r="D138">
            <v>39353</v>
          </cell>
          <cell r="E138">
            <v>78612</v>
          </cell>
          <cell r="F138" t="str">
            <v>D01043</v>
          </cell>
          <cell r="G138" t="str">
            <v>DTS563/UB1153#DTS</v>
          </cell>
          <cell r="H138">
            <v>73.760000000000005</v>
          </cell>
          <cell r="I138">
            <v>13000</v>
          </cell>
          <cell r="J138">
            <v>1638300</v>
          </cell>
          <cell r="K138">
            <v>1638300</v>
          </cell>
          <cell r="L138">
            <v>11319000</v>
          </cell>
          <cell r="M138" t="str">
            <v>K.K. REAL ESTATE</v>
          </cell>
          <cell r="N138" t="str">
            <v>DUNE LEASING AND FINANCE LTD</v>
          </cell>
        </row>
        <row r="139">
          <cell r="B139" t="str">
            <v>DTS606</v>
          </cell>
          <cell r="C139">
            <v>2.5</v>
          </cell>
          <cell r="D139">
            <v>39353</v>
          </cell>
          <cell r="E139">
            <v>78686</v>
          </cell>
          <cell r="F139" t="str">
            <v>R04000</v>
          </cell>
          <cell r="G139" t="str">
            <v>DTS606/UB1575#DTS</v>
          </cell>
          <cell r="H139">
            <v>69.209999999999994</v>
          </cell>
          <cell r="I139">
            <v>13000</v>
          </cell>
          <cell r="J139">
            <v>1542750</v>
          </cell>
          <cell r="K139">
            <v>1542750</v>
          </cell>
          <cell r="L139">
            <v>10657500</v>
          </cell>
          <cell r="M139" t="str">
            <v>PNK CONSULTANTS PVT LTD</v>
          </cell>
          <cell r="N139" t="str">
            <v>RAJU M MAHTANEY</v>
          </cell>
        </row>
        <row r="140">
          <cell r="B140" t="str">
            <v>DTS607</v>
          </cell>
          <cell r="C140">
            <v>2.5</v>
          </cell>
          <cell r="D140">
            <v>39353</v>
          </cell>
          <cell r="E140">
            <v>78688</v>
          </cell>
          <cell r="F140" t="str">
            <v>R04001</v>
          </cell>
          <cell r="G140" t="str">
            <v>DTS607/UB1167#DTS</v>
          </cell>
          <cell r="H140">
            <v>90.02</v>
          </cell>
          <cell r="I140">
            <v>13000</v>
          </cell>
          <cell r="J140">
            <v>1979550</v>
          </cell>
          <cell r="K140">
            <v>1979550</v>
          </cell>
          <cell r="L140">
            <v>13681500</v>
          </cell>
          <cell r="M140" t="str">
            <v>PNK CONSULTANTS PVT LTD</v>
          </cell>
          <cell r="N140" t="str">
            <v>RAJU M MAHTANEY</v>
          </cell>
        </row>
        <row r="141">
          <cell r="B141" t="str">
            <v>DTS612</v>
          </cell>
          <cell r="C141">
            <v>2.5</v>
          </cell>
          <cell r="D141">
            <v>39353</v>
          </cell>
          <cell r="E141">
            <v>78530</v>
          </cell>
          <cell r="F141" t="str">
            <v>U00333</v>
          </cell>
          <cell r="G141" t="str">
            <v>DTS612/UB1022#DTS</v>
          </cell>
          <cell r="H141">
            <v>89</v>
          </cell>
          <cell r="I141">
            <v>13000</v>
          </cell>
          <cell r="J141">
            <v>1958100</v>
          </cell>
          <cell r="K141">
            <v>2000000</v>
          </cell>
          <cell r="L141">
            <v>13533000</v>
          </cell>
          <cell r="M141" t="str">
            <v>RENAISSANCE &amp; CITY REALTY SER</v>
          </cell>
          <cell r="N141" t="str">
            <v>UTILITY FORMS (P) LTD</v>
          </cell>
        </row>
        <row r="142">
          <cell r="B142" t="str">
            <v>DTS614</v>
          </cell>
          <cell r="C142">
            <v>2.5</v>
          </cell>
          <cell r="D142">
            <v>39353</v>
          </cell>
          <cell r="E142">
            <v>78536</v>
          </cell>
          <cell r="F142" t="str">
            <v>A03481</v>
          </cell>
          <cell r="G142" t="str">
            <v>DTS614/UB1036#DTS</v>
          </cell>
          <cell r="H142">
            <v>89.74</v>
          </cell>
          <cell r="I142">
            <v>13000</v>
          </cell>
          <cell r="J142">
            <v>1973700</v>
          </cell>
          <cell r="K142">
            <v>2000000</v>
          </cell>
          <cell r="L142">
            <v>13641000</v>
          </cell>
          <cell r="M142" t="str">
            <v>RENAISSANCE &amp; CITY REALTY SER</v>
          </cell>
          <cell r="N142" t="str">
            <v>ARIES TRAVELS PVT LTD</v>
          </cell>
        </row>
        <row r="143">
          <cell r="B143" t="str">
            <v>DTS615</v>
          </cell>
          <cell r="C143">
            <v>2.5</v>
          </cell>
          <cell r="D143">
            <v>39353</v>
          </cell>
          <cell r="E143">
            <v>78546</v>
          </cell>
          <cell r="F143" t="str">
            <v>R03968</v>
          </cell>
          <cell r="G143" t="str">
            <v>DTS615/UB1056#DTS</v>
          </cell>
          <cell r="H143">
            <v>85</v>
          </cell>
          <cell r="I143">
            <v>13000</v>
          </cell>
          <cell r="J143">
            <v>1874250</v>
          </cell>
          <cell r="K143">
            <v>1900000</v>
          </cell>
          <cell r="L143">
            <v>12952500</v>
          </cell>
          <cell r="M143" t="str">
            <v>RENAISSANCE &amp; CITY REALTY SER</v>
          </cell>
          <cell r="N143" t="str">
            <v>REVA KUMAR</v>
          </cell>
        </row>
        <row r="144">
          <cell r="B144" t="str">
            <v>DTS616</v>
          </cell>
          <cell r="C144">
            <v>2.5</v>
          </cell>
          <cell r="D144">
            <v>39353</v>
          </cell>
          <cell r="E144">
            <v>78702</v>
          </cell>
          <cell r="F144" t="str">
            <v>J01480</v>
          </cell>
          <cell r="G144" t="str">
            <v>DTS616/UB1576#DTS</v>
          </cell>
          <cell r="H144">
            <v>69.209999999999994</v>
          </cell>
          <cell r="I144">
            <v>13000</v>
          </cell>
          <cell r="J144">
            <v>1542750</v>
          </cell>
          <cell r="K144">
            <v>1542750</v>
          </cell>
          <cell r="L144">
            <v>10657500</v>
          </cell>
          <cell r="M144" t="str">
            <v>REALISTIC REALTORS PVT LTD</v>
          </cell>
          <cell r="N144" t="str">
            <v>JAPMUN ENTERPRISES</v>
          </cell>
        </row>
        <row r="145">
          <cell r="B145" t="str">
            <v>DTS617</v>
          </cell>
          <cell r="C145">
            <v>2.5</v>
          </cell>
          <cell r="D145">
            <v>39353</v>
          </cell>
          <cell r="E145">
            <v>78704</v>
          </cell>
          <cell r="F145" t="str">
            <v>J01481</v>
          </cell>
          <cell r="G145" t="str">
            <v>DTS617/UB1176#DTS</v>
          </cell>
          <cell r="H145">
            <v>75.53</v>
          </cell>
          <cell r="I145">
            <v>13000</v>
          </cell>
          <cell r="J145">
            <v>1675350</v>
          </cell>
          <cell r="K145">
            <v>1675350</v>
          </cell>
          <cell r="L145">
            <v>11575500</v>
          </cell>
          <cell r="M145" t="str">
            <v>REALISTIC REALTORS PVT LTD</v>
          </cell>
          <cell r="N145" t="str">
            <v>JAPMUN ENTERPRISES</v>
          </cell>
        </row>
        <row r="146">
          <cell r="B146" t="str">
            <v>DTS628</v>
          </cell>
          <cell r="C146">
            <v>2.5</v>
          </cell>
          <cell r="D146">
            <v>39353</v>
          </cell>
          <cell r="E146">
            <v>78616</v>
          </cell>
          <cell r="F146" t="str">
            <v>M02190</v>
          </cell>
          <cell r="G146" t="str">
            <v>DTS628/UB1145#DTS</v>
          </cell>
          <cell r="H146">
            <v>69.209999999999994</v>
          </cell>
          <cell r="I146">
            <v>13000</v>
          </cell>
          <cell r="J146">
            <v>1542750</v>
          </cell>
          <cell r="K146">
            <v>1542750</v>
          </cell>
          <cell r="L146">
            <v>10657500</v>
          </cell>
          <cell r="M146" t="str">
            <v>M S ENTERPRISES</v>
          </cell>
          <cell r="N146" t="str">
            <v>M G BUILDERS &amp; CO P LTD</v>
          </cell>
        </row>
        <row r="147">
          <cell r="B147" t="str">
            <v>DTS629</v>
          </cell>
          <cell r="C147">
            <v>2.5</v>
          </cell>
          <cell r="D147">
            <v>39353</v>
          </cell>
          <cell r="E147">
            <v>78614</v>
          </cell>
          <cell r="F147" t="str">
            <v>K01255</v>
          </cell>
          <cell r="G147" t="str">
            <v>DTS629/UB1147#DTS</v>
          </cell>
          <cell r="H147">
            <v>69.209999999999994</v>
          </cell>
          <cell r="I147">
            <v>13000</v>
          </cell>
          <cell r="J147">
            <v>1542750</v>
          </cell>
          <cell r="K147">
            <v>1542750</v>
          </cell>
          <cell r="L147">
            <v>10657500</v>
          </cell>
          <cell r="M147" t="str">
            <v>M S ENTERPRISES</v>
          </cell>
          <cell r="N147" t="str">
            <v>KULDEEP SINGAL</v>
          </cell>
        </row>
        <row r="148">
          <cell r="B148" t="str">
            <v>DTS638</v>
          </cell>
          <cell r="C148">
            <v>2.5</v>
          </cell>
          <cell r="D148">
            <v>39353</v>
          </cell>
          <cell r="E148">
            <v>78625</v>
          </cell>
          <cell r="F148" t="str">
            <v>Q00006</v>
          </cell>
          <cell r="G148" t="str">
            <v>DTS638/UB1141#DTS</v>
          </cell>
          <cell r="H148">
            <v>104.52</v>
          </cell>
          <cell r="I148">
            <v>13000</v>
          </cell>
          <cell r="J148">
            <v>2283750</v>
          </cell>
          <cell r="K148">
            <v>2283750</v>
          </cell>
          <cell r="L148">
            <v>15787500</v>
          </cell>
          <cell r="M148">
            <v>15787500</v>
          </cell>
          <cell r="N148" t="str">
            <v>QH TALBROS LTD</v>
          </cell>
        </row>
        <row r="149">
          <cell r="B149" t="str">
            <v>DTS639</v>
          </cell>
          <cell r="C149">
            <v>2.5</v>
          </cell>
          <cell r="D149">
            <v>39353</v>
          </cell>
          <cell r="E149">
            <v>78647</v>
          </cell>
          <cell r="F149" t="str">
            <v>Q00007</v>
          </cell>
          <cell r="G149" t="str">
            <v>DTS639/UB1140#DTS</v>
          </cell>
          <cell r="H149">
            <v>69.209999999999994</v>
          </cell>
          <cell r="I149">
            <v>13000</v>
          </cell>
          <cell r="J149">
            <v>1542750</v>
          </cell>
          <cell r="K149">
            <v>1542750</v>
          </cell>
          <cell r="L149">
            <v>10657500</v>
          </cell>
          <cell r="M149">
            <v>10657500</v>
          </cell>
          <cell r="N149" t="str">
            <v>QH TALBROS LTD</v>
          </cell>
        </row>
        <row r="150">
          <cell r="B150" t="str">
            <v>DTS640</v>
          </cell>
          <cell r="C150">
            <v>2.5</v>
          </cell>
          <cell r="D150">
            <v>39353</v>
          </cell>
          <cell r="E150">
            <v>78533</v>
          </cell>
          <cell r="F150" t="str">
            <v>A03480</v>
          </cell>
          <cell r="G150" t="str">
            <v>DTS640/UB1039#DTS</v>
          </cell>
          <cell r="H150">
            <v>89.93</v>
          </cell>
          <cell r="I150">
            <v>13000</v>
          </cell>
          <cell r="J150">
            <v>1977600</v>
          </cell>
          <cell r="K150">
            <v>1977600</v>
          </cell>
          <cell r="L150">
            <v>13668000</v>
          </cell>
          <cell r="M150" t="str">
            <v>SANIYA ESTATE</v>
          </cell>
          <cell r="N150" t="str">
            <v>AKHIL SATIA</v>
          </cell>
        </row>
        <row r="151">
          <cell r="B151" t="str">
            <v>DTS701</v>
          </cell>
          <cell r="C151">
            <v>2.5</v>
          </cell>
          <cell r="D151">
            <v>39353</v>
          </cell>
          <cell r="E151">
            <v>78515</v>
          </cell>
          <cell r="F151" t="str">
            <v>S04770</v>
          </cell>
          <cell r="G151" t="str">
            <v>DTS701/UB1047#DTS</v>
          </cell>
          <cell r="H151">
            <v>71.91</v>
          </cell>
          <cell r="I151">
            <v>13000</v>
          </cell>
          <cell r="J151">
            <v>1599300</v>
          </cell>
          <cell r="K151">
            <v>1599300</v>
          </cell>
          <cell r="L151">
            <v>11049000</v>
          </cell>
          <cell r="M151" t="str">
            <v>KHUSHAL SETHI HOUSING SOLUTIO</v>
          </cell>
          <cell r="N151" t="str">
            <v>SHIVRAJ KRISHNA GUPTA        _x000C_</v>
          </cell>
        </row>
        <row r="152">
          <cell r="B152" t="str">
            <v>DTS703</v>
          </cell>
          <cell r="C152">
            <v>2.5</v>
          </cell>
          <cell r="D152">
            <v>39353</v>
          </cell>
          <cell r="E152">
            <v>78517</v>
          </cell>
          <cell r="F152" t="str">
            <v>A03478</v>
          </cell>
          <cell r="G152" t="str">
            <v>DTS703/UB1063#DTS</v>
          </cell>
          <cell r="H152">
            <v>69.209999999999994</v>
          </cell>
          <cell r="I152">
            <v>13000</v>
          </cell>
          <cell r="J152">
            <v>1542750</v>
          </cell>
          <cell r="K152">
            <v>2700000</v>
          </cell>
          <cell r="L152">
            <v>10657500</v>
          </cell>
          <cell r="M152" t="str">
            <v>DR DEVINDER GUPTA AND SONS (H</v>
          </cell>
          <cell r="N152" t="str">
            <v>AMITABH NAGPAL</v>
          </cell>
        </row>
        <row r="153">
          <cell r="B153" t="str">
            <v>DTS706</v>
          </cell>
          <cell r="C153">
            <v>2.5</v>
          </cell>
          <cell r="D153">
            <v>39353</v>
          </cell>
          <cell r="E153">
            <v>78664</v>
          </cell>
          <cell r="F153" t="str">
            <v>A03492</v>
          </cell>
          <cell r="G153" t="str">
            <v>DTS706/UB1194#DTS</v>
          </cell>
          <cell r="H153">
            <v>69.209999999999994</v>
          </cell>
          <cell r="I153">
            <v>13000</v>
          </cell>
          <cell r="J153">
            <v>1542750</v>
          </cell>
          <cell r="K153">
            <v>1542750</v>
          </cell>
          <cell r="L153">
            <v>10657500</v>
          </cell>
          <cell r="M153" t="str">
            <v>DR DEVINDER GUPTA AND SONS (H</v>
          </cell>
          <cell r="N153" t="str">
            <v>ATUL KAPOOR</v>
          </cell>
        </row>
        <row r="154">
          <cell r="B154" t="str">
            <v>DTS720</v>
          </cell>
          <cell r="C154">
            <v>2.5</v>
          </cell>
          <cell r="D154">
            <v>39353</v>
          </cell>
          <cell r="E154">
            <v>78667</v>
          </cell>
          <cell r="F154" t="str">
            <v>P01690</v>
          </cell>
          <cell r="G154" t="str">
            <v>DTS720/UB1193#DTS</v>
          </cell>
          <cell r="H154">
            <v>85</v>
          </cell>
          <cell r="I154">
            <v>13000</v>
          </cell>
          <cell r="J154">
            <v>1874250</v>
          </cell>
          <cell r="K154">
            <v>2700000</v>
          </cell>
          <cell r="L154">
            <v>12952500</v>
          </cell>
          <cell r="M154" t="str">
            <v>CB RICHARD ELLIS SOUTH ASIA P</v>
          </cell>
          <cell r="N154" t="str">
            <v>PAWAN GANDHI</v>
          </cell>
        </row>
        <row r="155">
          <cell r="B155" t="str">
            <v>DTS721</v>
          </cell>
          <cell r="C155">
            <v>2.5</v>
          </cell>
          <cell r="D155">
            <v>39353</v>
          </cell>
          <cell r="E155">
            <v>78698</v>
          </cell>
          <cell r="F155" t="str">
            <v>J01477</v>
          </cell>
          <cell r="G155" t="str">
            <v>DTS721/UB1195#DTS</v>
          </cell>
          <cell r="H155">
            <v>89.74</v>
          </cell>
          <cell r="I155">
            <v>13000</v>
          </cell>
          <cell r="J155">
            <v>1973700</v>
          </cell>
          <cell r="K155">
            <v>2700000</v>
          </cell>
          <cell r="L155">
            <v>13641000</v>
          </cell>
          <cell r="M155" t="str">
            <v>CB RICHARD ELLIS SOUTH ASIA P</v>
          </cell>
          <cell r="N155" t="str">
            <v>JAIDEEP GANDHI</v>
          </cell>
        </row>
        <row r="156">
          <cell r="B156" t="str">
            <v>DTS722</v>
          </cell>
          <cell r="C156">
            <v>2.5</v>
          </cell>
          <cell r="D156">
            <v>39353</v>
          </cell>
          <cell r="E156">
            <v>78654</v>
          </cell>
          <cell r="F156" t="str">
            <v>H00982</v>
          </cell>
          <cell r="G156" t="str">
            <v>DTS722/UB1143#DTS</v>
          </cell>
          <cell r="H156">
            <v>89</v>
          </cell>
          <cell r="I156">
            <v>13000</v>
          </cell>
          <cell r="J156">
            <v>1958100</v>
          </cell>
          <cell r="K156">
            <v>2700000</v>
          </cell>
          <cell r="L156">
            <v>13533000</v>
          </cell>
          <cell r="M156" t="str">
            <v>CB RICHARD ELLIS SOUTH ASIA P</v>
          </cell>
          <cell r="N156" t="str">
            <v>HARSH GANDHI</v>
          </cell>
        </row>
        <row r="157">
          <cell r="B157" t="str">
            <v>DTS723</v>
          </cell>
          <cell r="C157">
            <v>2.5</v>
          </cell>
          <cell r="D157">
            <v>39353</v>
          </cell>
          <cell r="E157">
            <v>78572</v>
          </cell>
          <cell r="F157" t="str">
            <v>B00841</v>
          </cell>
          <cell r="G157" t="str">
            <v>DTS723/UB1087#DTS</v>
          </cell>
          <cell r="H157">
            <v>150.22</v>
          </cell>
          <cell r="I157">
            <v>14000</v>
          </cell>
          <cell r="J157">
            <v>3485700</v>
          </cell>
          <cell r="K157">
            <v>3500000</v>
          </cell>
          <cell r="L157">
            <v>24046500</v>
          </cell>
          <cell r="M157" t="str">
            <v>FOCUS CONSULTANTS</v>
          </cell>
          <cell r="N157" t="str">
            <v>B E C CONDUITS (P) LTD</v>
          </cell>
        </row>
        <row r="158">
          <cell r="B158" t="str">
            <v>DTS724</v>
          </cell>
          <cell r="C158">
            <v>2.5</v>
          </cell>
          <cell r="D158">
            <v>39353</v>
          </cell>
          <cell r="E158">
            <v>78583</v>
          </cell>
          <cell r="F158" t="str">
            <v>H00979</v>
          </cell>
          <cell r="G158" t="str">
            <v>DTS724/UB1075#DTS</v>
          </cell>
          <cell r="H158">
            <v>114.08</v>
          </cell>
          <cell r="I158">
            <v>13000</v>
          </cell>
          <cell r="J158">
            <v>2484600</v>
          </cell>
          <cell r="K158">
            <v>2484600</v>
          </cell>
          <cell r="L158">
            <v>17178000</v>
          </cell>
          <cell r="M158" t="str">
            <v>KHUSHAL SETHI HOUSING SOLUTIO</v>
          </cell>
          <cell r="N158" t="str">
            <v>HARJINDER SINGH</v>
          </cell>
        </row>
        <row r="159">
          <cell r="B159" t="str">
            <v>DTS729</v>
          </cell>
          <cell r="C159">
            <v>2.5</v>
          </cell>
          <cell r="D159">
            <v>39353</v>
          </cell>
          <cell r="E159">
            <v>78707</v>
          </cell>
          <cell r="F159" t="str">
            <v>R04002</v>
          </cell>
          <cell r="G159" t="str">
            <v>DTS729/UB1175#DTS</v>
          </cell>
          <cell r="H159">
            <v>69.209999999999994</v>
          </cell>
          <cell r="I159">
            <v>13000</v>
          </cell>
          <cell r="J159">
            <v>1542750</v>
          </cell>
          <cell r="K159">
            <v>2700000</v>
          </cell>
          <cell r="L159">
            <v>10657500</v>
          </cell>
          <cell r="M159" t="str">
            <v>VISHWA MITTER BHASIN</v>
          </cell>
          <cell r="N159" t="str">
            <v>RAKHEE RAJENDRA PRASAD MISHRA</v>
          </cell>
        </row>
        <row r="160">
          <cell r="B160" t="str">
            <v>DTS730</v>
          </cell>
          <cell r="C160">
            <v>2.5</v>
          </cell>
          <cell r="D160">
            <v>39353</v>
          </cell>
          <cell r="E160">
            <v>78602</v>
          </cell>
          <cell r="F160" t="str">
            <v>S04789</v>
          </cell>
          <cell r="G160" t="str">
            <v>DTS730/UB1114#DTS</v>
          </cell>
          <cell r="H160">
            <v>69.209999999999994</v>
          </cell>
          <cell r="I160">
            <v>13000</v>
          </cell>
          <cell r="J160">
            <v>1542750</v>
          </cell>
          <cell r="K160">
            <v>1542750</v>
          </cell>
          <cell r="L160">
            <v>10657500</v>
          </cell>
          <cell r="M160" t="str">
            <v>N K JAIN &amp; CO.</v>
          </cell>
          <cell r="N160" t="str">
            <v>SUNIR SACHDEV</v>
          </cell>
        </row>
        <row r="161">
          <cell r="B161" t="str">
            <v>DTS731</v>
          </cell>
          <cell r="C161">
            <v>2.5</v>
          </cell>
          <cell r="D161">
            <v>39353</v>
          </cell>
          <cell r="E161">
            <v>78662</v>
          </cell>
          <cell r="F161" t="str">
            <v>F00067</v>
          </cell>
          <cell r="G161" t="str">
            <v>DTS731/UB1131#DTS</v>
          </cell>
          <cell r="H161">
            <v>69.209999999999994</v>
          </cell>
          <cell r="I161">
            <v>13000</v>
          </cell>
          <cell r="J161">
            <v>1542750</v>
          </cell>
          <cell r="K161">
            <v>1542750</v>
          </cell>
          <cell r="L161">
            <v>10657500</v>
          </cell>
          <cell r="M161" t="str">
            <v>N K JAIN &amp; CO.</v>
          </cell>
          <cell r="N161" t="str">
            <v>FIRST HOSPITALITY &amp; LEISURE P</v>
          </cell>
        </row>
        <row r="162">
          <cell r="B162" t="str">
            <v>DTS732</v>
          </cell>
          <cell r="C162">
            <v>2.5</v>
          </cell>
          <cell r="D162">
            <v>39353</v>
          </cell>
          <cell r="E162">
            <v>78622</v>
          </cell>
          <cell r="F162" t="str">
            <v>F00066</v>
          </cell>
          <cell r="G162" t="str">
            <v>DTS732/UB1154#DTS</v>
          </cell>
          <cell r="H162">
            <v>69.209999999999994</v>
          </cell>
          <cell r="I162">
            <v>13000</v>
          </cell>
          <cell r="J162">
            <v>1542750</v>
          </cell>
          <cell r="K162">
            <v>1542750</v>
          </cell>
          <cell r="L162">
            <v>10657500</v>
          </cell>
          <cell r="M162" t="str">
            <v>N K JAIN &amp; CO.</v>
          </cell>
          <cell r="N162" t="str">
            <v>FIRST HOSPITALITY &amp; LEISURE P</v>
          </cell>
        </row>
        <row r="163">
          <cell r="B163" t="str">
            <v>DTS733</v>
          </cell>
          <cell r="C163">
            <v>2.5</v>
          </cell>
          <cell r="D163">
            <v>39353</v>
          </cell>
          <cell r="E163">
            <v>78632</v>
          </cell>
          <cell r="F163" t="str">
            <v>N01123</v>
          </cell>
          <cell r="G163" t="str">
            <v>DTS733/UB1116#DTS</v>
          </cell>
          <cell r="H163">
            <v>71.91</v>
          </cell>
          <cell r="I163">
            <v>13000</v>
          </cell>
          <cell r="J163">
            <v>1599300</v>
          </cell>
          <cell r="K163">
            <v>1599300</v>
          </cell>
          <cell r="L163">
            <v>11049000</v>
          </cell>
          <cell r="M163" t="str">
            <v>N K JAIN &amp; CO.</v>
          </cell>
          <cell r="N163" t="str">
            <v>NEHA JAIN</v>
          </cell>
        </row>
        <row r="164">
          <cell r="B164" t="str">
            <v>DTS734</v>
          </cell>
          <cell r="C164">
            <v>2.5</v>
          </cell>
          <cell r="D164">
            <v>39353</v>
          </cell>
          <cell r="E164">
            <v>78535</v>
          </cell>
          <cell r="F164" t="str">
            <v>V02019</v>
          </cell>
          <cell r="G164" t="str">
            <v>DTS734/UB1061#DTS</v>
          </cell>
          <cell r="H164">
            <v>73.760000000000005</v>
          </cell>
          <cell r="I164">
            <v>13000</v>
          </cell>
          <cell r="J164">
            <v>1638300</v>
          </cell>
          <cell r="K164">
            <v>2700000</v>
          </cell>
          <cell r="L164">
            <v>11319000</v>
          </cell>
          <cell r="M164" t="str">
            <v>S KUMAR &amp; CO.</v>
          </cell>
          <cell r="N164" t="str">
            <v>VIBHOR BANSAL</v>
          </cell>
        </row>
        <row r="165">
          <cell r="B165" t="str">
            <v>DTS735</v>
          </cell>
          <cell r="C165">
            <v>2.5</v>
          </cell>
          <cell r="D165">
            <v>39353</v>
          </cell>
          <cell r="E165">
            <v>78541</v>
          </cell>
          <cell r="F165" t="str">
            <v>M02182</v>
          </cell>
          <cell r="G165" t="str">
            <v>DTS735/UB1041#DTS</v>
          </cell>
          <cell r="H165">
            <v>69.209999999999994</v>
          </cell>
          <cell r="I165">
            <v>13000</v>
          </cell>
          <cell r="J165">
            <v>1542750</v>
          </cell>
          <cell r="K165">
            <v>2700000</v>
          </cell>
          <cell r="L165">
            <v>10657500</v>
          </cell>
          <cell r="M165" t="str">
            <v>S KUMAR &amp; CO.</v>
          </cell>
          <cell r="N165" t="str">
            <v>MADHURAJ INFRASTRUCTURE PVT L</v>
          </cell>
        </row>
        <row r="166">
          <cell r="B166" t="str">
            <v>DTS736</v>
          </cell>
          <cell r="C166">
            <v>2.5</v>
          </cell>
          <cell r="D166">
            <v>39353</v>
          </cell>
          <cell r="E166">
            <v>78520</v>
          </cell>
          <cell r="F166" t="str">
            <v>M02181</v>
          </cell>
          <cell r="G166" t="str">
            <v>DTS736/UB1028#DTS</v>
          </cell>
          <cell r="H166">
            <v>69.209999999999994</v>
          </cell>
          <cell r="I166">
            <v>13000</v>
          </cell>
          <cell r="J166">
            <v>1542750</v>
          </cell>
          <cell r="K166">
            <v>2700000</v>
          </cell>
          <cell r="L166">
            <v>10657500</v>
          </cell>
          <cell r="M166" t="str">
            <v>S KUMAR &amp; CO.</v>
          </cell>
          <cell r="N166" t="str">
            <v>MADHURAJ INFRASTRUCTURE PVT L</v>
          </cell>
        </row>
        <row r="167">
          <cell r="B167" t="str">
            <v>DTS737</v>
          </cell>
          <cell r="C167">
            <v>2.5</v>
          </cell>
          <cell r="D167">
            <v>39353</v>
          </cell>
          <cell r="E167">
            <v>78545</v>
          </cell>
          <cell r="F167" t="str">
            <v>R03967</v>
          </cell>
          <cell r="G167" t="str">
            <v>DTS737/UB1042#DTS</v>
          </cell>
          <cell r="H167">
            <v>74.97</v>
          </cell>
          <cell r="I167">
            <v>13000</v>
          </cell>
          <cell r="J167">
            <v>1663650</v>
          </cell>
          <cell r="K167">
            <v>1800000</v>
          </cell>
          <cell r="L167">
            <v>11494500</v>
          </cell>
          <cell r="M167" t="str">
            <v>S KUMAR &amp; CO.</v>
          </cell>
          <cell r="N167" t="str">
            <v>RAKESH BATRA</v>
          </cell>
        </row>
        <row r="168">
          <cell r="B168" t="str">
            <v>DTS738</v>
          </cell>
          <cell r="C168">
            <v>2.5</v>
          </cell>
          <cell r="D168">
            <v>39353</v>
          </cell>
          <cell r="E168">
            <v>78586</v>
          </cell>
          <cell r="F168" t="str">
            <v>S04785</v>
          </cell>
          <cell r="G168" t="str">
            <v>DTS738/UB1096#DTS</v>
          </cell>
          <cell r="H168">
            <v>104.52</v>
          </cell>
          <cell r="I168">
            <v>13000</v>
          </cell>
          <cell r="J168">
            <v>2283750</v>
          </cell>
          <cell r="K168">
            <v>2700000</v>
          </cell>
          <cell r="L168">
            <v>15787500</v>
          </cell>
          <cell r="M168" t="str">
            <v>SAR REALTY PVT LTD</v>
          </cell>
          <cell r="N168" t="str">
            <v>SACHIT KUMAR</v>
          </cell>
        </row>
        <row r="169">
          <cell r="B169" t="str">
            <v>DTS739</v>
          </cell>
          <cell r="C169">
            <v>2.5</v>
          </cell>
          <cell r="D169">
            <v>39353</v>
          </cell>
          <cell r="E169">
            <v>78504</v>
          </cell>
          <cell r="F169" t="str">
            <v>V02018</v>
          </cell>
          <cell r="G169" t="str">
            <v>DTS739/UB1021#DTS</v>
          </cell>
          <cell r="H169">
            <v>69.209999999999994</v>
          </cell>
          <cell r="I169">
            <v>13000</v>
          </cell>
          <cell r="J169">
            <v>1542750</v>
          </cell>
          <cell r="K169">
            <v>2700000</v>
          </cell>
          <cell r="L169">
            <v>10657500</v>
          </cell>
          <cell r="M169" t="str">
            <v>HARBANS MAHAJAN REAL ESTATE C</v>
          </cell>
          <cell r="N169" t="str">
            <v>VEDISHA SERVICES (P) LTD</v>
          </cell>
        </row>
        <row r="170">
          <cell r="B170" t="str">
            <v>DTS740</v>
          </cell>
          <cell r="C170">
            <v>2.5</v>
          </cell>
          <cell r="D170">
            <v>39353</v>
          </cell>
          <cell r="E170">
            <v>78544</v>
          </cell>
          <cell r="F170" t="str">
            <v>M02183</v>
          </cell>
          <cell r="G170" t="str">
            <v>DTS740/UB1057#DTS</v>
          </cell>
          <cell r="H170">
            <v>89.93</v>
          </cell>
          <cell r="I170">
            <v>13000</v>
          </cell>
          <cell r="J170">
            <v>1977600</v>
          </cell>
          <cell r="K170">
            <v>1977600</v>
          </cell>
          <cell r="L170">
            <v>13668000</v>
          </cell>
          <cell r="M170" t="str">
            <v>HARBANS MAHAJAN REAL ESTATE C</v>
          </cell>
          <cell r="N170" t="str">
            <v>MANJU MEHRA</v>
          </cell>
        </row>
        <row r="171">
          <cell r="B171" t="str">
            <v>DTS741</v>
          </cell>
          <cell r="C171">
            <v>2.5</v>
          </cell>
          <cell r="D171">
            <v>39353</v>
          </cell>
          <cell r="E171">
            <v>78522</v>
          </cell>
          <cell r="F171" t="str">
            <v>S04772</v>
          </cell>
          <cell r="G171" t="str">
            <v>DTS741/UB1066#DTS</v>
          </cell>
          <cell r="H171">
            <v>89.92</v>
          </cell>
          <cell r="I171">
            <v>13000</v>
          </cell>
          <cell r="J171">
            <v>1977600</v>
          </cell>
          <cell r="K171">
            <v>1977600</v>
          </cell>
          <cell r="L171">
            <v>13668000</v>
          </cell>
          <cell r="M171" t="str">
            <v>HARBANS MAHAJAN REAL ESTATE C</v>
          </cell>
          <cell r="N171" t="str">
            <v>SURBHI MEHRA</v>
          </cell>
        </row>
        <row r="172">
          <cell r="B172" t="str">
            <v>DTS742</v>
          </cell>
          <cell r="C172">
            <v>2.5</v>
          </cell>
          <cell r="D172">
            <v>39353</v>
          </cell>
          <cell r="E172">
            <v>78529</v>
          </cell>
          <cell r="F172" t="str">
            <v>S04774</v>
          </cell>
          <cell r="G172" t="str">
            <v>DTS742/UB1062#DTS</v>
          </cell>
          <cell r="H172">
            <v>65.400000000000006</v>
          </cell>
          <cell r="I172">
            <v>13000</v>
          </cell>
          <cell r="J172">
            <v>1462800</v>
          </cell>
          <cell r="K172">
            <v>1462800</v>
          </cell>
          <cell r="L172">
            <v>10104000</v>
          </cell>
          <cell r="M172" t="str">
            <v>HARBANS MAHAJAN REAL ESTATE C</v>
          </cell>
          <cell r="N172" t="str">
            <v>SURBHI MEHRA</v>
          </cell>
        </row>
        <row r="173">
          <cell r="B173" t="str">
            <v>DTS744</v>
          </cell>
          <cell r="C173">
            <v>2.5</v>
          </cell>
          <cell r="D173">
            <v>39353</v>
          </cell>
          <cell r="E173">
            <v>78523</v>
          </cell>
          <cell r="F173" t="str">
            <v>N01117</v>
          </cell>
          <cell r="G173" t="str">
            <v>DTS744/UB1060#DTS</v>
          </cell>
          <cell r="H173">
            <v>65.400000000000006</v>
          </cell>
          <cell r="I173">
            <v>13000</v>
          </cell>
          <cell r="J173">
            <v>1462800</v>
          </cell>
          <cell r="K173">
            <v>1462800</v>
          </cell>
          <cell r="L173">
            <v>10104000</v>
          </cell>
          <cell r="M173" t="str">
            <v>HARBANS MAHAJAN REAL ESTATE C</v>
          </cell>
          <cell r="N173" t="str">
            <v>NISHI MEHRA</v>
          </cell>
        </row>
        <row r="174">
          <cell r="B174" t="str">
            <v>DTS745</v>
          </cell>
          <cell r="C174">
            <v>2.5</v>
          </cell>
          <cell r="D174">
            <v>39353</v>
          </cell>
          <cell r="E174">
            <v>78532</v>
          </cell>
          <cell r="F174" t="str">
            <v>N01118</v>
          </cell>
          <cell r="G174" t="str">
            <v>DTS745/UB1059#DTS</v>
          </cell>
          <cell r="H174">
            <v>85</v>
          </cell>
          <cell r="I174">
            <v>13000</v>
          </cell>
          <cell r="J174">
            <v>1874250</v>
          </cell>
          <cell r="K174">
            <v>1874250</v>
          </cell>
          <cell r="L174">
            <v>12952500</v>
          </cell>
          <cell r="M174" t="str">
            <v>HARBANS MAHAJAN REAL ESTATE C</v>
          </cell>
          <cell r="N174" t="str">
            <v>NISHI MEHRA</v>
          </cell>
        </row>
        <row r="175">
          <cell r="B175" t="str">
            <v>DTS746</v>
          </cell>
          <cell r="C175">
            <v>2.5</v>
          </cell>
          <cell r="D175">
            <v>39353</v>
          </cell>
          <cell r="E175">
            <v>78527</v>
          </cell>
          <cell r="F175" t="str">
            <v>R03966</v>
          </cell>
          <cell r="G175" t="str">
            <v>DTS746/UB1058#DTS</v>
          </cell>
          <cell r="H175">
            <v>85</v>
          </cell>
          <cell r="I175">
            <v>13000</v>
          </cell>
          <cell r="J175">
            <v>1874250</v>
          </cell>
          <cell r="K175">
            <v>2700000</v>
          </cell>
          <cell r="L175">
            <v>12952500</v>
          </cell>
          <cell r="M175" t="str">
            <v>HARBANS MAHAJAN REAL ESTATE C</v>
          </cell>
          <cell r="N175" t="str">
            <v>ROSHAN VERMA</v>
          </cell>
        </row>
        <row r="176">
          <cell r="B176" t="str">
            <v>DTS759</v>
          </cell>
          <cell r="C176">
            <v>2.5</v>
          </cell>
          <cell r="D176">
            <v>39353</v>
          </cell>
          <cell r="E176">
            <v>78584</v>
          </cell>
          <cell r="F176" t="str">
            <v>S04784</v>
          </cell>
          <cell r="G176" t="str">
            <v>DTS759/UB1095#DTS</v>
          </cell>
          <cell r="H176">
            <v>104.52</v>
          </cell>
          <cell r="I176">
            <v>13000</v>
          </cell>
          <cell r="J176">
            <v>2283750</v>
          </cell>
          <cell r="K176">
            <v>2700000</v>
          </cell>
          <cell r="L176">
            <v>15787500</v>
          </cell>
          <cell r="M176" t="str">
            <v>SAR REALTY PVT LTD</v>
          </cell>
          <cell r="N176" t="str">
            <v>SANJEEV LAL                  _x000C_</v>
          </cell>
        </row>
        <row r="177">
          <cell r="B177" t="str">
            <v>DTS761</v>
          </cell>
          <cell r="C177">
            <v>2.5</v>
          </cell>
          <cell r="D177">
            <v>39353</v>
          </cell>
          <cell r="E177">
            <v>78689</v>
          </cell>
          <cell r="F177" t="str">
            <v>C00494</v>
          </cell>
          <cell r="G177" t="str">
            <v>DTS761/UB1180#DTS</v>
          </cell>
          <cell r="H177">
            <v>69.209999999999994</v>
          </cell>
          <cell r="I177">
            <v>13000</v>
          </cell>
          <cell r="J177">
            <v>1542750</v>
          </cell>
          <cell r="K177">
            <v>1700000</v>
          </cell>
          <cell r="L177">
            <v>10657500</v>
          </cell>
          <cell r="M177" t="str">
            <v>SANJAY NAGPAL ESTATES</v>
          </cell>
          <cell r="N177" t="str">
            <v>CHANDER MOHAN CHADHA</v>
          </cell>
        </row>
        <row r="178">
          <cell r="B178" t="str">
            <v>DTS807</v>
          </cell>
          <cell r="C178">
            <v>2.5</v>
          </cell>
          <cell r="D178">
            <v>39353</v>
          </cell>
          <cell r="E178">
            <v>78588</v>
          </cell>
          <cell r="F178" t="str">
            <v>A03489</v>
          </cell>
          <cell r="G178" t="str">
            <v>DTS807/UB1101#DTS</v>
          </cell>
          <cell r="H178">
            <v>90.02</v>
          </cell>
          <cell r="I178">
            <v>13000</v>
          </cell>
          <cell r="J178">
            <v>1979550</v>
          </cell>
          <cell r="K178">
            <v>1979550</v>
          </cell>
          <cell r="L178">
            <v>13681500</v>
          </cell>
          <cell r="M178" t="str">
            <v>KHUSHAL SETHI HOUSING SOLUTIO</v>
          </cell>
          <cell r="N178" t="str">
            <v>AMBIKA STEELS LIMITED</v>
          </cell>
        </row>
        <row r="179">
          <cell r="B179" t="str">
            <v>DTS808</v>
          </cell>
          <cell r="C179">
            <v>2.5</v>
          </cell>
          <cell r="D179">
            <v>39353</v>
          </cell>
          <cell r="E179">
            <v>78687</v>
          </cell>
          <cell r="F179" t="str">
            <v>A03495</v>
          </cell>
          <cell r="G179" t="str">
            <v>DTS808/UB1181#DTS</v>
          </cell>
          <cell r="H179">
            <v>89.93</v>
          </cell>
          <cell r="I179">
            <v>13000</v>
          </cell>
          <cell r="J179">
            <v>1977600</v>
          </cell>
          <cell r="K179">
            <v>1977600</v>
          </cell>
          <cell r="L179">
            <v>13668000</v>
          </cell>
          <cell r="M179" t="str">
            <v>KHUSHAL SETHI HOUSING SOLUTIO</v>
          </cell>
          <cell r="N179" t="str">
            <v>AMBICA STEELS LTD.</v>
          </cell>
        </row>
        <row r="180">
          <cell r="B180" t="str">
            <v>DTS809</v>
          </cell>
          <cell r="C180">
            <v>2.5</v>
          </cell>
          <cell r="D180">
            <v>39353</v>
          </cell>
          <cell r="E180">
            <v>78682</v>
          </cell>
          <cell r="F180" t="str">
            <v>A03494</v>
          </cell>
          <cell r="G180" t="str">
            <v>DTS809/UB1186#DTS</v>
          </cell>
          <cell r="H180">
            <v>65.400000000000006</v>
          </cell>
          <cell r="I180">
            <v>13000</v>
          </cell>
          <cell r="J180">
            <v>1462800</v>
          </cell>
          <cell r="K180">
            <v>1462800</v>
          </cell>
          <cell r="L180">
            <v>10104000</v>
          </cell>
          <cell r="M180" t="str">
            <v>KHUSHAL SETHI HOUSING SOLUTIO</v>
          </cell>
          <cell r="N180" t="str">
            <v>AMBICA STEELS LTD.</v>
          </cell>
        </row>
        <row r="181">
          <cell r="B181" t="str">
            <v>DTS810</v>
          </cell>
          <cell r="C181">
            <v>2.5</v>
          </cell>
          <cell r="D181">
            <v>39353</v>
          </cell>
          <cell r="E181">
            <v>78680</v>
          </cell>
          <cell r="F181" t="str">
            <v>A03493</v>
          </cell>
          <cell r="G181" t="str">
            <v>DTS810/UB1187#DTS</v>
          </cell>
          <cell r="H181">
            <v>114.08</v>
          </cell>
          <cell r="I181">
            <v>13000</v>
          </cell>
          <cell r="J181">
            <v>2484600</v>
          </cell>
          <cell r="K181">
            <v>2484600</v>
          </cell>
          <cell r="L181">
            <v>17178000</v>
          </cell>
          <cell r="M181" t="str">
            <v>KHUSHAL SETHI HOUSING SOLUTIO</v>
          </cell>
          <cell r="N181" t="str">
            <v>AMBICA STEELS LTD.</v>
          </cell>
        </row>
        <row r="182">
          <cell r="B182" t="str">
            <v>DTS814</v>
          </cell>
          <cell r="C182">
            <v>2.5</v>
          </cell>
          <cell r="D182">
            <v>39353</v>
          </cell>
          <cell r="E182">
            <v>78521</v>
          </cell>
          <cell r="F182" t="str">
            <v>I00300</v>
          </cell>
          <cell r="G182" t="str">
            <v>DTS814/UB1064#DTS</v>
          </cell>
          <cell r="H182">
            <v>89.74</v>
          </cell>
          <cell r="I182">
            <v>13000</v>
          </cell>
          <cell r="J182">
            <v>1973700</v>
          </cell>
          <cell r="K182">
            <v>2000000</v>
          </cell>
          <cell r="L182">
            <v>13641000</v>
          </cell>
          <cell r="M182" t="str">
            <v>KHUSHAL SETHI HOUSING SOLUTIO</v>
          </cell>
          <cell r="N182" t="str">
            <v>I V ENTERPRISES PVT LTD</v>
          </cell>
        </row>
        <row r="183">
          <cell r="B183" t="str">
            <v>DTS815</v>
          </cell>
          <cell r="C183">
            <v>2.5</v>
          </cell>
          <cell r="D183">
            <v>39353</v>
          </cell>
          <cell r="E183">
            <v>78673</v>
          </cell>
          <cell r="F183" t="str">
            <v>P01691</v>
          </cell>
          <cell r="G183" t="str">
            <v>DTS815/UB1191#DTS</v>
          </cell>
          <cell r="H183">
            <v>85</v>
          </cell>
          <cell r="I183">
            <v>13000</v>
          </cell>
          <cell r="J183">
            <v>1874250</v>
          </cell>
          <cell r="K183">
            <v>1874250</v>
          </cell>
          <cell r="L183">
            <v>12952500</v>
          </cell>
          <cell r="M183" t="str">
            <v>VSERV CAPITAL SERVICES PVT LT</v>
          </cell>
          <cell r="N183" t="str">
            <v>PRADIP KUMAR</v>
          </cell>
        </row>
        <row r="184">
          <cell r="B184" t="str">
            <v>DTS817</v>
          </cell>
          <cell r="C184">
            <v>2.5</v>
          </cell>
          <cell r="D184">
            <v>39353</v>
          </cell>
          <cell r="E184">
            <v>78659</v>
          </cell>
          <cell r="F184" t="str">
            <v>I00302</v>
          </cell>
          <cell r="G184" t="str">
            <v>DTS817/UB1122#DTS</v>
          </cell>
          <cell r="H184">
            <v>75.53</v>
          </cell>
          <cell r="I184">
            <v>13000</v>
          </cell>
          <cell r="J184">
            <v>1675350</v>
          </cell>
          <cell r="K184">
            <v>1675350</v>
          </cell>
          <cell r="L184">
            <v>11575500</v>
          </cell>
          <cell r="M184" t="str">
            <v>VSERV CAPITAL SERVICES PVT LT</v>
          </cell>
          <cell r="N184" t="str">
            <v>INDO HONGKONG INDUSTRIES PVT</v>
          </cell>
        </row>
        <row r="185">
          <cell r="B185" t="str">
            <v>DTS818</v>
          </cell>
          <cell r="C185">
            <v>2.5</v>
          </cell>
          <cell r="D185">
            <v>39353</v>
          </cell>
          <cell r="E185">
            <v>78597</v>
          </cell>
          <cell r="F185" t="str">
            <v>R03973</v>
          </cell>
          <cell r="G185" t="str">
            <v>DTS818/UB1112#DTS</v>
          </cell>
          <cell r="H185">
            <v>75.53</v>
          </cell>
          <cell r="I185">
            <v>13000</v>
          </cell>
          <cell r="J185">
            <v>1675350</v>
          </cell>
          <cell r="K185">
            <v>1675350</v>
          </cell>
          <cell r="L185">
            <v>11575500</v>
          </cell>
          <cell r="M185" t="str">
            <v>VSERV CAPITAL SERVICES PVT LT</v>
          </cell>
          <cell r="N185" t="str">
            <v>RONENDER NATH PAWAR</v>
          </cell>
        </row>
        <row r="186">
          <cell r="B186" t="str">
            <v>DTS819</v>
          </cell>
          <cell r="C186">
            <v>2.5</v>
          </cell>
          <cell r="D186">
            <v>39353</v>
          </cell>
          <cell r="E186">
            <v>78598</v>
          </cell>
          <cell r="F186" t="str">
            <v>R03974</v>
          </cell>
          <cell r="G186" t="str">
            <v>DTS819/UB1113#DTS</v>
          </cell>
          <cell r="H186">
            <v>69.209999999999994</v>
          </cell>
          <cell r="I186">
            <v>13000</v>
          </cell>
          <cell r="J186">
            <v>1542750</v>
          </cell>
          <cell r="K186">
            <v>1542750</v>
          </cell>
          <cell r="L186">
            <v>10657500</v>
          </cell>
          <cell r="M186" t="str">
            <v>VSERV CAPITAL SERVICES PVT LT</v>
          </cell>
          <cell r="N186" t="str">
            <v>RONENDER NATH PAWAR</v>
          </cell>
        </row>
        <row r="187">
          <cell r="B187" t="str">
            <v>DTS820</v>
          </cell>
          <cell r="C187">
            <v>2.5</v>
          </cell>
          <cell r="D187">
            <v>39353</v>
          </cell>
          <cell r="E187">
            <v>78559</v>
          </cell>
          <cell r="F187" t="str">
            <v>A03483</v>
          </cell>
          <cell r="G187" t="str">
            <v>DTS820/UB1090#DTS</v>
          </cell>
          <cell r="H187">
            <v>85</v>
          </cell>
          <cell r="I187">
            <v>13000</v>
          </cell>
          <cell r="J187">
            <v>1874250</v>
          </cell>
          <cell r="K187">
            <v>1900000</v>
          </cell>
          <cell r="L187">
            <v>12952500</v>
          </cell>
          <cell r="M187" t="str">
            <v>VSERV CAPITAL SERVICES PVT LT</v>
          </cell>
          <cell r="N187" t="str">
            <v>ATUL SALUJA</v>
          </cell>
        </row>
        <row r="188">
          <cell r="B188" t="str">
            <v>DTS821</v>
          </cell>
          <cell r="C188">
            <v>2.5</v>
          </cell>
          <cell r="D188">
            <v>39353</v>
          </cell>
          <cell r="E188">
            <v>78548</v>
          </cell>
          <cell r="F188" t="str">
            <v>S04778</v>
          </cell>
          <cell r="G188" t="str">
            <v>DTS821/UB1044#DTS</v>
          </cell>
          <cell r="H188">
            <v>89.74</v>
          </cell>
          <cell r="I188">
            <v>13000</v>
          </cell>
          <cell r="J188">
            <v>1973700</v>
          </cell>
          <cell r="K188">
            <v>2000000</v>
          </cell>
          <cell r="L188">
            <v>13641000</v>
          </cell>
          <cell r="M188" t="str">
            <v>KHUSHAL SETHI HOUSING SOLUTIO</v>
          </cell>
          <cell r="N188" t="str">
            <v>SHASHI SHARMA</v>
          </cell>
        </row>
        <row r="189">
          <cell r="B189" t="str">
            <v>DTS822</v>
          </cell>
          <cell r="C189">
            <v>2.5</v>
          </cell>
          <cell r="D189">
            <v>39353</v>
          </cell>
          <cell r="E189">
            <v>78505</v>
          </cell>
          <cell r="F189" t="str">
            <v>R03963</v>
          </cell>
          <cell r="G189" t="str">
            <v>DTS822/UB1023#DTS</v>
          </cell>
          <cell r="H189">
            <v>89</v>
          </cell>
          <cell r="I189">
            <v>13000</v>
          </cell>
          <cell r="J189">
            <v>1958100</v>
          </cell>
          <cell r="K189">
            <v>2000000</v>
          </cell>
          <cell r="L189">
            <v>13533000</v>
          </cell>
          <cell r="M189" t="str">
            <v>KHUSHAL SETHI HOUSING SOLUTIO</v>
          </cell>
          <cell r="N189" t="str">
            <v>RAMESH CHANDER KALRA</v>
          </cell>
        </row>
        <row r="190">
          <cell r="B190" t="str">
            <v>DTS824</v>
          </cell>
          <cell r="C190">
            <v>2.5</v>
          </cell>
          <cell r="D190">
            <v>39353</v>
          </cell>
          <cell r="E190">
            <v>78705</v>
          </cell>
          <cell r="F190" t="str">
            <v>H00984</v>
          </cell>
          <cell r="G190" t="str">
            <v>DTS824/UB1173#DTS</v>
          </cell>
          <cell r="H190">
            <v>114.08</v>
          </cell>
          <cell r="I190">
            <v>13000</v>
          </cell>
          <cell r="J190">
            <v>2484600</v>
          </cell>
          <cell r="K190">
            <v>2700000</v>
          </cell>
          <cell r="L190">
            <v>17178000</v>
          </cell>
          <cell r="M190" t="str">
            <v>KHUSHAL SETHI HOUSING SOLUTIO</v>
          </cell>
          <cell r="N190" t="str">
            <v>HITECH MOULDS</v>
          </cell>
        </row>
        <row r="191">
          <cell r="B191" t="str">
            <v>DTS827</v>
          </cell>
          <cell r="C191">
            <v>2.5</v>
          </cell>
          <cell r="D191">
            <v>39353</v>
          </cell>
          <cell r="E191">
            <v>78508</v>
          </cell>
          <cell r="F191" t="str">
            <v>R03964</v>
          </cell>
          <cell r="G191" t="str">
            <v>DTS827/UB1026#DTS</v>
          </cell>
          <cell r="H191">
            <v>90.02</v>
          </cell>
          <cell r="I191">
            <v>13000</v>
          </cell>
          <cell r="J191">
            <v>1979550</v>
          </cell>
          <cell r="K191">
            <v>1979550</v>
          </cell>
          <cell r="L191">
            <v>13681500</v>
          </cell>
          <cell r="M191" t="str">
            <v>KHUSHAL SETHI HOUSING SOLUTIO</v>
          </cell>
          <cell r="N191" t="str">
            <v>ROHIT MAHAJAN</v>
          </cell>
        </row>
        <row r="192">
          <cell r="B192" t="str">
            <v>DTS828</v>
          </cell>
          <cell r="C192">
            <v>2.5</v>
          </cell>
          <cell r="D192">
            <v>39353</v>
          </cell>
          <cell r="E192">
            <v>78516</v>
          </cell>
          <cell r="F192" t="str">
            <v>S04771</v>
          </cell>
          <cell r="G192" t="str">
            <v>DTS828/UB1024#DTS</v>
          </cell>
          <cell r="H192">
            <v>69.209999999999994</v>
          </cell>
          <cell r="I192">
            <v>13000</v>
          </cell>
          <cell r="J192">
            <v>1542750</v>
          </cell>
          <cell r="K192">
            <v>1542750</v>
          </cell>
          <cell r="L192">
            <v>10657500</v>
          </cell>
          <cell r="M192" t="str">
            <v>KHUSHAL SETHI HOUSING SOLUTIO</v>
          </cell>
          <cell r="N192" t="str">
            <v>SWASTIKA WOOLEN MILLS</v>
          </cell>
        </row>
        <row r="193">
          <cell r="B193" t="str">
            <v>DTS829</v>
          </cell>
          <cell r="C193">
            <v>2.5</v>
          </cell>
          <cell r="D193">
            <v>39353</v>
          </cell>
          <cell r="E193">
            <v>78534</v>
          </cell>
          <cell r="F193" t="str">
            <v>S04776</v>
          </cell>
          <cell r="G193" t="str">
            <v>DTS829/UB1050#DTS</v>
          </cell>
          <cell r="H193">
            <v>69.209999999999994</v>
          </cell>
          <cell r="I193">
            <v>13000</v>
          </cell>
          <cell r="J193">
            <v>1542750</v>
          </cell>
          <cell r="K193">
            <v>1550000</v>
          </cell>
          <cell r="L193">
            <v>10657500</v>
          </cell>
          <cell r="M193" t="str">
            <v>KHUSHAL SETHI HOUSING SOLUTIO</v>
          </cell>
          <cell r="N193" t="str">
            <v>SARVESH ROHATGI</v>
          </cell>
        </row>
        <row r="194">
          <cell r="B194" t="str">
            <v>DTS830</v>
          </cell>
          <cell r="C194">
            <v>2.5</v>
          </cell>
          <cell r="D194">
            <v>39353</v>
          </cell>
          <cell r="E194">
            <v>78703</v>
          </cell>
          <cell r="F194" t="str">
            <v>M02194</v>
          </cell>
          <cell r="G194" t="str">
            <v>DTS830/UB1174#DTS</v>
          </cell>
          <cell r="H194">
            <v>69.209999999999994</v>
          </cell>
          <cell r="I194">
            <v>13000</v>
          </cell>
          <cell r="J194">
            <v>1542750</v>
          </cell>
          <cell r="K194">
            <v>1542750</v>
          </cell>
          <cell r="L194">
            <v>10657500</v>
          </cell>
          <cell r="M194" t="str">
            <v>KHUSHAL SETHI HOUSING SOLUTIO</v>
          </cell>
          <cell r="N194" t="str">
            <v>MANOJ HORA</v>
          </cell>
        </row>
        <row r="195">
          <cell r="B195" t="str">
            <v>DTS839</v>
          </cell>
          <cell r="C195">
            <v>2.5</v>
          </cell>
          <cell r="D195">
            <v>39353</v>
          </cell>
          <cell r="E195">
            <v>78684</v>
          </cell>
          <cell r="F195" t="str">
            <v>R03999</v>
          </cell>
          <cell r="G195" t="str">
            <v>DTS839/UB1157#DTS</v>
          </cell>
          <cell r="H195">
            <v>69.209999999999994</v>
          </cell>
          <cell r="I195">
            <v>13000</v>
          </cell>
          <cell r="J195">
            <v>1542750</v>
          </cell>
          <cell r="K195">
            <v>1542750</v>
          </cell>
          <cell r="L195">
            <v>10657500</v>
          </cell>
          <cell r="M195" t="str">
            <v>KHUSHAL SETHI HOUSING SOLUTIO</v>
          </cell>
          <cell r="N195" t="str">
            <v>RAJ KUMAR JAIN</v>
          </cell>
        </row>
        <row r="196">
          <cell r="B196" t="str">
            <v>DTS844</v>
          </cell>
          <cell r="C196">
            <v>2.5</v>
          </cell>
          <cell r="D196">
            <v>39353</v>
          </cell>
          <cell r="E196">
            <v>78599</v>
          </cell>
          <cell r="F196" t="str">
            <v>H00980</v>
          </cell>
          <cell r="G196" t="str">
            <v>DTS844/UB1108#DTS</v>
          </cell>
          <cell r="H196">
            <v>65.400000000000006</v>
          </cell>
          <cell r="I196">
            <v>13000</v>
          </cell>
          <cell r="J196">
            <v>1462800</v>
          </cell>
          <cell r="K196">
            <v>1462800</v>
          </cell>
          <cell r="L196">
            <v>10104000</v>
          </cell>
          <cell r="M196" t="str">
            <v>VSERV CAPITAL SERVICES PVT LT</v>
          </cell>
          <cell r="N196" t="str">
            <v>HARJOT SINGH KHURANA</v>
          </cell>
        </row>
        <row r="197">
          <cell r="B197" t="str">
            <v>DTS846</v>
          </cell>
          <cell r="C197">
            <v>2.5</v>
          </cell>
          <cell r="D197">
            <v>39353</v>
          </cell>
          <cell r="E197">
            <v>78652</v>
          </cell>
          <cell r="F197" t="str">
            <v>A03491</v>
          </cell>
          <cell r="G197" t="str">
            <v>DTS846/UB1126#DTS</v>
          </cell>
          <cell r="H197">
            <v>85</v>
          </cell>
          <cell r="I197">
            <v>11000</v>
          </cell>
          <cell r="J197">
            <v>1599750</v>
          </cell>
          <cell r="K197">
            <v>1599750</v>
          </cell>
          <cell r="L197">
            <v>11122500</v>
          </cell>
          <cell r="M197" t="str">
            <v>C S &amp; ASSOCIATES</v>
          </cell>
          <cell r="N197" t="str">
            <v>AMARJIT SINGH MINOCHA</v>
          </cell>
        </row>
        <row r="198">
          <cell r="B198" t="str">
            <v>DTS847</v>
          </cell>
          <cell r="C198">
            <v>2.5</v>
          </cell>
          <cell r="D198">
            <v>39353</v>
          </cell>
          <cell r="E198">
            <v>78564</v>
          </cell>
          <cell r="F198" t="str">
            <v>A03485</v>
          </cell>
          <cell r="G198" t="str">
            <v>DTS847/UB1092#DTS</v>
          </cell>
          <cell r="H198">
            <v>69.12</v>
          </cell>
          <cell r="I198">
            <v>11000</v>
          </cell>
          <cell r="J198">
            <v>1317600</v>
          </cell>
          <cell r="K198">
            <v>1317600</v>
          </cell>
          <cell r="L198">
            <v>9156000</v>
          </cell>
          <cell r="M198">
            <v>9156000</v>
          </cell>
          <cell r="N198" t="str">
            <v>ANIL KUMAR GUPTA</v>
          </cell>
        </row>
        <row r="199">
          <cell r="B199" t="str">
            <v>DTS848</v>
          </cell>
          <cell r="C199">
            <v>2.5</v>
          </cell>
          <cell r="D199">
            <v>39353</v>
          </cell>
          <cell r="E199">
            <v>78603</v>
          </cell>
          <cell r="F199" t="str">
            <v>H00981</v>
          </cell>
          <cell r="G199" t="str">
            <v>DTS848/UB1123#DTS</v>
          </cell>
          <cell r="H199">
            <v>75.53</v>
          </cell>
          <cell r="I199">
            <v>13000</v>
          </cell>
          <cell r="J199">
            <v>1675350</v>
          </cell>
          <cell r="K199">
            <v>1675350</v>
          </cell>
          <cell r="L199">
            <v>11575500</v>
          </cell>
          <cell r="M199" t="str">
            <v>VSERV CAPITAL SERVICES PVT LT</v>
          </cell>
          <cell r="N199" t="str">
            <v>HARPREET SINGH</v>
          </cell>
        </row>
        <row r="200">
          <cell r="B200" t="str">
            <v>DTS852</v>
          </cell>
          <cell r="C200">
            <v>2.5</v>
          </cell>
          <cell r="D200">
            <v>39353</v>
          </cell>
          <cell r="E200">
            <v>78665</v>
          </cell>
          <cell r="F200" t="str">
            <v>C00492</v>
          </cell>
          <cell r="G200" t="str">
            <v>DTS852/UB1197#DTS</v>
          </cell>
          <cell r="H200">
            <v>85</v>
          </cell>
          <cell r="I200">
            <v>13000</v>
          </cell>
          <cell r="J200">
            <v>1874250</v>
          </cell>
          <cell r="K200">
            <v>1874250</v>
          </cell>
          <cell r="L200">
            <v>12952500</v>
          </cell>
          <cell r="M200" t="str">
            <v>VSERV CAPITAL SERVICES PVT LT</v>
          </cell>
          <cell r="N200" t="str">
            <v>CHARANJIT SINGH</v>
          </cell>
        </row>
        <row r="201">
          <cell r="B201" t="str">
            <v>DTS853</v>
          </cell>
          <cell r="C201">
            <v>2.5</v>
          </cell>
          <cell r="D201">
            <v>39353</v>
          </cell>
          <cell r="E201">
            <v>78678</v>
          </cell>
          <cell r="F201" t="str">
            <v>D01045</v>
          </cell>
          <cell r="G201" t="str">
            <v>DTS853/UB1189#DTS</v>
          </cell>
          <cell r="H201">
            <v>65.400000000000006</v>
          </cell>
          <cell r="I201">
            <v>13000</v>
          </cell>
          <cell r="J201">
            <v>1462800</v>
          </cell>
          <cell r="K201">
            <v>1462800</v>
          </cell>
          <cell r="L201">
            <v>10104000</v>
          </cell>
          <cell r="M201" t="str">
            <v>VSERV CAPITAL SERVICES PVT LT</v>
          </cell>
          <cell r="N201" t="str">
            <v>DAVINDER KAUR                _x000C_</v>
          </cell>
        </row>
        <row r="202">
          <cell r="B202" t="str">
            <v>DTS855</v>
          </cell>
          <cell r="C202">
            <v>2.5</v>
          </cell>
          <cell r="D202">
            <v>39353</v>
          </cell>
          <cell r="E202">
            <v>78675</v>
          </cell>
          <cell r="F202" t="str">
            <v>S04797</v>
          </cell>
          <cell r="G202" t="str">
            <v>DTS855/UB1190#DTS</v>
          </cell>
          <cell r="H202">
            <v>65.400000000000006</v>
          </cell>
          <cell r="I202">
            <v>13000</v>
          </cell>
          <cell r="J202">
            <v>1462800</v>
          </cell>
          <cell r="K202">
            <v>1462800</v>
          </cell>
          <cell r="L202">
            <v>10104000</v>
          </cell>
          <cell r="M202" t="str">
            <v>VSERV CAPITAL SERVICES PVT LT</v>
          </cell>
          <cell r="N202" t="str">
            <v>SANTOSH  KUMAR DUDEJA</v>
          </cell>
        </row>
        <row r="203">
          <cell r="B203" t="str">
            <v>DTS856</v>
          </cell>
          <cell r="C203">
            <v>2.5</v>
          </cell>
          <cell r="D203">
            <v>39353</v>
          </cell>
          <cell r="E203">
            <v>78537</v>
          </cell>
          <cell r="F203" t="str">
            <v>A03482</v>
          </cell>
          <cell r="G203" t="str">
            <v>DTS856/UB1045#DTS</v>
          </cell>
          <cell r="H203">
            <v>89.93</v>
          </cell>
          <cell r="I203">
            <v>13000</v>
          </cell>
          <cell r="J203">
            <v>1977600</v>
          </cell>
          <cell r="K203">
            <v>1977600</v>
          </cell>
          <cell r="L203">
            <v>13668000</v>
          </cell>
          <cell r="M203" t="str">
            <v>KHUSHAL SETHI HOUSING SOLUTIO</v>
          </cell>
          <cell r="N203" t="str">
            <v>ATULIYA JAIN</v>
          </cell>
        </row>
        <row r="204">
          <cell r="B204" t="str">
            <v>DTS857</v>
          </cell>
          <cell r="C204">
            <v>2.5</v>
          </cell>
          <cell r="D204">
            <v>39353</v>
          </cell>
          <cell r="E204">
            <v>78524</v>
          </cell>
          <cell r="F204" t="str">
            <v>A03479</v>
          </cell>
          <cell r="G204" t="str">
            <v>DTS857/UB1027#DTS</v>
          </cell>
          <cell r="H204">
            <v>89.93</v>
          </cell>
          <cell r="I204">
            <v>13000</v>
          </cell>
          <cell r="J204">
            <v>1977600</v>
          </cell>
          <cell r="K204">
            <v>1977600</v>
          </cell>
          <cell r="L204">
            <v>13668000</v>
          </cell>
          <cell r="M204" t="str">
            <v>KHUSHAL SETHI HOUSING SOLUTIO</v>
          </cell>
          <cell r="N204" t="str">
            <v>ATULIYA JAIN</v>
          </cell>
        </row>
        <row r="205">
          <cell r="B205" t="str">
            <v>DTS001</v>
          </cell>
          <cell r="C205">
            <v>2.5</v>
          </cell>
          <cell r="D205">
            <v>39354</v>
          </cell>
          <cell r="E205">
            <v>78987</v>
          </cell>
          <cell r="F205" t="str">
            <v>R04024</v>
          </cell>
          <cell r="G205" t="str">
            <v>DTS001/UB1523#DTS</v>
          </cell>
          <cell r="H205">
            <v>175.31</v>
          </cell>
          <cell r="I205">
            <v>16000</v>
          </cell>
          <cell r="J205">
            <v>5071680</v>
          </cell>
          <cell r="K205">
            <v>5071680</v>
          </cell>
          <cell r="L205">
            <v>34754700</v>
          </cell>
          <cell r="M205" t="str">
            <v>KHOSLA ESTATE</v>
          </cell>
          <cell r="N205" t="str">
            <v>RAJKUMARI GUPTA</v>
          </cell>
        </row>
        <row r="206">
          <cell r="B206" t="str">
            <v>DTS004</v>
          </cell>
          <cell r="C206">
            <v>2.5</v>
          </cell>
          <cell r="D206">
            <v>39354</v>
          </cell>
          <cell r="E206">
            <v>79031</v>
          </cell>
          <cell r="F206" t="str">
            <v>M02204</v>
          </cell>
          <cell r="G206" t="str">
            <v>DTS004/UB1492#DTS</v>
          </cell>
          <cell r="H206">
            <v>100.06</v>
          </cell>
          <cell r="I206">
            <v>17000</v>
          </cell>
          <cell r="J206">
            <v>2836350</v>
          </cell>
          <cell r="K206">
            <v>3300000</v>
          </cell>
          <cell r="L206">
            <v>19447500</v>
          </cell>
          <cell r="M206" t="str">
            <v>DR DEVINDER GUPTA AND SONS (H</v>
          </cell>
          <cell r="N206" t="str">
            <v>MAHESH KUMAR</v>
          </cell>
        </row>
        <row r="207">
          <cell r="B207" t="str">
            <v>DTS005</v>
          </cell>
          <cell r="C207">
            <v>2.5</v>
          </cell>
          <cell r="D207">
            <v>39354</v>
          </cell>
          <cell r="E207">
            <v>79013</v>
          </cell>
          <cell r="F207" t="str">
            <v>H01018</v>
          </cell>
          <cell r="G207" t="str">
            <v>DTS005/UB1472#DTS</v>
          </cell>
          <cell r="H207">
            <v>100.06</v>
          </cell>
          <cell r="I207">
            <v>17000</v>
          </cell>
          <cell r="J207">
            <v>2836350</v>
          </cell>
          <cell r="K207">
            <v>2950000</v>
          </cell>
          <cell r="L207">
            <v>19447500</v>
          </cell>
          <cell r="M207" t="str">
            <v>HONEY &amp; CO.</v>
          </cell>
          <cell r="N207" t="str">
            <v>HARISH CHANDER SEHGAL</v>
          </cell>
        </row>
        <row r="208">
          <cell r="B208" t="str">
            <v>DTS007</v>
          </cell>
          <cell r="C208">
            <v>2.5</v>
          </cell>
          <cell r="D208">
            <v>39354</v>
          </cell>
          <cell r="E208">
            <v>78999</v>
          </cell>
          <cell r="F208" t="str">
            <v>S04842</v>
          </cell>
          <cell r="G208" t="str">
            <v>DTS007/UB1354#DTS</v>
          </cell>
          <cell r="H208">
            <v>48.49</v>
          </cell>
          <cell r="I208">
            <v>17000</v>
          </cell>
          <cell r="J208">
            <v>1421100</v>
          </cell>
          <cell r="K208">
            <v>1421100</v>
          </cell>
          <cell r="L208">
            <v>9735000</v>
          </cell>
          <cell r="M208" t="str">
            <v>KARAN ESTATES</v>
          </cell>
          <cell r="N208" t="str">
            <v>SANDEEP BIHANI</v>
          </cell>
        </row>
        <row r="209">
          <cell r="B209" t="str">
            <v>DTS008</v>
          </cell>
          <cell r="C209">
            <v>2.5</v>
          </cell>
          <cell r="D209">
            <v>39354</v>
          </cell>
          <cell r="E209">
            <v>78978</v>
          </cell>
          <cell r="F209" t="str">
            <v>J01501</v>
          </cell>
          <cell r="G209" t="str">
            <v>DTS008/UB1477#DTS</v>
          </cell>
          <cell r="H209">
            <v>64.290000000000006</v>
          </cell>
          <cell r="I209">
            <v>17000</v>
          </cell>
          <cell r="J209">
            <v>1854600</v>
          </cell>
          <cell r="K209">
            <v>1854600</v>
          </cell>
          <cell r="L209">
            <v>12710000</v>
          </cell>
          <cell r="M209" t="str">
            <v>KARAN ESTATES</v>
          </cell>
          <cell r="N209" t="str">
            <v>JEET ASIJA</v>
          </cell>
        </row>
        <row r="210">
          <cell r="B210" t="str">
            <v>DTS010</v>
          </cell>
          <cell r="C210">
            <v>2.5</v>
          </cell>
          <cell r="D210">
            <v>39354</v>
          </cell>
          <cell r="E210">
            <v>79015</v>
          </cell>
          <cell r="F210" t="str">
            <v>R04026</v>
          </cell>
          <cell r="G210" t="str">
            <v>DTS010/UB1471#DTS</v>
          </cell>
          <cell r="H210">
            <v>189.71</v>
          </cell>
          <cell r="I210">
            <v>16000</v>
          </cell>
          <cell r="J210">
            <v>4990800</v>
          </cell>
          <cell r="K210">
            <v>4990800</v>
          </cell>
          <cell r="L210">
            <v>34293000</v>
          </cell>
          <cell r="M210" t="str">
            <v>KHOSLA ESTATE</v>
          </cell>
          <cell r="N210" t="str">
            <v>RAMESH CHANDER KATHURIA</v>
          </cell>
        </row>
        <row r="211">
          <cell r="B211" t="str">
            <v>DTS011</v>
          </cell>
          <cell r="C211">
            <v>2.5</v>
          </cell>
          <cell r="D211">
            <v>39354</v>
          </cell>
          <cell r="E211">
            <v>79029</v>
          </cell>
          <cell r="F211" t="str">
            <v>K01298</v>
          </cell>
          <cell r="G211" t="str">
            <v>DTS011/UB1468#DTS</v>
          </cell>
          <cell r="H211">
            <v>189.71</v>
          </cell>
          <cell r="I211">
            <v>16000</v>
          </cell>
          <cell r="J211">
            <v>4990800</v>
          </cell>
          <cell r="K211">
            <v>4990800</v>
          </cell>
          <cell r="L211">
            <v>34293000</v>
          </cell>
          <cell r="M211" t="str">
            <v>KHOSLA ESTATE</v>
          </cell>
          <cell r="N211" t="str">
            <v>KAPIL GUPTA</v>
          </cell>
        </row>
        <row r="212">
          <cell r="B212" t="str">
            <v>DTS015</v>
          </cell>
          <cell r="C212">
            <v>2.5</v>
          </cell>
          <cell r="D212">
            <v>39354</v>
          </cell>
          <cell r="E212">
            <v>78927</v>
          </cell>
          <cell r="F212" t="str">
            <v>A03522</v>
          </cell>
          <cell r="G212" t="str">
            <v>DTS015/UB1429#DTS</v>
          </cell>
          <cell r="H212">
            <v>52.58</v>
          </cell>
          <cell r="I212">
            <v>17000</v>
          </cell>
          <cell r="J212">
            <v>1677630</v>
          </cell>
          <cell r="K212">
            <v>1677630</v>
          </cell>
          <cell r="L212">
            <v>11467200</v>
          </cell>
          <cell r="M212" t="str">
            <v>SANIYA ESTATE</v>
          </cell>
          <cell r="N212" t="str">
            <v>ANIL SATIA</v>
          </cell>
        </row>
        <row r="213">
          <cell r="B213" t="str">
            <v>DTS018</v>
          </cell>
          <cell r="C213">
            <v>2.5</v>
          </cell>
          <cell r="D213">
            <v>39354</v>
          </cell>
          <cell r="E213">
            <v>79002</v>
          </cell>
          <cell r="F213" t="str">
            <v>O00133</v>
          </cell>
          <cell r="G213" t="str">
            <v>DTS018/UB1515#DTS</v>
          </cell>
          <cell r="H213">
            <v>61.78</v>
          </cell>
          <cell r="I213">
            <v>17000</v>
          </cell>
          <cell r="J213">
            <v>1785750</v>
          </cell>
          <cell r="K213">
            <v>1785750</v>
          </cell>
          <cell r="L213">
            <v>12237500</v>
          </cell>
          <cell r="M213" t="str">
            <v>K.K. REAL ESTATE</v>
          </cell>
          <cell r="N213" t="str">
            <v>OMKAR NATH KAUL</v>
          </cell>
        </row>
        <row r="214">
          <cell r="B214" t="str">
            <v>DTS019</v>
          </cell>
          <cell r="C214">
            <v>2.5</v>
          </cell>
          <cell r="D214">
            <v>39354</v>
          </cell>
          <cell r="E214">
            <v>78888</v>
          </cell>
          <cell r="F214" t="str">
            <v>S04829</v>
          </cell>
          <cell r="G214" t="str">
            <v>DTS019/UB1540#DTS</v>
          </cell>
          <cell r="H214">
            <v>148.36000000000001</v>
          </cell>
          <cell r="I214">
            <v>17000</v>
          </cell>
          <cell r="J214">
            <v>4569585</v>
          </cell>
          <cell r="K214">
            <v>5000000</v>
          </cell>
          <cell r="L214">
            <v>31262400</v>
          </cell>
          <cell r="M214" t="str">
            <v>ARVIND ESTATES (P) LTD</v>
          </cell>
          <cell r="N214" t="str">
            <v>SARABMEET KALRA</v>
          </cell>
        </row>
        <row r="215">
          <cell r="B215" t="str">
            <v>DTS020</v>
          </cell>
          <cell r="C215">
            <v>2.5</v>
          </cell>
          <cell r="D215">
            <v>39354</v>
          </cell>
          <cell r="E215">
            <v>78906</v>
          </cell>
          <cell r="F215" t="str">
            <v>H01012</v>
          </cell>
          <cell r="G215" t="str">
            <v>DTS020/UB1350#DTS</v>
          </cell>
          <cell r="H215">
            <v>67.73</v>
          </cell>
          <cell r="I215">
            <v>17000</v>
          </cell>
          <cell r="J215">
            <v>2134845</v>
          </cell>
          <cell r="K215">
            <v>2500000</v>
          </cell>
          <cell r="L215">
            <v>14596800</v>
          </cell>
          <cell r="M215" t="str">
            <v>SURAJ REALTORS P. LTD.</v>
          </cell>
          <cell r="N215" t="str">
            <v>HILDEGARD ANNA KHARBANDA</v>
          </cell>
        </row>
        <row r="216">
          <cell r="B216" t="str">
            <v>DTS021</v>
          </cell>
          <cell r="C216">
            <v>2.5</v>
          </cell>
          <cell r="D216">
            <v>39354</v>
          </cell>
          <cell r="E216">
            <v>78963</v>
          </cell>
          <cell r="F216" t="str">
            <v>N01130</v>
          </cell>
          <cell r="G216" t="str">
            <v>DTS021/UB1342#DTS</v>
          </cell>
          <cell r="H216">
            <v>87.61</v>
          </cell>
          <cell r="I216">
            <v>17000</v>
          </cell>
          <cell r="J216">
            <v>2494650</v>
          </cell>
          <cell r="K216">
            <v>2700000</v>
          </cell>
          <cell r="L216">
            <v>17102500</v>
          </cell>
          <cell r="M216" t="str">
            <v>MRS. MADHVI BERY</v>
          </cell>
          <cell r="N216" t="str">
            <v>NASIRUDDIN JAVERI</v>
          </cell>
        </row>
        <row r="217">
          <cell r="B217" t="str">
            <v>DTS023</v>
          </cell>
          <cell r="C217">
            <v>2.5</v>
          </cell>
          <cell r="D217">
            <v>39354</v>
          </cell>
          <cell r="E217">
            <v>79019</v>
          </cell>
          <cell r="F217" t="str">
            <v>J01504</v>
          </cell>
          <cell r="G217" t="str">
            <v>DTS023/UB1248#DTS</v>
          </cell>
          <cell r="H217">
            <v>154.22</v>
          </cell>
          <cell r="I217">
            <v>17000</v>
          </cell>
          <cell r="J217">
            <v>4746300</v>
          </cell>
          <cell r="K217">
            <v>4747000</v>
          </cell>
          <cell r="L217">
            <v>32472000</v>
          </cell>
          <cell r="M217" t="str">
            <v>ARVIND ESTATES (P) LTD</v>
          </cell>
          <cell r="N217" t="str">
            <v>JINDAL ART GLASS INNOVATIONS</v>
          </cell>
        </row>
        <row r="218">
          <cell r="B218" t="str">
            <v>DTS024</v>
          </cell>
          <cell r="C218">
            <v>2.5</v>
          </cell>
          <cell r="D218">
            <v>39354</v>
          </cell>
          <cell r="E218">
            <v>78897</v>
          </cell>
          <cell r="F218" t="str">
            <v>J01494</v>
          </cell>
          <cell r="G218" t="str">
            <v>DTS024/UB1410#DTS</v>
          </cell>
          <cell r="H218">
            <v>159.33000000000001</v>
          </cell>
          <cell r="I218">
            <v>17000</v>
          </cell>
          <cell r="J218">
            <v>4900575</v>
          </cell>
          <cell r="K218">
            <v>4910000</v>
          </cell>
          <cell r="L218">
            <v>33528000</v>
          </cell>
          <cell r="M218" t="str">
            <v>ARVIND ESTATES (P) LTD</v>
          </cell>
          <cell r="N218" t="str">
            <v>JINDAL ART GLASS INNOVATIONS</v>
          </cell>
        </row>
        <row r="219">
          <cell r="B219" t="str">
            <v>DTS026</v>
          </cell>
          <cell r="C219">
            <v>2.5</v>
          </cell>
          <cell r="D219">
            <v>39354</v>
          </cell>
          <cell r="E219">
            <v>78836</v>
          </cell>
          <cell r="F219" t="str">
            <v>D01049</v>
          </cell>
          <cell r="G219" t="str">
            <v>DTS026/UB1236#DTS</v>
          </cell>
          <cell r="H219">
            <v>154.22</v>
          </cell>
          <cell r="I219">
            <v>17000</v>
          </cell>
          <cell r="J219">
            <v>4746300</v>
          </cell>
          <cell r="K219">
            <v>4746300</v>
          </cell>
          <cell r="L219">
            <v>32472000</v>
          </cell>
          <cell r="M219" t="str">
            <v>RAHEJA ASSOCIATES</v>
          </cell>
          <cell r="N219" t="str">
            <v>DAVINDER PAL SINGH</v>
          </cell>
        </row>
        <row r="220">
          <cell r="B220" t="str">
            <v>DTS027</v>
          </cell>
          <cell r="C220">
            <v>2.5</v>
          </cell>
          <cell r="D220">
            <v>39354</v>
          </cell>
          <cell r="E220">
            <v>78742</v>
          </cell>
          <cell r="F220" t="str">
            <v>B00843</v>
          </cell>
          <cell r="G220" t="str">
            <v>DTS027/UB1272#DTS</v>
          </cell>
          <cell r="H220">
            <v>132.85</v>
          </cell>
          <cell r="I220">
            <v>16000</v>
          </cell>
          <cell r="J220">
            <v>4208400</v>
          </cell>
          <cell r="K220">
            <v>4208400</v>
          </cell>
          <cell r="L220">
            <v>28771000</v>
          </cell>
          <cell r="M220" t="str">
            <v>RAHEJA ASSOCIATES</v>
          </cell>
          <cell r="N220" t="str">
            <v>BHUPINDER SINGH SAWHNEY</v>
          </cell>
        </row>
        <row r="221">
          <cell r="B221" t="str">
            <v>DTS028</v>
          </cell>
          <cell r="C221">
            <v>2.5</v>
          </cell>
          <cell r="D221">
            <v>39354</v>
          </cell>
          <cell r="E221">
            <v>79027</v>
          </cell>
          <cell r="F221" t="str">
            <v>J01505</v>
          </cell>
          <cell r="G221" t="str">
            <v>DTS028/UB1507#DTS</v>
          </cell>
          <cell r="H221">
            <v>87.61</v>
          </cell>
          <cell r="I221">
            <v>17000</v>
          </cell>
          <cell r="J221">
            <v>2494650</v>
          </cell>
          <cell r="K221">
            <v>3000000</v>
          </cell>
          <cell r="L221">
            <v>17102500</v>
          </cell>
          <cell r="M221" t="str">
            <v>KHOSLA ESTATE</v>
          </cell>
          <cell r="N221" t="str">
            <v>JASJIT SINGH</v>
          </cell>
        </row>
        <row r="222">
          <cell r="B222" t="str">
            <v>DTS031</v>
          </cell>
          <cell r="C222">
            <v>2.5</v>
          </cell>
          <cell r="D222">
            <v>39354</v>
          </cell>
          <cell r="E222">
            <v>78847</v>
          </cell>
          <cell r="F222" t="str">
            <v>V02026</v>
          </cell>
          <cell r="G222" t="str">
            <v>DTS031/UB1541#DTS</v>
          </cell>
          <cell r="H222">
            <v>61.78</v>
          </cell>
          <cell r="I222">
            <v>17000</v>
          </cell>
          <cell r="J222">
            <v>1955325</v>
          </cell>
          <cell r="K222">
            <v>1785750</v>
          </cell>
          <cell r="L222">
            <v>13368000</v>
          </cell>
          <cell r="M222" t="str">
            <v>CYPRUS CONSULTANTS</v>
          </cell>
          <cell r="N222" t="str">
            <v>VIJAY SINGH SHEKHAWAT</v>
          </cell>
        </row>
        <row r="223">
          <cell r="B223" t="str">
            <v>DTS032</v>
          </cell>
          <cell r="C223">
            <v>2.5</v>
          </cell>
          <cell r="D223">
            <v>39354</v>
          </cell>
          <cell r="E223">
            <v>78981</v>
          </cell>
          <cell r="F223" t="str">
            <v>S04839</v>
          </cell>
          <cell r="G223" t="str">
            <v>DTS032/UB1494#DTS</v>
          </cell>
          <cell r="H223">
            <v>52.95</v>
          </cell>
          <cell r="I223">
            <v>17000</v>
          </cell>
          <cell r="J223">
            <v>1688850</v>
          </cell>
          <cell r="K223">
            <v>1700000</v>
          </cell>
          <cell r="L223">
            <v>11544000</v>
          </cell>
          <cell r="M223" t="str">
            <v>LIASION CONSULTANCY SERVICES</v>
          </cell>
          <cell r="N223" t="str">
            <v>SANJEEV BANSAL</v>
          </cell>
        </row>
        <row r="224">
          <cell r="B224" t="str">
            <v>DTS033</v>
          </cell>
          <cell r="C224">
            <v>2.5</v>
          </cell>
          <cell r="D224">
            <v>39354</v>
          </cell>
          <cell r="E224">
            <v>78745</v>
          </cell>
          <cell r="F224" t="str">
            <v>S04805</v>
          </cell>
          <cell r="G224" t="str">
            <v>DTS033/UB1268#DTS</v>
          </cell>
          <cell r="H224">
            <v>51.65</v>
          </cell>
          <cell r="I224">
            <v>17000</v>
          </cell>
          <cell r="J224">
            <v>1507800</v>
          </cell>
          <cell r="K224">
            <v>1688850</v>
          </cell>
          <cell r="L224">
            <v>10330000</v>
          </cell>
          <cell r="M224" t="str">
            <v>K.K. REAL ESTATE</v>
          </cell>
          <cell r="N224" t="str">
            <v>SANJEEV ANAND</v>
          </cell>
        </row>
        <row r="225">
          <cell r="B225" t="str">
            <v>DTS035</v>
          </cell>
          <cell r="C225">
            <v>2.5</v>
          </cell>
          <cell r="D225">
            <v>39354</v>
          </cell>
          <cell r="E225">
            <v>78946</v>
          </cell>
          <cell r="F225" t="str">
            <v>P01722</v>
          </cell>
          <cell r="G225" t="str">
            <v>DTS035/UB1551#DTS</v>
          </cell>
          <cell r="H225">
            <v>74.040000000000006</v>
          </cell>
          <cell r="I225">
            <v>17000</v>
          </cell>
          <cell r="J225">
            <v>2528820</v>
          </cell>
          <cell r="K225">
            <v>2122350</v>
          </cell>
          <cell r="L225">
            <v>17257300</v>
          </cell>
          <cell r="M225" t="str">
            <v>C S &amp; ASSOCIATES</v>
          </cell>
          <cell r="N225" t="str">
            <v>PREM CHAND GUPTA</v>
          </cell>
        </row>
        <row r="226">
          <cell r="B226" t="str">
            <v>DTS036</v>
          </cell>
          <cell r="C226">
            <v>2.5</v>
          </cell>
          <cell r="D226">
            <v>39354</v>
          </cell>
          <cell r="E226">
            <v>78956</v>
          </cell>
          <cell r="F226" t="str">
            <v>A03525</v>
          </cell>
          <cell r="G226" t="str">
            <v>DTS036/UB1545#DTS</v>
          </cell>
          <cell r="H226">
            <v>137.77000000000001</v>
          </cell>
          <cell r="I226">
            <v>17000</v>
          </cell>
          <cell r="J226">
            <v>4249815</v>
          </cell>
          <cell r="K226">
            <v>4249815</v>
          </cell>
          <cell r="L226">
            <v>29073600</v>
          </cell>
          <cell r="M226" t="str">
            <v>RAHEJA ASSOCIATES</v>
          </cell>
          <cell r="N226" t="str">
            <v>ARUN KUMAR KHANNA            _x000C_</v>
          </cell>
        </row>
        <row r="227">
          <cell r="B227" t="str">
            <v>DTS038</v>
          </cell>
          <cell r="C227">
            <v>2.5</v>
          </cell>
          <cell r="D227">
            <v>39354</v>
          </cell>
          <cell r="E227">
            <v>79033</v>
          </cell>
          <cell r="F227" t="str">
            <v>N01133</v>
          </cell>
          <cell r="G227" t="str">
            <v>DTS038/UB1509#DTS</v>
          </cell>
          <cell r="H227">
            <v>189.71</v>
          </cell>
          <cell r="I227">
            <v>17000</v>
          </cell>
          <cell r="J227">
            <v>5817810</v>
          </cell>
          <cell r="K227">
            <v>5817810</v>
          </cell>
          <cell r="L227">
            <v>39806400</v>
          </cell>
          <cell r="M227" t="str">
            <v>ICICI BANK LTD</v>
          </cell>
          <cell r="N227" t="str">
            <v>NAVIN KUMAR</v>
          </cell>
        </row>
        <row r="228">
          <cell r="B228" t="str">
            <v>DTS041</v>
          </cell>
          <cell r="C228">
            <v>2.5</v>
          </cell>
          <cell r="D228">
            <v>39354</v>
          </cell>
          <cell r="E228">
            <v>78926</v>
          </cell>
          <cell r="F228" t="str">
            <v>H01002</v>
          </cell>
          <cell r="G228" t="str">
            <v>DTS041/UB1348#DTS</v>
          </cell>
          <cell r="H228">
            <v>48.49</v>
          </cell>
          <cell r="I228">
            <v>17000</v>
          </cell>
          <cell r="J228">
            <v>1421100</v>
          </cell>
          <cell r="K228">
            <v>2000000</v>
          </cell>
          <cell r="L228">
            <v>9735000</v>
          </cell>
          <cell r="M228" t="str">
            <v>SURAJ REALTORS P. LTD.</v>
          </cell>
          <cell r="N228" t="str">
            <v>HILDEGARD ANNA KHARABANDA</v>
          </cell>
        </row>
        <row r="229">
          <cell r="B229" t="str">
            <v>DTS043</v>
          </cell>
          <cell r="C229">
            <v>2.5</v>
          </cell>
          <cell r="D229">
            <v>39354</v>
          </cell>
          <cell r="E229">
            <v>78804</v>
          </cell>
          <cell r="F229" t="str">
            <v>J01490</v>
          </cell>
          <cell r="G229" t="str">
            <v>DTS043/UB1399#DTS</v>
          </cell>
          <cell r="H229">
            <v>100.06</v>
          </cell>
          <cell r="I229">
            <v>17000</v>
          </cell>
          <cell r="J229">
            <v>3110985</v>
          </cell>
          <cell r="K229">
            <v>3110985</v>
          </cell>
          <cell r="L229">
            <v>21278400</v>
          </cell>
          <cell r="M229" t="str">
            <v>REALISTIC REALTORS PVT LTD</v>
          </cell>
          <cell r="N229" t="str">
            <v>JAPMUN ENTERPRISES</v>
          </cell>
        </row>
        <row r="230">
          <cell r="B230" t="str">
            <v>DTS046</v>
          </cell>
          <cell r="C230">
            <v>2.5</v>
          </cell>
          <cell r="D230">
            <v>39354</v>
          </cell>
          <cell r="E230">
            <v>78997</v>
          </cell>
          <cell r="F230" t="str">
            <v>B00855</v>
          </cell>
          <cell r="G230" t="str">
            <v>DTS046/UB1522#DTS</v>
          </cell>
          <cell r="H230">
            <v>116.78</v>
          </cell>
          <cell r="I230">
            <v>17000</v>
          </cell>
          <cell r="J230">
            <v>3615885</v>
          </cell>
          <cell r="K230">
            <v>3616000</v>
          </cell>
          <cell r="L230">
            <v>24734400</v>
          </cell>
          <cell r="M230" t="str">
            <v>RAHEJA ASSOCIATES</v>
          </cell>
          <cell r="N230" t="str">
            <v>BHUVNESH HANDA</v>
          </cell>
        </row>
        <row r="231">
          <cell r="B231" t="str">
            <v>DTS048</v>
          </cell>
          <cell r="C231">
            <v>2.5</v>
          </cell>
          <cell r="D231">
            <v>39354</v>
          </cell>
          <cell r="E231">
            <v>78744</v>
          </cell>
          <cell r="F231" t="str">
            <v>K01272</v>
          </cell>
          <cell r="G231" t="str">
            <v>DTS048/UB1303#DTS</v>
          </cell>
          <cell r="H231">
            <v>106.37</v>
          </cell>
          <cell r="I231">
            <v>17000</v>
          </cell>
          <cell r="J231">
            <v>3301725</v>
          </cell>
          <cell r="K231">
            <v>3301725</v>
          </cell>
          <cell r="L231">
            <v>22584000</v>
          </cell>
          <cell r="M231" t="str">
            <v>PNK CONSULTANTS PVT LTD</v>
          </cell>
          <cell r="N231" t="str">
            <v>KIC FOOD PRODUCT (P) LTD.</v>
          </cell>
        </row>
        <row r="232">
          <cell r="B232" t="str">
            <v>DTS049</v>
          </cell>
          <cell r="C232">
            <v>2.5</v>
          </cell>
          <cell r="D232">
            <v>39354</v>
          </cell>
          <cell r="E232">
            <v>78922</v>
          </cell>
          <cell r="F232" t="str">
            <v>R04021</v>
          </cell>
          <cell r="G232" t="str">
            <v>DTS049/UB1533#DTS</v>
          </cell>
          <cell r="H232">
            <v>99.96</v>
          </cell>
          <cell r="I232">
            <v>17000</v>
          </cell>
          <cell r="J232">
            <v>3108180</v>
          </cell>
          <cell r="K232">
            <v>3110000</v>
          </cell>
          <cell r="L232">
            <v>21259200</v>
          </cell>
          <cell r="M232" t="str">
            <v>AARAMBH</v>
          </cell>
          <cell r="N232" t="str">
            <v>RAJESH KUMAR SACHDEVA</v>
          </cell>
        </row>
        <row r="233">
          <cell r="B233" t="str">
            <v>DTS051</v>
          </cell>
          <cell r="C233">
            <v>2.5</v>
          </cell>
          <cell r="D233">
            <v>39354</v>
          </cell>
          <cell r="E233">
            <v>78986</v>
          </cell>
          <cell r="F233" t="str">
            <v>H01015</v>
          </cell>
          <cell r="G233" t="str">
            <v>DTS051/UB1345#DTS</v>
          </cell>
          <cell r="H233">
            <v>98.94</v>
          </cell>
          <cell r="I233">
            <v>17000</v>
          </cell>
          <cell r="J233">
            <v>3077325</v>
          </cell>
          <cell r="K233">
            <v>3500000</v>
          </cell>
          <cell r="L233">
            <v>21048000</v>
          </cell>
          <cell r="M233" t="str">
            <v>SURAJ REALTORS P. LTD.</v>
          </cell>
          <cell r="N233" t="str">
            <v>HILDEGARD ANNA KHARBANDA</v>
          </cell>
        </row>
        <row r="234">
          <cell r="B234" t="str">
            <v>DTS052</v>
          </cell>
          <cell r="C234">
            <v>2.5</v>
          </cell>
          <cell r="D234">
            <v>39354</v>
          </cell>
          <cell r="E234">
            <v>78991</v>
          </cell>
          <cell r="F234" t="str">
            <v>B00853</v>
          </cell>
          <cell r="G234" t="str">
            <v>DTS052/UB1422#DTS</v>
          </cell>
          <cell r="H234">
            <v>84.82</v>
          </cell>
          <cell r="I234">
            <v>17000</v>
          </cell>
          <cell r="J234">
            <v>2883780</v>
          </cell>
          <cell r="K234">
            <v>2883780</v>
          </cell>
          <cell r="L234">
            <v>19681700</v>
          </cell>
          <cell r="M234" t="str">
            <v>LARES &amp; PENATES</v>
          </cell>
          <cell r="N234" t="str">
            <v>BHUPINDER SINGH MALLIK</v>
          </cell>
        </row>
        <row r="235">
          <cell r="B235" t="str">
            <v>DTS054</v>
          </cell>
          <cell r="C235">
            <v>2.5</v>
          </cell>
          <cell r="D235">
            <v>39354</v>
          </cell>
          <cell r="E235">
            <v>78747</v>
          </cell>
          <cell r="F235" t="str">
            <v>M02195</v>
          </cell>
          <cell r="G235" t="str">
            <v>DTS054/UB1300#DTS</v>
          </cell>
          <cell r="H235">
            <v>98.01</v>
          </cell>
          <cell r="I235">
            <v>16000</v>
          </cell>
          <cell r="J235">
            <v>3128400</v>
          </cell>
          <cell r="K235">
            <v>3128400</v>
          </cell>
          <cell r="L235">
            <v>21383500</v>
          </cell>
          <cell r="M235" t="str">
            <v>K.K. REAL ESTATE</v>
          </cell>
          <cell r="N235" t="str">
            <v>MANISH GOUHARI</v>
          </cell>
        </row>
        <row r="236">
          <cell r="B236" t="str">
            <v>DTS056</v>
          </cell>
          <cell r="C236">
            <v>2.5</v>
          </cell>
          <cell r="D236">
            <v>39354</v>
          </cell>
          <cell r="E236">
            <v>79007</v>
          </cell>
          <cell r="F236" t="str">
            <v>A03531</v>
          </cell>
          <cell r="G236" t="str">
            <v>DTS056/UB1521#DTS</v>
          </cell>
          <cell r="H236">
            <v>159.41999999999999</v>
          </cell>
          <cell r="I236">
            <v>17000</v>
          </cell>
          <cell r="J236">
            <v>4903380</v>
          </cell>
          <cell r="K236">
            <v>4903380</v>
          </cell>
          <cell r="L236">
            <v>33547200</v>
          </cell>
          <cell r="M236" t="str">
            <v>ICICI BANK LTD</v>
          </cell>
          <cell r="N236" t="str">
            <v>ASHOK SACHDEV</v>
          </cell>
        </row>
        <row r="237">
          <cell r="B237" t="str">
            <v>DTS058</v>
          </cell>
          <cell r="C237">
            <v>2.5</v>
          </cell>
          <cell r="D237">
            <v>39354</v>
          </cell>
          <cell r="E237">
            <v>78737</v>
          </cell>
          <cell r="F237" t="str">
            <v>T00339</v>
          </cell>
          <cell r="G237" t="str">
            <v>DTS058/UB1578#DTS</v>
          </cell>
          <cell r="H237">
            <v>89.84</v>
          </cell>
          <cell r="I237">
            <v>16000</v>
          </cell>
          <cell r="J237">
            <v>2874960</v>
          </cell>
          <cell r="K237">
            <v>3000000</v>
          </cell>
          <cell r="L237">
            <v>19649900</v>
          </cell>
          <cell r="M237" t="str">
            <v>LIASION CONSULTANCY SERVICES</v>
          </cell>
          <cell r="N237" t="str">
            <v>TETS 'N' RAI INTERNATIONAL</v>
          </cell>
        </row>
        <row r="238">
          <cell r="B238" t="str">
            <v>DTS059</v>
          </cell>
          <cell r="C238">
            <v>2.5</v>
          </cell>
          <cell r="D238">
            <v>39354</v>
          </cell>
          <cell r="E238">
            <v>79080</v>
          </cell>
          <cell r="F238" t="str">
            <v>T00340</v>
          </cell>
          <cell r="G238" t="str">
            <v>DTS059/UB1464#DTS</v>
          </cell>
          <cell r="H238">
            <v>124.67</v>
          </cell>
          <cell r="I238">
            <v>16000</v>
          </cell>
          <cell r="J238">
            <v>3954960</v>
          </cell>
          <cell r="K238">
            <v>3000000</v>
          </cell>
          <cell r="L238">
            <v>27037400</v>
          </cell>
          <cell r="M238" t="str">
            <v>LIASION CONSULTANCY SERVICES</v>
          </cell>
          <cell r="N238" t="str">
            <v>TETS 'N' RAI INTERNATIONAL</v>
          </cell>
        </row>
        <row r="239">
          <cell r="B239" t="str">
            <v>DTS060</v>
          </cell>
          <cell r="C239">
            <v>2.5</v>
          </cell>
          <cell r="D239">
            <v>39354</v>
          </cell>
          <cell r="E239">
            <v>78891</v>
          </cell>
          <cell r="F239" t="str">
            <v>G00775</v>
          </cell>
          <cell r="G239" t="str">
            <v>DTS060/UB1381#DTS</v>
          </cell>
          <cell r="H239">
            <v>134.43</v>
          </cell>
          <cell r="I239">
            <v>17000</v>
          </cell>
          <cell r="J239">
            <v>4148835</v>
          </cell>
          <cell r="K239">
            <v>4150000</v>
          </cell>
          <cell r="L239">
            <v>28382400</v>
          </cell>
          <cell r="M239" t="str">
            <v>AJIT ESTATES (P) LTD</v>
          </cell>
          <cell r="N239" t="str">
            <v>GOEL SONS GOLDEN ESTATE (P) L</v>
          </cell>
        </row>
        <row r="240">
          <cell r="B240" t="str">
            <v>DTS061</v>
          </cell>
          <cell r="C240">
            <v>2.5</v>
          </cell>
          <cell r="D240">
            <v>39354</v>
          </cell>
          <cell r="E240">
            <v>78979</v>
          </cell>
          <cell r="F240" t="str">
            <v>S04838</v>
          </cell>
          <cell r="G240" t="str">
            <v>DTS061/UB1496#DTS</v>
          </cell>
          <cell r="H240">
            <v>134.43</v>
          </cell>
          <cell r="I240">
            <v>17000</v>
          </cell>
          <cell r="J240">
            <v>4148835</v>
          </cell>
          <cell r="K240">
            <v>4148835</v>
          </cell>
          <cell r="L240">
            <v>28382400</v>
          </cell>
          <cell r="M240" t="str">
            <v>AJIT ESTATES (P) LTD</v>
          </cell>
          <cell r="N240" t="str">
            <v>SUNILA DASS</v>
          </cell>
        </row>
        <row r="241">
          <cell r="B241" t="str">
            <v>DTS062</v>
          </cell>
          <cell r="C241">
            <v>2.5</v>
          </cell>
          <cell r="D241">
            <v>39354</v>
          </cell>
          <cell r="E241">
            <v>79085</v>
          </cell>
          <cell r="F241" t="str">
            <v>F00070</v>
          </cell>
          <cell r="G241" t="str">
            <v>DTS062/UB1510#DTS</v>
          </cell>
          <cell r="H241">
            <v>124.67</v>
          </cell>
          <cell r="I241">
            <v>17000</v>
          </cell>
          <cell r="J241">
            <v>3854310</v>
          </cell>
          <cell r="K241">
            <v>3854310</v>
          </cell>
          <cell r="L241">
            <v>26366400</v>
          </cell>
          <cell r="M241" t="str">
            <v>AJIT ESTATES (P) LTD</v>
          </cell>
          <cell r="N241" t="str">
            <v>FCB GARMENT TEX INDIA PVT LT</v>
          </cell>
        </row>
        <row r="242">
          <cell r="B242" t="str">
            <v>DTS063</v>
          </cell>
          <cell r="C242">
            <v>2.5</v>
          </cell>
          <cell r="D242">
            <v>39354</v>
          </cell>
          <cell r="E242">
            <v>78920</v>
          </cell>
          <cell r="F242" t="str">
            <v>A03520</v>
          </cell>
          <cell r="G242" t="str">
            <v>DTS063/UB1428#DTS</v>
          </cell>
          <cell r="H242">
            <v>89.84</v>
          </cell>
          <cell r="I242">
            <v>17000</v>
          </cell>
          <cell r="J242">
            <v>3049020</v>
          </cell>
          <cell r="K242">
            <v>3049020</v>
          </cell>
          <cell r="L242">
            <v>20810300</v>
          </cell>
          <cell r="M242" t="str">
            <v>SANIYA ESTATE</v>
          </cell>
          <cell r="N242" t="str">
            <v>ANIL SATIA</v>
          </cell>
        </row>
        <row r="243">
          <cell r="B243" t="str">
            <v>DTS064</v>
          </cell>
          <cell r="C243">
            <v>2.5</v>
          </cell>
          <cell r="D243">
            <v>39354</v>
          </cell>
          <cell r="E243">
            <v>79036</v>
          </cell>
          <cell r="F243" t="str">
            <v>G00780</v>
          </cell>
          <cell r="G243" t="str">
            <v>DTS064/UB1518#DTS</v>
          </cell>
          <cell r="H243">
            <v>116.41</v>
          </cell>
          <cell r="I243">
            <v>16000</v>
          </cell>
          <cell r="J243">
            <v>3097200</v>
          </cell>
          <cell r="K243">
            <v>3000000</v>
          </cell>
          <cell r="L243">
            <v>21274500</v>
          </cell>
          <cell r="M243" t="str">
            <v>KHOSLA ESTATE</v>
          </cell>
          <cell r="N243" t="str">
            <v>GURCHARAN SINGH DHAWAN</v>
          </cell>
        </row>
        <row r="244">
          <cell r="B244" t="str">
            <v>DTS065</v>
          </cell>
          <cell r="C244">
            <v>2.5</v>
          </cell>
          <cell r="D244">
            <v>39354</v>
          </cell>
          <cell r="E244">
            <v>78852</v>
          </cell>
          <cell r="F244" t="str">
            <v>S04819</v>
          </cell>
          <cell r="G244" t="str">
            <v>DTS065/UB1539#DTS</v>
          </cell>
          <cell r="H244">
            <v>159.41999999999999</v>
          </cell>
          <cell r="I244">
            <v>16000</v>
          </cell>
          <cell r="J244">
            <v>4620240</v>
          </cell>
          <cell r="K244">
            <v>4531000</v>
          </cell>
          <cell r="L244">
            <v>31659600</v>
          </cell>
          <cell r="M244" t="str">
            <v>KHOSLA ESTATE</v>
          </cell>
          <cell r="N244" t="str">
            <v>SAMIT CHOPRA</v>
          </cell>
        </row>
        <row r="245">
          <cell r="B245" t="str">
            <v>DTS066</v>
          </cell>
          <cell r="C245">
            <v>2.5</v>
          </cell>
          <cell r="D245">
            <v>39354</v>
          </cell>
          <cell r="E245">
            <v>79020</v>
          </cell>
          <cell r="F245" t="str">
            <v>R04027</v>
          </cell>
          <cell r="G245" t="str">
            <v>DTS066/UB1520#DTS</v>
          </cell>
          <cell r="H245">
            <v>193.79</v>
          </cell>
          <cell r="I245">
            <v>16000</v>
          </cell>
          <cell r="J245">
            <v>5597040</v>
          </cell>
          <cell r="K245">
            <v>5507100</v>
          </cell>
          <cell r="L245">
            <v>38356600</v>
          </cell>
          <cell r="M245" t="str">
            <v>KHOSLA ESTATE</v>
          </cell>
          <cell r="N245" t="str">
            <v>RAJNEESH GANDHI</v>
          </cell>
        </row>
        <row r="246">
          <cell r="B246" t="str">
            <v>DTS067</v>
          </cell>
          <cell r="C246">
            <v>2.5</v>
          </cell>
          <cell r="D246">
            <v>39354</v>
          </cell>
          <cell r="E246">
            <v>79034</v>
          </cell>
          <cell r="F246" t="str">
            <v>K01299</v>
          </cell>
          <cell r="G246" t="str">
            <v>DTS067/UB1506#DTS</v>
          </cell>
          <cell r="H246">
            <v>98.01</v>
          </cell>
          <cell r="I246">
            <v>16000</v>
          </cell>
          <cell r="J246">
            <v>3128400</v>
          </cell>
          <cell r="K246">
            <v>3038400</v>
          </cell>
          <cell r="L246">
            <v>21383500</v>
          </cell>
          <cell r="M246" t="str">
            <v>KHOSLA ESTATE</v>
          </cell>
          <cell r="N246" t="str">
            <v>KUSUM LATA GANDHI</v>
          </cell>
        </row>
        <row r="247">
          <cell r="B247" t="str">
            <v>DTS068</v>
          </cell>
          <cell r="C247">
            <v>2.5</v>
          </cell>
          <cell r="D247">
            <v>39354</v>
          </cell>
          <cell r="E247">
            <v>78992</v>
          </cell>
          <cell r="F247" t="str">
            <v>B00852</v>
          </cell>
          <cell r="G247" t="str">
            <v>DTS068/UB1491#DTS</v>
          </cell>
          <cell r="H247">
            <v>64.94</v>
          </cell>
          <cell r="I247">
            <v>17000</v>
          </cell>
          <cell r="J247">
            <v>1872450</v>
          </cell>
          <cell r="K247">
            <v>1900000</v>
          </cell>
          <cell r="L247">
            <v>12832500</v>
          </cell>
          <cell r="M247" t="str">
            <v>AMIT ARORA(Real Estate Develo</v>
          </cell>
          <cell r="N247" t="str">
            <v>BHARAT PRINTERS</v>
          </cell>
        </row>
        <row r="248">
          <cell r="B248" t="str">
            <v>DTS069</v>
          </cell>
          <cell r="C248">
            <v>2.5</v>
          </cell>
          <cell r="D248">
            <v>39354</v>
          </cell>
          <cell r="E248">
            <v>78937</v>
          </cell>
          <cell r="F248" t="str">
            <v>H01003</v>
          </cell>
          <cell r="G248" t="str">
            <v>DTS069/UB1534#DTS</v>
          </cell>
          <cell r="H248">
            <v>84.82</v>
          </cell>
          <cell r="I248">
            <v>17000</v>
          </cell>
          <cell r="J248">
            <v>2883780</v>
          </cell>
          <cell r="K248">
            <v>2883780</v>
          </cell>
          <cell r="L248">
            <v>19681700</v>
          </cell>
          <cell r="M248" t="str">
            <v>HONEY &amp; CO.</v>
          </cell>
          <cell r="N248" t="str">
            <v>HONEY &amp; CO.</v>
          </cell>
        </row>
        <row r="249">
          <cell r="B249" t="str">
            <v>DTS070</v>
          </cell>
          <cell r="C249">
            <v>2.5</v>
          </cell>
          <cell r="D249">
            <v>39354</v>
          </cell>
          <cell r="E249">
            <v>79003</v>
          </cell>
          <cell r="F249" t="str">
            <v>H01017</v>
          </cell>
          <cell r="G249" t="str">
            <v>DTS070/UB1526#DTS</v>
          </cell>
          <cell r="H249">
            <v>99.96</v>
          </cell>
          <cell r="I249">
            <v>17000</v>
          </cell>
          <cell r="J249">
            <v>3108180</v>
          </cell>
          <cell r="K249">
            <v>3108180</v>
          </cell>
          <cell r="L249">
            <v>21259200</v>
          </cell>
          <cell r="M249" t="str">
            <v>HONEY &amp; CO.</v>
          </cell>
          <cell r="N249" t="str">
            <v>HONEY &amp; CO</v>
          </cell>
        </row>
        <row r="250">
          <cell r="B250" t="str">
            <v>DTS071</v>
          </cell>
          <cell r="C250">
            <v>2.5</v>
          </cell>
          <cell r="D250">
            <v>39354</v>
          </cell>
          <cell r="E250">
            <v>79025</v>
          </cell>
          <cell r="F250" t="str">
            <v>A03533</v>
          </cell>
          <cell r="G250" t="str">
            <v>DTS071/UB1469#DTS</v>
          </cell>
          <cell r="H250">
            <v>99.96</v>
          </cell>
          <cell r="I250">
            <v>17000</v>
          </cell>
          <cell r="J250">
            <v>3108180</v>
          </cell>
          <cell r="K250">
            <v>3200000</v>
          </cell>
          <cell r="L250">
            <v>21259200</v>
          </cell>
          <cell r="M250" t="str">
            <v>EASY CREDIT</v>
          </cell>
          <cell r="N250" t="str">
            <v>ARUN PURI</v>
          </cell>
        </row>
        <row r="251">
          <cell r="B251" t="str">
            <v>DTS101</v>
          </cell>
          <cell r="C251">
            <v>2.5</v>
          </cell>
          <cell r="D251">
            <v>39354</v>
          </cell>
          <cell r="E251">
            <v>78846</v>
          </cell>
          <cell r="F251" t="str">
            <v>S04817</v>
          </cell>
          <cell r="G251" t="str">
            <v>DTS101/UB1402#DTS</v>
          </cell>
          <cell r="H251">
            <v>132.19999999999999</v>
          </cell>
          <cell r="I251">
            <v>14000</v>
          </cell>
          <cell r="J251">
            <v>3078300</v>
          </cell>
          <cell r="K251">
            <v>3078300</v>
          </cell>
          <cell r="L251">
            <v>21233500</v>
          </cell>
          <cell r="M251" t="str">
            <v>TRUST VALLEY MARKETING PVT LT</v>
          </cell>
          <cell r="N251" t="str">
            <v>SAPAN MOHAN GARG HUF         _x000C_</v>
          </cell>
        </row>
        <row r="252">
          <cell r="B252" t="str">
            <v>DTS102</v>
          </cell>
          <cell r="C252">
            <v>2.5</v>
          </cell>
          <cell r="D252">
            <v>39354</v>
          </cell>
          <cell r="E252">
            <v>78953</v>
          </cell>
          <cell r="F252" t="str">
            <v>G00777</v>
          </cell>
          <cell r="G252" t="str">
            <v>DTS102/UB1549#DTS</v>
          </cell>
          <cell r="H252">
            <v>77.760000000000005</v>
          </cell>
          <cell r="I252">
            <v>14000</v>
          </cell>
          <cell r="J252">
            <v>1847700</v>
          </cell>
          <cell r="K252">
            <v>1847700</v>
          </cell>
          <cell r="L252">
            <v>12736500</v>
          </cell>
          <cell r="M252" t="str">
            <v>M/S AKANSHA ENTERPRISES</v>
          </cell>
          <cell r="N252" t="str">
            <v>GRAN OVERSEAS LTD</v>
          </cell>
        </row>
        <row r="253">
          <cell r="B253" t="str">
            <v>DTS103</v>
          </cell>
          <cell r="C253">
            <v>2.5</v>
          </cell>
          <cell r="D253">
            <v>39354</v>
          </cell>
          <cell r="E253">
            <v>78990</v>
          </cell>
          <cell r="F253" t="str">
            <v>U00338</v>
          </cell>
          <cell r="G253" t="str">
            <v>DTS103/UB1231#DTS</v>
          </cell>
          <cell r="H253">
            <v>71.91</v>
          </cell>
          <cell r="I253">
            <v>14000</v>
          </cell>
          <cell r="J253">
            <v>1715400</v>
          </cell>
          <cell r="K253">
            <v>1720000</v>
          </cell>
          <cell r="L253">
            <v>11823000</v>
          </cell>
          <cell r="M253" t="str">
            <v>AMIT ARORA(Real Estate Develo</v>
          </cell>
          <cell r="N253" t="str">
            <v>USHA SAWHNEY</v>
          </cell>
        </row>
        <row r="254">
          <cell r="B254" t="str">
            <v>DTS104</v>
          </cell>
          <cell r="C254">
            <v>2.5</v>
          </cell>
          <cell r="D254">
            <v>39354</v>
          </cell>
          <cell r="E254">
            <v>78855</v>
          </cell>
          <cell r="F254" t="str">
            <v>S04820</v>
          </cell>
          <cell r="G254" t="str">
            <v>DTS104/UB1398#DTS</v>
          </cell>
          <cell r="H254">
            <v>69.209999999999994</v>
          </cell>
          <cell r="I254">
            <v>14000</v>
          </cell>
          <cell r="J254">
            <v>1654500</v>
          </cell>
          <cell r="K254">
            <v>1654500</v>
          </cell>
          <cell r="L254">
            <v>11402500</v>
          </cell>
          <cell r="M254" t="str">
            <v>ANAND AGARWAL PROPERTIES</v>
          </cell>
          <cell r="N254" t="str">
            <v>SUKHDEV RAJ KHANNA</v>
          </cell>
        </row>
        <row r="255">
          <cell r="B255" t="str">
            <v>DTS106</v>
          </cell>
          <cell r="C255">
            <v>2.5</v>
          </cell>
          <cell r="D255">
            <v>39354</v>
          </cell>
          <cell r="E255">
            <v>79024</v>
          </cell>
          <cell r="F255" t="str">
            <v>R04029</v>
          </cell>
          <cell r="G255" t="str">
            <v>DTS106/UB1249#DTS</v>
          </cell>
          <cell r="H255">
            <v>69.209999999999994</v>
          </cell>
          <cell r="I255">
            <v>14000</v>
          </cell>
          <cell r="J255">
            <v>1654500</v>
          </cell>
          <cell r="K255">
            <v>2500000</v>
          </cell>
          <cell r="L255">
            <v>11402500</v>
          </cell>
          <cell r="M255" t="str">
            <v>SURINDER ARORA</v>
          </cell>
          <cell r="N255" t="str">
            <v>RUCHIT PURI</v>
          </cell>
        </row>
        <row r="256">
          <cell r="B256" t="str">
            <v>DTS107</v>
          </cell>
          <cell r="C256">
            <v>2.5</v>
          </cell>
          <cell r="D256">
            <v>39354</v>
          </cell>
          <cell r="E256">
            <v>79056</v>
          </cell>
          <cell r="F256" t="str">
            <v>A03535</v>
          </cell>
          <cell r="G256" t="str">
            <v>DTS107/UB1516#DTS</v>
          </cell>
          <cell r="H256">
            <v>69.209999999999994</v>
          </cell>
          <cell r="I256">
            <v>14000</v>
          </cell>
          <cell r="J256">
            <v>1654500</v>
          </cell>
          <cell r="K256">
            <v>1654500</v>
          </cell>
          <cell r="L256">
            <v>11402500</v>
          </cell>
          <cell r="M256" t="str">
            <v>GOYAL PROPERTIES</v>
          </cell>
          <cell r="N256" t="str">
            <v>ARVIND KUMAR DATTA</v>
          </cell>
        </row>
        <row r="257">
          <cell r="B257" t="str">
            <v>DTS110</v>
          </cell>
          <cell r="C257">
            <v>2.5</v>
          </cell>
          <cell r="D257">
            <v>39354</v>
          </cell>
          <cell r="E257">
            <v>78995</v>
          </cell>
          <cell r="F257" t="str">
            <v>N01131</v>
          </cell>
          <cell r="G257" t="str">
            <v>DTS110/UB1490#DTS</v>
          </cell>
          <cell r="H257">
            <v>89.93</v>
          </cell>
          <cell r="I257">
            <v>14000</v>
          </cell>
          <cell r="J257">
            <v>2122800</v>
          </cell>
          <cell r="K257">
            <v>2122800</v>
          </cell>
          <cell r="L257">
            <v>14636000</v>
          </cell>
          <cell r="M257" t="str">
            <v>HONEY &amp; CO.</v>
          </cell>
          <cell r="N257" t="str">
            <v>NEW CENTURY COLLECTION</v>
          </cell>
        </row>
        <row r="258">
          <cell r="B258" t="str">
            <v>DTS111</v>
          </cell>
          <cell r="C258">
            <v>2.5</v>
          </cell>
          <cell r="D258">
            <v>39354</v>
          </cell>
          <cell r="E258">
            <v>78998</v>
          </cell>
          <cell r="F258" t="str">
            <v>S04841</v>
          </cell>
          <cell r="G258" t="str">
            <v>DTS111/UB1524#DTS</v>
          </cell>
          <cell r="H258">
            <v>65.400000000000006</v>
          </cell>
          <cell r="I258">
            <v>14000</v>
          </cell>
          <cell r="J258">
            <v>1568400</v>
          </cell>
          <cell r="K258">
            <v>1568400</v>
          </cell>
          <cell r="L258">
            <v>10808000</v>
          </cell>
          <cell r="M258" t="str">
            <v>RITES ASSOCIATES</v>
          </cell>
          <cell r="N258" t="str">
            <v>STARKE INTERNATIONAL</v>
          </cell>
        </row>
        <row r="259">
          <cell r="B259" t="str">
            <v>DTS114</v>
          </cell>
          <cell r="C259">
            <v>2.5</v>
          </cell>
          <cell r="D259">
            <v>39354</v>
          </cell>
          <cell r="E259">
            <v>79008</v>
          </cell>
          <cell r="F259" t="str">
            <v>G00778</v>
          </cell>
          <cell r="G259" t="str">
            <v>DTS114/UB1473#DTS</v>
          </cell>
          <cell r="H259">
            <v>150.22</v>
          </cell>
          <cell r="I259">
            <v>14000</v>
          </cell>
          <cell r="J259">
            <v>3485700</v>
          </cell>
          <cell r="K259">
            <v>3485700</v>
          </cell>
          <cell r="L259">
            <v>24046500</v>
          </cell>
          <cell r="M259" t="str">
            <v>HONEY &amp; CO.</v>
          </cell>
          <cell r="N259" t="str">
            <v>GDL LEASING &amp; FINANCE LTD</v>
          </cell>
        </row>
        <row r="260">
          <cell r="B260" t="str">
            <v>DTS116</v>
          </cell>
          <cell r="C260">
            <v>2.5</v>
          </cell>
          <cell r="D260">
            <v>39354</v>
          </cell>
          <cell r="E260">
            <v>78873</v>
          </cell>
          <cell r="F260" t="str">
            <v>S04826</v>
          </cell>
          <cell r="G260" t="str">
            <v>DTS116/UB1383#DTS</v>
          </cell>
          <cell r="H260">
            <v>89.74</v>
          </cell>
          <cell r="I260">
            <v>14000</v>
          </cell>
          <cell r="J260">
            <v>2118600</v>
          </cell>
          <cell r="K260">
            <v>2118600</v>
          </cell>
          <cell r="L260">
            <v>14607000</v>
          </cell>
          <cell r="M260" t="str">
            <v>INDIA REALTY INVESTMENT SERVI</v>
          </cell>
          <cell r="N260" t="str">
            <v>SHAMA KAPOOR</v>
          </cell>
        </row>
        <row r="261">
          <cell r="B261" t="str">
            <v>DTS117</v>
          </cell>
          <cell r="C261">
            <v>2.5</v>
          </cell>
          <cell r="D261">
            <v>39354</v>
          </cell>
          <cell r="E261">
            <v>78856</v>
          </cell>
          <cell r="F261" t="str">
            <v>V02027</v>
          </cell>
          <cell r="G261" t="str">
            <v>DTS117/UB1371#DTS</v>
          </cell>
          <cell r="H261">
            <v>85</v>
          </cell>
          <cell r="I261">
            <v>14000</v>
          </cell>
          <cell r="J261">
            <v>2011500</v>
          </cell>
          <cell r="K261">
            <v>2011500</v>
          </cell>
          <cell r="L261">
            <v>13867500</v>
          </cell>
          <cell r="M261" t="str">
            <v>CAPITAL REALTY CO</v>
          </cell>
          <cell r="N261" t="str">
            <v>VIBHOR BANSAL</v>
          </cell>
        </row>
        <row r="262">
          <cell r="B262" t="str">
            <v>DTS122</v>
          </cell>
          <cell r="C262">
            <v>2.5</v>
          </cell>
          <cell r="D262">
            <v>39354</v>
          </cell>
          <cell r="E262">
            <v>78882</v>
          </cell>
          <cell r="F262" t="str">
            <v>V02030</v>
          </cell>
          <cell r="G262" t="str">
            <v>DTS122/UB1537#DTS</v>
          </cell>
          <cell r="H262">
            <v>85</v>
          </cell>
          <cell r="I262">
            <v>14000</v>
          </cell>
          <cell r="J262">
            <v>2011500</v>
          </cell>
          <cell r="K262">
            <v>2011500</v>
          </cell>
          <cell r="L262">
            <v>13867500</v>
          </cell>
          <cell r="M262" t="str">
            <v>PURE PEARL ESTATE</v>
          </cell>
          <cell r="N262" t="str">
            <v>VAIBHAV JAIN</v>
          </cell>
        </row>
        <row r="263">
          <cell r="B263" t="str">
            <v>DTS125</v>
          </cell>
          <cell r="C263">
            <v>2.5</v>
          </cell>
          <cell r="D263">
            <v>39354</v>
          </cell>
          <cell r="E263">
            <v>78880</v>
          </cell>
          <cell r="F263" t="str">
            <v>U00337</v>
          </cell>
          <cell r="G263" t="str">
            <v>DTS125/UB1382#DTS</v>
          </cell>
          <cell r="H263">
            <v>150.22</v>
          </cell>
          <cell r="I263">
            <v>14000</v>
          </cell>
          <cell r="J263">
            <v>3485700</v>
          </cell>
          <cell r="K263">
            <v>3485700</v>
          </cell>
          <cell r="L263">
            <v>24046500</v>
          </cell>
          <cell r="M263" t="str">
            <v>S M ESTATE</v>
          </cell>
          <cell r="N263" t="str">
            <v>UMESH GUPTA</v>
          </cell>
        </row>
        <row r="264">
          <cell r="B264" t="str">
            <v>DTS127</v>
          </cell>
          <cell r="C264">
            <v>2.5</v>
          </cell>
          <cell r="D264">
            <v>39354</v>
          </cell>
          <cell r="E264">
            <v>78851</v>
          </cell>
          <cell r="F264" t="str">
            <v>P01720</v>
          </cell>
          <cell r="G264" t="str">
            <v>DTS127/UB1415#DTS</v>
          </cell>
          <cell r="H264">
            <v>65.400000000000006</v>
          </cell>
          <cell r="I264">
            <v>14000</v>
          </cell>
          <cell r="J264">
            <v>1568400</v>
          </cell>
          <cell r="K264">
            <v>1568400</v>
          </cell>
          <cell r="L264">
            <v>10808000</v>
          </cell>
          <cell r="M264" t="str">
            <v>ONS REALTORS AND PROMOTERS</v>
          </cell>
          <cell r="N264" t="str">
            <v>PRASHANT BAJAJ</v>
          </cell>
        </row>
        <row r="265">
          <cell r="B265" t="str">
            <v>DTS130</v>
          </cell>
          <cell r="C265">
            <v>2.5</v>
          </cell>
          <cell r="D265">
            <v>39354</v>
          </cell>
          <cell r="E265">
            <v>78775</v>
          </cell>
          <cell r="F265" t="str">
            <v>P01712</v>
          </cell>
          <cell r="G265" t="str">
            <v>DTS130/UB1285#DTS</v>
          </cell>
          <cell r="H265">
            <v>69.209999999999994</v>
          </cell>
          <cell r="I265">
            <v>14000</v>
          </cell>
          <cell r="J265">
            <v>1654500</v>
          </cell>
          <cell r="K265">
            <v>2700000</v>
          </cell>
          <cell r="L265">
            <v>11402500</v>
          </cell>
          <cell r="M265" t="str">
            <v>S KUMAR &amp; CO.</v>
          </cell>
          <cell r="N265" t="str">
            <v>PRADEEP BAWEJA</v>
          </cell>
        </row>
        <row r="266">
          <cell r="B266" t="str">
            <v>DTS131</v>
          </cell>
          <cell r="C266">
            <v>2.5</v>
          </cell>
          <cell r="D266">
            <v>39354</v>
          </cell>
          <cell r="E266">
            <v>78918</v>
          </cell>
          <cell r="F266" t="str">
            <v>S04836</v>
          </cell>
          <cell r="G266" t="str">
            <v>DTS131/UB1466#DTS</v>
          </cell>
          <cell r="H266">
            <v>69.209999999999994</v>
          </cell>
          <cell r="I266">
            <v>14000</v>
          </cell>
          <cell r="J266">
            <v>1654500</v>
          </cell>
          <cell r="K266">
            <v>2700000</v>
          </cell>
          <cell r="L266">
            <v>11402500</v>
          </cell>
          <cell r="M266" t="str">
            <v>S KUMAR &amp; CO.</v>
          </cell>
          <cell r="N266" t="str">
            <v>SONU BUILDERS (P) LTD.</v>
          </cell>
        </row>
        <row r="267">
          <cell r="B267" t="str">
            <v>DTS132</v>
          </cell>
          <cell r="C267">
            <v>2.5</v>
          </cell>
          <cell r="D267">
            <v>39354</v>
          </cell>
          <cell r="E267">
            <v>78874</v>
          </cell>
          <cell r="F267" t="str">
            <v>R04017</v>
          </cell>
          <cell r="G267" t="str">
            <v>DTS132/UB1378#DTS</v>
          </cell>
          <cell r="H267">
            <v>69.209999999999994</v>
          </cell>
          <cell r="I267">
            <v>14000</v>
          </cell>
          <cell r="J267">
            <v>1654500</v>
          </cell>
          <cell r="K267">
            <v>1700000</v>
          </cell>
          <cell r="L267">
            <v>11402500</v>
          </cell>
          <cell r="M267" t="str">
            <v>SANJAY NAGPAL ESTATES</v>
          </cell>
          <cell r="N267" t="str">
            <v>RIMA KHOSLA</v>
          </cell>
        </row>
        <row r="268">
          <cell r="B268" t="str">
            <v>DTS133</v>
          </cell>
          <cell r="C268">
            <v>2.5</v>
          </cell>
          <cell r="D268">
            <v>39354</v>
          </cell>
          <cell r="E268">
            <v>78984</v>
          </cell>
          <cell r="F268" t="str">
            <v>V02034</v>
          </cell>
          <cell r="G268" t="str">
            <v>DTS133/UB1525#DTS</v>
          </cell>
          <cell r="H268">
            <v>69.209999999999994</v>
          </cell>
          <cell r="I268">
            <v>14000</v>
          </cell>
          <cell r="J268">
            <v>1654500</v>
          </cell>
          <cell r="K268">
            <v>1654500</v>
          </cell>
          <cell r="L268">
            <v>11402500</v>
          </cell>
          <cell r="M268" t="str">
            <v>COMMUNIQUE MARKETING SOLUTION</v>
          </cell>
          <cell r="N268" t="str">
            <v>V.P.GUPTA</v>
          </cell>
        </row>
        <row r="269">
          <cell r="B269" t="str">
            <v>DTS137</v>
          </cell>
          <cell r="C269">
            <v>2.5</v>
          </cell>
          <cell r="D269">
            <v>39354</v>
          </cell>
          <cell r="E269">
            <v>78740</v>
          </cell>
          <cell r="F269" t="str">
            <v>S04803</v>
          </cell>
          <cell r="G269" t="str">
            <v>DTS137/UB1279#DTS</v>
          </cell>
          <cell r="H269">
            <v>132.19999999999999</v>
          </cell>
          <cell r="I269">
            <v>14000</v>
          </cell>
          <cell r="J269">
            <v>3078300</v>
          </cell>
          <cell r="K269">
            <v>3078300</v>
          </cell>
          <cell r="L269">
            <v>21233500</v>
          </cell>
          <cell r="M269" t="str">
            <v>SIDDARTHA PROPERTIES</v>
          </cell>
          <cell r="N269" t="str">
            <v>SHADEZ INTERCON PVT LTD</v>
          </cell>
        </row>
        <row r="270">
          <cell r="B270" t="str">
            <v>DTS139</v>
          </cell>
          <cell r="C270">
            <v>2.5</v>
          </cell>
          <cell r="D270">
            <v>39354</v>
          </cell>
          <cell r="E270">
            <v>78923</v>
          </cell>
          <cell r="F270" t="str">
            <v>A03521</v>
          </cell>
          <cell r="G270" t="str">
            <v>DTS139/UB1546#DTS</v>
          </cell>
          <cell r="H270">
            <v>69.209999999999994</v>
          </cell>
          <cell r="I270">
            <v>14000</v>
          </cell>
          <cell r="J270">
            <v>1654500</v>
          </cell>
          <cell r="K270">
            <v>1654500</v>
          </cell>
          <cell r="L270">
            <v>11402500</v>
          </cell>
          <cell r="M270" t="str">
            <v>C S &amp; ASSOCIATES</v>
          </cell>
          <cell r="N270" t="str">
            <v>ANJALA SABHARWAL</v>
          </cell>
        </row>
        <row r="271">
          <cell r="B271" t="str">
            <v>DTS146</v>
          </cell>
          <cell r="C271">
            <v>2.5</v>
          </cell>
          <cell r="D271">
            <v>39354</v>
          </cell>
          <cell r="E271">
            <v>78933</v>
          </cell>
          <cell r="F271" t="str">
            <v>R04022</v>
          </cell>
          <cell r="G271" t="str">
            <v>DTS146/UB1550#DTS</v>
          </cell>
          <cell r="H271">
            <v>535.66999999999996</v>
          </cell>
          <cell r="I271">
            <v>14000</v>
          </cell>
          <cell r="J271">
            <v>12198600</v>
          </cell>
          <cell r="K271">
            <v>12198600</v>
          </cell>
          <cell r="L271">
            <v>84207000</v>
          </cell>
          <cell r="M271" t="str">
            <v>K.K. REAL ESTATE</v>
          </cell>
          <cell r="N271" t="str">
            <v>RAMESH SACHDEVA</v>
          </cell>
        </row>
        <row r="272">
          <cell r="B272" t="str">
            <v>DTS148</v>
          </cell>
          <cell r="C272">
            <v>2.5</v>
          </cell>
          <cell r="D272">
            <v>39354</v>
          </cell>
          <cell r="E272">
            <v>78730</v>
          </cell>
          <cell r="F272" t="str">
            <v>K01269</v>
          </cell>
          <cell r="G272" t="str">
            <v>DTS148/UB1313#DTS</v>
          </cell>
          <cell r="H272">
            <v>140.93</v>
          </cell>
          <cell r="I272">
            <v>14000</v>
          </cell>
          <cell r="J272">
            <v>3275700</v>
          </cell>
          <cell r="K272">
            <v>3275700</v>
          </cell>
          <cell r="L272">
            <v>22596500</v>
          </cell>
          <cell r="M272" t="str">
            <v>SIDDARTHA PROPERTIES</v>
          </cell>
          <cell r="N272" t="str">
            <v>KAILASH SIDDHI PROMOTERS PVT.</v>
          </cell>
        </row>
        <row r="273">
          <cell r="B273" t="str">
            <v>DTS150</v>
          </cell>
          <cell r="C273">
            <v>2.5</v>
          </cell>
          <cell r="D273">
            <v>39354</v>
          </cell>
          <cell r="E273">
            <v>78756</v>
          </cell>
          <cell r="F273" t="str">
            <v>S04806</v>
          </cell>
          <cell r="G273" t="str">
            <v>DTS150/UB1314#DTS</v>
          </cell>
          <cell r="H273">
            <v>153.85</v>
          </cell>
          <cell r="I273">
            <v>14000</v>
          </cell>
          <cell r="J273">
            <v>3567600</v>
          </cell>
          <cell r="K273">
            <v>3567600</v>
          </cell>
          <cell r="L273">
            <v>24612000</v>
          </cell>
          <cell r="M273" t="str">
            <v>SURINDER ARORA</v>
          </cell>
          <cell r="N273" t="str">
            <v>SARITA HANDA</v>
          </cell>
        </row>
        <row r="274">
          <cell r="B274" t="str">
            <v>DTS152</v>
          </cell>
          <cell r="C274">
            <v>2.5</v>
          </cell>
          <cell r="D274">
            <v>39354</v>
          </cell>
          <cell r="E274">
            <v>78809</v>
          </cell>
          <cell r="F274" t="str">
            <v>S04813</v>
          </cell>
          <cell r="G274" t="str">
            <v>DTS152/UB1267#DTS</v>
          </cell>
          <cell r="H274">
            <v>173.07</v>
          </cell>
          <cell r="I274">
            <v>14000</v>
          </cell>
          <cell r="J274">
            <v>4002300</v>
          </cell>
          <cell r="K274">
            <v>3567600</v>
          </cell>
          <cell r="L274">
            <v>27613500</v>
          </cell>
          <cell r="M274" t="str">
            <v>SURINDER ARORA</v>
          </cell>
          <cell r="N274" t="str">
            <v>SARITA HANDA</v>
          </cell>
        </row>
        <row r="275">
          <cell r="B275" t="str">
            <v>DTS153</v>
          </cell>
          <cell r="C275">
            <v>2.5</v>
          </cell>
          <cell r="D275">
            <v>39354</v>
          </cell>
          <cell r="E275">
            <v>79041</v>
          </cell>
          <cell r="F275" t="str">
            <v>J01506</v>
          </cell>
          <cell r="G275" t="str">
            <v>DTS153/UB1504#DTS</v>
          </cell>
          <cell r="H275">
            <v>535.66999999999996</v>
          </cell>
          <cell r="I275">
            <v>14000</v>
          </cell>
          <cell r="J275">
            <v>12198600</v>
          </cell>
          <cell r="K275">
            <v>12200000</v>
          </cell>
          <cell r="L275">
            <v>84207000</v>
          </cell>
          <cell r="M275" t="str">
            <v>ARVIND ESTATES (P) LTD</v>
          </cell>
          <cell r="N275" t="str">
            <v>JINDAL ART GLASS INNOVATIONS</v>
          </cell>
        </row>
        <row r="276">
          <cell r="B276" t="str">
            <v>DTS154</v>
          </cell>
          <cell r="C276">
            <v>2.5</v>
          </cell>
          <cell r="D276">
            <v>39354</v>
          </cell>
          <cell r="E276">
            <v>79021</v>
          </cell>
          <cell r="F276" t="str">
            <v>R04028</v>
          </cell>
          <cell r="G276" t="str">
            <v>DTS154/UB1508#DTS</v>
          </cell>
          <cell r="H276">
            <v>182.65</v>
          </cell>
          <cell r="I276">
            <v>14000</v>
          </cell>
          <cell r="J276">
            <v>4218600</v>
          </cell>
          <cell r="K276">
            <v>4218600</v>
          </cell>
          <cell r="L276">
            <v>29107000</v>
          </cell>
          <cell r="M276" t="str">
            <v>OPC REALTORS</v>
          </cell>
          <cell r="N276" t="str">
            <v>RAHUL JUNEJA                 _x000C_</v>
          </cell>
        </row>
        <row r="277">
          <cell r="B277" t="str">
            <v>DTS158</v>
          </cell>
          <cell r="C277">
            <v>2.5</v>
          </cell>
          <cell r="D277">
            <v>39354</v>
          </cell>
          <cell r="E277">
            <v>78970</v>
          </cell>
          <cell r="F277" t="str">
            <v>P01723</v>
          </cell>
          <cell r="G277" t="str">
            <v>DTS158/UB1555#DTS</v>
          </cell>
          <cell r="H277">
            <v>178.84</v>
          </cell>
          <cell r="I277">
            <v>14000</v>
          </cell>
          <cell r="J277">
            <v>4132500</v>
          </cell>
          <cell r="K277">
            <v>4132500</v>
          </cell>
          <cell r="L277">
            <v>28512500</v>
          </cell>
          <cell r="M277" t="str">
            <v>K.K. REAL ESTATE</v>
          </cell>
          <cell r="N277" t="str">
            <v>PAWAN KATYAL</v>
          </cell>
        </row>
        <row r="278">
          <cell r="B278" t="str">
            <v>DTS159</v>
          </cell>
          <cell r="C278">
            <v>2.5</v>
          </cell>
          <cell r="D278">
            <v>39354</v>
          </cell>
          <cell r="E278">
            <v>78819</v>
          </cell>
          <cell r="F278" t="str">
            <v>S04814</v>
          </cell>
          <cell r="G278" t="str">
            <v>DTS159/UB1329#DTS</v>
          </cell>
          <cell r="H278">
            <v>65.400000000000006</v>
          </cell>
          <cell r="I278">
            <v>14000</v>
          </cell>
          <cell r="J278">
            <v>1568400</v>
          </cell>
          <cell r="K278">
            <v>1568400</v>
          </cell>
          <cell r="L278">
            <v>10808000</v>
          </cell>
          <cell r="M278" t="str">
            <v>KHUSHI HOUSING SOLUTIONS</v>
          </cell>
          <cell r="N278" t="str">
            <v>SURYA NARAIN BAJAJ</v>
          </cell>
        </row>
        <row r="279">
          <cell r="B279" t="str">
            <v>DTS160</v>
          </cell>
          <cell r="C279">
            <v>2.5</v>
          </cell>
          <cell r="D279">
            <v>39354</v>
          </cell>
          <cell r="E279">
            <v>79044</v>
          </cell>
          <cell r="F279" t="str">
            <v>S04844</v>
          </cell>
          <cell r="G279" t="str">
            <v>DTS160/UB1255#DTS</v>
          </cell>
          <cell r="H279">
            <v>89.93</v>
          </cell>
          <cell r="I279">
            <v>14000</v>
          </cell>
          <cell r="J279">
            <v>2122800</v>
          </cell>
          <cell r="K279">
            <v>2122800</v>
          </cell>
          <cell r="L279">
            <v>14636000</v>
          </cell>
          <cell r="M279" t="str">
            <v>KHUSHI HOUSING SOLUTIONS</v>
          </cell>
          <cell r="N279" t="str">
            <v>SANJAY KUMAR RATRA</v>
          </cell>
        </row>
        <row r="280">
          <cell r="B280" t="str">
            <v>DTS161</v>
          </cell>
          <cell r="C280">
            <v>2.5</v>
          </cell>
          <cell r="D280">
            <v>39354</v>
          </cell>
          <cell r="E280">
            <v>79066</v>
          </cell>
          <cell r="F280" t="str">
            <v>A03536</v>
          </cell>
          <cell r="G280" t="str">
            <v>DTS161/UB1365#DTS</v>
          </cell>
          <cell r="H280">
            <v>89.93</v>
          </cell>
          <cell r="I280">
            <v>14000</v>
          </cell>
          <cell r="J280">
            <v>2122800</v>
          </cell>
          <cell r="K280">
            <v>2700000</v>
          </cell>
          <cell r="L280">
            <v>14636000</v>
          </cell>
          <cell r="M280">
            <v>14636000</v>
          </cell>
          <cell r="N280" t="str">
            <v>ARYAN GRANITES &amp; MONUMENTS (P</v>
          </cell>
        </row>
        <row r="281">
          <cell r="B281" t="str">
            <v>DTS201</v>
          </cell>
          <cell r="C281">
            <v>2.5</v>
          </cell>
          <cell r="D281">
            <v>39354</v>
          </cell>
          <cell r="E281">
            <v>78881</v>
          </cell>
          <cell r="F281" t="str">
            <v>H00991</v>
          </cell>
          <cell r="G281" t="str">
            <v>DTS201/UB1447#DTS</v>
          </cell>
          <cell r="H281">
            <v>132.19999999999999</v>
          </cell>
          <cell r="I281">
            <v>12000</v>
          </cell>
          <cell r="J281">
            <v>2651400</v>
          </cell>
          <cell r="K281">
            <v>2651400</v>
          </cell>
          <cell r="L281">
            <v>18387500</v>
          </cell>
          <cell r="M281" t="str">
            <v>AMIT ARORA(Real Estate Develo</v>
          </cell>
          <cell r="N281" t="str">
            <v>HULAS RAHUL GUPTA</v>
          </cell>
        </row>
        <row r="282">
          <cell r="B282" t="str">
            <v>DTS202</v>
          </cell>
          <cell r="C282">
            <v>2.5</v>
          </cell>
          <cell r="D282">
            <v>39354</v>
          </cell>
          <cell r="E282">
            <v>78890</v>
          </cell>
          <cell r="F282" t="str">
            <v>H00992</v>
          </cell>
          <cell r="G282" t="str">
            <v>DTS202/UB1448#DTS</v>
          </cell>
          <cell r="H282">
            <v>77.760000000000005</v>
          </cell>
          <cell r="I282">
            <v>12000</v>
          </cell>
          <cell r="J282">
            <v>1596600</v>
          </cell>
          <cell r="K282">
            <v>1596600</v>
          </cell>
          <cell r="L282">
            <v>11062500</v>
          </cell>
          <cell r="M282" t="str">
            <v>AMIT ARORA(Real Estate Develo</v>
          </cell>
          <cell r="N282" t="str">
            <v>HULAS RAHUL GUPTA</v>
          </cell>
        </row>
        <row r="283">
          <cell r="B283" t="str">
            <v>DTS203</v>
          </cell>
          <cell r="C283">
            <v>2.5</v>
          </cell>
          <cell r="D283">
            <v>39354</v>
          </cell>
          <cell r="E283">
            <v>78892</v>
          </cell>
          <cell r="F283" t="str">
            <v>H00993</v>
          </cell>
          <cell r="G283" t="str">
            <v>DTS203/UB1449#DTS</v>
          </cell>
          <cell r="H283">
            <v>71.91</v>
          </cell>
          <cell r="I283">
            <v>11000</v>
          </cell>
          <cell r="J283">
            <v>1367100</v>
          </cell>
          <cell r="K283">
            <v>1367100</v>
          </cell>
          <cell r="L283">
            <v>9501000</v>
          </cell>
          <cell r="M283" t="str">
            <v>AMIT ARORA(Real Estate Develo</v>
          </cell>
          <cell r="N283" t="str">
            <v>HULAS RAHUL GUPTA</v>
          </cell>
        </row>
        <row r="284">
          <cell r="B284" t="str">
            <v>DTS204</v>
          </cell>
          <cell r="C284">
            <v>2.5</v>
          </cell>
          <cell r="D284">
            <v>39354</v>
          </cell>
          <cell r="E284">
            <v>78898</v>
          </cell>
          <cell r="F284" t="str">
            <v>H00994</v>
          </cell>
          <cell r="G284" t="str">
            <v>DTS204/UB1450#DTS</v>
          </cell>
          <cell r="H284">
            <v>69.209999999999994</v>
          </cell>
          <cell r="I284">
            <v>11000</v>
          </cell>
          <cell r="J284">
            <v>1319250</v>
          </cell>
          <cell r="K284">
            <v>1319250</v>
          </cell>
          <cell r="L284">
            <v>9167500</v>
          </cell>
          <cell r="M284" t="str">
            <v>AMIT ARORA(Real Estate Develo</v>
          </cell>
          <cell r="N284" t="str">
            <v>HULAS RAHUL GUPTA</v>
          </cell>
        </row>
        <row r="285">
          <cell r="B285" t="str">
            <v>DTS205</v>
          </cell>
          <cell r="C285">
            <v>2.5</v>
          </cell>
          <cell r="D285">
            <v>39354</v>
          </cell>
          <cell r="E285">
            <v>78900</v>
          </cell>
          <cell r="F285" t="str">
            <v>H00995</v>
          </cell>
          <cell r="G285" t="str">
            <v>DTS205/UB1451#DTS</v>
          </cell>
          <cell r="H285">
            <v>69.209999999999994</v>
          </cell>
          <cell r="I285">
            <v>11000</v>
          </cell>
          <cell r="J285">
            <v>1319250</v>
          </cell>
          <cell r="K285">
            <v>1319250</v>
          </cell>
          <cell r="L285">
            <v>9167500</v>
          </cell>
          <cell r="M285" t="str">
            <v>AMIT ARORA(Real Estate Develo</v>
          </cell>
          <cell r="N285" t="str">
            <v>HULAS RAHUL GUPTA</v>
          </cell>
        </row>
        <row r="286">
          <cell r="B286" t="str">
            <v>DTS206</v>
          </cell>
          <cell r="C286">
            <v>2.5</v>
          </cell>
          <cell r="D286">
            <v>39354</v>
          </cell>
          <cell r="E286">
            <v>78907</v>
          </cell>
          <cell r="F286" t="str">
            <v>H00996</v>
          </cell>
          <cell r="G286" t="str">
            <v>DTS206/UB1452#DTS</v>
          </cell>
          <cell r="H286">
            <v>69.209999999999994</v>
          </cell>
          <cell r="I286">
            <v>11000</v>
          </cell>
          <cell r="J286">
            <v>1319250</v>
          </cell>
          <cell r="K286">
            <v>1319250</v>
          </cell>
          <cell r="L286">
            <v>9167500</v>
          </cell>
          <cell r="M286" t="str">
            <v>AMIT ARORA(Real Estate Develo</v>
          </cell>
          <cell r="N286" t="str">
            <v>HULAS RAHUL GUPTA</v>
          </cell>
        </row>
        <row r="287">
          <cell r="B287" t="str">
            <v>DTS207</v>
          </cell>
          <cell r="C287">
            <v>2.5</v>
          </cell>
          <cell r="D287">
            <v>39354</v>
          </cell>
          <cell r="E287">
            <v>78910</v>
          </cell>
          <cell r="F287" t="str">
            <v>H00997</v>
          </cell>
          <cell r="G287" t="str">
            <v>DTS207/UB1453#DTS</v>
          </cell>
          <cell r="H287">
            <v>69.209999999999994</v>
          </cell>
          <cell r="I287">
            <v>11000</v>
          </cell>
          <cell r="J287">
            <v>1319250</v>
          </cell>
          <cell r="K287">
            <v>1319250</v>
          </cell>
          <cell r="L287">
            <v>9167500</v>
          </cell>
          <cell r="M287" t="str">
            <v>AMIT ARORA(Real Estate Develo</v>
          </cell>
          <cell r="N287" t="str">
            <v>HULAS RAHUL GUPTA</v>
          </cell>
        </row>
        <row r="288">
          <cell r="B288" t="str">
            <v>DTS208</v>
          </cell>
          <cell r="C288">
            <v>2.5</v>
          </cell>
          <cell r="D288">
            <v>39354</v>
          </cell>
          <cell r="E288">
            <v>78912</v>
          </cell>
          <cell r="F288" t="str">
            <v>H00998</v>
          </cell>
          <cell r="G288" t="str">
            <v>DTS208/UB1454#DTS</v>
          </cell>
          <cell r="H288">
            <v>69.209999999999994</v>
          </cell>
          <cell r="I288">
            <v>11000</v>
          </cell>
          <cell r="J288">
            <v>1319250</v>
          </cell>
          <cell r="K288">
            <v>1319250</v>
          </cell>
          <cell r="L288">
            <v>9167500</v>
          </cell>
          <cell r="M288" t="str">
            <v>AMIT ARORA(Real Estate Develo</v>
          </cell>
          <cell r="N288" t="str">
            <v>HULAS RAHUL GUPTA</v>
          </cell>
        </row>
        <row r="289">
          <cell r="B289" t="str">
            <v>DTS209</v>
          </cell>
          <cell r="C289">
            <v>2.5</v>
          </cell>
          <cell r="D289">
            <v>39354</v>
          </cell>
          <cell r="E289">
            <v>78921</v>
          </cell>
          <cell r="F289" t="str">
            <v>H01000</v>
          </cell>
          <cell r="G289" t="str">
            <v>DTS209/UB1455#DTS</v>
          </cell>
          <cell r="H289">
            <v>90.02</v>
          </cell>
          <cell r="I289">
            <v>12000</v>
          </cell>
          <cell r="J289">
            <v>1834200</v>
          </cell>
          <cell r="K289">
            <v>1834200</v>
          </cell>
          <cell r="L289">
            <v>12712500</v>
          </cell>
          <cell r="M289" t="str">
            <v>AMIT ARORA(Real Estate Develo</v>
          </cell>
          <cell r="N289" t="str">
            <v>HULAS RAHUL GUPTA</v>
          </cell>
        </row>
        <row r="290">
          <cell r="B290" t="str">
            <v>DTS210</v>
          </cell>
          <cell r="C290">
            <v>2.5</v>
          </cell>
          <cell r="D290">
            <v>39354</v>
          </cell>
          <cell r="E290">
            <v>78925</v>
          </cell>
          <cell r="F290" t="str">
            <v>H01001</v>
          </cell>
          <cell r="G290" t="str">
            <v>DTS210/UB1456#DTS</v>
          </cell>
          <cell r="H290">
            <v>89.93</v>
          </cell>
          <cell r="I290">
            <v>12000</v>
          </cell>
          <cell r="J290">
            <v>1832400</v>
          </cell>
          <cell r="K290">
            <v>1832400</v>
          </cell>
          <cell r="L290">
            <v>12700000</v>
          </cell>
          <cell r="M290" t="str">
            <v>AMIT ARORA(Real Estate Develo</v>
          </cell>
          <cell r="N290" t="str">
            <v>HULAS RAHUL GUPTA</v>
          </cell>
        </row>
        <row r="291">
          <cell r="B291" t="str">
            <v>DTS211</v>
          </cell>
          <cell r="C291">
            <v>2.5</v>
          </cell>
          <cell r="D291">
            <v>39354</v>
          </cell>
          <cell r="E291">
            <v>78929</v>
          </cell>
          <cell r="F291" t="str">
            <v>H01004</v>
          </cell>
          <cell r="G291" t="str">
            <v>DTS211/UB1457#DTS</v>
          </cell>
          <cell r="H291">
            <v>65.400000000000006</v>
          </cell>
          <cell r="I291">
            <v>12000</v>
          </cell>
          <cell r="J291">
            <v>1357200</v>
          </cell>
          <cell r="K291">
            <v>1357200</v>
          </cell>
          <cell r="L291">
            <v>9400000</v>
          </cell>
          <cell r="M291" t="str">
            <v>AMIT ARORA(Real Estate Develo</v>
          </cell>
          <cell r="N291" t="str">
            <v>HULAS RAHUL GUPTA</v>
          </cell>
        </row>
        <row r="292">
          <cell r="B292" t="str">
            <v>DTS212</v>
          </cell>
          <cell r="C292">
            <v>2.5</v>
          </cell>
          <cell r="D292">
            <v>39354</v>
          </cell>
          <cell r="E292">
            <v>78932</v>
          </cell>
          <cell r="F292" t="str">
            <v>H01005</v>
          </cell>
          <cell r="G292" t="str">
            <v>DTS212/UB1458#DTS</v>
          </cell>
          <cell r="H292">
            <v>114.08</v>
          </cell>
          <cell r="I292">
            <v>12000</v>
          </cell>
          <cell r="J292">
            <v>2300400</v>
          </cell>
          <cell r="K292">
            <v>2764850</v>
          </cell>
          <cell r="L292">
            <v>15950000</v>
          </cell>
          <cell r="M292" t="str">
            <v>AMIT ARORA(Real Estate Develo</v>
          </cell>
          <cell r="N292" t="str">
            <v>HULAS RAHUL GUPTA</v>
          </cell>
        </row>
        <row r="293">
          <cell r="B293" t="str">
            <v>DTS214</v>
          </cell>
          <cell r="C293">
            <v>2.5</v>
          </cell>
          <cell r="D293">
            <v>39354</v>
          </cell>
          <cell r="E293">
            <v>78801</v>
          </cell>
          <cell r="F293" t="str">
            <v>J01489</v>
          </cell>
          <cell r="G293" t="str">
            <v>DTS214/UB1338#DTS</v>
          </cell>
          <cell r="H293">
            <v>150.22</v>
          </cell>
          <cell r="I293">
            <v>11000</v>
          </cell>
          <cell r="J293">
            <v>2758050</v>
          </cell>
          <cell r="K293">
            <v>2759000</v>
          </cell>
          <cell r="L293">
            <v>19195500</v>
          </cell>
          <cell r="M293" t="str">
            <v>ARVIND ESTATES (P) LTD</v>
          </cell>
          <cell r="N293" t="str">
            <v>JINDAL ART GLASS INNOVATIONS</v>
          </cell>
        </row>
        <row r="294">
          <cell r="B294" t="str">
            <v>DTS215</v>
          </cell>
          <cell r="C294">
            <v>2.5</v>
          </cell>
          <cell r="D294">
            <v>39354</v>
          </cell>
          <cell r="E294">
            <v>78789</v>
          </cell>
          <cell r="F294" t="str">
            <v>J01487</v>
          </cell>
          <cell r="G294" t="str">
            <v>DTS215/UB1287#DTS</v>
          </cell>
          <cell r="H294">
            <v>89</v>
          </cell>
          <cell r="I294">
            <v>11000</v>
          </cell>
          <cell r="J294">
            <v>1670700</v>
          </cell>
          <cell r="K294">
            <v>1671000</v>
          </cell>
          <cell r="L294">
            <v>11617000</v>
          </cell>
          <cell r="M294" t="str">
            <v>ARVIND ESTATES (P) LTD</v>
          </cell>
          <cell r="N294" t="str">
            <v>JINDAL ART GLASS INNOVATIONS</v>
          </cell>
        </row>
        <row r="295">
          <cell r="B295" t="str">
            <v>DTS216</v>
          </cell>
          <cell r="C295">
            <v>2.5</v>
          </cell>
          <cell r="D295">
            <v>39354</v>
          </cell>
          <cell r="E295">
            <v>78782</v>
          </cell>
          <cell r="F295" t="str">
            <v>J01484</v>
          </cell>
          <cell r="G295" t="str">
            <v>DTS216/UB1280#DTS</v>
          </cell>
          <cell r="H295">
            <v>89.74</v>
          </cell>
          <cell r="I295">
            <v>11000</v>
          </cell>
          <cell r="J295">
            <v>1683900</v>
          </cell>
          <cell r="K295">
            <v>1684000</v>
          </cell>
          <cell r="L295">
            <v>11709000</v>
          </cell>
          <cell r="M295" t="str">
            <v>ARVIND ESTATES (P) LTD</v>
          </cell>
          <cell r="N295" t="str">
            <v>JINDAL ART GLASS INNOVATIONS</v>
          </cell>
        </row>
        <row r="296">
          <cell r="B296" t="str">
            <v>DTS217</v>
          </cell>
          <cell r="C296">
            <v>2.5</v>
          </cell>
          <cell r="D296">
            <v>39354</v>
          </cell>
          <cell r="E296">
            <v>78786</v>
          </cell>
          <cell r="F296" t="str">
            <v>J01485</v>
          </cell>
          <cell r="G296" t="str">
            <v>DTS217/UB1283#DTS</v>
          </cell>
          <cell r="H296">
            <v>85</v>
          </cell>
          <cell r="I296">
            <v>11000</v>
          </cell>
          <cell r="J296">
            <v>1599750</v>
          </cell>
          <cell r="K296">
            <v>1600000</v>
          </cell>
          <cell r="L296">
            <v>11122500</v>
          </cell>
          <cell r="M296" t="str">
            <v>ARVIND ESTATES (P) LTD</v>
          </cell>
          <cell r="N296" t="str">
            <v>JINDAL ART GLASS INNOVATIONS</v>
          </cell>
        </row>
        <row r="297">
          <cell r="B297" t="str">
            <v>DTS218</v>
          </cell>
          <cell r="C297">
            <v>2.5</v>
          </cell>
          <cell r="D297">
            <v>39354</v>
          </cell>
          <cell r="E297">
            <v>78889</v>
          </cell>
          <cell r="F297" t="str">
            <v>J01493</v>
          </cell>
          <cell r="G297" t="str">
            <v>DTS218/UB1394#DTS</v>
          </cell>
          <cell r="H297">
            <v>69.209999999999994</v>
          </cell>
          <cell r="I297">
            <v>11000</v>
          </cell>
          <cell r="J297">
            <v>1319250</v>
          </cell>
          <cell r="K297">
            <v>1320000</v>
          </cell>
          <cell r="L297">
            <v>9167500</v>
          </cell>
          <cell r="M297" t="str">
            <v>ARVIND ESTATES (P) LTD</v>
          </cell>
          <cell r="N297" t="str">
            <v>JINDAL ART GLASS INNOVATIONS</v>
          </cell>
        </row>
        <row r="298">
          <cell r="B298" t="str">
            <v>DTS219</v>
          </cell>
          <cell r="C298">
            <v>2.5</v>
          </cell>
          <cell r="D298">
            <v>39354</v>
          </cell>
          <cell r="E298">
            <v>78800</v>
          </cell>
          <cell r="F298" t="str">
            <v>J01488</v>
          </cell>
          <cell r="G298" t="str">
            <v>DTS219/UB1336#DTS</v>
          </cell>
          <cell r="H298">
            <v>75.53</v>
          </cell>
          <cell r="I298">
            <v>11000</v>
          </cell>
          <cell r="J298">
            <v>1431450</v>
          </cell>
          <cell r="K298">
            <v>1432000</v>
          </cell>
          <cell r="L298">
            <v>9949500</v>
          </cell>
          <cell r="M298" t="str">
            <v>ARVIND ESTATES (P) LTD</v>
          </cell>
          <cell r="N298" t="str">
            <v>JINDAL ART GLASS INNOVATIONS</v>
          </cell>
        </row>
        <row r="299">
          <cell r="B299" t="str">
            <v>DTS220</v>
          </cell>
          <cell r="C299">
            <v>2.5</v>
          </cell>
          <cell r="D299">
            <v>39354</v>
          </cell>
          <cell r="E299">
            <v>79054</v>
          </cell>
          <cell r="F299" t="str">
            <v>J01508</v>
          </cell>
          <cell r="G299" t="str">
            <v>DTS220/UB1335#DTS</v>
          </cell>
          <cell r="H299">
            <v>75.53</v>
          </cell>
          <cell r="I299">
            <v>11000</v>
          </cell>
          <cell r="J299">
            <v>1431450</v>
          </cell>
          <cell r="K299">
            <v>1432000</v>
          </cell>
          <cell r="L299">
            <v>9949500</v>
          </cell>
          <cell r="M299" t="str">
            <v>ARVIND ESTATES (P) LTD</v>
          </cell>
          <cell r="N299" t="str">
            <v>JINDAL ART GLASS INNOVATIONS</v>
          </cell>
        </row>
        <row r="300">
          <cell r="B300" t="str">
            <v>DTS221</v>
          </cell>
          <cell r="C300">
            <v>2.5</v>
          </cell>
          <cell r="D300">
            <v>39354</v>
          </cell>
          <cell r="E300">
            <v>78945</v>
          </cell>
          <cell r="F300" t="str">
            <v>J01497</v>
          </cell>
          <cell r="G300" t="str">
            <v>DTS221/UB1334#DTS</v>
          </cell>
          <cell r="H300">
            <v>69.209999999999994</v>
          </cell>
          <cell r="I300">
            <v>11000</v>
          </cell>
          <cell r="J300">
            <v>1319250</v>
          </cell>
          <cell r="K300">
            <v>1320000</v>
          </cell>
          <cell r="L300">
            <v>9167500</v>
          </cell>
          <cell r="M300" t="str">
            <v>ARVIND ESTATES (P) LTD</v>
          </cell>
          <cell r="N300" t="str">
            <v>JINDAL ART GLASS INNOVATIONS</v>
          </cell>
        </row>
        <row r="301">
          <cell r="B301" t="str">
            <v>DTS222</v>
          </cell>
          <cell r="C301">
            <v>2.5</v>
          </cell>
          <cell r="D301">
            <v>39354</v>
          </cell>
          <cell r="E301">
            <v>78771</v>
          </cell>
          <cell r="F301" t="str">
            <v>J01483</v>
          </cell>
          <cell r="G301" t="str">
            <v>DTS222/UB1315#DTS</v>
          </cell>
          <cell r="H301">
            <v>85</v>
          </cell>
          <cell r="I301">
            <v>11000</v>
          </cell>
          <cell r="J301">
            <v>1599750</v>
          </cell>
          <cell r="K301">
            <v>1600000</v>
          </cell>
          <cell r="L301">
            <v>11122500</v>
          </cell>
          <cell r="M301" t="str">
            <v>ARVIND ESTATES (P) LTD</v>
          </cell>
          <cell r="N301" t="str">
            <v>JINDAL ART GLASS INNOVATIONS _x000C_</v>
          </cell>
        </row>
        <row r="302">
          <cell r="B302" t="str">
            <v>DTS223</v>
          </cell>
          <cell r="C302">
            <v>2.5</v>
          </cell>
          <cell r="D302">
            <v>39354</v>
          </cell>
          <cell r="E302">
            <v>78931</v>
          </cell>
          <cell r="F302" t="str">
            <v>J01496</v>
          </cell>
          <cell r="G302" t="str">
            <v>DTS223/UB1332#DTS</v>
          </cell>
          <cell r="H302">
            <v>89.74</v>
          </cell>
          <cell r="I302">
            <v>11000</v>
          </cell>
          <cell r="J302">
            <v>1683900</v>
          </cell>
          <cell r="K302">
            <v>1684000</v>
          </cell>
          <cell r="L302">
            <v>11709000</v>
          </cell>
          <cell r="M302" t="str">
            <v>ARVIND ESTATES (P) LTD</v>
          </cell>
          <cell r="N302" t="str">
            <v>JINDAL ART GLASS INNOVATIONS</v>
          </cell>
        </row>
        <row r="303">
          <cell r="B303" t="str">
            <v>DTS224</v>
          </cell>
          <cell r="C303">
            <v>2.5</v>
          </cell>
          <cell r="D303">
            <v>39354</v>
          </cell>
          <cell r="E303">
            <v>79083</v>
          </cell>
          <cell r="F303" t="str">
            <v>J01509</v>
          </cell>
          <cell r="G303" t="str">
            <v>DTS224/UB1478#DTS</v>
          </cell>
          <cell r="H303">
            <v>89</v>
          </cell>
          <cell r="I303">
            <v>11000</v>
          </cell>
          <cell r="J303">
            <v>1670700</v>
          </cell>
          <cell r="K303">
            <v>1671000</v>
          </cell>
          <cell r="L303">
            <v>11617000</v>
          </cell>
          <cell r="M303" t="str">
            <v>ARVIND ESTATES (P) LTD</v>
          </cell>
          <cell r="N303" t="str">
            <v>JINDAL ART GLASS INNOVATION P</v>
          </cell>
        </row>
        <row r="304">
          <cell r="B304" t="str">
            <v>DTS225</v>
          </cell>
          <cell r="C304">
            <v>2.5</v>
          </cell>
          <cell r="D304">
            <v>39354</v>
          </cell>
          <cell r="E304">
            <v>78885</v>
          </cell>
          <cell r="F304" t="str">
            <v>J01491</v>
          </cell>
          <cell r="G304" t="str">
            <v>DTS225/UB1395#DTS</v>
          </cell>
          <cell r="H304">
            <v>150.22</v>
          </cell>
          <cell r="I304">
            <v>11000</v>
          </cell>
          <cell r="J304">
            <v>2758050</v>
          </cell>
          <cell r="K304">
            <v>2759000</v>
          </cell>
          <cell r="L304">
            <v>19195500</v>
          </cell>
          <cell r="M304" t="str">
            <v>ARVIND ESTATES (P) LTD</v>
          </cell>
          <cell r="N304" t="str">
            <v>JINDAL ART GLASS INNOVATIONS</v>
          </cell>
        </row>
        <row r="305">
          <cell r="B305" t="str">
            <v>DTS226</v>
          </cell>
          <cell r="C305">
            <v>2.5</v>
          </cell>
          <cell r="D305">
            <v>39354</v>
          </cell>
          <cell r="E305">
            <v>78911</v>
          </cell>
          <cell r="F305" t="str">
            <v>K01276</v>
          </cell>
          <cell r="G305" t="str">
            <v>DTS226/UB1431#DTS</v>
          </cell>
          <cell r="H305">
            <v>114.08</v>
          </cell>
          <cell r="I305">
            <v>11000</v>
          </cell>
          <cell r="J305">
            <v>2116200</v>
          </cell>
          <cell r="K305">
            <v>2116200</v>
          </cell>
          <cell r="L305">
            <v>14722000</v>
          </cell>
          <cell r="M305" t="str">
            <v>C S &amp; ASSOCIATES</v>
          </cell>
          <cell r="N305" t="str">
            <v>KURIA MAL REAL ESTATE PVT. LT</v>
          </cell>
        </row>
        <row r="306">
          <cell r="B306" t="str">
            <v>DTS227</v>
          </cell>
          <cell r="C306">
            <v>2.5</v>
          </cell>
          <cell r="D306">
            <v>39354</v>
          </cell>
          <cell r="E306">
            <v>78917</v>
          </cell>
          <cell r="F306" t="str">
            <v>K01277</v>
          </cell>
          <cell r="G306" t="str">
            <v>DTS227/UB1432#DTS</v>
          </cell>
          <cell r="H306">
            <v>65.400000000000006</v>
          </cell>
          <cell r="I306">
            <v>13000</v>
          </cell>
          <cell r="J306">
            <v>1462800</v>
          </cell>
          <cell r="K306">
            <v>1462800</v>
          </cell>
          <cell r="L306">
            <v>10104000</v>
          </cell>
          <cell r="M306" t="str">
            <v>C S &amp; ASSOCIATES</v>
          </cell>
          <cell r="N306" t="str">
            <v>KURIA MAL REAL ESTATE PVT. LT</v>
          </cell>
        </row>
        <row r="307">
          <cell r="B307" t="str">
            <v>DTS228</v>
          </cell>
          <cell r="C307">
            <v>2.5</v>
          </cell>
          <cell r="D307">
            <v>39354</v>
          </cell>
          <cell r="E307">
            <v>78919</v>
          </cell>
          <cell r="F307" t="str">
            <v>K01278</v>
          </cell>
          <cell r="G307" t="str">
            <v>DTS228/UB1433#DTS</v>
          </cell>
          <cell r="H307">
            <v>89.93</v>
          </cell>
          <cell r="I307">
            <v>11000</v>
          </cell>
          <cell r="J307">
            <v>1687200</v>
          </cell>
          <cell r="K307">
            <v>1687200</v>
          </cell>
          <cell r="L307">
            <v>11732000</v>
          </cell>
          <cell r="M307" t="str">
            <v>C S &amp; ASSOCIATES</v>
          </cell>
          <cell r="N307" t="str">
            <v>KURIA MAL REAL ESTATE PVT. LT</v>
          </cell>
        </row>
        <row r="308">
          <cell r="B308" t="str">
            <v>DTS229</v>
          </cell>
          <cell r="C308">
            <v>2.5</v>
          </cell>
          <cell r="D308">
            <v>39354</v>
          </cell>
          <cell r="E308">
            <v>78924</v>
          </cell>
          <cell r="F308" t="str">
            <v>K01279</v>
          </cell>
          <cell r="G308" t="str">
            <v>DTS229/UB1434#DTS</v>
          </cell>
          <cell r="H308">
            <v>90.02</v>
          </cell>
          <cell r="I308">
            <v>11000</v>
          </cell>
          <cell r="J308">
            <v>1688850</v>
          </cell>
          <cell r="K308">
            <v>1688850</v>
          </cell>
          <cell r="L308">
            <v>11743500</v>
          </cell>
          <cell r="M308" t="str">
            <v>C S &amp; ASSOCIATES</v>
          </cell>
          <cell r="N308" t="str">
            <v>KURIA MAL REAL ESTATE PVT. LT</v>
          </cell>
        </row>
        <row r="309">
          <cell r="B309" t="str">
            <v>DTS230</v>
          </cell>
          <cell r="C309">
            <v>2.5</v>
          </cell>
          <cell r="D309">
            <v>39354</v>
          </cell>
          <cell r="E309">
            <v>78928</v>
          </cell>
          <cell r="F309" t="str">
            <v>K01280</v>
          </cell>
          <cell r="G309" t="str">
            <v>DTS230/UB1435#DTS</v>
          </cell>
          <cell r="H309">
            <v>69.209999999999994</v>
          </cell>
          <cell r="I309">
            <v>13000</v>
          </cell>
          <cell r="J309">
            <v>1542750</v>
          </cell>
          <cell r="K309">
            <v>1542750</v>
          </cell>
          <cell r="L309">
            <v>10657500</v>
          </cell>
          <cell r="M309" t="str">
            <v>C S &amp; ASSOCIATES</v>
          </cell>
          <cell r="N309" t="str">
            <v>KURIA MAL REAL ESTATE PVT. LT</v>
          </cell>
        </row>
        <row r="310">
          <cell r="B310" t="str">
            <v>DTS231</v>
          </cell>
          <cell r="C310">
            <v>2.5</v>
          </cell>
          <cell r="D310">
            <v>39354</v>
          </cell>
          <cell r="E310">
            <v>78935</v>
          </cell>
          <cell r="F310" t="str">
            <v>K01281</v>
          </cell>
          <cell r="G310" t="str">
            <v>DTS231/UB1436#DTS</v>
          </cell>
          <cell r="H310">
            <v>69.209999999999994</v>
          </cell>
          <cell r="I310">
            <v>13000</v>
          </cell>
          <cell r="J310">
            <v>1542750</v>
          </cell>
          <cell r="K310">
            <v>1542750</v>
          </cell>
          <cell r="L310">
            <v>10657500</v>
          </cell>
          <cell r="M310" t="str">
            <v>C S &amp; ASSOCIATES</v>
          </cell>
          <cell r="N310" t="str">
            <v>KURIA MAL REAL ESTATE PVT. LT</v>
          </cell>
        </row>
        <row r="311">
          <cell r="B311" t="str">
            <v>DTS232</v>
          </cell>
          <cell r="C311">
            <v>2.5</v>
          </cell>
          <cell r="D311">
            <v>39354</v>
          </cell>
          <cell r="E311">
            <v>78939</v>
          </cell>
          <cell r="F311" t="str">
            <v>K01282</v>
          </cell>
          <cell r="G311" t="str">
            <v>DTS232/UB1437#DTS</v>
          </cell>
          <cell r="H311">
            <v>69.209999999999994</v>
          </cell>
          <cell r="I311">
            <v>13000</v>
          </cell>
          <cell r="J311">
            <v>1542750</v>
          </cell>
          <cell r="K311">
            <v>1542750</v>
          </cell>
          <cell r="L311">
            <v>10657500</v>
          </cell>
          <cell r="M311" t="str">
            <v>C S &amp; ASSOCIATES</v>
          </cell>
          <cell r="N311" t="str">
            <v>KURIA MAL REAL ESTATE PVT. LT</v>
          </cell>
        </row>
        <row r="312">
          <cell r="B312" t="str">
            <v>DTS233</v>
          </cell>
          <cell r="C312">
            <v>2.5</v>
          </cell>
          <cell r="D312">
            <v>39354</v>
          </cell>
          <cell r="E312">
            <v>78943</v>
          </cell>
          <cell r="F312" t="str">
            <v>K01283</v>
          </cell>
          <cell r="G312" t="str">
            <v>DTS233/UB1438#DTS</v>
          </cell>
          <cell r="H312">
            <v>69.209999999999994</v>
          </cell>
          <cell r="I312">
            <v>13000</v>
          </cell>
          <cell r="J312">
            <v>1542750</v>
          </cell>
          <cell r="K312">
            <v>1542750</v>
          </cell>
          <cell r="L312">
            <v>10657500</v>
          </cell>
          <cell r="M312" t="str">
            <v>C S &amp; ASSOCIATES</v>
          </cell>
          <cell r="N312" t="str">
            <v>KURIA MAL REAL ESTATE PVT. LT</v>
          </cell>
        </row>
        <row r="313">
          <cell r="B313" t="str">
            <v>DTS234</v>
          </cell>
          <cell r="C313">
            <v>2.5</v>
          </cell>
          <cell r="D313">
            <v>39354</v>
          </cell>
          <cell r="E313">
            <v>78947</v>
          </cell>
          <cell r="F313" t="str">
            <v>K01284</v>
          </cell>
          <cell r="G313" t="str">
            <v>DTS234/UB1439#DTS</v>
          </cell>
          <cell r="H313">
            <v>69.209999999999994</v>
          </cell>
          <cell r="I313">
            <v>12000</v>
          </cell>
          <cell r="J313">
            <v>1431000</v>
          </cell>
          <cell r="K313">
            <v>1431000</v>
          </cell>
          <cell r="L313">
            <v>9912500</v>
          </cell>
          <cell r="M313" t="str">
            <v>C S &amp; ASSOCIATES</v>
          </cell>
          <cell r="N313" t="str">
            <v>KURIA MAL REAL ESTATE PVT. LT</v>
          </cell>
        </row>
        <row r="314">
          <cell r="B314" t="str">
            <v>DTS235</v>
          </cell>
          <cell r="C314">
            <v>2.5</v>
          </cell>
          <cell r="D314">
            <v>39354</v>
          </cell>
          <cell r="E314">
            <v>78952</v>
          </cell>
          <cell r="F314" t="str">
            <v>K01285</v>
          </cell>
          <cell r="G314" t="str">
            <v>DTS235/UB1440#DTS</v>
          </cell>
          <cell r="H314">
            <v>71.91</v>
          </cell>
          <cell r="I314">
            <v>12000</v>
          </cell>
          <cell r="J314">
            <v>1483200</v>
          </cell>
          <cell r="K314">
            <v>1483200</v>
          </cell>
          <cell r="L314">
            <v>10275000</v>
          </cell>
          <cell r="M314" t="str">
            <v>C S &amp; ASSOCIATES</v>
          </cell>
          <cell r="N314" t="str">
            <v>KURIA MAL REAL ESTATE PVT. LT</v>
          </cell>
        </row>
        <row r="315">
          <cell r="B315" t="str">
            <v>DTS236</v>
          </cell>
          <cell r="C315">
            <v>2.5</v>
          </cell>
          <cell r="D315">
            <v>39354</v>
          </cell>
          <cell r="E315">
            <v>78954</v>
          </cell>
          <cell r="F315" t="str">
            <v>K01286</v>
          </cell>
          <cell r="G315" t="str">
            <v>DTS236/UB1441#DTS</v>
          </cell>
          <cell r="H315">
            <v>77.760000000000005</v>
          </cell>
          <cell r="I315">
            <v>12000</v>
          </cell>
          <cell r="J315">
            <v>1596600</v>
          </cell>
          <cell r="K315">
            <v>1596600</v>
          </cell>
          <cell r="L315">
            <v>11062500</v>
          </cell>
          <cell r="M315" t="str">
            <v>C S &amp; ASSOCIATES</v>
          </cell>
          <cell r="N315" t="str">
            <v>KURIA MAL REAL ESTATE PVT. LT</v>
          </cell>
        </row>
        <row r="316">
          <cell r="B316" t="str">
            <v>DTS237</v>
          </cell>
          <cell r="C316">
            <v>2.5</v>
          </cell>
          <cell r="D316">
            <v>39354</v>
          </cell>
          <cell r="E316">
            <v>78959</v>
          </cell>
          <cell r="F316" t="str">
            <v>K01287</v>
          </cell>
          <cell r="G316" t="str">
            <v>DTS237/UB1442#DTS</v>
          </cell>
          <cell r="H316">
            <v>132.19999999999999</v>
          </cell>
          <cell r="I316">
            <v>12000</v>
          </cell>
          <cell r="J316">
            <v>2651400</v>
          </cell>
          <cell r="K316">
            <v>2651400</v>
          </cell>
          <cell r="L316">
            <v>18387500</v>
          </cell>
          <cell r="M316" t="str">
            <v>C S &amp; ASSOCIATES</v>
          </cell>
          <cell r="N316" t="str">
            <v>KURIA MAL REAL ESTATE PVT. LT</v>
          </cell>
        </row>
        <row r="317">
          <cell r="B317" t="str">
            <v>DTS238</v>
          </cell>
          <cell r="C317">
            <v>2.5</v>
          </cell>
          <cell r="D317">
            <v>39354</v>
          </cell>
          <cell r="E317">
            <v>78962</v>
          </cell>
          <cell r="F317" t="str">
            <v>K01288</v>
          </cell>
          <cell r="G317" t="str">
            <v>DTS238/UB1443#DTS</v>
          </cell>
          <cell r="H317">
            <v>73.760000000000005</v>
          </cell>
          <cell r="I317">
            <v>12000</v>
          </cell>
          <cell r="J317">
            <v>1519200</v>
          </cell>
          <cell r="K317">
            <v>1519200</v>
          </cell>
          <cell r="L317">
            <v>10525000</v>
          </cell>
          <cell r="M317" t="str">
            <v>C S &amp; ASSOCIATES</v>
          </cell>
          <cell r="N317" t="str">
            <v>KURIA MAL REAL ESTATE PVT. LT</v>
          </cell>
        </row>
        <row r="318">
          <cell r="B318" t="str">
            <v>DTS239</v>
          </cell>
          <cell r="C318">
            <v>2.5</v>
          </cell>
          <cell r="D318">
            <v>39354</v>
          </cell>
          <cell r="E318">
            <v>78967</v>
          </cell>
          <cell r="F318" t="str">
            <v>K01290</v>
          </cell>
          <cell r="G318" t="str">
            <v>DTS239/UB1444#DTS</v>
          </cell>
          <cell r="H318">
            <v>69.209999999999994</v>
          </cell>
          <cell r="I318">
            <v>12000</v>
          </cell>
          <cell r="J318">
            <v>1431000</v>
          </cell>
          <cell r="K318">
            <v>1431000</v>
          </cell>
          <cell r="L318">
            <v>9912500</v>
          </cell>
          <cell r="M318" t="str">
            <v>C S &amp; ASSOCIATES</v>
          </cell>
          <cell r="N318" t="str">
            <v>KURIA MAL REAL ESTATE PVT. LT</v>
          </cell>
        </row>
        <row r="319">
          <cell r="B319" t="str">
            <v>DTS240</v>
          </cell>
          <cell r="C319">
            <v>2.5</v>
          </cell>
          <cell r="D319">
            <v>39354</v>
          </cell>
          <cell r="E319">
            <v>78972</v>
          </cell>
          <cell r="F319" t="str">
            <v>K01292</v>
          </cell>
          <cell r="G319" t="str">
            <v>DTS240/UB1445#DTS</v>
          </cell>
          <cell r="H319">
            <v>69.209999999999994</v>
          </cell>
          <cell r="I319">
            <v>12000</v>
          </cell>
          <cell r="J319">
            <v>1431000</v>
          </cell>
          <cell r="K319">
            <v>1431000</v>
          </cell>
          <cell r="L319">
            <v>9912500</v>
          </cell>
          <cell r="M319" t="str">
            <v>C S &amp; ASSOCIATES</v>
          </cell>
          <cell r="N319" t="str">
            <v>KURIA MAL REAL ESTATE PVT. LT</v>
          </cell>
        </row>
        <row r="320">
          <cell r="B320" t="str">
            <v>DTS241</v>
          </cell>
          <cell r="C320">
            <v>2.5</v>
          </cell>
          <cell r="D320">
            <v>39354</v>
          </cell>
          <cell r="E320">
            <v>78973</v>
          </cell>
          <cell r="F320" t="str">
            <v>K01293</v>
          </cell>
          <cell r="G320" t="str">
            <v>DTS241/UB1446#DTS</v>
          </cell>
          <cell r="H320">
            <v>74.97</v>
          </cell>
          <cell r="I320">
            <v>13000</v>
          </cell>
          <cell r="J320">
            <v>1663650</v>
          </cell>
          <cell r="K320">
            <v>1663650</v>
          </cell>
          <cell r="L320">
            <v>11494500</v>
          </cell>
          <cell r="M320" t="str">
            <v>C S &amp; ASSOCIATES</v>
          </cell>
          <cell r="N320" t="str">
            <v>KURIA MAL REAL ESTATE PVT. LT</v>
          </cell>
        </row>
        <row r="321">
          <cell r="B321" t="str">
            <v>DTS242</v>
          </cell>
          <cell r="C321">
            <v>2.5</v>
          </cell>
          <cell r="D321">
            <v>39354</v>
          </cell>
          <cell r="E321">
            <v>78854</v>
          </cell>
          <cell r="F321" t="str">
            <v>D01051</v>
          </cell>
          <cell r="G321" t="str">
            <v>DTS242/UB1380#DTS</v>
          </cell>
          <cell r="H321">
            <v>104.52</v>
          </cell>
          <cell r="I321">
            <v>14000</v>
          </cell>
          <cell r="J321">
            <v>2452500</v>
          </cell>
          <cell r="K321">
            <v>2452500</v>
          </cell>
          <cell r="L321">
            <v>16912500</v>
          </cell>
          <cell r="M321" t="str">
            <v>LARES &amp; PENATES</v>
          </cell>
          <cell r="N321" t="str">
            <v>DHARAM VIR VAID</v>
          </cell>
        </row>
        <row r="322">
          <cell r="B322" t="str">
            <v>DTS243</v>
          </cell>
          <cell r="C322">
            <v>2.5</v>
          </cell>
          <cell r="D322">
            <v>39354</v>
          </cell>
          <cell r="E322">
            <v>79012</v>
          </cell>
          <cell r="F322" t="str">
            <v>J01503</v>
          </cell>
          <cell r="G322" t="str">
            <v>DTS243/UB1557#DTS</v>
          </cell>
          <cell r="H322">
            <v>69.209999999999994</v>
          </cell>
          <cell r="I322">
            <v>12000</v>
          </cell>
          <cell r="J322">
            <v>1431000</v>
          </cell>
          <cell r="K322">
            <v>1431000</v>
          </cell>
          <cell r="L322">
            <v>9912500</v>
          </cell>
          <cell r="M322" t="str">
            <v>ARVIND ESTATES (P) LTD</v>
          </cell>
          <cell r="N322" t="str">
            <v>JINDAL ART GLASS INNOVATIONS</v>
          </cell>
        </row>
        <row r="323">
          <cell r="B323" t="str">
            <v>DTS244</v>
          </cell>
          <cell r="C323">
            <v>2.5</v>
          </cell>
          <cell r="D323">
            <v>39354</v>
          </cell>
          <cell r="E323">
            <v>78899</v>
          </cell>
          <cell r="F323" t="str">
            <v>J01495</v>
          </cell>
          <cell r="G323" t="str">
            <v>DTS244/UB1409#DTS</v>
          </cell>
          <cell r="H323">
            <v>89.93</v>
          </cell>
          <cell r="I323">
            <v>11000</v>
          </cell>
          <cell r="J323">
            <v>1687200</v>
          </cell>
          <cell r="K323">
            <v>1688000</v>
          </cell>
          <cell r="L323">
            <v>11732000</v>
          </cell>
          <cell r="M323" t="str">
            <v>ARVIND ESTATES (P) LTD</v>
          </cell>
          <cell r="N323" t="str">
            <v>JINDAL ART GLASS INNOVATIONS</v>
          </cell>
        </row>
        <row r="324">
          <cell r="B324" t="str">
            <v>DTS245</v>
          </cell>
          <cell r="C324">
            <v>2.5</v>
          </cell>
          <cell r="D324">
            <v>39354</v>
          </cell>
          <cell r="E324">
            <v>78961</v>
          </cell>
          <cell r="F324" t="str">
            <v>J01500</v>
          </cell>
          <cell r="G324" t="str">
            <v>DTS245/UB1358#DTS</v>
          </cell>
          <cell r="H324">
            <v>89.93</v>
          </cell>
          <cell r="I324">
            <v>12000</v>
          </cell>
          <cell r="J324">
            <v>1832400</v>
          </cell>
          <cell r="K324">
            <v>1833000</v>
          </cell>
          <cell r="L324">
            <v>12700000</v>
          </cell>
          <cell r="M324" t="str">
            <v>ARVIND ESTATES (P) LTD</v>
          </cell>
          <cell r="N324" t="str">
            <v>JINDAL ART GLASS INNOVATIONS</v>
          </cell>
        </row>
        <row r="325">
          <cell r="B325" t="str">
            <v>DTS246</v>
          </cell>
          <cell r="C325">
            <v>2.5</v>
          </cell>
          <cell r="D325">
            <v>39354</v>
          </cell>
          <cell r="E325">
            <v>78958</v>
          </cell>
          <cell r="F325" t="str">
            <v>J01498</v>
          </cell>
          <cell r="G325" t="str">
            <v>DTS246/UB1245#DTS</v>
          </cell>
          <cell r="H325">
            <v>65.400000000000006</v>
          </cell>
          <cell r="I325">
            <v>12000</v>
          </cell>
          <cell r="J325">
            <v>1357200</v>
          </cell>
          <cell r="K325">
            <v>1358000</v>
          </cell>
          <cell r="L325">
            <v>9400000</v>
          </cell>
          <cell r="M325" t="str">
            <v>ARVIND ESTATES (P) LTD</v>
          </cell>
          <cell r="N325" t="str">
            <v>JINDAL ART GLASS INNVOATIONS</v>
          </cell>
        </row>
        <row r="326">
          <cell r="B326" t="str">
            <v>DTS247</v>
          </cell>
          <cell r="C326">
            <v>2.5</v>
          </cell>
          <cell r="D326">
            <v>39354</v>
          </cell>
          <cell r="E326">
            <v>78960</v>
          </cell>
          <cell r="F326" t="str">
            <v>J01499</v>
          </cell>
          <cell r="G326" t="str">
            <v>DTS247/UB1359#DTS</v>
          </cell>
          <cell r="H326">
            <v>178.84</v>
          </cell>
          <cell r="I326">
            <v>12000</v>
          </cell>
          <cell r="J326">
            <v>3555000</v>
          </cell>
          <cell r="K326">
            <v>3555000</v>
          </cell>
          <cell r="L326">
            <v>24662500</v>
          </cell>
          <cell r="M326" t="str">
            <v>ARVIND ESTATES (P) LTD</v>
          </cell>
          <cell r="N326" t="str">
            <v>JINDAL ART GLASS INNOVATIONS _x000C_</v>
          </cell>
        </row>
        <row r="327">
          <cell r="B327" t="str">
            <v>DTS248</v>
          </cell>
          <cell r="C327">
            <v>2.5</v>
          </cell>
          <cell r="D327">
            <v>39354</v>
          </cell>
          <cell r="E327">
            <v>79059</v>
          </cell>
          <cell r="F327" t="str">
            <v>E00096</v>
          </cell>
          <cell r="G327" t="str">
            <v>DTS248/UB1547#DTS</v>
          </cell>
          <cell r="H327">
            <v>65.400000000000006</v>
          </cell>
          <cell r="I327">
            <v>12000</v>
          </cell>
          <cell r="J327">
            <v>1357200</v>
          </cell>
          <cell r="K327">
            <v>1267200</v>
          </cell>
          <cell r="L327">
            <v>9400000</v>
          </cell>
          <cell r="M327" t="str">
            <v>C S &amp; ASSOCIATES</v>
          </cell>
          <cell r="N327" t="str">
            <v>EASTERN CARRIERS</v>
          </cell>
        </row>
        <row r="328">
          <cell r="B328" t="str">
            <v>DTS249</v>
          </cell>
          <cell r="C328">
            <v>2.5</v>
          </cell>
          <cell r="D328">
            <v>39354</v>
          </cell>
          <cell r="E328">
            <v>78940</v>
          </cell>
          <cell r="F328" t="str">
            <v>H01007</v>
          </cell>
          <cell r="G328" t="str">
            <v>DTS249/UB1344#DTS</v>
          </cell>
          <cell r="H328">
            <v>85.01</v>
          </cell>
          <cell r="I328">
            <v>12000</v>
          </cell>
          <cell r="J328">
            <v>1737000</v>
          </cell>
          <cell r="K328">
            <v>1647000</v>
          </cell>
          <cell r="L328">
            <v>12037500</v>
          </cell>
          <cell r="M328" t="str">
            <v>C S &amp; ASSOCIATES</v>
          </cell>
          <cell r="N328" t="str">
            <v>HINDUSTAN REFRIGERATION STORE</v>
          </cell>
        </row>
        <row r="329">
          <cell r="B329" t="str">
            <v>DTS255</v>
          </cell>
          <cell r="C329">
            <v>2.5</v>
          </cell>
          <cell r="D329">
            <v>39354</v>
          </cell>
          <cell r="E329">
            <v>78776</v>
          </cell>
          <cell r="F329" t="str">
            <v>H00985</v>
          </cell>
          <cell r="G329" t="str">
            <v>DTS255/UB1324#DTS</v>
          </cell>
          <cell r="H329">
            <v>85</v>
          </cell>
          <cell r="I329">
            <v>12000</v>
          </cell>
          <cell r="J329">
            <v>1737000</v>
          </cell>
          <cell r="K329">
            <v>1737000</v>
          </cell>
          <cell r="L329">
            <v>12037500</v>
          </cell>
          <cell r="M329" t="str">
            <v>C S &amp; ASSOCIATES</v>
          </cell>
          <cell r="N329" t="str">
            <v>HARVINDER SINGH SETHI</v>
          </cell>
        </row>
        <row r="330">
          <cell r="B330" t="str">
            <v>DTS256</v>
          </cell>
          <cell r="C330">
            <v>2.5</v>
          </cell>
          <cell r="D330">
            <v>39354</v>
          </cell>
          <cell r="E330">
            <v>78781</v>
          </cell>
          <cell r="F330" t="str">
            <v>H00986</v>
          </cell>
          <cell r="G330" t="str">
            <v>DTS256/UB1325#DTS</v>
          </cell>
          <cell r="H330">
            <v>85</v>
          </cell>
          <cell r="I330">
            <v>12000</v>
          </cell>
          <cell r="J330">
            <v>1737000</v>
          </cell>
          <cell r="K330">
            <v>1737000</v>
          </cell>
          <cell r="L330">
            <v>12037500</v>
          </cell>
          <cell r="M330" t="str">
            <v>C S &amp; ASSOCIATES</v>
          </cell>
          <cell r="N330" t="str">
            <v>HARVINDER SINGH SETHI</v>
          </cell>
        </row>
        <row r="331">
          <cell r="B331" t="str">
            <v>DTS257</v>
          </cell>
          <cell r="C331">
            <v>2.5</v>
          </cell>
          <cell r="D331">
            <v>39354</v>
          </cell>
          <cell r="E331">
            <v>78790</v>
          </cell>
          <cell r="F331" t="str">
            <v>H00988</v>
          </cell>
          <cell r="G331" t="str">
            <v>DTS257/UB1326#DTS</v>
          </cell>
          <cell r="H331">
            <v>65.400000000000006</v>
          </cell>
          <cell r="I331">
            <v>11000</v>
          </cell>
          <cell r="J331">
            <v>1251600</v>
          </cell>
          <cell r="K331">
            <v>1251600</v>
          </cell>
          <cell r="L331">
            <v>8696000</v>
          </cell>
          <cell r="M331" t="str">
            <v>C S &amp; ASSOCIATES</v>
          </cell>
          <cell r="N331" t="str">
            <v>HARVINDER SINGH SETHI</v>
          </cell>
        </row>
        <row r="332">
          <cell r="B332" t="str">
            <v>DTS258</v>
          </cell>
          <cell r="C332">
            <v>2.5</v>
          </cell>
          <cell r="D332">
            <v>39354</v>
          </cell>
          <cell r="E332">
            <v>78791</v>
          </cell>
          <cell r="F332" t="str">
            <v>H00989</v>
          </cell>
          <cell r="G332" t="str">
            <v>DTS258/UB1327#DTS</v>
          </cell>
          <cell r="H332">
            <v>178.84</v>
          </cell>
          <cell r="I332">
            <v>11000</v>
          </cell>
          <cell r="J332">
            <v>3266250</v>
          </cell>
          <cell r="K332">
            <v>3266250</v>
          </cell>
          <cell r="L332">
            <v>22737500</v>
          </cell>
          <cell r="M332" t="str">
            <v>C S &amp; ASSOCIATES</v>
          </cell>
          <cell r="N332" t="str">
            <v>HARVINDER SINGH SETHI</v>
          </cell>
        </row>
        <row r="333">
          <cell r="B333" t="str">
            <v>DTS259</v>
          </cell>
          <cell r="C333">
            <v>2.5</v>
          </cell>
          <cell r="D333">
            <v>39354</v>
          </cell>
          <cell r="E333">
            <v>78792</v>
          </cell>
          <cell r="F333" t="str">
            <v>H00990</v>
          </cell>
          <cell r="G333" t="str">
            <v>DTS259/UB1328#DTS</v>
          </cell>
          <cell r="H333">
            <v>65.400000000000006</v>
          </cell>
          <cell r="I333">
            <v>11000</v>
          </cell>
          <cell r="J333">
            <v>1251600</v>
          </cell>
          <cell r="K333">
            <v>1251600</v>
          </cell>
          <cell r="L333">
            <v>8696000</v>
          </cell>
          <cell r="M333" t="str">
            <v>C S &amp; ASSOCIATES</v>
          </cell>
          <cell r="N333" t="str">
            <v>HARVINDER SINGH SETHI</v>
          </cell>
        </row>
        <row r="334">
          <cell r="B334" t="str">
            <v>DTS260</v>
          </cell>
          <cell r="C334">
            <v>2.5</v>
          </cell>
          <cell r="D334">
            <v>39354</v>
          </cell>
          <cell r="E334">
            <v>78769</v>
          </cell>
          <cell r="F334" t="str">
            <v>A03503</v>
          </cell>
          <cell r="G334" t="str">
            <v>DTS260/UB1270#DTS</v>
          </cell>
          <cell r="H334">
            <v>89.93</v>
          </cell>
          <cell r="I334">
            <v>11000</v>
          </cell>
          <cell r="J334">
            <v>1687200</v>
          </cell>
          <cell r="K334">
            <v>1687200</v>
          </cell>
          <cell r="L334">
            <v>11732000</v>
          </cell>
          <cell r="M334" t="str">
            <v>C S &amp; ASSOCIATES</v>
          </cell>
          <cell r="N334" t="str">
            <v>APPOLO CRANES PVT LTD</v>
          </cell>
        </row>
        <row r="335">
          <cell r="B335" t="str">
            <v>DTS261</v>
          </cell>
          <cell r="C335">
            <v>2.5</v>
          </cell>
          <cell r="D335">
            <v>39354</v>
          </cell>
          <cell r="E335">
            <v>78768</v>
          </cell>
          <cell r="F335" t="str">
            <v>A03502</v>
          </cell>
          <cell r="G335" t="str">
            <v>DTS261/UB1269#DTS</v>
          </cell>
          <cell r="H335">
            <v>89.93</v>
          </cell>
          <cell r="I335">
            <v>11000</v>
          </cell>
          <cell r="J335">
            <v>1687200</v>
          </cell>
          <cell r="K335">
            <v>1687200</v>
          </cell>
          <cell r="L335">
            <v>11732000</v>
          </cell>
          <cell r="M335" t="str">
            <v>C S &amp; ASSOCIATES</v>
          </cell>
          <cell r="N335" t="str">
            <v>APPOLO CRANES PVT LTD</v>
          </cell>
        </row>
        <row r="336">
          <cell r="B336" t="str">
            <v>DTS262</v>
          </cell>
          <cell r="C336">
            <v>2.5</v>
          </cell>
          <cell r="D336">
            <v>39354</v>
          </cell>
          <cell r="E336">
            <v>78774</v>
          </cell>
          <cell r="F336" t="str">
            <v>A03504</v>
          </cell>
          <cell r="G336" t="str">
            <v>DTS262/UB1271#DTS</v>
          </cell>
          <cell r="H336">
            <v>69.209999999999994</v>
          </cell>
          <cell r="I336">
            <v>12000</v>
          </cell>
          <cell r="J336">
            <v>1431000</v>
          </cell>
          <cell r="K336">
            <v>1431000</v>
          </cell>
          <cell r="L336">
            <v>9912500</v>
          </cell>
          <cell r="M336" t="str">
            <v>C S &amp; ASSOCIATES</v>
          </cell>
          <cell r="N336" t="str">
            <v>APPOLO CRANES PVT LTD</v>
          </cell>
        </row>
        <row r="337">
          <cell r="B337" t="str">
            <v>DTS263</v>
          </cell>
          <cell r="C337">
            <v>2.5</v>
          </cell>
          <cell r="D337">
            <v>39354</v>
          </cell>
          <cell r="E337">
            <v>78785</v>
          </cell>
          <cell r="F337" t="str">
            <v>A03507</v>
          </cell>
          <cell r="G337" t="str">
            <v>DTS263/UB1273#DTS</v>
          </cell>
          <cell r="H337">
            <v>104.52</v>
          </cell>
          <cell r="I337">
            <v>11000</v>
          </cell>
          <cell r="J337">
            <v>1946250</v>
          </cell>
          <cell r="K337">
            <v>1946250</v>
          </cell>
          <cell r="L337">
            <v>13537500</v>
          </cell>
          <cell r="M337" t="str">
            <v>C S &amp; ASSOCIATES</v>
          </cell>
          <cell r="N337" t="str">
            <v>APPOLO CRANES PVT LTD</v>
          </cell>
        </row>
        <row r="338">
          <cell r="B338" t="str">
            <v>DTS264</v>
          </cell>
          <cell r="C338">
            <v>2.5</v>
          </cell>
          <cell r="D338">
            <v>39354</v>
          </cell>
          <cell r="E338">
            <v>78936</v>
          </cell>
          <cell r="F338" t="str">
            <v>H01006</v>
          </cell>
          <cell r="G338" t="str">
            <v>DTS264/UB1459#DTS</v>
          </cell>
          <cell r="H338">
            <v>74.97</v>
          </cell>
          <cell r="I338">
            <v>12000</v>
          </cell>
          <cell r="J338">
            <v>1542600</v>
          </cell>
          <cell r="K338">
            <v>1542600</v>
          </cell>
          <cell r="L338">
            <v>10687500</v>
          </cell>
          <cell r="M338" t="str">
            <v>AMIT ARORA(Real Estate Develo</v>
          </cell>
          <cell r="N338" t="str">
            <v>HULAS RAHUL GUPTA</v>
          </cell>
        </row>
        <row r="339">
          <cell r="B339" t="str">
            <v>DTS265</v>
          </cell>
          <cell r="C339">
            <v>2.5</v>
          </cell>
          <cell r="D339">
            <v>39354</v>
          </cell>
          <cell r="E339">
            <v>78942</v>
          </cell>
          <cell r="F339" t="str">
            <v>H01008</v>
          </cell>
          <cell r="G339" t="str">
            <v>DTS265/UB1460#DTS</v>
          </cell>
          <cell r="H339">
            <v>69.209999999999994</v>
          </cell>
          <cell r="I339">
            <v>11000</v>
          </cell>
          <cell r="J339">
            <v>1319250</v>
          </cell>
          <cell r="K339">
            <v>1319250</v>
          </cell>
          <cell r="L339">
            <v>9167500</v>
          </cell>
          <cell r="M339" t="str">
            <v>AMIT ARORA(Real Estate Develo</v>
          </cell>
          <cell r="N339" t="str">
            <v>HULAS RAHUL GUPTA</v>
          </cell>
        </row>
        <row r="340">
          <cell r="B340" t="str">
            <v>DTS266</v>
          </cell>
          <cell r="C340">
            <v>2.5</v>
          </cell>
          <cell r="D340">
            <v>39354</v>
          </cell>
          <cell r="E340">
            <v>78944</v>
          </cell>
          <cell r="F340" t="str">
            <v>H01010</v>
          </cell>
          <cell r="G340" t="str">
            <v>DTS266/UB1461#DTS</v>
          </cell>
          <cell r="H340">
            <v>69.209999999999994</v>
          </cell>
          <cell r="I340">
            <v>12000</v>
          </cell>
          <cell r="J340">
            <v>1431000</v>
          </cell>
          <cell r="K340">
            <v>1431000</v>
          </cell>
          <cell r="L340">
            <v>9912500</v>
          </cell>
          <cell r="M340" t="str">
            <v>AMIT ARORA(Real Estate Develo</v>
          </cell>
          <cell r="N340" t="str">
            <v>HULAS RAHUL GUPTA</v>
          </cell>
        </row>
        <row r="341">
          <cell r="B341" t="str">
            <v>DTS267</v>
          </cell>
          <cell r="C341">
            <v>2.5</v>
          </cell>
          <cell r="D341">
            <v>39354</v>
          </cell>
          <cell r="E341">
            <v>78948</v>
          </cell>
          <cell r="F341" t="str">
            <v>H01011</v>
          </cell>
          <cell r="G341" t="str">
            <v>DTS267/UB1462#DTS</v>
          </cell>
          <cell r="H341">
            <v>73.760000000000005</v>
          </cell>
          <cell r="I341">
            <v>11000</v>
          </cell>
          <cell r="J341">
            <v>1400100</v>
          </cell>
          <cell r="K341">
            <v>1707150</v>
          </cell>
          <cell r="L341">
            <v>9731000</v>
          </cell>
          <cell r="M341" t="str">
            <v>AMIT ARORA(Real Estate Develo</v>
          </cell>
          <cell r="N341" t="str">
            <v>HULAS RAHUL GUPTA</v>
          </cell>
        </row>
        <row r="342">
          <cell r="B342" t="str">
            <v>DTS304</v>
          </cell>
          <cell r="C342">
            <v>2.5</v>
          </cell>
          <cell r="D342">
            <v>39354</v>
          </cell>
          <cell r="E342">
            <v>78770</v>
          </cell>
          <cell r="F342" t="str">
            <v>G00771</v>
          </cell>
          <cell r="G342" t="str">
            <v>DTS304/UB1316#DTS</v>
          </cell>
          <cell r="H342">
            <v>69.209999999999994</v>
          </cell>
          <cell r="I342">
            <v>12000</v>
          </cell>
          <cell r="J342">
            <v>1431000</v>
          </cell>
          <cell r="K342">
            <v>1431000</v>
          </cell>
          <cell r="L342">
            <v>9912500</v>
          </cell>
          <cell r="M342" t="str">
            <v>C S &amp; ASSOCIATES</v>
          </cell>
          <cell r="N342" t="str">
            <v>GUNEET KAUR SAHNI</v>
          </cell>
        </row>
        <row r="343">
          <cell r="B343" t="str">
            <v>DTS309</v>
          </cell>
          <cell r="C343">
            <v>2.5</v>
          </cell>
          <cell r="D343">
            <v>39354</v>
          </cell>
          <cell r="E343">
            <v>79079</v>
          </cell>
          <cell r="F343" t="str">
            <v>P01726</v>
          </cell>
          <cell r="G343" t="str">
            <v>DTS309/UB1258#DTS</v>
          </cell>
          <cell r="H343">
            <v>90.02</v>
          </cell>
          <cell r="I343">
            <v>12000</v>
          </cell>
          <cell r="J343">
            <v>1834200</v>
          </cell>
          <cell r="K343">
            <v>1890000</v>
          </cell>
          <cell r="L343">
            <v>12712500</v>
          </cell>
          <cell r="M343" t="str">
            <v>C S &amp; ASSOCIATES</v>
          </cell>
          <cell r="N343" t="str">
            <v>PRECI TURN PVT LTD</v>
          </cell>
        </row>
        <row r="344">
          <cell r="B344" t="str">
            <v>DTS310</v>
          </cell>
          <cell r="C344">
            <v>2.5</v>
          </cell>
          <cell r="D344">
            <v>39354</v>
          </cell>
          <cell r="E344">
            <v>78784</v>
          </cell>
          <cell r="F344" t="str">
            <v>H00987</v>
          </cell>
          <cell r="G344" t="str">
            <v>DTS310/UB1284#DTS</v>
          </cell>
          <cell r="H344">
            <v>89.93</v>
          </cell>
          <cell r="I344">
            <v>12000</v>
          </cell>
          <cell r="J344">
            <v>1832400</v>
          </cell>
          <cell r="K344">
            <v>1832400</v>
          </cell>
          <cell r="L344">
            <v>12700000</v>
          </cell>
          <cell r="M344" t="str">
            <v>C S &amp; ASSOCIATES</v>
          </cell>
          <cell r="N344" t="str">
            <v>HIMANSHU GUPTA</v>
          </cell>
        </row>
        <row r="345">
          <cell r="B345" t="str">
            <v>DTS312</v>
          </cell>
          <cell r="C345">
            <v>2.5</v>
          </cell>
          <cell r="D345">
            <v>39354</v>
          </cell>
          <cell r="E345">
            <v>78832</v>
          </cell>
          <cell r="F345" t="str">
            <v>P01717</v>
          </cell>
          <cell r="G345" t="str">
            <v>DTS312/UB1306#DTS</v>
          </cell>
          <cell r="H345">
            <v>114.08</v>
          </cell>
          <cell r="I345">
            <v>14000</v>
          </cell>
          <cell r="J345">
            <v>2668800</v>
          </cell>
          <cell r="K345">
            <v>2700000</v>
          </cell>
          <cell r="L345">
            <v>18406000</v>
          </cell>
          <cell r="M345" t="str">
            <v>AMIT ARORA(Real Estate Develo</v>
          </cell>
          <cell r="N345" t="str">
            <v>PRADEEP LAKSHMI CHAND ANAND</v>
          </cell>
        </row>
        <row r="346">
          <cell r="B346" t="str">
            <v>DTS315</v>
          </cell>
          <cell r="C346">
            <v>2.5</v>
          </cell>
          <cell r="D346">
            <v>39354</v>
          </cell>
          <cell r="E346">
            <v>78938</v>
          </cell>
          <cell r="F346" t="str">
            <v>S04837</v>
          </cell>
          <cell r="G346" t="str">
            <v>DTS315/UB1480#DTS</v>
          </cell>
          <cell r="H346">
            <v>89</v>
          </cell>
          <cell r="I346">
            <v>11000</v>
          </cell>
          <cell r="J346">
            <v>1670700</v>
          </cell>
          <cell r="K346">
            <v>1671000</v>
          </cell>
          <cell r="L346">
            <v>11617000</v>
          </cell>
          <cell r="M346" t="str">
            <v>ARVIND ASSOCIATES</v>
          </cell>
          <cell r="N346" t="str">
            <v>SUMIT LAHOTI</v>
          </cell>
        </row>
        <row r="347">
          <cell r="B347" t="str">
            <v>DTS316</v>
          </cell>
          <cell r="C347">
            <v>2.5</v>
          </cell>
          <cell r="D347">
            <v>39354</v>
          </cell>
          <cell r="E347">
            <v>78862</v>
          </cell>
          <cell r="F347" t="str">
            <v>S04822</v>
          </cell>
          <cell r="G347" t="str">
            <v>DTS316/UB1406#DTS</v>
          </cell>
          <cell r="H347">
            <v>89.74</v>
          </cell>
          <cell r="I347">
            <v>12000</v>
          </cell>
          <cell r="J347">
            <v>1828800</v>
          </cell>
          <cell r="K347">
            <v>1829000</v>
          </cell>
          <cell r="L347">
            <v>12675000</v>
          </cell>
          <cell r="M347" t="str">
            <v>AJIT ESTATES (P) LTD</v>
          </cell>
          <cell r="N347" t="str">
            <v>SHRI PARASRAM HOLDINGS P LTD</v>
          </cell>
        </row>
        <row r="348">
          <cell r="B348" t="str">
            <v>DTS317</v>
          </cell>
          <cell r="C348">
            <v>2.5</v>
          </cell>
          <cell r="D348">
            <v>39354</v>
          </cell>
          <cell r="E348">
            <v>78850</v>
          </cell>
          <cell r="F348" t="str">
            <v>S04818</v>
          </cell>
          <cell r="G348" t="str">
            <v>DTS317/UB1388#DTS</v>
          </cell>
          <cell r="H348">
            <v>85</v>
          </cell>
          <cell r="I348">
            <v>12000</v>
          </cell>
          <cell r="J348">
            <v>1737000</v>
          </cell>
          <cell r="K348">
            <v>1737000</v>
          </cell>
          <cell r="L348">
            <v>12037500</v>
          </cell>
          <cell r="M348" t="str">
            <v>AJIT ESTATES (P) LTD</v>
          </cell>
          <cell r="N348" t="str">
            <v>SHRI PARASRAM HOLDINGS PVT LT</v>
          </cell>
        </row>
        <row r="349">
          <cell r="B349" t="str">
            <v>DTS318</v>
          </cell>
          <cell r="C349">
            <v>2.5</v>
          </cell>
          <cell r="D349">
            <v>39354</v>
          </cell>
          <cell r="E349">
            <v>78971</v>
          </cell>
          <cell r="F349" t="str">
            <v>P01724</v>
          </cell>
          <cell r="G349" t="str">
            <v>DTS318/UB1370#DTS</v>
          </cell>
          <cell r="H349">
            <v>69.209999999999994</v>
          </cell>
          <cell r="I349">
            <v>14000</v>
          </cell>
          <cell r="J349">
            <v>1654500</v>
          </cell>
          <cell r="K349">
            <v>1655000</v>
          </cell>
          <cell r="L349">
            <v>11402500</v>
          </cell>
          <cell r="M349" t="str">
            <v>AJIT ESTATES (P) LTD</v>
          </cell>
          <cell r="N349" t="str">
            <v>SHRI PARASRAM HOLDINGS PVT. L</v>
          </cell>
        </row>
        <row r="350">
          <cell r="B350" t="str">
            <v>DTS319</v>
          </cell>
          <cell r="C350">
            <v>2.5</v>
          </cell>
          <cell r="D350">
            <v>39354</v>
          </cell>
          <cell r="E350">
            <v>78883</v>
          </cell>
          <cell r="F350" t="str">
            <v>S04827</v>
          </cell>
          <cell r="G350" t="str">
            <v>DTS319/UB1353#DTS</v>
          </cell>
          <cell r="H350">
            <v>75.53</v>
          </cell>
          <cell r="I350">
            <v>11000</v>
          </cell>
          <cell r="J350">
            <v>1431450</v>
          </cell>
          <cell r="K350">
            <v>1432000</v>
          </cell>
          <cell r="L350">
            <v>9949500</v>
          </cell>
          <cell r="M350" t="str">
            <v>AJIT ESTATES (P) LTD</v>
          </cell>
          <cell r="N350" t="str">
            <v>SHRI PARASRAM HOLDING (P) LTD</v>
          </cell>
        </row>
        <row r="351">
          <cell r="B351" t="str">
            <v>DTS320</v>
          </cell>
          <cell r="C351">
            <v>2.5</v>
          </cell>
          <cell r="D351">
            <v>39354</v>
          </cell>
          <cell r="E351">
            <v>79071</v>
          </cell>
          <cell r="F351" t="str">
            <v>S04852</v>
          </cell>
          <cell r="G351" t="str">
            <v>DTS320/UB1425#DTS</v>
          </cell>
          <cell r="H351">
            <v>75.53</v>
          </cell>
          <cell r="I351">
            <v>13000</v>
          </cell>
          <cell r="J351">
            <v>1675350</v>
          </cell>
          <cell r="K351">
            <v>1676000</v>
          </cell>
          <cell r="L351">
            <v>11575500</v>
          </cell>
          <cell r="M351" t="str">
            <v>AJIT ESTATES (P) LTD</v>
          </cell>
          <cell r="N351" t="str">
            <v>SHRI PARASRAM HOLDINGS PVT. L_x000C_</v>
          </cell>
        </row>
        <row r="352">
          <cell r="B352" t="str">
            <v>DTS321</v>
          </cell>
          <cell r="C352">
            <v>2.5</v>
          </cell>
          <cell r="D352">
            <v>39354</v>
          </cell>
          <cell r="E352">
            <v>78893</v>
          </cell>
          <cell r="F352" t="str">
            <v>S04830</v>
          </cell>
          <cell r="G352" t="str">
            <v>DTS321/UB1352#DTS</v>
          </cell>
          <cell r="H352">
            <v>69.209999999999994</v>
          </cell>
          <cell r="I352">
            <v>12000</v>
          </cell>
          <cell r="J352">
            <v>1431000</v>
          </cell>
          <cell r="K352">
            <v>1431000</v>
          </cell>
          <cell r="L352">
            <v>9912500</v>
          </cell>
          <cell r="M352" t="str">
            <v>AJIT ESTATES (P) LTD</v>
          </cell>
          <cell r="N352" t="str">
            <v>SHRI PARASRAM HOLDING (P) LTD</v>
          </cell>
        </row>
        <row r="353">
          <cell r="B353" t="str">
            <v>DTS322</v>
          </cell>
          <cell r="C353">
            <v>2.5</v>
          </cell>
          <cell r="D353">
            <v>39354</v>
          </cell>
          <cell r="E353">
            <v>79067</v>
          </cell>
          <cell r="F353" t="str">
            <v>S04849</v>
          </cell>
          <cell r="G353" t="str">
            <v>DTS322/UB1426#DTS</v>
          </cell>
          <cell r="H353">
            <v>85</v>
          </cell>
          <cell r="I353">
            <v>11000</v>
          </cell>
          <cell r="J353">
            <v>1599750</v>
          </cell>
          <cell r="K353">
            <v>1600000</v>
          </cell>
          <cell r="L353">
            <v>11122500</v>
          </cell>
          <cell r="M353" t="str">
            <v>AJIT ESTATES (P) LTD</v>
          </cell>
          <cell r="N353" t="str">
            <v>SHRI PARASRAM HOLDINGS PVT. L</v>
          </cell>
        </row>
        <row r="354">
          <cell r="B354" t="str">
            <v>DTS323</v>
          </cell>
          <cell r="C354">
            <v>2.5</v>
          </cell>
          <cell r="D354">
            <v>39354</v>
          </cell>
          <cell r="E354">
            <v>79073</v>
          </cell>
          <cell r="F354" t="str">
            <v>S04853</v>
          </cell>
          <cell r="G354" t="str">
            <v>DTS323/UB1427#DTS</v>
          </cell>
          <cell r="H354">
            <v>89.74</v>
          </cell>
          <cell r="I354">
            <v>11000</v>
          </cell>
          <cell r="J354">
            <v>1683900</v>
          </cell>
          <cell r="K354">
            <v>1684000</v>
          </cell>
          <cell r="L354">
            <v>11709000</v>
          </cell>
          <cell r="M354" t="str">
            <v>AJIT ESTATES (P) LTD</v>
          </cell>
          <cell r="N354" t="str">
            <v>SHRI PARASRAM HOLDINGS PVT. L</v>
          </cell>
        </row>
        <row r="355">
          <cell r="B355" t="str">
            <v>DTS324</v>
          </cell>
          <cell r="C355">
            <v>2.5</v>
          </cell>
          <cell r="D355">
            <v>39354</v>
          </cell>
          <cell r="E355">
            <v>79049</v>
          </cell>
          <cell r="F355" t="str">
            <v>S04846</v>
          </cell>
          <cell r="G355" t="str">
            <v>DTS324/UB1363#DTS</v>
          </cell>
          <cell r="H355">
            <v>89</v>
          </cell>
          <cell r="I355">
            <v>11000</v>
          </cell>
          <cell r="J355">
            <v>1670700</v>
          </cell>
          <cell r="K355">
            <v>1671000</v>
          </cell>
          <cell r="L355">
            <v>11617000</v>
          </cell>
          <cell r="M355" t="str">
            <v>AJIT ESTATES (P) LTD</v>
          </cell>
          <cell r="N355" t="str">
            <v>SHRI PARASRAM HOLDINGS PVT. L</v>
          </cell>
        </row>
        <row r="356">
          <cell r="B356" t="str">
            <v>DTS325</v>
          </cell>
          <cell r="C356">
            <v>2.5</v>
          </cell>
          <cell r="D356">
            <v>39354</v>
          </cell>
          <cell r="E356">
            <v>78994</v>
          </cell>
          <cell r="F356" t="str">
            <v>S04840</v>
          </cell>
          <cell r="G356" t="str">
            <v>DTS325/UB1351#DTS</v>
          </cell>
          <cell r="H356">
            <v>150.22</v>
          </cell>
          <cell r="I356">
            <v>13000</v>
          </cell>
          <cell r="J356">
            <v>3243150</v>
          </cell>
          <cell r="K356">
            <v>3244000</v>
          </cell>
          <cell r="L356">
            <v>42642000</v>
          </cell>
          <cell r="M356" t="str">
            <v>AJIT ESTATES (P) LTD</v>
          </cell>
          <cell r="N356" t="str">
            <v>SHRI PARASRAM HOLDING (P) LTD</v>
          </cell>
        </row>
        <row r="357">
          <cell r="B357" t="str">
            <v>DTS326</v>
          </cell>
          <cell r="C357">
            <v>2.5</v>
          </cell>
          <cell r="D357">
            <v>39354</v>
          </cell>
          <cell r="E357">
            <v>78710</v>
          </cell>
          <cell r="F357" t="str">
            <v>P01696</v>
          </cell>
          <cell r="G357" t="str">
            <v>DTS326/UB1214#DTS</v>
          </cell>
          <cell r="H357">
            <v>114.08</v>
          </cell>
          <cell r="I357">
            <v>11000</v>
          </cell>
          <cell r="J357">
            <v>2116200</v>
          </cell>
          <cell r="K357">
            <v>2116200</v>
          </cell>
          <cell r="L357">
            <v>14722000</v>
          </cell>
          <cell r="M357" t="str">
            <v>PNK CONSULTANTS PVT LTD</v>
          </cell>
          <cell r="N357" t="str">
            <v>PUSHPANJALI TREXIM LIMITED</v>
          </cell>
        </row>
        <row r="358">
          <cell r="B358" t="str">
            <v>DTS327</v>
          </cell>
          <cell r="C358">
            <v>2.5</v>
          </cell>
          <cell r="D358">
            <v>39354</v>
          </cell>
          <cell r="E358">
            <v>78716</v>
          </cell>
          <cell r="F358" t="str">
            <v>P01698</v>
          </cell>
          <cell r="G358" t="str">
            <v>DTS327/UB1215#DTS</v>
          </cell>
          <cell r="H358">
            <v>65.400000000000006</v>
          </cell>
          <cell r="I358">
            <v>12000</v>
          </cell>
          <cell r="J358">
            <v>1357200</v>
          </cell>
          <cell r="K358">
            <v>1357200</v>
          </cell>
          <cell r="L358">
            <v>9400000</v>
          </cell>
          <cell r="M358" t="str">
            <v>PNK CONSULTANTS PVT LTD</v>
          </cell>
          <cell r="N358" t="str">
            <v>PUSHPANJALI TREXIM LIMITED</v>
          </cell>
        </row>
        <row r="359">
          <cell r="B359" t="str">
            <v>DTS328</v>
          </cell>
          <cell r="C359">
            <v>2.5</v>
          </cell>
          <cell r="D359">
            <v>39354</v>
          </cell>
          <cell r="E359">
            <v>78714</v>
          </cell>
          <cell r="F359" t="str">
            <v>P01697</v>
          </cell>
          <cell r="G359" t="str">
            <v>DTS328/UB1216#DTS</v>
          </cell>
          <cell r="H359">
            <v>89.93</v>
          </cell>
          <cell r="I359">
            <v>11000</v>
          </cell>
          <cell r="J359">
            <v>1687200</v>
          </cell>
          <cell r="K359">
            <v>1687200</v>
          </cell>
          <cell r="L359">
            <v>11732000</v>
          </cell>
          <cell r="M359" t="str">
            <v>PNK CONSULTANTS PVT LTD</v>
          </cell>
          <cell r="N359" t="str">
            <v>PUSHPANJALI TREXIM LIMITED</v>
          </cell>
        </row>
        <row r="360">
          <cell r="B360" t="str">
            <v>DTS329</v>
          </cell>
          <cell r="C360">
            <v>2.5</v>
          </cell>
          <cell r="D360">
            <v>39354</v>
          </cell>
          <cell r="E360">
            <v>78722</v>
          </cell>
          <cell r="F360" t="str">
            <v>P01699</v>
          </cell>
          <cell r="G360" t="str">
            <v>DTS329/UB1217#DTS</v>
          </cell>
          <cell r="H360">
            <v>90.02</v>
          </cell>
          <cell r="I360">
            <v>11000</v>
          </cell>
          <cell r="J360">
            <v>1688850</v>
          </cell>
          <cell r="K360">
            <v>1688850</v>
          </cell>
          <cell r="L360">
            <v>11743500</v>
          </cell>
          <cell r="M360" t="str">
            <v>PNK CONSULTANTS PVT LTD</v>
          </cell>
          <cell r="N360" t="str">
            <v>PUSHPANJALI TREXIM LIMITED</v>
          </cell>
        </row>
        <row r="361">
          <cell r="B361" t="str">
            <v>DTS330</v>
          </cell>
          <cell r="C361">
            <v>2.5</v>
          </cell>
          <cell r="D361">
            <v>39354</v>
          </cell>
          <cell r="E361">
            <v>78734</v>
          </cell>
          <cell r="F361" t="str">
            <v>P01700</v>
          </cell>
          <cell r="G361" t="str">
            <v>DTS330/UB1218#DTS</v>
          </cell>
          <cell r="H361">
            <v>69.209999999999994</v>
          </cell>
          <cell r="I361">
            <v>12000</v>
          </cell>
          <cell r="J361">
            <v>1431000</v>
          </cell>
          <cell r="K361">
            <v>1431000</v>
          </cell>
          <cell r="L361">
            <v>9912500</v>
          </cell>
          <cell r="M361" t="str">
            <v>PNK CONSULTANTS PVT LTD</v>
          </cell>
          <cell r="N361" t="str">
            <v>PUSHPANJALI TREXIM LIMITED</v>
          </cell>
        </row>
        <row r="362">
          <cell r="B362" t="str">
            <v>DTS331</v>
          </cell>
          <cell r="C362">
            <v>2.5</v>
          </cell>
          <cell r="D362">
            <v>39354</v>
          </cell>
          <cell r="E362">
            <v>78738</v>
          </cell>
          <cell r="F362" t="str">
            <v>P01701</v>
          </cell>
          <cell r="G362" t="str">
            <v>DTS331/UB1219#DTS</v>
          </cell>
          <cell r="H362">
            <v>69.209999999999994</v>
          </cell>
          <cell r="I362">
            <v>12000</v>
          </cell>
          <cell r="J362">
            <v>1431000</v>
          </cell>
          <cell r="K362">
            <v>1431000</v>
          </cell>
          <cell r="L362">
            <v>9912500</v>
          </cell>
          <cell r="M362" t="str">
            <v>PNK CONSULTANTS PVT LTD</v>
          </cell>
          <cell r="N362" t="str">
            <v>PUSHPANJALI TREXIM LIMITED</v>
          </cell>
        </row>
        <row r="363">
          <cell r="B363" t="str">
            <v>DTS332</v>
          </cell>
          <cell r="C363">
            <v>2.5</v>
          </cell>
          <cell r="D363">
            <v>39354</v>
          </cell>
          <cell r="E363">
            <v>78743</v>
          </cell>
          <cell r="F363" t="str">
            <v>P01714</v>
          </cell>
          <cell r="G363" t="str">
            <v>DTS332/UB1220#DTS</v>
          </cell>
          <cell r="H363">
            <v>69.209999999999994</v>
          </cell>
          <cell r="I363">
            <v>12000</v>
          </cell>
          <cell r="J363">
            <v>1431000</v>
          </cell>
          <cell r="K363">
            <v>1431000</v>
          </cell>
          <cell r="L363">
            <v>9912500</v>
          </cell>
          <cell r="M363" t="str">
            <v>PNK CONSULTANTS PVT LTD</v>
          </cell>
          <cell r="N363" t="str">
            <v>PUSHPANJALI TREXIM LIMITED</v>
          </cell>
        </row>
        <row r="364">
          <cell r="B364" t="str">
            <v>DTS333</v>
          </cell>
          <cell r="C364">
            <v>2.5</v>
          </cell>
          <cell r="D364">
            <v>39354</v>
          </cell>
          <cell r="E364">
            <v>78746</v>
          </cell>
          <cell r="F364" t="str">
            <v>P01715</v>
          </cell>
          <cell r="G364" t="str">
            <v>DTS333/UB1221#DTS</v>
          </cell>
          <cell r="H364">
            <v>69.209999999999994</v>
          </cell>
          <cell r="I364">
            <v>11000</v>
          </cell>
          <cell r="J364">
            <v>1319250</v>
          </cell>
          <cell r="K364">
            <v>1319250</v>
          </cell>
          <cell r="L364">
            <v>9167500</v>
          </cell>
          <cell r="M364" t="str">
            <v>PNK CONSULTANTS PVT LTD</v>
          </cell>
          <cell r="N364" t="str">
            <v>PUSHPANJALI TREXIM LIMITED</v>
          </cell>
        </row>
        <row r="365">
          <cell r="B365" t="str">
            <v>DTS334</v>
          </cell>
          <cell r="C365">
            <v>2.5</v>
          </cell>
          <cell r="D365">
            <v>39354</v>
          </cell>
          <cell r="E365">
            <v>78748</v>
          </cell>
          <cell r="F365" t="str">
            <v>P01705</v>
          </cell>
          <cell r="G365" t="str">
            <v>DTS334/UB1222#DTS</v>
          </cell>
          <cell r="H365">
            <v>69.209999999999994</v>
          </cell>
          <cell r="I365">
            <v>11000</v>
          </cell>
          <cell r="J365">
            <v>1319250</v>
          </cell>
          <cell r="K365">
            <v>1319250</v>
          </cell>
          <cell r="L365">
            <v>9167500</v>
          </cell>
          <cell r="M365" t="str">
            <v>PNK CONSULTANTS PVT LTD</v>
          </cell>
          <cell r="N365" t="str">
            <v>PUSHPANJALI TREXIM LIMITED</v>
          </cell>
        </row>
        <row r="366">
          <cell r="B366" t="str">
            <v>DTS335</v>
          </cell>
          <cell r="C366">
            <v>2.5</v>
          </cell>
          <cell r="D366">
            <v>39354</v>
          </cell>
          <cell r="E366">
            <v>78753</v>
          </cell>
          <cell r="F366" t="str">
            <v>P01706</v>
          </cell>
          <cell r="G366" t="str">
            <v>DTS335/UB1223#DTS</v>
          </cell>
          <cell r="H366">
            <v>71.91</v>
          </cell>
          <cell r="I366">
            <v>12000</v>
          </cell>
          <cell r="J366">
            <v>1483200</v>
          </cell>
          <cell r="K366">
            <v>1483200</v>
          </cell>
          <cell r="L366">
            <v>10275000</v>
          </cell>
          <cell r="M366" t="str">
            <v>PNK CONSULTANTS PVT LTD</v>
          </cell>
          <cell r="N366" t="str">
            <v>PUSHPANJALI TREXIM LIMITED</v>
          </cell>
        </row>
        <row r="367">
          <cell r="B367" t="str">
            <v>DTS336</v>
          </cell>
          <cell r="C367">
            <v>2.5</v>
          </cell>
          <cell r="D367">
            <v>39354</v>
          </cell>
          <cell r="E367">
            <v>78758</v>
          </cell>
          <cell r="F367" t="str">
            <v>P01709</v>
          </cell>
          <cell r="G367" t="str">
            <v>DTS336/UB1224#DTS</v>
          </cell>
          <cell r="H367">
            <v>77.760000000000005</v>
          </cell>
          <cell r="I367">
            <v>11000</v>
          </cell>
          <cell r="J367">
            <v>1471050</v>
          </cell>
          <cell r="K367">
            <v>1471050</v>
          </cell>
          <cell r="L367">
            <v>10225500</v>
          </cell>
          <cell r="M367" t="str">
            <v>PNK CONSULTANTS PVT LTD</v>
          </cell>
          <cell r="N367" t="str">
            <v>PUSHPANJALI TREXIM LIMITED</v>
          </cell>
        </row>
        <row r="368">
          <cell r="B368" t="str">
            <v>DTS337</v>
          </cell>
          <cell r="C368">
            <v>2.5</v>
          </cell>
          <cell r="D368">
            <v>39354</v>
          </cell>
          <cell r="E368">
            <v>78749</v>
          </cell>
          <cell r="F368" t="str">
            <v>P01704</v>
          </cell>
          <cell r="G368" t="str">
            <v>DTS337/UB1225#DTS</v>
          </cell>
          <cell r="H368">
            <v>132.19999999999999</v>
          </cell>
          <cell r="I368">
            <v>13000</v>
          </cell>
          <cell r="J368">
            <v>2864850</v>
          </cell>
          <cell r="K368">
            <v>2864850</v>
          </cell>
          <cell r="L368">
            <v>19810500</v>
          </cell>
          <cell r="M368" t="str">
            <v>PNK CONSULTANTS PVT LTD</v>
          </cell>
          <cell r="N368" t="str">
            <v>PUSHPANJALI TREXIM LIMITED</v>
          </cell>
        </row>
        <row r="369">
          <cell r="B369" t="str">
            <v>DTS338</v>
          </cell>
          <cell r="C369">
            <v>2.5</v>
          </cell>
          <cell r="D369">
            <v>39354</v>
          </cell>
          <cell r="E369">
            <v>78751</v>
          </cell>
          <cell r="F369" t="str">
            <v>P01707</v>
          </cell>
          <cell r="G369" t="str">
            <v>DTS338/UB1226#DTS</v>
          </cell>
          <cell r="H369">
            <v>73.760000000000005</v>
          </cell>
          <cell r="I369">
            <v>12000</v>
          </cell>
          <cell r="J369">
            <v>1519200</v>
          </cell>
          <cell r="K369">
            <v>1519200</v>
          </cell>
          <cell r="L369">
            <v>10525000</v>
          </cell>
          <cell r="M369" t="str">
            <v>PNK CONSULTANTS PVT LTD</v>
          </cell>
          <cell r="N369" t="str">
            <v>PUSHPANJALI TREXIM LIMITED</v>
          </cell>
        </row>
        <row r="370">
          <cell r="B370" t="str">
            <v>DTS339</v>
          </cell>
          <cell r="C370">
            <v>2.5</v>
          </cell>
          <cell r="D370">
            <v>39354</v>
          </cell>
          <cell r="E370">
            <v>78754</v>
          </cell>
          <cell r="F370" t="str">
            <v>P01708</v>
          </cell>
          <cell r="G370" t="str">
            <v>DTS339/UB1227#DTS</v>
          </cell>
          <cell r="H370">
            <v>69.209999999999994</v>
          </cell>
          <cell r="I370">
            <v>13000</v>
          </cell>
          <cell r="J370">
            <v>1542750</v>
          </cell>
          <cell r="K370">
            <v>1542750</v>
          </cell>
          <cell r="L370">
            <v>10657500</v>
          </cell>
          <cell r="M370" t="str">
            <v>PNK CONSULTANTS PVT LTD</v>
          </cell>
          <cell r="N370" t="str">
            <v>PUSHPANJALI TREXIM LIMITED</v>
          </cell>
        </row>
        <row r="371">
          <cell r="B371" t="str">
            <v>DTS340</v>
          </cell>
          <cell r="C371">
            <v>2.5</v>
          </cell>
          <cell r="D371">
            <v>39354</v>
          </cell>
          <cell r="E371">
            <v>78757</v>
          </cell>
          <cell r="F371" t="str">
            <v>P01710</v>
          </cell>
          <cell r="G371" t="str">
            <v>DTS340/UB1228#DTS</v>
          </cell>
          <cell r="H371">
            <v>69.209999999999994</v>
          </cell>
          <cell r="I371">
            <v>13000</v>
          </cell>
          <cell r="J371">
            <v>1542750</v>
          </cell>
          <cell r="K371">
            <v>1542750</v>
          </cell>
          <cell r="L371">
            <v>10657500</v>
          </cell>
          <cell r="M371" t="str">
            <v>PNK CONSULTANTS PVT LTD</v>
          </cell>
          <cell r="N371" t="str">
            <v>PUSHPANJALI TREXIM LIMITED</v>
          </cell>
        </row>
        <row r="372">
          <cell r="B372" t="str">
            <v>DTS341</v>
          </cell>
          <cell r="C372">
            <v>2.5</v>
          </cell>
          <cell r="D372">
            <v>39354</v>
          </cell>
          <cell r="E372">
            <v>78761</v>
          </cell>
          <cell r="F372" t="str">
            <v>P01711</v>
          </cell>
          <cell r="G372" t="str">
            <v>DTS341/UB1229#DTS</v>
          </cell>
          <cell r="H372">
            <v>74.97</v>
          </cell>
          <cell r="I372">
            <v>13000</v>
          </cell>
          <cell r="J372">
            <v>1663650</v>
          </cell>
          <cell r="K372">
            <v>1663650</v>
          </cell>
          <cell r="L372">
            <v>11494500</v>
          </cell>
          <cell r="M372" t="str">
            <v>PNK CONSULTANTS PVT LTD</v>
          </cell>
          <cell r="N372" t="str">
            <v>PUSHPANJALI TREXIM LIMITED</v>
          </cell>
        </row>
        <row r="373">
          <cell r="B373" t="str">
            <v>DTS344</v>
          </cell>
          <cell r="C373">
            <v>2.5</v>
          </cell>
          <cell r="D373">
            <v>39354</v>
          </cell>
          <cell r="E373">
            <v>78860</v>
          </cell>
          <cell r="F373" t="str">
            <v>D01052</v>
          </cell>
          <cell r="G373" t="str">
            <v>DTS344/UB1499#DTS</v>
          </cell>
          <cell r="H373">
            <v>89.93</v>
          </cell>
          <cell r="I373">
            <v>11000</v>
          </cell>
          <cell r="J373">
            <v>1687200</v>
          </cell>
          <cell r="K373">
            <v>1687200</v>
          </cell>
          <cell r="L373">
            <v>11732000</v>
          </cell>
          <cell r="M373">
            <v>11732000</v>
          </cell>
          <cell r="N373" t="str">
            <v>DHIRAJ SARNA</v>
          </cell>
        </row>
        <row r="374">
          <cell r="B374" t="str">
            <v>DTS345</v>
          </cell>
          <cell r="C374">
            <v>2.5</v>
          </cell>
          <cell r="D374">
            <v>39354</v>
          </cell>
          <cell r="E374">
            <v>78868</v>
          </cell>
          <cell r="F374" t="str">
            <v>D01053</v>
          </cell>
          <cell r="G374" t="str">
            <v>DTS345/UB1500#DTS</v>
          </cell>
          <cell r="H374">
            <v>89.93</v>
          </cell>
          <cell r="I374">
            <v>11000</v>
          </cell>
          <cell r="J374">
            <v>1687200</v>
          </cell>
          <cell r="K374">
            <v>1687200</v>
          </cell>
          <cell r="L374">
            <v>11732000</v>
          </cell>
          <cell r="M374">
            <v>11732000</v>
          </cell>
          <cell r="N374" t="str">
            <v>DHIRAJ SARNA</v>
          </cell>
        </row>
        <row r="375">
          <cell r="B375" t="str">
            <v>DTS346</v>
          </cell>
          <cell r="C375">
            <v>2.5</v>
          </cell>
          <cell r="D375">
            <v>39354</v>
          </cell>
          <cell r="E375">
            <v>78872</v>
          </cell>
          <cell r="F375" t="str">
            <v>D01054</v>
          </cell>
          <cell r="G375" t="str">
            <v>DTS346/UB1501#DTS</v>
          </cell>
          <cell r="H375">
            <v>65.400000000000006</v>
          </cell>
          <cell r="I375">
            <v>11000</v>
          </cell>
          <cell r="J375">
            <v>1251600</v>
          </cell>
          <cell r="K375">
            <v>1251600</v>
          </cell>
          <cell r="L375">
            <v>8696000</v>
          </cell>
          <cell r="M375">
            <v>8696000</v>
          </cell>
          <cell r="N375" t="str">
            <v>DHIRAJ SARNA</v>
          </cell>
        </row>
        <row r="376">
          <cell r="B376" t="str">
            <v>DTS347</v>
          </cell>
          <cell r="C376">
            <v>2.5</v>
          </cell>
          <cell r="D376">
            <v>39354</v>
          </cell>
          <cell r="E376">
            <v>78876</v>
          </cell>
          <cell r="F376" t="str">
            <v>D01055</v>
          </cell>
          <cell r="G376" t="str">
            <v>DTS347/UB1502#DTS</v>
          </cell>
          <cell r="H376">
            <v>178.84</v>
          </cell>
          <cell r="I376">
            <v>11000</v>
          </cell>
          <cell r="J376">
            <v>3266250</v>
          </cell>
          <cell r="K376">
            <v>3266250</v>
          </cell>
          <cell r="L376">
            <v>22737500</v>
          </cell>
          <cell r="M376">
            <v>22737500</v>
          </cell>
          <cell r="N376" t="str">
            <v>DHIRAJ SARNA                 _x000C_</v>
          </cell>
        </row>
        <row r="377">
          <cell r="B377" t="str">
            <v>DTS348</v>
          </cell>
          <cell r="C377">
            <v>2.5</v>
          </cell>
          <cell r="D377">
            <v>39354</v>
          </cell>
          <cell r="E377">
            <v>78708</v>
          </cell>
          <cell r="F377" t="str">
            <v>K01260</v>
          </cell>
          <cell r="G377" t="str">
            <v>DTS348/UB1203#DTS</v>
          </cell>
          <cell r="H377">
            <v>65.400000000000006</v>
          </cell>
          <cell r="I377">
            <v>13000</v>
          </cell>
          <cell r="J377">
            <v>1462800</v>
          </cell>
          <cell r="K377">
            <v>1462800</v>
          </cell>
          <cell r="L377">
            <v>10104000</v>
          </cell>
          <cell r="M377" t="str">
            <v>PNK CONSULTANTS PVT LTD</v>
          </cell>
          <cell r="N377" t="str">
            <v>KIC FOOD PRODUCT (P) LTD.</v>
          </cell>
        </row>
        <row r="378">
          <cell r="B378" t="str">
            <v>DTS349</v>
          </cell>
          <cell r="C378">
            <v>2.5</v>
          </cell>
          <cell r="D378">
            <v>39354</v>
          </cell>
          <cell r="E378">
            <v>78709</v>
          </cell>
          <cell r="F378" t="str">
            <v>K01261</v>
          </cell>
          <cell r="G378" t="str">
            <v>DTS349/UB1204#DTS</v>
          </cell>
          <cell r="H378">
            <v>85</v>
          </cell>
          <cell r="I378">
            <v>11000</v>
          </cell>
          <cell r="J378">
            <v>1599750</v>
          </cell>
          <cell r="K378">
            <v>1599750</v>
          </cell>
          <cell r="L378">
            <v>11122500</v>
          </cell>
          <cell r="M378" t="str">
            <v>PNK CONSULTANTS PVT LTD</v>
          </cell>
          <cell r="N378" t="str">
            <v>KIC FOOD PRODUCT (P) LTD.</v>
          </cell>
        </row>
        <row r="379">
          <cell r="B379" t="str">
            <v>DTS350</v>
          </cell>
          <cell r="C379">
            <v>2.5</v>
          </cell>
          <cell r="D379">
            <v>39354</v>
          </cell>
          <cell r="E379">
            <v>78712</v>
          </cell>
          <cell r="F379" t="str">
            <v>K01262</v>
          </cell>
          <cell r="G379" t="str">
            <v>DTS350/UB1205#DTS</v>
          </cell>
          <cell r="H379">
            <v>85</v>
          </cell>
          <cell r="I379">
            <v>11000</v>
          </cell>
          <cell r="J379">
            <v>1599750</v>
          </cell>
          <cell r="K379">
            <v>1599750</v>
          </cell>
          <cell r="L379">
            <v>11122500</v>
          </cell>
          <cell r="M379" t="str">
            <v>PNK CONSULTANTS PVT LTD</v>
          </cell>
          <cell r="N379" t="str">
            <v>KIC FOOD PRODUCT (P) LTD.</v>
          </cell>
        </row>
        <row r="380">
          <cell r="B380" t="str">
            <v>DTS351</v>
          </cell>
          <cell r="C380">
            <v>2.5</v>
          </cell>
          <cell r="D380">
            <v>39354</v>
          </cell>
          <cell r="E380">
            <v>78713</v>
          </cell>
          <cell r="F380" t="str">
            <v>K01263</v>
          </cell>
          <cell r="G380" t="str">
            <v>DTS351/UB1206#DTS</v>
          </cell>
          <cell r="H380">
            <v>69.12</v>
          </cell>
          <cell r="I380">
            <v>13000</v>
          </cell>
          <cell r="J380">
            <v>1540800</v>
          </cell>
          <cell r="K380">
            <v>1540800</v>
          </cell>
          <cell r="L380">
            <v>10644000</v>
          </cell>
          <cell r="M380" t="str">
            <v>PNK CONSULTANTS PVT LTD</v>
          </cell>
          <cell r="N380" t="str">
            <v>KIC FOOD PRODUCT (P) LTD.</v>
          </cell>
        </row>
        <row r="381">
          <cell r="B381" t="str">
            <v>DTS352</v>
          </cell>
          <cell r="C381">
            <v>2.5</v>
          </cell>
          <cell r="D381">
            <v>39354</v>
          </cell>
          <cell r="E381">
            <v>78715</v>
          </cell>
          <cell r="F381" t="str">
            <v>K01264</v>
          </cell>
          <cell r="G381" t="str">
            <v>DTS352/UB1207#DTS</v>
          </cell>
          <cell r="H381">
            <v>75.53</v>
          </cell>
          <cell r="I381">
            <v>11000</v>
          </cell>
          <cell r="J381">
            <v>1431450</v>
          </cell>
          <cell r="K381">
            <v>1431450</v>
          </cell>
          <cell r="L381">
            <v>9949500</v>
          </cell>
          <cell r="M381" t="str">
            <v>PNK CONSULTANTS PVT LTD</v>
          </cell>
          <cell r="N381" t="str">
            <v>KIC FOOD PRODUCT (P) LTD.</v>
          </cell>
        </row>
        <row r="382">
          <cell r="B382" t="str">
            <v>DTS353</v>
          </cell>
          <cell r="C382">
            <v>2.5</v>
          </cell>
          <cell r="D382">
            <v>39354</v>
          </cell>
          <cell r="E382">
            <v>78717</v>
          </cell>
          <cell r="F382" t="str">
            <v>K01265</v>
          </cell>
          <cell r="G382" t="str">
            <v>DTS353/UB1208#DTS</v>
          </cell>
          <cell r="H382">
            <v>75.53</v>
          </cell>
          <cell r="I382">
            <v>13000</v>
          </cell>
          <cell r="J382">
            <v>1675350</v>
          </cell>
          <cell r="K382">
            <v>1675350</v>
          </cell>
          <cell r="L382">
            <v>11575500</v>
          </cell>
          <cell r="M382" t="str">
            <v>PNK CONSULTANTS PVT LTD</v>
          </cell>
          <cell r="N382" t="str">
            <v>KIC FOOD PRODUCT (P) LTD.</v>
          </cell>
        </row>
        <row r="383">
          <cell r="B383" t="str">
            <v>DTS354</v>
          </cell>
          <cell r="C383">
            <v>2.5</v>
          </cell>
          <cell r="D383">
            <v>39354</v>
          </cell>
          <cell r="E383">
            <v>78857</v>
          </cell>
          <cell r="F383" t="str">
            <v>V02028</v>
          </cell>
          <cell r="G383" t="str">
            <v>DTS354/UB1529#DTS</v>
          </cell>
          <cell r="H383">
            <v>69.12</v>
          </cell>
          <cell r="I383">
            <v>13000</v>
          </cell>
          <cell r="J383">
            <v>1540800</v>
          </cell>
          <cell r="K383">
            <v>1540800</v>
          </cell>
          <cell r="L383">
            <v>10644000</v>
          </cell>
          <cell r="M383" t="str">
            <v>KHOSLA ESTATE</v>
          </cell>
          <cell r="N383" t="str">
            <v>VANDANA KAPOOR</v>
          </cell>
        </row>
        <row r="384">
          <cell r="B384" t="str">
            <v>DTS355</v>
          </cell>
          <cell r="C384">
            <v>2.5</v>
          </cell>
          <cell r="D384">
            <v>39354</v>
          </cell>
          <cell r="E384">
            <v>78719</v>
          </cell>
          <cell r="F384" t="str">
            <v>K01266</v>
          </cell>
          <cell r="G384" t="str">
            <v>DTS355/UB1209#DTS</v>
          </cell>
          <cell r="H384">
            <v>85</v>
          </cell>
          <cell r="I384">
            <v>11000</v>
          </cell>
          <cell r="J384">
            <v>1599750</v>
          </cell>
          <cell r="K384">
            <v>1599750</v>
          </cell>
          <cell r="L384">
            <v>11122500</v>
          </cell>
          <cell r="M384" t="str">
            <v>PNK CONSULTANTS PVT LTD</v>
          </cell>
          <cell r="N384" t="str">
            <v>KIC FOOD PRODUCT (P) LTD.</v>
          </cell>
        </row>
        <row r="385">
          <cell r="B385" t="str">
            <v>DTS356</v>
          </cell>
          <cell r="C385">
            <v>2.5</v>
          </cell>
          <cell r="D385">
            <v>39354</v>
          </cell>
          <cell r="E385">
            <v>78721</v>
          </cell>
          <cell r="F385" t="str">
            <v>K01267</v>
          </cell>
          <cell r="G385" t="str">
            <v>DTS356/UB1210#DTS</v>
          </cell>
          <cell r="H385">
            <v>85</v>
          </cell>
          <cell r="I385">
            <v>11000</v>
          </cell>
          <cell r="J385">
            <v>1599750</v>
          </cell>
          <cell r="K385">
            <v>1599750</v>
          </cell>
          <cell r="L385">
            <v>11122500</v>
          </cell>
          <cell r="M385" t="str">
            <v>PNK CONSULTANTS PVT LTD</v>
          </cell>
          <cell r="N385" t="str">
            <v>KIC FOOD PRODUCT (P) LTD.</v>
          </cell>
        </row>
        <row r="386">
          <cell r="B386" t="str">
            <v>DTS357</v>
          </cell>
          <cell r="C386">
            <v>2.5</v>
          </cell>
          <cell r="D386">
            <v>39354</v>
          </cell>
          <cell r="E386">
            <v>78724</v>
          </cell>
          <cell r="F386" t="str">
            <v>K01268</v>
          </cell>
          <cell r="G386" t="str">
            <v>DTS357/UB1211#DTS</v>
          </cell>
          <cell r="H386">
            <v>65.400000000000006</v>
          </cell>
          <cell r="I386">
            <v>13000</v>
          </cell>
          <cell r="J386">
            <v>1462800</v>
          </cell>
          <cell r="K386">
            <v>1462800</v>
          </cell>
          <cell r="L386">
            <v>10104000</v>
          </cell>
          <cell r="M386" t="str">
            <v>PNK CONSULTANTS PVT LTD</v>
          </cell>
          <cell r="N386" t="str">
            <v>KIC FOOD PRODUCT (P) LTD.</v>
          </cell>
        </row>
        <row r="387">
          <cell r="B387" t="str">
            <v>DTS358</v>
          </cell>
          <cell r="C387">
            <v>2.5</v>
          </cell>
          <cell r="D387">
            <v>39354</v>
          </cell>
          <cell r="E387">
            <v>78732</v>
          </cell>
          <cell r="F387" t="str">
            <v>K01270</v>
          </cell>
          <cell r="G387" t="str">
            <v>DTS358/UB1212#DTS</v>
          </cell>
          <cell r="H387">
            <v>178.84</v>
          </cell>
          <cell r="I387">
            <v>12000</v>
          </cell>
          <cell r="J387">
            <v>3555000</v>
          </cell>
          <cell r="K387">
            <v>3555000</v>
          </cell>
          <cell r="L387">
            <v>24662500</v>
          </cell>
          <cell r="M387" t="str">
            <v>PNK CONSULTANTS PVT LTD</v>
          </cell>
          <cell r="N387" t="str">
            <v>KIC FOOD PRODUCT (P) LTD.</v>
          </cell>
        </row>
        <row r="388">
          <cell r="B388" t="str">
            <v>DTS359</v>
          </cell>
          <cell r="C388">
            <v>2.5</v>
          </cell>
          <cell r="D388">
            <v>39354</v>
          </cell>
          <cell r="E388">
            <v>78735</v>
          </cell>
          <cell r="F388" t="str">
            <v>K01271</v>
          </cell>
          <cell r="G388" t="str">
            <v>DTS359/UB1213#DTS</v>
          </cell>
          <cell r="H388">
            <v>65.400000000000006</v>
          </cell>
          <cell r="I388">
            <v>12000</v>
          </cell>
          <cell r="J388">
            <v>1357200</v>
          </cell>
          <cell r="K388">
            <v>1357200</v>
          </cell>
          <cell r="L388">
            <v>9400000</v>
          </cell>
          <cell r="M388" t="str">
            <v>PNK CONSULTANTS PVT LTD</v>
          </cell>
          <cell r="N388" t="str">
            <v>KIC FOOD PRODUCT (P) LTD.</v>
          </cell>
        </row>
        <row r="389">
          <cell r="B389" t="str">
            <v>DTS361</v>
          </cell>
          <cell r="C389">
            <v>2.5</v>
          </cell>
          <cell r="D389">
            <v>39354</v>
          </cell>
          <cell r="E389">
            <v>78777</v>
          </cell>
          <cell r="F389" t="str">
            <v>P01713</v>
          </cell>
          <cell r="G389" t="str">
            <v>DTS361/UB1290#DTS</v>
          </cell>
          <cell r="H389">
            <v>89.93</v>
          </cell>
          <cell r="I389">
            <v>14000</v>
          </cell>
          <cell r="J389">
            <v>2122800</v>
          </cell>
          <cell r="K389">
            <v>2150000</v>
          </cell>
          <cell r="L389">
            <v>14636000</v>
          </cell>
          <cell r="M389" t="str">
            <v>LIASION CONSULTANCY SERVICES</v>
          </cell>
          <cell r="N389" t="str">
            <v>PREM PAUL NAYYAR</v>
          </cell>
        </row>
        <row r="390">
          <cell r="B390" t="str">
            <v>DTS362</v>
          </cell>
          <cell r="C390">
            <v>2.5</v>
          </cell>
          <cell r="D390">
            <v>39354</v>
          </cell>
          <cell r="E390">
            <v>79017</v>
          </cell>
          <cell r="F390" t="str">
            <v>K01297</v>
          </cell>
          <cell r="G390" t="str">
            <v>DTS362/UB1430#DTS</v>
          </cell>
          <cell r="H390">
            <v>69.209999999999994</v>
          </cell>
          <cell r="I390">
            <v>11000</v>
          </cell>
          <cell r="J390">
            <v>1319250</v>
          </cell>
          <cell r="K390">
            <v>1319250</v>
          </cell>
          <cell r="L390">
            <v>9167500</v>
          </cell>
          <cell r="M390" t="str">
            <v>C S &amp; ASSOCIATES</v>
          </cell>
          <cell r="N390" t="str">
            <v>KURIA MAL REAL ESTATE PVT. LT</v>
          </cell>
        </row>
        <row r="391">
          <cell r="B391" t="str">
            <v>DTS363</v>
          </cell>
          <cell r="C391">
            <v>2.5</v>
          </cell>
          <cell r="D391">
            <v>39354</v>
          </cell>
          <cell r="E391">
            <v>79072</v>
          </cell>
          <cell r="F391" t="str">
            <v>B00860</v>
          </cell>
          <cell r="G391" t="str">
            <v>DTS363/UB1486#DTS</v>
          </cell>
          <cell r="H391">
            <v>104.52</v>
          </cell>
          <cell r="I391">
            <v>12000</v>
          </cell>
          <cell r="J391">
            <v>2115000</v>
          </cell>
          <cell r="K391">
            <v>2115000</v>
          </cell>
          <cell r="L391">
            <v>14662500</v>
          </cell>
          <cell r="M391" t="str">
            <v>ARVIND ASSOCIATES</v>
          </cell>
          <cell r="N391" t="str">
            <v>BOMBAY SELECTIONS (P) LTD.</v>
          </cell>
        </row>
        <row r="392">
          <cell r="B392" t="str">
            <v>DTS364</v>
          </cell>
          <cell r="C392">
            <v>2.5</v>
          </cell>
          <cell r="D392">
            <v>39354</v>
          </cell>
          <cell r="E392">
            <v>78975</v>
          </cell>
          <cell r="F392" t="str">
            <v>B00851</v>
          </cell>
          <cell r="G392" t="str">
            <v>DTS364/UB1369#DTS</v>
          </cell>
          <cell r="H392">
            <v>74.97</v>
          </cell>
          <cell r="I392">
            <v>11000</v>
          </cell>
          <cell r="J392">
            <v>1421550</v>
          </cell>
          <cell r="K392">
            <v>1421550</v>
          </cell>
          <cell r="L392">
            <v>9880500</v>
          </cell>
          <cell r="M392" t="str">
            <v>ARVIND ASSOCIATES</v>
          </cell>
          <cell r="N392" t="str">
            <v>BOMBAY SELECTIONS (P) LTD</v>
          </cell>
        </row>
        <row r="393">
          <cell r="B393" t="str">
            <v>DTS365</v>
          </cell>
          <cell r="C393">
            <v>2.5</v>
          </cell>
          <cell r="D393">
            <v>39354</v>
          </cell>
          <cell r="E393">
            <v>78879</v>
          </cell>
          <cell r="F393" t="str">
            <v>B00848</v>
          </cell>
          <cell r="G393" t="str">
            <v>DTS365/UB1377#DTS</v>
          </cell>
          <cell r="H393">
            <v>69.209999999999994</v>
          </cell>
          <cell r="I393">
            <v>12000</v>
          </cell>
          <cell r="J393">
            <v>1431000</v>
          </cell>
          <cell r="K393">
            <v>1431000</v>
          </cell>
          <cell r="L393">
            <v>9912500</v>
          </cell>
          <cell r="M393" t="str">
            <v>ARVIND ASSOCIATES</v>
          </cell>
          <cell r="N393" t="str">
            <v>BOMBAY SELECTIONS PVT LTD</v>
          </cell>
        </row>
        <row r="394">
          <cell r="B394" t="str">
            <v>DTS366</v>
          </cell>
          <cell r="C394">
            <v>2.5</v>
          </cell>
          <cell r="D394">
            <v>39354</v>
          </cell>
          <cell r="E394">
            <v>79026</v>
          </cell>
          <cell r="F394" t="str">
            <v>B00856</v>
          </cell>
          <cell r="G394" t="str">
            <v>DTS366/UB1396#DTS</v>
          </cell>
          <cell r="H394">
            <v>69.209999999999994</v>
          </cell>
          <cell r="I394">
            <v>13000</v>
          </cell>
          <cell r="J394">
            <v>1542750</v>
          </cell>
          <cell r="K394">
            <v>1542750</v>
          </cell>
          <cell r="L394">
            <v>10657500</v>
          </cell>
          <cell r="M394" t="str">
            <v>ARVIND ASSOCIATES</v>
          </cell>
          <cell r="N394" t="str">
            <v>BOMBAY SELECTIONS (P) LTD.</v>
          </cell>
        </row>
        <row r="395">
          <cell r="B395" t="str">
            <v>DTS367</v>
          </cell>
          <cell r="C395">
            <v>2.5</v>
          </cell>
          <cell r="D395">
            <v>39354</v>
          </cell>
          <cell r="E395">
            <v>79042</v>
          </cell>
          <cell r="F395" t="str">
            <v>B00857</v>
          </cell>
          <cell r="G395" t="str">
            <v>DTS367/UB1364#DTS</v>
          </cell>
          <cell r="H395">
            <v>73.760000000000005</v>
          </cell>
          <cell r="I395">
            <v>11000</v>
          </cell>
          <cell r="J395">
            <v>1400100</v>
          </cell>
          <cell r="K395">
            <v>1400100</v>
          </cell>
          <cell r="L395">
            <v>9731000</v>
          </cell>
          <cell r="M395" t="str">
            <v>ARVIND ASSOCIATES</v>
          </cell>
          <cell r="N395" t="str">
            <v>BOMBAY SELECTIONS (P) LTD.</v>
          </cell>
        </row>
        <row r="396">
          <cell r="B396" t="str">
            <v>DTS401</v>
          </cell>
          <cell r="C396">
            <v>2.5</v>
          </cell>
          <cell r="D396">
            <v>39354</v>
          </cell>
          <cell r="E396">
            <v>78964</v>
          </cell>
          <cell r="F396" t="str">
            <v>D01059</v>
          </cell>
          <cell r="G396" t="str">
            <v>DTS401/UB1360#DTS</v>
          </cell>
          <cell r="H396">
            <v>132.19999999999999</v>
          </cell>
          <cell r="I396">
            <v>13000</v>
          </cell>
          <cell r="J396">
            <v>2864850</v>
          </cell>
          <cell r="K396">
            <v>2864850</v>
          </cell>
          <cell r="L396">
            <v>19810500</v>
          </cell>
          <cell r="M396" t="str">
            <v>MITTAL CO</v>
          </cell>
          <cell r="N396" t="str">
            <v>DAVINDER SINGH NANDA</v>
          </cell>
        </row>
        <row r="397">
          <cell r="B397" t="str">
            <v>DTS404</v>
          </cell>
          <cell r="C397">
            <v>2.5</v>
          </cell>
          <cell r="D397">
            <v>39354</v>
          </cell>
          <cell r="E397">
            <v>78818</v>
          </cell>
          <cell r="F397" t="str">
            <v>R04012</v>
          </cell>
          <cell r="G397" t="str">
            <v>DTS404/UB1553#DTS</v>
          </cell>
          <cell r="H397">
            <v>69.209999999999994</v>
          </cell>
          <cell r="I397">
            <v>13000</v>
          </cell>
          <cell r="J397">
            <v>1542750</v>
          </cell>
          <cell r="K397">
            <v>1550000</v>
          </cell>
          <cell r="L397">
            <v>10657500</v>
          </cell>
          <cell r="M397" t="str">
            <v>AARAMBH</v>
          </cell>
          <cell r="N397" t="str">
            <v>RAJESH KUMAR SACHDEVA</v>
          </cell>
        </row>
        <row r="398">
          <cell r="B398" t="str">
            <v>DTS407</v>
          </cell>
          <cell r="C398">
            <v>2.5</v>
          </cell>
          <cell r="D398">
            <v>39354</v>
          </cell>
          <cell r="E398">
            <v>79023</v>
          </cell>
          <cell r="F398" t="str">
            <v>I00309</v>
          </cell>
          <cell r="G398" t="str">
            <v>DTS407/UB1493#DTS</v>
          </cell>
          <cell r="H398">
            <v>69.209999999999994</v>
          </cell>
          <cell r="I398">
            <v>13000</v>
          </cell>
          <cell r="J398">
            <v>1542750</v>
          </cell>
          <cell r="K398">
            <v>2700000</v>
          </cell>
          <cell r="L398">
            <v>10657500</v>
          </cell>
          <cell r="M398" t="str">
            <v>ADITYA PROMOTERS</v>
          </cell>
          <cell r="N398" t="str">
            <v>I C GADI</v>
          </cell>
        </row>
        <row r="399">
          <cell r="B399" t="str">
            <v>DTS408</v>
          </cell>
          <cell r="C399">
            <v>2.5</v>
          </cell>
          <cell r="D399">
            <v>39354</v>
          </cell>
          <cell r="E399">
            <v>78886</v>
          </cell>
          <cell r="F399" t="str">
            <v>J01492</v>
          </cell>
          <cell r="G399" t="str">
            <v>DTS408/UB1531#DTS</v>
          </cell>
          <cell r="H399">
            <v>69.209999999999994</v>
          </cell>
          <cell r="I399">
            <v>13000</v>
          </cell>
          <cell r="J399">
            <v>1542750</v>
          </cell>
          <cell r="K399">
            <v>1502750</v>
          </cell>
          <cell r="L399">
            <v>10657500</v>
          </cell>
          <cell r="M399" t="str">
            <v>M/S AKANSHA ENTERPRISES</v>
          </cell>
          <cell r="N399" t="str">
            <v>J D INDUSTRIES (INDIA) LTD</v>
          </cell>
        </row>
        <row r="400">
          <cell r="B400" t="str">
            <v>DTS414</v>
          </cell>
          <cell r="C400">
            <v>2.5</v>
          </cell>
          <cell r="D400">
            <v>39354</v>
          </cell>
          <cell r="E400">
            <v>78861</v>
          </cell>
          <cell r="F400" t="str">
            <v>S04821</v>
          </cell>
          <cell r="G400" t="str">
            <v>DTS414/UB1554#DTS</v>
          </cell>
          <cell r="H400">
            <v>150.22</v>
          </cell>
          <cell r="I400">
            <v>14000</v>
          </cell>
          <cell r="J400">
            <v>3485700</v>
          </cell>
          <cell r="K400">
            <v>3490000</v>
          </cell>
          <cell r="L400">
            <v>24046500</v>
          </cell>
          <cell r="M400" t="str">
            <v>SANJAY NAGPAL ESTATES</v>
          </cell>
          <cell r="N400" t="str">
            <v>SARABJIT SINGH SARNA</v>
          </cell>
        </row>
        <row r="401">
          <cell r="B401" t="str">
            <v>DTS417</v>
          </cell>
          <cell r="C401">
            <v>2.5</v>
          </cell>
          <cell r="D401">
            <v>39354</v>
          </cell>
          <cell r="E401">
            <v>78969</v>
          </cell>
          <cell r="F401" t="str">
            <v>A03526</v>
          </cell>
          <cell r="G401" t="str">
            <v>DTS417/UB1368#DTS</v>
          </cell>
          <cell r="H401">
            <v>85</v>
          </cell>
          <cell r="I401">
            <v>13000</v>
          </cell>
          <cell r="J401">
            <v>1874250</v>
          </cell>
          <cell r="K401">
            <v>2700000</v>
          </cell>
          <cell r="L401">
            <v>12952500</v>
          </cell>
          <cell r="M401" t="str">
            <v>ALLIED SERVICES</v>
          </cell>
          <cell r="N401" t="str">
            <v>AARAV PROPERTIES PVT LTD     _x000C_</v>
          </cell>
        </row>
        <row r="402">
          <cell r="B402" t="str">
            <v>DTS418</v>
          </cell>
          <cell r="C402">
            <v>2.5</v>
          </cell>
          <cell r="D402">
            <v>39354</v>
          </cell>
          <cell r="E402">
            <v>78733</v>
          </cell>
          <cell r="F402" t="str">
            <v>A03501</v>
          </cell>
          <cell r="G402" t="str">
            <v>DTS418/UB1278#DTS</v>
          </cell>
          <cell r="H402">
            <v>69.209999999999994</v>
          </cell>
          <cell r="I402">
            <v>13000</v>
          </cell>
          <cell r="J402">
            <v>1542750</v>
          </cell>
          <cell r="K402">
            <v>2700000</v>
          </cell>
          <cell r="L402">
            <v>10657500</v>
          </cell>
          <cell r="M402" t="str">
            <v>ALLIED SERVICES</v>
          </cell>
          <cell r="N402" t="str">
            <v>ASHWANI SHARMA</v>
          </cell>
        </row>
        <row r="403">
          <cell r="B403" t="str">
            <v>DTS427</v>
          </cell>
          <cell r="C403">
            <v>2.5</v>
          </cell>
          <cell r="D403">
            <v>39354</v>
          </cell>
          <cell r="E403">
            <v>78802</v>
          </cell>
          <cell r="F403" t="str">
            <v>M02196</v>
          </cell>
          <cell r="G403" t="str">
            <v>DTS427/UB1400#DTS</v>
          </cell>
          <cell r="H403">
            <v>65.400000000000006</v>
          </cell>
          <cell r="I403">
            <v>13000</v>
          </cell>
          <cell r="J403">
            <v>1462800</v>
          </cell>
          <cell r="K403">
            <v>1462800</v>
          </cell>
          <cell r="L403">
            <v>10104000</v>
          </cell>
          <cell r="M403" t="str">
            <v>ALLIED SERVICES</v>
          </cell>
          <cell r="N403" t="str">
            <v>MADHVI LIJHARA</v>
          </cell>
        </row>
        <row r="404">
          <cell r="B404" t="str">
            <v>DTS428</v>
          </cell>
          <cell r="C404">
            <v>2.5</v>
          </cell>
          <cell r="D404">
            <v>39354</v>
          </cell>
          <cell r="E404">
            <v>78982</v>
          </cell>
          <cell r="F404" t="str">
            <v>H01013</v>
          </cell>
          <cell r="G404" t="str">
            <v>DTS428/UB1347#DTS</v>
          </cell>
          <cell r="H404">
            <v>89.93</v>
          </cell>
          <cell r="I404">
            <v>14000</v>
          </cell>
          <cell r="J404">
            <v>2122800</v>
          </cell>
          <cell r="K404">
            <v>3500000</v>
          </cell>
          <cell r="L404">
            <v>14636000</v>
          </cell>
          <cell r="M404" t="str">
            <v>SURAJ REALTORS P. LTD.</v>
          </cell>
          <cell r="N404" t="str">
            <v>HILDEGARD ANNA KHARBANDA</v>
          </cell>
        </row>
        <row r="405">
          <cell r="B405" t="str">
            <v>DTS430</v>
          </cell>
          <cell r="C405">
            <v>2.5</v>
          </cell>
          <cell r="D405">
            <v>39354</v>
          </cell>
          <cell r="E405">
            <v>78934</v>
          </cell>
          <cell r="F405" t="str">
            <v>V02033</v>
          </cell>
          <cell r="G405" t="str">
            <v>DTS430/UB1355#DTS</v>
          </cell>
          <cell r="H405">
            <v>69.209999999999994</v>
          </cell>
          <cell r="I405">
            <v>13000</v>
          </cell>
          <cell r="J405">
            <v>1542750</v>
          </cell>
          <cell r="K405">
            <v>1542750</v>
          </cell>
          <cell r="L405">
            <v>10657500</v>
          </cell>
          <cell r="M405" t="str">
            <v>ALLIED SERVICES</v>
          </cell>
          <cell r="N405" t="str">
            <v>VED PRAKASH GUPTA</v>
          </cell>
        </row>
        <row r="406">
          <cell r="B406" t="str">
            <v>DTS432</v>
          </cell>
          <cell r="C406">
            <v>2.5</v>
          </cell>
          <cell r="D406">
            <v>39354</v>
          </cell>
          <cell r="E406">
            <v>78930</v>
          </cell>
          <cell r="F406" t="str">
            <v>G00776</v>
          </cell>
          <cell r="G406" t="str">
            <v>DTS432/UB1481#DTS</v>
          </cell>
          <cell r="H406">
            <v>69.209999999999994</v>
          </cell>
          <cell r="I406">
            <v>13000</v>
          </cell>
          <cell r="J406">
            <v>1542750</v>
          </cell>
          <cell r="K406">
            <v>1542750</v>
          </cell>
          <cell r="L406">
            <v>10657500</v>
          </cell>
          <cell r="M406" t="str">
            <v>ARVIND ASSOCIATES</v>
          </cell>
          <cell r="N406" t="str">
            <v>GURPRIT SINGH</v>
          </cell>
        </row>
        <row r="407">
          <cell r="B407" t="str">
            <v>DTS433</v>
          </cell>
          <cell r="C407">
            <v>2.5</v>
          </cell>
          <cell r="D407">
            <v>39354</v>
          </cell>
          <cell r="E407">
            <v>79043</v>
          </cell>
          <cell r="F407" t="str">
            <v>F00069</v>
          </cell>
          <cell r="G407" t="str">
            <v>DTS433/UB1511#DTS</v>
          </cell>
          <cell r="H407">
            <v>69.209999999999994</v>
          </cell>
          <cell r="I407">
            <v>13000</v>
          </cell>
          <cell r="J407">
            <v>1542750</v>
          </cell>
          <cell r="K407">
            <v>1542750</v>
          </cell>
          <cell r="L407">
            <v>10657500</v>
          </cell>
          <cell r="M407" t="str">
            <v>ARVIND ASSOCIATES</v>
          </cell>
          <cell r="N407" t="str">
            <v>FCB GARMENT TEX INDIA PVT LTD</v>
          </cell>
        </row>
        <row r="408">
          <cell r="B408" t="str">
            <v>DTS434</v>
          </cell>
          <cell r="C408">
            <v>2.5</v>
          </cell>
          <cell r="D408">
            <v>39354</v>
          </cell>
          <cell r="E408">
            <v>79046</v>
          </cell>
          <cell r="F408" t="str">
            <v>S04845</v>
          </cell>
          <cell r="G408" t="str">
            <v>DTS434/UB1503#DTS</v>
          </cell>
          <cell r="H408">
            <v>69.209999999999994</v>
          </cell>
          <cell r="I408">
            <v>13000</v>
          </cell>
          <cell r="J408">
            <v>1542750</v>
          </cell>
          <cell r="K408">
            <v>1543000</v>
          </cell>
          <cell r="L408">
            <v>10657500</v>
          </cell>
          <cell r="M408" t="str">
            <v>ARVIND ESTATES (P) LTD</v>
          </cell>
          <cell r="N408" t="str">
            <v>SANGEETA SINGAL</v>
          </cell>
        </row>
        <row r="409">
          <cell r="B409" t="str">
            <v>DTS435</v>
          </cell>
          <cell r="C409">
            <v>2.5</v>
          </cell>
          <cell r="D409">
            <v>39354</v>
          </cell>
          <cell r="E409">
            <v>79039</v>
          </cell>
          <cell r="F409" t="str">
            <v>R04032</v>
          </cell>
          <cell r="G409" t="str">
            <v>DTS435/UB1505#DTS</v>
          </cell>
          <cell r="H409">
            <v>71.91</v>
          </cell>
          <cell r="I409">
            <v>13000</v>
          </cell>
          <cell r="J409">
            <v>1599300</v>
          </cell>
          <cell r="K409">
            <v>1600000</v>
          </cell>
          <cell r="L409">
            <v>11049000</v>
          </cell>
          <cell r="M409" t="str">
            <v>ARVIND ESTATES (P) LTD</v>
          </cell>
          <cell r="N409" t="str">
            <v>RAJENDER KUMAR SINGAL</v>
          </cell>
        </row>
        <row r="410">
          <cell r="B410" t="str">
            <v>DTS436</v>
          </cell>
          <cell r="C410">
            <v>2.5</v>
          </cell>
          <cell r="D410">
            <v>39354</v>
          </cell>
          <cell r="E410">
            <v>78808</v>
          </cell>
          <cell r="F410" t="str">
            <v>S04812</v>
          </cell>
          <cell r="G410" t="str">
            <v>DTS436/UB1392#DTS</v>
          </cell>
          <cell r="H410">
            <v>77.760000000000005</v>
          </cell>
          <cell r="I410">
            <v>13000</v>
          </cell>
          <cell r="J410">
            <v>1722150</v>
          </cell>
          <cell r="K410">
            <v>1800000</v>
          </cell>
          <cell r="L410">
            <v>11899500</v>
          </cell>
          <cell r="M410" t="str">
            <v>ARVIND ASSOCIATES</v>
          </cell>
          <cell r="N410" t="str">
            <v>SHAM CHOPRA</v>
          </cell>
        </row>
        <row r="411">
          <cell r="B411" t="str">
            <v>DTS437</v>
          </cell>
          <cell r="C411">
            <v>2.5</v>
          </cell>
          <cell r="D411">
            <v>39354</v>
          </cell>
          <cell r="E411">
            <v>78915</v>
          </cell>
          <cell r="F411" t="str">
            <v>S04835</v>
          </cell>
          <cell r="G411" t="str">
            <v>DTS437/UB1548#DTS</v>
          </cell>
          <cell r="H411">
            <v>132.19999999999999</v>
          </cell>
          <cell r="I411">
            <v>14000</v>
          </cell>
          <cell r="J411">
            <v>3078300</v>
          </cell>
          <cell r="K411">
            <v>3080000</v>
          </cell>
          <cell r="L411">
            <v>21233500</v>
          </cell>
          <cell r="M411" t="str">
            <v>SANJAY NAGPAL ESTATES</v>
          </cell>
          <cell r="N411" t="str">
            <v>SJM INTERNATIONAL LTD</v>
          </cell>
        </row>
        <row r="412">
          <cell r="B412" t="str">
            <v>DTS439</v>
          </cell>
          <cell r="C412">
            <v>2.5</v>
          </cell>
          <cell r="D412">
            <v>39354</v>
          </cell>
          <cell r="E412">
            <v>79022</v>
          </cell>
          <cell r="F412" t="str">
            <v>D01060</v>
          </cell>
          <cell r="G412" t="str">
            <v>DTS439/UB1512#DTS</v>
          </cell>
          <cell r="H412">
            <v>69.209999999999994</v>
          </cell>
          <cell r="I412">
            <v>13000</v>
          </cell>
          <cell r="J412">
            <v>1542750</v>
          </cell>
          <cell r="K412">
            <v>1543000</v>
          </cell>
          <cell r="L412">
            <v>10657500</v>
          </cell>
          <cell r="M412" t="str">
            <v>BATRAS JAICO</v>
          </cell>
          <cell r="N412" t="str">
            <v>D.N.DALMIA</v>
          </cell>
        </row>
        <row r="413">
          <cell r="B413" t="str">
            <v>DTS440</v>
          </cell>
          <cell r="C413">
            <v>2.5</v>
          </cell>
          <cell r="D413">
            <v>39354</v>
          </cell>
          <cell r="E413">
            <v>79076</v>
          </cell>
          <cell r="F413" t="str">
            <v>S04854</v>
          </cell>
          <cell r="G413" t="str">
            <v>DTS440/UB1366#DTS</v>
          </cell>
          <cell r="H413">
            <v>69.209999999999994</v>
          </cell>
          <cell r="I413">
            <v>13000</v>
          </cell>
          <cell r="J413">
            <v>1542750</v>
          </cell>
          <cell r="K413">
            <v>1542750</v>
          </cell>
          <cell r="L413">
            <v>10657500</v>
          </cell>
          <cell r="M413" t="str">
            <v>COMMUNIQUE MARKETING SOLUTION</v>
          </cell>
          <cell r="N413" t="str">
            <v>S.S.V. INFRASTRUCTURE PVT. LT</v>
          </cell>
        </row>
        <row r="414">
          <cell r="B414" t="str">
            <v>DTS441</v>
          </cell>
          <cell r="C414">
            <v>2.5</v>
          </cell>
          <cell r="D414">
            <v>39354</v>
          </cell>
          <cell r="E414">
            <v>78859</v>
          </cell>
          <cell r="F414" t="str">
            <v>V02029</v>
          </cell>
          <cell r="G414" t="str">
            <v>DTS441/UB1386#DTS</v>
          </cell>
          <cell r="H414">
            <v>74.97</v>
          </cell>
          <cell r="I414">
            <v>13000</v>
          </cell>
          <cell r="J414">
            <v>1663650</v>
          </cell>
          <cell r="K414">
            <v>1663650</v>
          </cell>
          <cell r="L414">
            <v>11494500</v>
          </cell>
          <cell r="M414" t="str">
            <v>COMMUNIQUE MARKETING SOLUTION</v>
          </cell>
          <cell r="N414" t="str">
            <v>VIVEK SHARMA</v>
          </cell>
        </row>
        <row r="415">
          <cell r="B415" t="str">
            <v>DTS448</v>
          </cell>
          <cell r="C415">
            <v>2.5</v>
          </cell>
          <cell r="D415">
            <v>39354</v>
          </cell>
          <cell r="E415">
            <v>79040</v>
          </cell>
          <cell r="F415" t="str">
            <v>R04033</v>
          </cell>
          <cell r="G415" t="str">
            <v>DTS448/UB1253#DTS</v>
          </cell>
          <cell r="H415">
            <v>65.400000000000006</v>
          </cell>
          <cell r="I415">
            <v>13000</v>
          </cell>
          <cell r="J415">
            <v>1462800</v>
          </cell>
          <cell r="K415">
            <v>1500000</v>
          </cell>
          <cell r="L415">
            <v>10104000</v>
          </cell>
          <cell r="M415" t="str">
            <v>AMIT ARORA(Real Estate Develo</v>
          </cell>
          <cell r="N415" t="str">
            <v>RAKESH KUMAR VERMA</v>
          </cell>
        </row>
        <row r="416">
          <cell r="B416" t="str">
            <v>DTS449</v>
          </cell>
          <cell r="C416">
            <v>2.5</v>
          </cell>
          <cell r="D416">
            <v>39354</v>
          </cell>
          <cell r="E416">
            <v>78729</v>
          </cell>
          <cell r="F416" t="str">
            <v>R04003</v>
          </cell>
          <cell r="G416" t="str">
            <v>DTS449/UB1312#DTS</v>
          </cell>
          <cell r="H416">
            <v>85</v>
          </cell>
          <cell r="I416">
            <v>13000</v>
          </cell>
          <cell r="J416">
            <v>1874250</v>
          </cell>
          <cell r="K416">
            <v>1900000</v>
          </cell>
          <cell r="L416">
            <v>12952500</v>
          </cell>
          <cell r="M416" t="str">
            <v>AMIT ARORA(Real Estate Develo</v>
          </cell>
          <cell r="N416" t="str">
            <v>RAKESH KUMAR VERMA</v>
          </cell>
        </row>
        <row r="417">
          <cell r="B417" t="str">
            <v>DTS450</v>
          </cell>
          <cell r="C417">
            <v>2.5</v>
          </cell>
          <cell r="D417">
            <v>39354</v>
          </cell>
          <cell r="E417">
            <v>79037</v>
          </cell>
          <cell r="F417" t="str">
            <v>R04031</v>
          </cell>
          <cell r="G417" t="str">
            <v>DTS450/UB1252#DTS</v>
          </cell>
          <cell r="H417">
            <v>85</v>
          </cell>
          <cell r="I417">
            <v>13000</v>
          </cell>
          <cell r="J417">
            <v>1874250</v>
          </cell>
          <cell r="K417">
            <v>1900000</v>
          </cell>
          <cell r="L417">
            <v>12952500</v>
          </cell>
          <cell r="M417" t="str">
            <v>AMIT ARORA(Real Estate Develo</v>
          </cell>
          <cell r="N417" t="str">
            <v>RAKESH KUMAR VERMA</v>
          </cell>
        </row>
        <row r="418">
          <cell r="B418" t="str">
            <v>DTS451</v>
          </cell>
          <cell r="C418">
            <v>2.5</v>
          </cell>
          <cell r="D418">
            <v>39354</v>
          </cell>
          <cell r="E418">
            <v>79081</v>
          </cell>
          <cell r="F418" t="str">
            <v>R04035</v>
          </cell>
          <cell r="G418" t="str">
            <v>DTS451/UB1483#DTS</v>
          </cell>
          <cell r="H418">
            <v>69.12</v>
          </cell>
          <cell r="I418">
            <v>13000</v>
          </cell>
          <cell r="J418">
            <v>1540800</v>
          </cell>
          <cell r="K418">
            <v>1600000</v>
          </cell>
          <cell r="L418">
            <v>10644000</v>
          </cell>
          <cell r="M418" t="str">
            <v>AMIT ARORA(Real Estate Develo</v>
          </cell>
          <cell r="N418" t="str">
            <v>RAKESH KUMAR VERMA</v>
          </cell>
        </row>
        <row r="419">
          <cell r="B419" t="str">
            <v>DTS452</v>
          </cell>
          <cell r="C419">
            <v>2.5</v>
          </cell>
          <cell r="D419">
            <v>39354</v>
          </cell>
          <cell r="E419">
            <v>79005</v>
          </cell>
          <cell r="F419" t="str">
            <v>R04025</v>
          </cell>
          <cell r="G419" t="str">
            <v>DTS452/UB1498#DTS</v>
          </cell>
          <cell r="H419">
            <v>75.53</v>
          </cell>
          <cell r="I419">
            <v>13000</v>
          </cell>
          <cell r="J419">
            <v>1675350</v>
          </cell>
          <cell r="K419">
            <v>1700000</v>
          </cell>
          <cell r="L419">
            <v>11575500</v>
          </cell>
          <cell r="M419" t="str">
            <v>AMIT ARORA(Real Estate Develo</v>
          </cell>
          <cell r="N419" t="str">
            <v>RAKESH KUMAR VERMA</v>
          </cell>
        </row>
        <row r="420">
          <cell r="B420" t="str">
            <v>DTS453</v>
          </cell>
          <cell r="C420">
            <v>2.5</v>
          </cell>
          <cell r="D420">
            <v>39354</v>
          </cell>
          <cell r="E420">
            <v>78824</v>
          </cell>
          <cell r="F420" t="str">
            <v>A03510</v>
          </cell>
          <cell r="G420" t="str">
            <v>DTS453/UB1333#DTS</v>
          </cell>
          <cell r="H420">
            <v>75.53</v>
          </cell>
          <cell r="I420">
            <v>13000</v>
          </cell>
          <cell r="J420">
            <v>1675350</v>
          </cell>
          <cell r="K420">
            <v>2000000</v>
          </cell>
          <cell r="L420">
            <v>11575500</v>
          </cell>
          <cell r="M420" t="str">
            <v>AMIT ARORA(Real Estate Develo</v>
          </cell>
          <cell r="N420" t="str">
            <v>AMIT BAJAJ</v>
          </cell>
        </row>
        <row r="421">
          <cell r="B421" t="str">
            <v>DTS454</v>
          </cell>
          <cell r="C421">
            <v>2.5</v>
          </cell>
          <cell r="D421">
            <v>39354</v>
          </cell>
          <cell r="E421">
            <v>79078</v>
          </cell>
          <cell r="F421" t="str">
            <v>H01019</v>
          </cell>
          <cell r="G421" t="str">
            <v>DTS454/UB1484#DTS</v>
          </cell>
          <cell r="H421">
            <v>69.12</v>
          </cell>
          <cell r="I421">
            <v>13000</v>
          </cell>
          <cell r="J421">
            <v>1540800</v>
          </cell>
          <cell r="K421">
            <v>1600000</v>
          </cell>
          <cell r="L421">
            <v>10644000</v>
          </cell>
          <cell r="M421" t="str">
            <v>AMIT ARORA(Real Estate Develo</v>
          </cell>
          <cell r="N421" t="str">
            <v>HAVINDER KUMAR AHUJA</v>
          </cell>
        </row>
        <row r="422">
          <cell r="B422" t="str">
            <v>DTS455</v>
          </cell>
          <cell r="C422">
            <v>2.5</v>
          </cell>
          <cell r="D422">
            <v>39354</v>
          </cell>
          <cell r="E422">
            <v>79032</v>
          </cell>
          <cell r="F422" t="str">
            <v>R04030</v>
          </cell>
          <cell r="G422" t="str">
            <v>DTS455/UB1251#DTS</v>
          </cell>
          <cell r="H422">
            <v>85</v>
          </cell>
          <cell r="I422">
            <v>13000</v>
          </cell>
          <cell r="J422">
            <v>1874250</v>
          </cell>
          <cell r="K422">
            <v>1900000</v>
          </cell>
          <cell r="L422">
            <v>12952500</v>
          </cell>
          <cell r="M422" t="str">
            <v>AMIT ARORA(Real Estate Develo</v>
          </cell>
          <cell r="N422" t="str">
            <v>RAJESH MAGGU</v>
          </cell>
        </row>
        <row r="423">
          <cell r="B423" t="str">
            <v>DTS456</v>
          </cell>
          <cell r="C423">
            <v>2.5</v>
          </cell>
          <cell r="D423">
            <v>39354</v>
          </cell>
          <cell r="E423">
            <v>78811</v>
          </cell>
          <cell r="F423" t="str">
            <v>R04010</v>
          </cell>
          <cell r="G423" t="str">
            <v>DTS456/UB1266#DTS</v>
          </cell>
          <cell r="H423">
            <v>85</v>
          </cell>
          <cell r="I423">
            <v>13000</v>
          </cell>
          <cell r="J423">
            <v>1874250</v>
          </cell>
          <cell r="K423">
            <v>2500000</v>
          </cell>
          <cell r="L423">
            <v>12952500</v>
          </cell>
          <cell r="M423" t="str">
            <v>AMIT ARORA(Real Estate Develo</v>
          </cell>
          <cell r="N423" t="str">
            <v>ROHIT MADHOK</v>
          </cell>
        </row>
        <row r="424">
          <cell r="B424" t="str">
            <v>DTS457</v>
          </cell>
          <cell r="C424">
            <v>2.5</v>
          </cell>
          <cell r="D424">
            <v>39354</v>
          </cell>
          <cell r="E424">
            <v>79016</v>
          </cell>
          <cell r="F424" t="str">
            <v>K01296</v>
          </cell>
          <cell r="G424" t="str">
            <v>DTS457/UB1247#DTS</v>
          </cell>
          <cell r="H424">
            <v>65.400000000000006</v>
          </cell>
          <cell r="I424">
            <v>13000</v>
          </cell>
          <cell r="J424">
            <v>1462800</v>
          </cell>
          <cell r="K424">
            <v>1463000</v>
          </cell>
          <cell r="L424">
            <v>10104000</v>
          </cell>
          <cell r="M424" t="str">
            <v>AMIT ARORA(Real Estate Develo</v>
          </cell>
          <cell r="N424" t="str">
            <v>KAPRASH ENGINEERS PVT LTD</v>
          </cell>
        </row>
        <row r="425">
          <cell r="B425" t="str">
            <v>DTS459</v>
          </cell>
          <cell r="C425">
            <v>2.5</v>
          </cell>
          <cell r="D425">
            <v>39354</v>
          </cell>
          <cell r="E425">
            <v>79006</v>
          </cell>
          <cell r="F425" t="str">
            <v>S04843</v>
          </cell>
          <cell r="G425" t="str">
            <v>DTS459/UB1243#DTS</v>
          </cell>
          <cell r="H425">
            <v>65.400000000000006</v>
          </cell>
          <cell r="I425">
            <v>13000</v>
          </cell>
          <cell r="J425">
            <v>1462800</v>
          </cell>
          <cell r="K425">
            <v>2000000</v>
          </cell>
          <cell r="L425">
            <v>10104000</v>
          </cell>
          <cell r="M425" t="str">
            <v>AMIT ARORA(Real Estate Develo</v>
          </cell>
          <cell r="N425" t="str">
            <v>SANJAY KIRPAL</v>
          </cell>
        </row>
        <row r="426">
          <cell r="B426" t="str">
            <v>DTS460</v>
          </cell>
          <cell r="C426">
            <v>2.5</v>
          </cell>
          <cell r="D426">
            <v>39354</v>
          </cell>
          <cell r="E426">
            <v>78983</v>
          </cell>
          <cell r="F426" t="str">
            <v>H01014</v>
          </cell>
          <cell r="G426" t="str">
            <v>DTS460/UB1346#DTS</v>
          </cell>
          <cell r="H426">
            <v>89.93</v>
          </cell>
          <cell r="I426">
            <v>14000</v>
          </cell>
          <cell r="J426">
            <v>2122800</v>
          </cell>
          <cell r="K426">
            <v>3000000</v>
          </cell>
          <cell r="L426">
            <v>14636000</v>
          </cell>
          <cell r="M426" t="str">
            <v>SURAJ REALTORS P. LTD.</v>
          </cell>
          <cell r="N426" t="str">
            <v>HILDEGARD ANNA KHARABANDA    _x000C_</v>
          </cell>
        </row>
        <row r="427">
          <cell r="B427" t="str">
            <v>DTS461</v>
          </cell>
          <cell r="C427">
            <v>2.5</v>
          </cell>
          <cell r="D427">
            <v>39354</v>
          </cell>
          <cell r="E427">
            <v>78916</v>
          </cell>
          <cell r="F427" t="str">
            <v>H00999</v>
          </cell>
          <cell r="G427" t="str">
            <v>DTS461/UB1349#DTS</v>
          </cell>
          <cell r="H427">
            <v>89.93</v>
          </cell>
          <cell r="I427">
            <v>14000</v>
          </cell>
          <cell r="J427">
            <v>2122800</v>
          </cell>
          <cell r="K427">
            <v>3500000</v>
          </cell>
          <cell r="L427">
            <v>14636000</v>
          </cell>
          <cell r="M427" t="str">
            <v>SURAJ REALTORS P. LTD.</v>
          </cell>
          <cell r="N427" t="str">
            <v>HILDEGARD ANNA KHARABANDA</v>
          </cell>
        </row>
        <row r="428">
          <cell r="B428" t="str">
            <v>DTS463</v>
          </cell>
          <cell r="C428">
            <v>2.5</v>
          </cell>
          <cell r="D428">
            <v>39354</v>
          </cell>
          <cell r="E428">
            <v>78788</v>
          </cell>
          <cell r="F428" t="str">
            <v>J01486</v>
          </cell>
          <cell r="G428" t="str">
            <v>DTS463/UB1286#DTS</v>
          </cell>
          <cell r="H428">
            <v>104.52</v>
          </cell>
          <cell r="I428">
            <v>13000</v>
          </cell>
          <cell r="J428">
            <v>2283750</v>
          </cell>
          <cell r="K428">
            <v>2700000</v>
          </cell>
          <cell r="L428">
            <v>15787500</v>
          </cell>
          <cell r="M428" t="str">
            <v>SAR REALTY PVT LTD</v>
          </cell>
          <cell r="N428" t="str">
            <v>JAIDEEP SINGH KAPOOR</v>
          </cell>
        </row>
        <row r="429">
          <cell r="B429" t="str">
            <v>DTS464</v>
          </cell>
          <cell r="C429">
            <v>2.5</v>
          </cell>
          <cell r="D429">
            <v>39354</v>
          </cell>
          <cell r="E429">
            <v>78731</v>
          </cell>
          <cell r="F429" t="str">
            <v>S04801</v>
          </cell>
          <cell r="G429" t="str">
            <v>DTS464/UB1281#DTS</v>
          </cell>
          <cell r="H429">
            <v>74.97</v>
          </cell>
          <cell r="I429">
            <v>13000</v>
          </cell>
          <cell r="J429">
            <v>1663650</v>
          </cell>
          <cell r="K429">
            <v>1700000</v>
          </cell>
          <cell r="L429">
            <v>11494500</v>
          </cell>
          <cell r="M429" t="str">
            <v>LIASION CONSULTANCY SERVICES</v>
          </cell>
          <cell r="N429" t="str">
            <v>SANJEEV BANSAL</v>
          </cell>
        </row>
        <row r="430">
          <cell r="B430" t="str">
            <v>DTS465</v>
          </cell>
          <cell r="C430">
            <v>2.5</v>
          </cell>
          <cell r="D430">
            <v>39354</v>
          </cell>
          <cell r="E430">
            <v>79048</v>
          </cell>
          <cell r="F430" t="str">
            <v>N01135</v>
          </cell>
          <cell r="G430" t="str">
            <v>DTS465/UB1257#DTS</v>
          </cell>
          <cell r="H430">
            <v>69.209999999999994</v>
          </cell>
          <cell r="I430">
            <v>13000</v>
          </cell>
          <cell r="J430">
            <v>1542750</v>
          </cell>
          <cell r="K430">
            <v>2700000</v>
          </cell>
          <cell r="L430">
            <v>10657500</v>
          </cell>
          <cell r="M430" t="str">
            <v>AMIT ARORA(Real Estate Develo</v>
          </cell>
          <cell r="N430" t="str">
            <v>NEELAM PRADEEP ANAND</v>
          </cell>
        </row>
        <row r="431">
          <cell r="B431" t="str">
            <v>DTS466</v>
          </cell>
          <cell r="C431">
            <v>2.5</v>
          </cell>
          <cell r="D431">
            <v>39354</v>
          </cell>
          <cell r="E431">
            <v>79047</v>
          </cell>
          <cell r="F431" t="str">
            <v>N01134</v>
          </cell>
          <cell r="G431" t="str">
            <v>DTS466/UB1556#DTS</v>
          </cell>
          <cell r="H431">
            <v>69.209999999999994</v>
          </cell>
          <cell r="I431">
            <v>13000</v>
          </cell>
          <cell r="J431">
            <v>1542750</v>
          </cell>
          <cell r="K431">
            <v>2700000</v>
          </cell>
          <cell r="L431">
            <v>10637000</v>
          </cell>
          <cell r="M431" t="str">
            <v>AMIT ARORA(Real Estate Develo</v>
          </cell>
          <cell r="N431" t="str">
            <v>NEELAM PRADEEP ANAND</v>
          </cell>
        </row>
        <row r="432">
          <cell r="B432" t="str">
            <v>DTS467</v>
          </cell>
          <cell r="C432">
            <v>2.5</v>
          </cell>
          <cell r="D432">
            <v>39354</v>
          </cell>
          <cell r="E432">
            <v>79035</v>
          </cell>
          <cell r="F432" t="str">
            <v>V02036</v>
          </cell>
          <cell r="G432" t="str">
            <v>DTS467/UB1467#DTS</v>
          </cell>
          <cell r="H432">
            <v>73.760000000000005</v>
          </cell>
          <cell r="I432">
            <v>13000</v>
          </cell>
          <cell r="J432">
            <v>1638300</v>
          </cell>
          <cell r="K432">
            <v>1700000</v>
          </cell>
          <cell r="L432">
            <v>11319000</v>
          </cell>
          <cell r="M432" t="str">
            <v>AMIT ARORA(Real Estate Develo</v>
          </cell>
          <cell r="N432" t="str">
            <v>VIJAY GUPTA</v>
          </cell>
        </row>
        <row r="433">
          <cell r="B433" t="str">
            <v>DTS501</v>
          </cell>
          <cell r="C433">
            <v>2.5</v>
          </cell>
          <cell r="D433">
            <v>39354</v>
          </cell>
          <cell r="E433">
            <v>78863</v>
          </cell>
          <cell r="F433" t="str">
            <v>N01128</v>
          </cell>
          <cell r="G433" t="str">
            <v>DTS501/UB1538#DTS</v>
          </cell>
          <cell r="H433">
            <v>71.91</v>
          </cell>
          <cell r="I433">
            <v>13000</v>
          </cell>
          <cell r="J433">
            <v>1599300</v>
          </cell>
          <cell r="K433">
            <v>1599300</v>
          </cell>
          <cell r="L433">
            <v>11049000</v>
          </cell>
          <cell r="M433" t="str">
            <v>ICICI HOME FINANCE COMPANY LT</v>
          </cell>
          <cell r="N433" t="str">
            <v>NAVIN KUMAR</v>
          </cell>
        </row>
        <row r="434">
          <cell r="B434" t="str">
            <v>DTS503</v>
          </cell>
          <cell r="C434">
            <v>2.5</v>
          </cell>
          <cell r="D434">
            <v>39354</v>
          </cell>
          <cell r="E434">
            <v>79014</v>
          </cell>
          <cell r="F434" t="str">
            <v>M02203</v>
          </cell>
          <cell r="G434" t="str">
            <v>DTS503/UB1362#DTS</v>
          </cell>
          <cell r="H434">
            <v>69.209999999999994</v>
          </cell>
          <cell r="I434">
            <v>13000</v>
          </cell>
          <cell r="J434">
            <v>1542750</v>
          </cell>
          <cell r="K434">
            <v>1542750</v>
          </cell>
          <cell r="L434">
            <v>10657500</v>
          </cell>
          <cell r="M434" t="str">
            <v>INDIA REALTY INVESTMENT SERVI</v>
          </cell>
          <cell r="N434" t="str">
            <v>MANOJ NAGPAL</v>
          </cell>
        </row>
        <row r="435">
          <cell r="B435" t="str">
            <v>DTS510</v>
          </cell>
          <cell r="C435">
            <v>2.5</v>
          </cell>
          <cell r="D435">
            <v>39354</v>
          </cell>
          <cell r="E435">
            <v>78780</v>
          </cell>
          <cell r="F435" t="str">
            <v>A03506</v>
          </cell>
          <cell r="G435" t="str">
            <v>DTS510/UB1577#DTS</v>
          </cell>
          <cell r="H435">
            <v>114.08</v>
          </cell>
          <cell r="I435">
            <v>11000</v>
          </cell>
          <cell r="J435">
            <v>2116200</v>
          </cell>
          <cell r="K435">
            <v>2116200</v>
          </cell>
          <cell r="L435">
            <v>14722000</v>
          </cell>
          <cell r="M435" t="str">
            <v>C S &amp; ASSOCIATES</v>
          </cell>
          <cell r="N435" t="str">
            <v>APPOLO CRANES PVT LTD</v>
          </cell>
        </row>
        <row r="436">
          <cell r="B436" t="str">
            <v>DTS514</v>
          </cell>
          <cell r="C436">
            <v>2.5</v>
          </cell>
          <cell r="D436">
            <v>39354</v>
          </cell>
          <cell r="E436">
            <v>78674</v>
          </cell>
          <cell r="F436" t="str">
            <v>R03998</v>
          </cell>
          <cell r="G436" t="str">
            <v>DTS514/UB1163#DTS</v>
          </cell>
          <cell r="H436">
            <v>89.74</v>
          </cell>
          <cell r="I436">
            <v>13000</v>
          </cell>
          <cell r="J436">
            <v>1973700</v>
          </cell>
          <cell r="K436">
            <v>2700000</v>
          </cell>
          <cell r="L436">
            <v>13641000</v>
          </cell>
          <cell r="M436" t="str">
            <v>ETHICAL INFRASTRUCTURES PVT.</v>
          </cell>
          <cell r="N436" t="str">
            <v>REETA SOOD</v>
          </cell>
        </row>
        <row r="437">
          <cell r="B437" t="str">
            <v>DTS515</v>
          </cell>
          <cell r="C437">
            <v>2.5</v>
          </cell>
          <cell r="D437">
            <v>39354</v>
          </cell>
          <cell r="E437">
            <v>78968</v>
          </cell>
          <cell r="F437" t="str">
            <v>K01291</v>
          </cell>
          <cell r="G437" t="str">
            <v>DTS515/UB1479#DTS</v>
          </cell>
          <cell r="H437">
            <v>85</v>
          </cell>
          <cell r="I437">
            <v>13000</v>
          </cell>
          <cell r="J437">
            <v>1874250</v>
          </cell>
          <cell r="K437">
            <v>2700000</v>
          </cell>
          <cell r="L437">
            <v>12952500</v>
          </cell>
          <cell r="M437" t="str">
            <v>ETHICAL INFRASTRUCTURES PVT.</v>
          </cell>
          <cell r="N437" t="str">
            <v>K C SOOD</v>
          </cell>
        </row>
        <row r="438">
          <cell r="B438" t="str">
            <v>DTS516</v>
          </cell>
          <cell r="C438">
            <v>2.5</v>
          </cell>
          <cell r="D438">
            <v>39354</v>
          </cell>
          <cell r="E438">
            <v>78909</v>
          </cell>
          <cell r="F438" t="str">
            <v>S04834</v>
          </cell>
          <cell r="G438" t="str">
            <v>DTS516/UB1530#DTS</v>
          </cell>
          <cell r="H438">
            <v>69.209999999999994</v>
          </cell>
          <cell r="I438">
            <v>13000</v>
          </cell>
          <cell r="J438">
            <v>1542750</v>
          </cell>
          <cell r="K438">
            <v>1542750</v>
          </cell>
          <cell r="L438">
            <v>10657500</v>
          </cell>
          <cell r="M438" t="str">
            <v>ETHICAL INFRASTRUCTURES PVT.</v>
          </cell>
          <cell r="N438" t="str">
            <v>STALWART HOME STYLES</v>
          </cell>
        </row>
        <row r="439">
          <cell r="B439" t="str">
            <v>DTS517</v>
          </cell>
          <cell r="C439">
            <v>2.5</v>
          </cell>
          <cell r="D439">
            <v>39354</v>
          </cell>
          <cell r="E439">
            <v>79057</v>
          </cell>
          <cell r="F439" t="str">
            <v>M02205</v>
          </cell>
          <cell r="G439" t="str">
            <v>DTS517/UB1489#DTS</v>
          </cell>
          <cell r="H439">
            <v>75.53</v>
          </cell>
          <cell r="I439">
            <v>13000</v>
          </cell>
          <cell r="J439">
            <v>1675350</v>
          </cell>
          <cell r="K439">
            <v>2700000</v>
          </cell>
          <cell r="L439">
            <v>11575500</v>
          </cell>
          <cell r="M439" t="str">
            <v>ETHICAL INFRASTRUCTURES PVT.</v>
          </cell>
          <cell r="N439" t="str">
            <v>MANJU MAMIK</v>
          </cell>
        </row>
        <row r="440">
          <cell r="B440" t="str">
            <v>DTS539</v>
          </cell>
          <cell r="C440">
            <v>2.5</v>
          </cell>
          <cell r="D440">
            <v>39354</v>
          </cell>
          <cell r="E440">
            <v>78869</v>
          </cell>
          <cell r="F440" t="str">
            <v>S04824</v>
          </cell>
          <cell r="G440" t="str">
            <v>DTS539/UB1379#DTS</v>
          </cell>
          <cell r="H440">
            <v>69.209999999999994</v>
          </cell>
          <cell r="I440">
            <v>13000</v>
          </cell>
          <cell r="J440">
            <v>1542750</v>
          </cell>
          <cell r="K440">
            <v>1542750</v>
          </cell>
          <cell r="L440">
            <v>10657500</v>
          </cell>
          <cell r="M440" t="str">
            <v>LARES &amp; PENATES</v>
          </cell>
          <cell r="N440" t="str">
            <v>SURESH VAID</v>
          </cell>
        </row>
        <row r="441">
          <cell r="B441" t="str">
            <v>DTS543</v>
          </cell>
          <cell r="C441">
            <v>2.5</v>
          </cell>
          <cell r="D441">
            <v>39354</v>
          </cell>
          <cell r="E441">
            <v>79045</v>
          </cell>
          <cell r="F441" t="str">
            <v>I00310</v>
          </cell>
          <cell r="G441" t="str">
            <v>DTS543/UB1497#DTS</v>
          </cell>
          <cell r="H441">
            <v>178.84</v>
          </cell>
          <cell r="I441">
            <v>14000</v>
          </cell>
          <cell r="J441">
            <v>4132500</v>
          </cell>
          <cell r="K441">
            <v>4132500</v>
          </cell>
          <cell r="L441">
            <v>28512500</v>
          </cell>
          <cell r="M441" t="str">
            <v>ESSAAR ASSOCIATES</v>
          </cell>
          <cell r="N441" t="str">
            <v>INDIAN QUOTATION SYSTEMS PVT.</v>
          </cell>
        </row>
        <row r="442">
          <cell r="B442" t="str">
            <v>DTS545</v>
          </cell>
          <cell r="C442">
            <v>2.5</v>
          </cell>
          <cell r="D442">
            <v>39354</v>
          </cell>
          <cell r="E442">
            <v>78750</v>
          </cell>
          <cell r="F442" t="str">
            <v>B00844</v>
          </cell>
          <cell r="G442" t="str">
            <v>DTS545/UB1292#DTS</v>
          </cell>
          <cell r="H442">
            <v>85</v>
          </cell>
          <cell r="I442">
            <v>13000</v>
          </cell>
          <cell r="J442">
            <v>1874250</v>
          </cell>
          <cell r="K442">
            <v>1874250</v>
          </cell>
          <cell r="L442">
            <v>12952500</v>
          </cell>
          <cell r="M442" t="str">
            <v>JONES LANG LASALLE MEGHRAJ PR</v>
          </cell>
          <cell r="N442" t="str">
            <v>BHARAT BUILDTECH PVT LTD</v>
          </cell>
        </row>
        <row r="443">
          <cell r="B443" t="str">
            <v>DTS546</v>
          </cell>
          <cell r="C443">
            <v>2.5</v>
          </cell>
          <cell r="D443">
            <v>39354</v>
          </cell>
          <cell r="E443">
            <v>78755</v>
          </cell>
          <cell r="F443" t="str">
            <v>B00845</v>
          </cell>
          <cell r="G443" t="str">
            <v>DTS546/UB1296#DTS</v>
          </cell>
          <cell r="H443">
            <v>85</v>
          </cell>
          <cell r="I443">
            <v>13000</v>
          </cell>
          <cell r="J443">
            <v>1874250</v>
          </cell>
          <cell r="K443">
            <v>1874250</v>
          </cell>
          <cell r="L443">
            <v>12952500</v>
          </cell>
          <cell r="M443" t="str">
            <v>JONES LANG LASALLE MEGHRAJ PR</v>
          </cell>
          <cell r="N443" t="str">
            <v>BHARAT BUILDTECH PVT LTD</v>
          </cell>
        </row>
        <row r="444">
          <cell r="B444" t="str">
            <v>DTS547</v>
          </cell>
          <cell r="C444">
            <v>2.5</v>
          </cell>
          <cell r="D444">
            <v>39354</v>
          </cell>
          <cell r="E444">
            <v>78957</v>
          </cell>
          <cell r="F444" t="str">
            <v>B00850</v>
          </cell>
          <cell r="G444" t="str">
            <v>DTS547/UB1246#DTS</v>
          </cell>
          <cell r="H444">
            <v>69.12</v>
          </cell>
          <cell r="I444">
            <v>13000</v>
          </cell>
          <cell r="J444">
            <v>1540800</v>
          </cell>
          <cell r="K444">
            <v>1540800</v>
          </cell>
          <cell r="L444">
            <v>10644000</v>
          </cell>
          <cell r="M444" t="str">
            <v>JONES LANG LASALLE MEGHRAJ PR</v>
          </cell>
          <cell r="N444" t="str">
            <v>BHARAT BUILDTECH PVT. LTD.</v>
          </cell>
        </row>
        <row r="445">
          <cell r="B445" t="str">
            <v>DTS548</v>
          </cell>
          <cell r="C445">
            <v>2.5</v>
          </cell>
          <cell r="D445">
            <v>39354</v>
          </cell>
          <cell r="E445">
            <v>78996</v>
          </cell>
          <cell r="F445" t="str">
            <v>B00854</v>
          </cell>
          <cell r="G445" t="str">
            <v>DTS548/UB1241#DTS</v>
          </cell>
          <cell r="H445">
            <v>75.53</v>
          </cell>
          <cell r="I445">
            <v>13000</v>
          </cell>
          <cell r="J445">
            <v>1675350</v>
          </cell>
          <cell r="K445">
            <v>1675350</v>
          </cell>
          <cell r="L445">
            <v>11575500</v>
          </cell>
          <cell r="M445" t="str">
            <v>JONES LANG LASALLE MEGHRAJ PR</v>
          </cell>
          <cell r="N445" t="str">
            <v>BHARAT BUILDTECH PVT LTD</v>
          </cell>
        </row>
        <row r="446">
          <cell r="B446" t="str">
            <v>DTS549</v>
          </cell>
          <cell r="C446">
            <v>2.5</v>
          </cell>
          <cell r="D446">
            <v>39354</v>
          </cell>
          <cell r="E446">
            <v>78813</v>
          </cell>
          <cell r="F446" t="str">
            <v>B00846</v>
          </cell>
          <cell r="G446" t="str">
            <v>DTS549/UB1261#DTS</v>
          </cell>
          <cell r="H446">
            <v>75.53</v>
          </cell>
          <cell r="I446">
            <v>13000</v>
          </cell>
          <cell r="J446">
            <v>1675350</v>
          </cell>
          <cell r="K446">
            <v>1675350</v>
          </cell>
          <cell r="L446">
            <v>11575500</v>
          </cell>
          <cell r="M446" t="str">
            <v>JONES LANG LASALLE MEGHRAJ PR</v>
          </cell>
          <cell r="N446" t="str">
            <v>BHARAT BUILDTECH PVT. LTD.</v>
          </cell>
        </row>
        <row r="447">
          <cell r="B447" t="str">
            <v>DTS550</v>
          </cell>
          <cell r="C447">
            <v>2.5</v>
          </cell>
          <cell r="D447">
            <v>39354</v>
          </cell>
          <cell r="E447">
            <v>79060</v>
          </cell>
          <cell r="F447" t="str">
            <v>B00859</v>
          </cell>
          <cell r="G447" t="str">
            <v>DTS550/UB1262#DTS</v>
          </cell>
          <cell r="H447">
            <v>69.12</v>
          </cell>
          <cell r="I447">
            <v>13000</v>
          </cell>
          <cell r="J447">
            <v>1540800</v>
          </cell>
          <cell r="K447">
            <v>1540800</v>
          </cell>
          <cell r="L447">
            <v>10644000</v>
          </cell>
          <cell r="M447" t="str">
            <v>JONES LANG LASALLE MEGHRAJ PR</v>
          </cell>
          <cell r="N447" t="str">
            <v>BHARAT BUILDTECH PVT LTD</v>
          </cell>
        </row>
        <row r="448">
          <cell r="B448" t="str">
            <v>DTS554</v>
          </cell>
          <cell r="C448">
            <v>2.5</v>
          </cell>
          <cell r="D448">
            <v>39354</v>
          </cell>
          <cell r="E448">
            <v>79004</v>
          </cell>
          <cell r="F448" t="str">
            <v>J01502</v>
          </cell>
          <cell r="G448" t="str">
            <v>DTS554/UB1474#DTS</v>
          </cell>
          <cell r="H448">
            <v>178.84</v>
          </cell>
          <cell r="I448">
            <v>14000</v>
          </cell>
          <cell r="J448">
            <v>4132500</v>
          </cell>
          <cell r="K448">
            <v>4200000</v>
          </cell>
          <cell r="L448">
            <v>28512500</v>
          </cell>
          <cell r="M448" t="str">
            <v>KEDAR ESTATE &amp; INVESTMENTS</v>
          </cell>
          <cell r="N448" t="str">
            <v>JASBIR WASU</v>
          </cell>
        </row>
        <row r="449">
          <cell r="B449" t="str">
            <v>DTS558</v>
          </cell>
          <cell r="C449">
            <v>2.5</v>
          </cell>
          <cell r="D449">
            <v>39354</v>
          </cell>
          <cell r="E449">
            <v>78951</v>
          </cell>
          <cell r="F449" t="str">
            <v>N01129</v>
          </cell>
          <cell r="G449" t="str">
            <v>DTS558/UB1343#DTS</v>
          </cell>
          <cell r="H449">
            <v>69.209999999999994</v>
          </cell>
          <cell r="I449">
            <v>13000</v>
          </cell>
          <cell r="J449">
            <v>1542750</v>
          </cell>
          <cell r="K449">
            <v>3000000</v>
          </cell>
          <cell r="L449">
            <v>10657500</v>
          </cell>
          <cell r="M449" t="str">
            <v>MRS. MADHVI BERY</v>
          </cell>
          <cell r="N449" t="str">
            <v>NASIRUDDIN JAVERI</v>
          </cell>
        </row>
        <row r="450">
          <cell r="B450" t="str">
            <v>DTS562</v>
          </cell>
          <cell r="C450">
            <v>2.5</v>
          </cell>
          <cell r="D450">
            <v>39354</v>
          </cell>
          <cell r="E450">
            <v>78736</v>
          </cell>
          <cell r="F450" t="str">
            <v>O00131</v>
          </cell>
          <cell r="G450" t="str">
            <v>DTS562/UB1277#DTS</v>
          </cell>
          <cell r="H450">
            <v>69.209999999999994</v>
          </cell>
          <cell r="I450">
            <v>13000</v>
          </cell>
          <cell r="J450">
            <v>1542750</v>
          </cell>
          <cell r="K450">
            <v>1542750</v>
          </cell>
          <cell r="L450">
            <v>10657500</v>
          </cell>
          <cell r="M450" t="str">
            <v>K.K. REAL ESTATE</v>
          </cell>
          <cell r="N450" t="str">
            <v>OMKAR NATH KAUL</v>
          </cell>
        </row>
        <row r="451">
          <cell r="B451" t="str">
            <v>DTS601</v>
          </cell>
          <cell r="C451">
            <v>2.5</v>
          </cell>
          <cell r="D451">
            <v>39354</v>
          </cell>
          <cell r="E451">
            <v>79074</v>
          </cell>
          <cell r="F451" t="str">
            <v>R04034</v>
          </cell>
          <cell r="G451" t="str">
            <v>DTS601/UB1260#DTS</v>
          </cell>
          <cell r="H451">
            <v>71.91</v>
          </cell>
          <cell r="I451">
            <v>13000</v>
          </cell>
          <cell r="J451">
            <v>1599300</v>
          </cell>
          <cell r="K451">
            <v>1599300</v>
          </cell>
          <cell r="L451">
            <v>11049000</v>
          </cell>
          <cell r="M451" t="str">
            <v>PNK CONSULTANTS PVT LTD</v>
          </cell>
          <cell r="N451" t="str">
            <v>RITA SINGHAL                 _x000C_</v>
          </cell>
        </row>
        <row r="452">
          <cell r="B452" t="str">
            <v>DTS602</v>
          </cell>
          <cell r="C452">
            <v>2.5</v>
          </cell>
          <cell r="D452">
            <v>39354</v>
          </cell>
          <cell r="E452">
            <v>78805</v>
          </cell>
          <cell r="F452" t="str">
            <v>S04810</v>
          </cell>
          <cell r="G452" t="str">
            <v>DTS602/UB1393#DTS</v>
          </cell>
          <cell r="H452">
            <v>69.209999999999994</v>
          </cell>
          <cell r="I452">
            <v>13000</v>
          </cell>
          <cell r="J452">
            <v>1542750</v>
          </cell>
          <cell r="K452">
            <v>1542750</v>
          </cell>
          <cell r="L452">
            <v>10657500</v>
          </cell>
          <cell r="M452" t="str">
            <v>PNK CONSULTANTS PVT LTD</v>
          </cell>
          <cell r="N452" t="str">
            <v>SIRIUS BUYING SERVICES PVT. L</v>
          </cell>
        </row>
        <row r="453">
          <cell r="B453" t="str">
            <v>DTS603</v>
          </cell>
          <cell r="C453">
            <v>2.5</v>
          </cell>
          <cell r="D453">
            <v>39354</v>
          </cell>
          <cell r="E453">
            <v>78870</v>
          </cell>
          <cell r="F453" t="str">
            <v>S04825</v>
          </cell>
          <cell r="G453" t="str">
            <v>DTS603/UB1405#DTS</v>
          </cell>
          <cell r="H453">
            <v>69.209999999999994</v>
          </cell>
          <cell r="I453">
            <v>13000</v>
          </cell>
          <cell r="J453">
            <v>1542750</v>
          </cell>
          <cell r="K453">
            <v>1542750</v>
          </cell>
          <cell r="L453">
            <v>10657500</v>
          </cell>
          <cell r="M453" t="str">
            <v>PNK CONSULTANTS PVT LTD</v>
          </cell>
          <cell r="N453" t="str">
            <v>SOLUS SERVICES PVT LTD</v>
          </cell>
        </row>
        <row r="454">
          <cell r="B454" t="str">
            <v>DTS604</v>
          </cell>
          <cell r="C454">
            <v>2.5</v>
          </cell>
          <cell r="D454">
            <v>39354</v>
          </cell>
          <cell r="E454">
            <v>78878</v>
          </cell>
          <cell r="F454" t="str">
            <v>D01056</v>
          </cell>
          <cell r="G454" t="str">
            <v>DTS604/UB1536#DTS</v>
          </cell>
          <cell r="H454">
            <v>69.209999999999994</v>
          </cell>
          <cell r="I454">
            <v>13000</v>
          </cell>
          <cell r="J454">
            <v>1542750</v>
          </cell>
          <cell r="K454">
            <v>1542750</v>
          </cell>
          <cell r="L454">
            <v>10657500</v>
          </cell>
          <cell r="M454" t="str">
            <v>PNK CONSULTANTS PVT LTD</v>
          </cell>
          <cell r="N454" t="str">
            <v>DAVINDER SINGH NANDA</v>
          </cell>
        </row>
        <row r="455">
          <cell r="B455" t="str">
            <v>DTS605</v>
          </cell>
          <cell r="C455">
            <v>2.5</v>
          </cell>
          <cell r="D455">
            <v>39354</v>
          </cell>
          <cell r="E455">
            <v>79064</v>
          </cell>
          <cell r="F455" t="str">
            <v>K01300</v>
          </cell>
          <cell r="G455" t="str">
            <v>DTS605/UB1517#DTS</v>
          </cell>
          <cell r="H455">
            <v>69.209999999999994</v>
          </cell>
          <cell r="I455">
            <v>13000</v>
          </cell>
          <cell r="J455">
            <v>1542750</v>
          </cell>
          <cell r="K455">
            <v>1542750</v>
          </cell>
          <cell r="L455">
            <v>10657500</v>
          </cell>
          <cell r="M455" t="str">
            <v>PNK CONSULTANTS PVT LTD</v>
          </cell>
          <cell r="N455" t="str">
            <v>K.MOHAN &amp; COMPANY (EXPORTS) P</v>
          </cell>
        </row>
        <row r="456">
          <cell r="B456" t="str">
            <v>DTS608</v>
          </cell>
          <cell r="C456">
            <v>2.5</v>
          </cell>
          <cell r="D456">
            <v>39354</v>
          </cell>
          <cell r="E456">
            <v>78725</v>
          </cell>
          <cell r="F456" t="str">
            <v>J01482</v>
          </cell>
          <cell r="G456" t="str">
            <v>DTS608/UB1308#DTS</v>
          </cell>
          <cell r="H456">
            <v>89.93</v>
          </cell>
          <cell r="I456">
            <v>13000</v>
          </cell>
          <cell r="J456">
            <v>1977600</v>
          </cell>
          <cell r="K456">
            <v>1977600</v>
          </cell>
          <cell r="L456">
            <v>13668000</v>
          </cell>
          <cell r="M456" t="str">
            <v>PNK CONSULTANTS PVT LTD</v>
          </cell>
          <cell r="N456" t="str">
            <v>JATINDER SINGH ARORA</v>
          </cell>
        </row>
        <row r="457">
          <cell r="B457" t="str">
            <v>DTS609</v>
          </cell>
          <cell r="C457">
            <v>2.5</v>
          </cell>
          <cell r="D457">
            <v>39354</v>
          </cell>
          <cell r="E457">
            <v>78806</v>
          </cell>
          <cell r="F457" t="str">
            <v>S04811</v>
          </cell>
          <cell r="G457" t="str">
            <v>DTS609/UB1340#DTS</v>
          </cell>
          <cell r="H457">
            <v>65.400000000000006</v>
          </cell>
          <cell r="I457">
            <v>13000</v>
          </cell>
          <cell r="J457">
            <v>1462800</v>
          </cell>
          <cell r="K457">
            <v>1462800</v>
          </cell>
          <cell r="L457">
            <v>10104000</v>
          </cell>
          <cell r="M457" t="str">
            <v>PNK CONSULTANTS PVT LTD</v>
          </cell>
          <cell r="N457" t="str">
            <v>SANJAY KALRA</v>
          </cell>
        </row>
        <row r="458">
          <cell r="B458" t="str">
            <v>DTS610</v>
          </cell>
          <cell r="C458">
            <v>2.5</v>
          </cell>
          <cell r="D458">
            <v>39354</v>
          </cell>
          <cell r="E458">
            <v>78798</v>
          </cell>
          <cell r="F458" t="str">
            <v>D01048</v>
          </cell>
          <cell r="G458" t="str">
            <v>DTS610/UB1337#DTS</v>
          </cell>
          <cell r="H458">
            <v>114.08</v>
          </cell>
          <cell r="I458">
            <v>13000</v>
          </cell>
          <cell r="J458">
            <v>2484600</v>
          </cell>
          <cell r="K458">
            <v>2484600</v>
          </cell>
          <cell r="L458">
            <v>17178000</v>
          </cell>
          <cell r="M458" t="str">
            <v>PNK CONSULTANTS PVT LTD</v>
          </cell>
          <cell r="N458" t="str">
            <v>DEVESH WADHWA</v>
          </cell>
        </row>
        <row r="459">
          <cell r="B459" t="str">
            <v>DTS611</v>
          </cell>
          <cell r="C459">
            <v>2.5</v>
          </cell>
          <cell r="D459">
            <v>39354</v>
          </cell>
          <cell r="E459">
            <v>78902</v>
          </cell>
          <cell r="F459" t="str">
            <v>B00849</v>
          </cell>
          <cell r="G459" t="str">
            <v>DTS611/UB1532#DTS</v>
          </cell>
          <cell r="H459">
            <v>150.22</v>
          </cell>
          <cell r="I459">
            <v>14000</v>
          </cell>
          <cell r="J459">
            <v>3485700</v>
          </cell>
          <cell r="K459">
            <v>3485700</v>
          </cell>
          <cell r="L459">
            <v>24046500</v>
          </cell>
          <cell r="M459" t="str">
            <v>ETHICAL INFRASTRUCTURES PVT.</v>
          </cell>
          <cell r="N459" t="str">
            <v>BHASIN JEWELLERS PVT LTD</v>
          </cell>
        </row>
        <row r="460">
          <cell r="B460" t="str">
            <v>DTS618</v>
          </cell>
          <cell r="C460">
            <v>2.5</v>
          </cell>
          <cell r="D460">
            <v>39354</v>
          </cell>
          <cell r="E460">
            <v>78871</v>
          </cell>
          <cell r="F460" t="str">
            <v>M02201</v>
          </cell>
          <cell r="G460" t="str">
            <v>DTS618/UB1384#DTS</v>
          </cell>
          <cell r="H460">
            <v>75.53</v>
          </cell>
          <cell r="I460">
            <v>13000</v>
          </cell>
          <cell r="J460">
            <v>1675350</v>
          </cell>
          <cell r="K460">
            <v>1675350</v>
          </cell>
          <cell r="L460">
            <v>11575500</v>
          </cell>
          <cell r="M460" t="str">
            <v>RAJDHANI REALTORS PVT LTD</v>
          </cell>
          <cell r="N460" t="str">
            <v>MATRIX INVESTMENTS PVT LTD</v>
          </cell>
        </row>
        <row r="461">
          <cell r="B461" t="str">
            <v>DTS619</v>
          </cell>
          <cell r="C461">
            <v>2.5</v>
          </cell>
          <cell r="D461">
            <v>39354</v>
          </cell>
          <cell r="E461">
            <v>78810</v>
          </cell>
          <cell r="F461" t="str">
            <v>G00772</v>
          </cell>
          <cell r="G461" t="str">
            <v>DTS619/UB1391#DTS</v>
          </cell>
          <cell r="H461">
            <v>69.209999999999994</v>
          </cell>
          <cell r="I461">
            <v>13000</v>
          </cell>
          <cell r="J461">
            <v>1542750</v>
          </cell>
          <cell r="K461">
            <v>1542750</v>
          </cell>
          <cell r="L461">
            <v>10657500</v>
          </cell>
          <cell r="M461" t="str">
            <v>RAHEJA ASSOCIATES</v>
          </cell>
          <cell r="N461" t="str">
            <v>GURMEET SINGH SAWHNEY</v>
          </cell>
        </row>
        <row r="462">
          <cell r="B462" t="str">
            <v>DTS620</v>
          </cell>
          <cell r="C462">
            <v>2.5</v>
          </cell>
          <cell r="D462">
            <v>39354</v>
          </cell>
          <cell r="E462">
            <v>78844</v>
          </cell>
          <cell r="F462" t="str">
            <v>G00774</v>
          </cell>
          <cell r="G462" t="str">
            <v>DTS620/UB1403#DTS</v>
          </cell>
          <cell r="H462">
            <v>85</v>
          </cell>
          <cell r="I462">
            <v>13000</v>
          </cell>
          <cell r="J462">
            <v>1874250</v>
          </cell>
          <cell r="K462">
            <v>1874250</v>
          </cell>
          <cell r="L462">
            <v>12952500</v>
          </cell>
          <cell r="M462" t="str">
            <v>RAHEJA ASSOCIATES</v>
          </cell>
          <cell r="N462" t="str">
            <v>GURMEET SINGH SAWHNEY</v>
          </cell>
        </row>
        <row r="463">
          <cell r="B463" t="str">
            <v>DTS621</v>
          </cell>
          <cell r="C463">
            <v>2.5</v>
          </cell>
          <cell r="D463">
            <v>39354</v>
          </cell>
          <cell r="E463">
            <v>79028</v>
          </cell>
          <cell r="F463" t="str">
            <v>G00779</v>
          </cell>
          <cell r="G463" t="str">
            <v>DTS621/UB1250#DTS</v>
          </cell>
          <cell r="H463">
            <v>89.74</v>
          </cell>
          <cell r="I463">
            <v>13000</v>
          </cell>
          <cell r="J463">
            <v>1973700</v>
          </cell>
          <cell r="K463">
            <v>1973700</v>
          </cell>
          <cell r="L463">
            <v>13641000</v>
          </cell>
          <cell r="M463" t="str">
            <v>RAHEJA ASSOCIATES</v>
          </cell>
          <cell r="N463" t="str">
            <v>GURMEET SINGH SAWHNEY</v>
          </cell>
        </row>
        <row r="464">
          <cell r="B464" t="str">
            <v>DTS622</v>
          </cell>
          <cell r="C464">
            <v>2.5</v>
          </cell>
          <cell r="D464">
            <v>39354</v>
          </cell>
          <cell r="E464">
            <v>78904</v>
          </cell>
          <cell r="F464" t="str">
            <v>A03517</v>
          </cell>
          <cell r="G464" t="str">
            <v>DTS622/UB1408#DTS</v>
          </cell>
          <cell r="H464">
            <v>89</v>
          </cell>
          <cell r="I464">
            <v>14000</v>
          </cell>
          <cell r="J464">
            <v>2101800</v>
          </cell>
          <cell r="K464">
            <v>2700000</v>
          </cell>
          <cell r="L464">
            <v>14491000</v>
          </cell>
          <cell r="M464" t="str">
            <v>S SAIM &amp; CO</v>
          </cell>
          <cell r="N464" t="str">
            <v>ASHOK KHANNA</v>
          </cell>
        </row>
        <row r="465">
          <cell r="B465" t="str">
            <v>DTS623</v>
          </cell>
          <cell r="C465">
            <v>2.5</v>
          </cell>
          <cell r="D465">
            <v>39354</v>
          </cell>
          <cell r="E465">
            <v>78760</v>
          </cell>
          <cell r="F465" t="str">
            <v>S04807</v>
          </cell>
          <cell r="G465" t="str">
            <v>DTS623/UB1274#DTS</v>
          </cell>
          <cell r="H465">
            <v>150.22</v>
          </cell>
          <cell r="I465">
            <v>13000</v>
          </cell>
          <cell r="J465">
            <v>3243150</v>
          </cell>
          <cell r="K465">
            <v>3243150</v>
          </cell>
          <cell r="L465">
            <v>22429500</v>
          </cell>
          <cell r="M465" t="str">
            <v>PNK CONSULTANTS PVT LTD</v>
          </cell>
          <cell r="N465" t="str">
            <v>SANDEEP MADAN</v>
          </cell>
        </row>
        <row r="466">
          <cell r="B466" t="str">
            <v>DTS624</v>
          </cell>
          <cell r="C466">
            <v>2.5</v>
          </cell>
          <cell r="D466">
            <v>39354</v>
          </cell>
          <cell r="E466">
            <v>78762</v>
          </cell>
          <cell r="F466" t="str">
            <v>S04808</v>
          </cell>
          <cell r="G466" t="str">
            <v>DTS624/UB1275#DTS</v>
          </cell>
          <cell r="H466">
            <v>114.08</v>
          </cell>
          <cell r="I466">
            <v>13000</v>
          </cell>
          <cell r="J466">
            <v>2484600</v>
          </cell>
          <cell r="K466">
            <v>2484600</v>
          </cell>
          <cell r="L466">
            <v>17178000</v>
          </cell>
          <cell r="M466" t="str">
            <v>PNK CONSULTANTS PVT LTD</v>
          </cell>
          <cell r="N466" t="str">
            <v>SANDEEP MADAN</v>
          </cell>
        </row>
        <row r="467">
          <cell r="B467" t="str">
            <v>DTS625</v>
          </cell>
          <cell r="C467">
            <v>2.5</v>
          </cell>
          <cell r="D467">
            <v>39354</v>
          </cell>
          <cell r="E467">
            <v>78838</v>
          </cell>
          <cell r="F467" t="str">
            <v>D01050</v>
          </cell>
          <cell r="G467" t="str">
            <v>DTS625/UB1232#DTS</v>
          </cell>
          <cell r="H467">
            <v>65.400000000000006</v>
          </cell>
          <cell r="I467">
            <v>13000</v>
          </cell>
          <cell r="J467">
            <v>1462800</v>
          </cell>
          <cell r="K467">
            <v>1462800</v>
          </cell>
          <cell r="L467">
            <v>10104000</v>
          </cell>
          <cell r="M467" t="str">
            <v>PNK CONSULTANTS PVT LTD</v>
          </cell>
          <cell r="N467" t="str">
            <v>DEEPAK VERMA</v>
          </cell>
        </row>
        <row r="468">
          <cell r="B468" t="str">
            <v>DTS626</v>
          </cell>
          <cell r="C468">
            <v>2.5</v>
          </cell>
          <cell r="D468">
            <v>39354</v>
          </cell>
          <cell r="E468">
            <v>78896</v>
          </cell>
          <cell r="F468" t="str">
            <v>S04831</v>
          </cell>
          <cell r="G468" t="str">
            <v>DTS626/UB1413#DTS</v>
          </cell>
          <cell r="H468">
            <v>89.93</v>
          </cell>
          <cell r="I468">
            <v>13000</v>
          </cell>
          <cell r="J468">
            <v>1977600</v>
          </cell>
          <cell r="K468">
            <v>1977600</v>
          </cell>
          <cell r="L468">
            <v>13668000</v>
          </cell>
          <cell r="M468" t="str">
            <v>ESSAAR ASSOCIATES</v>
          </cell>
          <cell r="N468" t="str">
            <v>SARNA INTERNATIONAL PVT LTD</v>
          </cell>
        </row>
        <row r="469">
          <cell r="B469" t="str">
            <v>DTS627</v>
          </cell>
          <cell r="C469">
            <v>2.5</v>
          </cell>
          <cell r="D469">
            <v>39354</v>
          </cell>
          <cell r="E469">
            <v>78901</v>
          </cell>
          <cell r="F469" t="str">
            <v>S04832</v>
          </cell>
          <cell r="G469" t="str">
            <v>DTS627/UB1412#DTS</v>
          </cell>
          <cell r="H469">
            <v>90.02</v>
          </cell>
          <cell r="I469">
            <v>13000</v>
          </cell>
          <cell r="J469">
            <v>1979550</v>
          </cell>
          <cell r="K469">
            <v>1979550</v>
          </cell>
          <cell r="L469">
            <v>13681500</v>
          </cell>
          <cell r="M469" t="str">
            <v>ESSAAR ASSOCIATES</v>
          </cell>
          <cell r="N469" t="str">
            <v>SARNA INTERNATIONAL PVT LTD</v>
          </cell>
        </row>
        <row r="470">
          <cell r="B470" t="str">
            <v>DTS630</v>
          </cell>
          <cell r="C470">
            <v>2.5</v>
          </cell>
          <cell r="D470">
            <v>39354</v>
          </cell>
          <cell r="E470">
            <v>78723</v>
          </cell>
          <cell r="F470" t="str">
            <v>A03498</v>
          </cell>
          <cell r="G470" t="str">
            <v>DTS630/UB1282#DTS</v>
          </cell>
          <cell r="H470">
            <v>69.209999999999994</v>
          </cell>
          <cell r="I470">
            <v>13000</v>
          </cell>
          <cell r="J470">
            <v>1542750</v>
          </cell>
          <cell r="K470">
            <v>1600000</v>
          </cell>
          <cell r="L470">
            <v>10657500</v>
          </cell>
          <cell r="M470" t="str">
            <v>LIASION CONSULTANCY SERVICES</v>
          </cell>
          <cell r="N470" t="str">
            <v>ATUL RAHEJA</v>
          </cell>
        </row>
        <row r="471">
          <cell r="B471" t="str">
            <v>DTS631</v>
          </cell>
          <cell r="C471">
            <v>2.5</v>
          </cell>
          <cell r="D471">
            <v>39354</v>
          </cell>
          <cell r="E471">
            <v>79077</v>
          </cell>
          <cell r="F471" t="str">
            <v>A03538</v>
          </cell>
          <cell r="G471" t="str">
            <v>DTS631/UB1485#DTS</v>
          </cell>
          <cell r="H471">
            <v>69.209999999999994</v>
          </cell>
          <cell r="I471">
            <v>13000</v>
          </cell>
          <cell r="J471">
            <v>1542750</v>
          </cell>
          <cell r="K471">
            <v>1600000</v>
          </cell>
          <cell r="L471">
            <v>10657500</v>
          </cell>
          <cell r="M471" t="str">
            <v>LIASION CONSULTANCY SERVICES</v>
          </cell>
          <cell r="N471" t="str">
            <v>AMIT ARORA</v>
          </cell>
        </row>
        <row r="472">
          <cell r="B472" t="str">
            <v>DTS632</v>
          </cell>
          <cell r="C472">
            <v>2.5</v>
          </cell>
          <cell r="D472">
            <v>39354</v>
          </cell>
          <cell r="E472">
            <v>78815</v>
          </cell>
          <cell r="F472" t="str">
            <v>Y00248</v>
          </cell>
          <cell r="G472" t="str">
            <v>DTS632/UB1259#DTS</v>
          </cell>
          <cell r="H472">
            <v>69.209999999999994</v>
          </cell>
          <cell r="I472">
            <v>13000</v>
          </cell>
          <cell r="J472">
            <v>1542750</v>
          </cell>
          <cell r="K472">
            <v>2700000</v>
          </cell>
          <cell r="L472">
            <v>10657500</v>
          </cell>
          <cell r="M472" t="str">
            <v>SURINDER ARORA</v>
          </cell>
          <cell r="N472" t="str">
            <v>YUVRAJ ARORA</v>
          </cell>
        </row>
        <row r="473">
          <cell r="B473" t="str">
            <v>DTS633</v>
          </cell>
          <cell r="C473">
            <v>2.5</v>
          </cell>
          <cell r="D473">
            <v>39354</v>
          </cell>
          <cell r="E473">
            <v>78985</v>
          </cell>
          <cell r="F473" t="str">
            <v>Y00250</v>
          </cell>
          <cell r="G473" t="str">
            <v>DTS633/UB1235#DTS</v>
          </cell>
          <cell r="H473">
            <v>71.91</v>
          </cell>
          <cell r="I473">
            <v>13000</v>
          </cell>
          <cell r="J473">
            <v>1599300</v>
          </cell>
          <cell r="K473">
            <v>2700000</v>
          </cell>
          <cell r="L473">
            <v>11049000</v>
          </cell>
          <cell r="M473" t="str">
            <v>SURINDER ARORA</v>
          </cell>
          <cell r="N473" t="str">
            <v>YUVRAJ ARORA</v>
          </cell>
        </row>
        <row r="474">
          <cell r="B474" t="str">
            <v>DTS634</v>
          </cell>
          <cell r="C474">
            <v>2.5</v>
          </cell>
          <cell r="D474">
            <v>39354</v>
          </cell>
          <cell r="E474">
            <v>78823</v>
          </cell>
          <cell r="F474" t="str">
            <v>L00322</v>
          </cell>
          <cell r="G474" t="str">
            <v>DTS634/UB1331#DTS</v>
          </cell>
          <cell r="H474">
            <v>73.760000000000005</v>
          </cell>
          <cell r="I474">
            <v>13000</v>
          </cell>
          <cell r="J474">
            <v>1638300</v>
          </cell>
          <cell r="K474">
            <v>1638300</v>
          </cell>
          <cell r="L474">
            <v>11319000</v>
          </cell>
          <cell r="M474" t="str">
            <v>KHUSHI HOUSING SOLUTIONS</v>
          </cell>
          <cell r="N474" t="str">
            <v>LOKESH MAHAJAN</v>
          </cell>
        </row>
        <row r="475">
          <cell r="B475" t="str">
            <v>DTS635</v>
          </cell>
          <cell r="C475">
            <v>2.5</v>
          </cell>
          <cell r="D475">
            <v>39354</v>
          </cell>
          <cell r="E475">
            <v>78779</v>
          </cell>
          <cell r="F475" t="str">
            <v>A03505</v>
          </cell>
          <cell r="G475" t="str">
            <v>DTS635/UB1317#DTS</v>
          </cell>
          <cell r="H475">
            <v>69.209999999999994</v>
          </cell>
          <cell r="I475">
            <v>13000</v>
          </cell>
          <cell r="J475">
            <v>1542750</v>
          </cell>
          <cell r="K475">
            <v>1542750</v>
          </cell>
          <cell r="L475">
            <v>10657500</v>
          </cell>
          <cell r="M475" t="str">
            <v>KHUSHI HOUSING SOLUTIONS</v>
          </cell>
          <cell r="N475" t="str">
            <v>ANAND SRIVASTAVA</v>
          </cell>
        </row>
        <row r="476">
          <cell r="B476" t="str">
            <v>DTS636</v>
          </cell>
          <cell r="C476">
            <v>2.5</v>
          </cell>
          <cell r="D476">
            <v>39354</v>
          </cell>
          <cell r="E476">
            <v>78807</v>
          </cell>
          <cell r="F476" t="str">
            <v>M02198</v>
          </cell>
          <cell r="G476" t="str">
            <v>DTS636/UB1254#DTS</v>
          </cell>
          <cell r="H476">
            <v>69.209999999999994</v>
          </cell>
          <cell r="I476">
            <v>13000</v>
          </cell>
          <cell r="J476">
            <v>1542750</v>
          </cell>
          <cell r="K476">
            <v>1542750</v>
          </cell>
          <cell r="L476">
            <v>10657500</v>
          </cell>
          <cell r="M476" t="str">
            <v>KHUSHI HOUSING SOLUTIONS</v>
          </cell>
          <cell r="N476" t="str">
            <v>MUNISH SHARMA                _x000C_</v>
          </cell>
        </row>
        <row r="477">
          <cell r="B477" t="str">
            <v>DTS637</v>
          </cell>
          <cell r="C477">
            <v>2.5</v>
          </cell>
          <cell r="D477">
            <v>39354</v>
          </cell>
          <cell r="E477">
            <v>78728</v>
          </cell>
          <cell r="F477" t="str">
            <v>A03500</v>
          </cell>
          <cell r="G477" t="str">
            <v>DTS637/UB1311#DTS</v>
          </cell>
          <cell r="H477">
            <v>74.97</v>
          </cell>
          <cell r="I477">
            <v>13000</v>
          </cell>
          <cell r="J477">
            <v>1663650</v>
          </cell>
          <cell r="K477">
            <v>1663650</v>
          </cell>
          <cell r="L477">
            <v>11494500</v>
          </cell>
          <cell r="M477" t="str">
            <v>KHUSHI HOUSING SOLUTIONS</v>
          </cell>
          <cell r="N477" t="str">
            <v>ATUL SHARMA</v>
          </cell>
        </row>
        <row r="478">
          <cell r="B478" t="str">
            <v>DTS641</v>
          </cell>
          <cell r="C478">
            <v>2.5</v>
          </cell>
          <cell r="D478">
            <v>39354</v>
          </cell>
          <cell r="E478">
            <v>79018</v>
          </cell>
          <cell r="F478" t="str">
            <v>I00308</v>
          </cell>
          <cell r="G478" t="str">
            <v>DTS641/UB1470#DTS</v>
          </cell>
          <cell r="H478">
            <v>89.93</v>
          </cell>
          <cell r="I478">
            <v>13000</v>
          </cell>
          <cell r="J478">
            <v>1977600</v>
          </cell>
          <cell r="K478">
            <v>1977600</v>
          </cell>
          <cell r="L478">
            <v>13668000</v>
          </cell>
          <cell r="M478" t="str">
            <v>ESSAAR ASSOCIATES</v>
          </cell>
          <cell r="N478" t="str">
            <v>INDIAN QUOTATION SYSTEM P LTD</v>
          </cell>
        </row>
        <row r="479">
          <cell r="B479" t="str">
            <v>DTS642</v>
          </cell>
          <cell r="C479">
            <v>2.5</v>
          </cell>
          <cell r="D479">
            <v>39354</v>
          </cell>
          <cell r="E479">
            <v>79063</v>
          </cell>
          <cell r="F479" t="str">
            <v>S04847</v>
          </cell>
          <cell r="G479" t="str">
            <v>DTS642/UB1488#DTS</v>
          </cell>
          <cell r="H479">
            <v>65.400000000000006</v>
          </cell>
          <cell r="I479">
            <v>13000</v>
          </cell>
          <cell r="J479">
            <v>1462800</v>
          </cell>
          <cell r="K479">
            <v>2700000</v>
          </cell>
          <cell r="L479">
            <v>10104000</v>
          </cell>
          <cell r="M479" t="str">
            <v>SUNIL PURI &amp; ASSOCIATES</v>
          </cell>
          <cell r="N479" t="str">
            <v>SUMEET OBHRAI</v>
          </cell>
        </row>
        <row r="480">
          <cell r="B480" t="str">
            <v>DTS643</v>
          </cell>
          <cell r="C480">
            <v>2.5</v>
          </cell>
          <cell r="D480">
            <v>39354</v>
          </cell>
          <cell r="E480">
            <v>78764</v>
          </cell>
          <cell r="F480" t="str">
            <v>S04809</v>
          </cell>
          <cell r="G480" t="str">
            <v>DTS643/UB1276#DTS</v>
          </cell>
          <cell r="H480">
            <v>178.84</v>
          </cell>
          <cell r="I480">
            <v>13000</v>
          </cell>
          <cell r="J480">
            <v>3843750</v>
          </cell>
          <cell r="K480">
            <v>3843750</v>
          </cell>
          <cell r="L480">
            <v>26587500</v>
          </cell>
          <cell r="M480" t="str">
            <v>PNK CONSULTANTS PVT LTD</v>
          </cell>
          <cell r="N480" t="str">
            <v>SANDEEP MADAN</v>
          </cell>
        </row>
        <row r="481">
          <cell r="B481" t="str">
            <v>DTS644</v>
          </cell>
          <cell r="C481">
            <v>2.5</v>
          </cell>
          <cell r="D481">
            <v>39354</v>
          </cell>
          <cell r="E481">
            <v>79069</v>
          </cell>
          <cell r="F481" t="str">
            <v>A03537</v>
          </cell>
          <cell r="G481" t="str">
            <v>DTS644/UB1476#DTS</v>
          </cell>
          <cell r="H481">
            <v>65.400000000000006</v>
          </cell>
          <cell r="I481">
            <v>13000</v>
          </cell>
          <cell r="J481">
            <v>1462800</v>
          </cell>
          <cell r="K481">
            <v>1462800</v>
          </cell>
          <cell r="L481">
            <v>10104000</v>
          </cell>
          <cell r="M481" t="str">
            <v>PNK CONSULTANTS PVT LTD</v>
          </cell>
          <cell r="N481" t="str">
            <v>ATLAS CYCLES (HARYANA) LTD</v>
          </cell>
        </row>
        <row r="482">
          <cell r="B482" t="str">
            <v>DTS645</v>
          </cell>
          <cell r="C482">
            <v>2.5</v>
          </cell>
          <cell r="D482">
            <v>39354</v>
          </cell>
          <cell r="E482">
            <v>78988</v>
          </cell>
          <cell r="F482" t="str">
            <v>A03528</v>
          </cell>
          <cell r="G482" t="str">
            <v>DTS645/UB1234#DTS</v>
          </cell>
          <cell r="H482">
            <v>85</v>
          </cell>
          <cell r="I482">
            <v>13000</v>
          </cell>
          <cell r="J482">
            <v>1874250</v>
          </cell>
          <cell r="K482">
            <v>1874250</v>
          </cell>
          <cell r="L482">
            <v>12952500</v>
          </cell>
          <cell r="M482" t="str">
            <v>PNK CONSULTANTS PVT LTD</v>
          </cell>
          <cell r="N482" t="str">
            <v>ATLAS CYCLE (HARYANA) LTD</v>
          </cell>
        </row>
        <row r="483">
          <cell r="B483" t="str">
            <v>DTS646</v>
          </cell>
          <cell r="C483">
            <v>2.5</v>
          </cell>
          <cell r="D483">
            <v>39354</v>
          </cell>
          <cell r="E483">
            <v>78842</v>
          </cell>
          <cell r="F483" t="str">
            <v>A03512</v>
          </cell>
          <cell r="G483" t="str">
            <v>DTS646/UB1372#DTS</v>
          </cell>
          <cell r="H483">
            <v>85</v>
          </cell>
          <cell r="I483">
            <v>13000</v>
          </cell>
          <cell r="J483">
            <v>1874250</v>
          </cell>
          <cell r="K483">
            <v>1874250</v>
          </cell>
          <cell r="L483">
            <v>12952500</v>
          </cell>
          <cell r="M483" t="str">
            <v>PNK CONSULTANTS PVT LTD</v>
          </cell>
          <cell r="N483" t="str">
            <v>ATLAS CYCLES (HARYANA) LTD.</v>
          </cell>
        </row>
        <row r="484">
          <cell r="B484" t="str">
            <v>DTS647</v>
          </cell>
          <cell r="C484">
            <v>2.5</v>
          </cell>
          <cell r="D484">
            <v>39354</v>
          </cell>
          <cell r="E484">
            <v>79038</v>
          </cell>
          <cell r="F484" t="str">
            <v>A03534</v>
          </cell>
          <cell r="G484" t="str">
            <v>DTS647/UB1341#DTS</v>
          </cell>
          <cell r="H484">
            <v>69.12</v>
          </cell>
          <cell r="I484">
            <v>13000</v>
          </cell>
          <cell r="J484">
            <v>1540800</v>
          </cell>
          <cell r="K484">
            <v>1540800</v>
          </cell>
          <cell r="L484">
            <v>10644000</v>
          </cell>
          <cell r="M484" t="str">
            <v>PNK CONSULTANTS PVT LTD</v>
          </cell>
          <cell r="N484" t="str">
            <v>ATLAS CYCLES (HARYANA) LTD</v>
          </cell>
        </row>
        <row r="485">
          <cell r="B485" t="str">
            <v>DTS648</v>
          </cell>
          <cell r="C485">
            <v>2.5</v>
          </cell>
          <cell r="D485">
            <v>39354</v>
          </cell>
          <cell r="E485">
            <v>78763</v>
          </cell>
          <cell r="F485" t="str">
            <v>R04005</v>
          </cell>
          <cell r="G485" t="str">
            <v>DTS648/UB1302#DTS</v>
          </cell>
          <cell r="H485">
            <v>75.53</v>
          </cell>
          <cell r="I485">
            <v>13000</v>
          </cell>
          <cell r="J485">
            <v>1675350</v>
          </cell>
          <cell r="K485">
            <v>1675350</v>
          </cell>
          <cell r="L485">
            <v>11575500</v>
          </cell>
          <cell r="M485" t="str">
            <v>PNK CONSULTANTS PVT LTD</v>
          </cell>
          <cell r="N485" t="str">
            <v>RAJIV GOYAL</v>
          </cell>
        </row>
        <row r="486">
          <cell r="B486" t="str">
            <v>DTS649</v>
          </cell>
          <cell r="C486">
            <v>2.5</v>
          </cell>
          <cell r="D486">
            <v>39354</v>
          </cell>
          <cell r="E486">
            <v>78759</v>
          </cell>
          <cell r="F486" t="str">
            <v>R04004</v>
          </cell>
          <cell r="G486" t="str">
            <v>DTS649/UB1301#DTS</v>
          </cell>
          <cell r="H486">
            <v>75.53</v>
          </cell>
          <cell r="I486">
            <v>13000</v>
          </cell>
          <cell r="J486">
            <v>1675350</v>
          </cell>
          <cell r="K486">
            <v>1675350</v>
          </cell>
          <cell r="L486">
            <v>11575500</v>
          </cell>
          <cell r="M486" t="str">
            <v>PNK CONSULTANTS PVT LTD</v>
          </cell>
          <cell r="N486" t="str">
            <v>RAJIV GOYAL</v>
          </cell>
        </row>
        <row r="487">
          <cell r="B487" t="str">
            <v>DTS650</v>
          </cell>
          <cell r="C487">
            <v>2.5</v>
          </cell>
          <cell r="D487">
            <v>39354</v>
          </cell>
          <cell r="E487">
            <v>78803</v>
          </cell>
          <cell r="F487" t="str">
            <v>M02197</v>
          </cell>
          <cell r="G487" t="str">
            <v>DTS650/UB1339#DTS</v>
          </cell>
          <cell r="H487">
            <v>69.12</v>
          </cell>
          <cell r="I487">
            <v>13000</v>
          </cell>
          <cell r="J487">
            <v>1540800</v>
          </cell>
          <cell r="K487">
            <v>1540800</v>
          </cell>
          <cell r="L487">
            <v>10644000</v>
          </cell>
          <cell r="M487" t="str">
            <v>PNK CONSULTANTS PVT LTD</v>
          </cell>
          <cell r="N487" t="str">
            <v>MAMTA VAISH</v>
          </cell>
        </row>
        <row r="488">
          <cell r="B488" t="str">
            <v>DTS651</v>
          </cell>
          <cell r="C488">
            <v>2.5</v>
          </cell>
          <cell r="D488">
            <v>39354</v>
          </cell>
          <cell r="E488">
            <v>78739</v>
          </cell>
          <cell r="F488" t="str">
            <v>S04802</v>
          </cell>
          <cell r="G488" t="str">
            <v>DTS651/UB1298#DTS</v>
          </cell>
          <cell r="H488">
            <v>85</v>
          </cell>
          <cell r="I488">
            <v>13000</v>
          </cell>
          <cell r="J488">
            <v>1874250</v>
          </cell>
          <cell r="K488">
            <v>1874250</v>
          </cell>
          <cell r="L488">
            <v>12952500</v>
          </cell>
          <cell r="M488" t="str">
            <v>PNK CONSULTANTS PVT LTD</v>
          </cell>
          <cell r="N488" t="str">
            <v>SUN AERO LTD.</v>
          </cell>
        </row>
        <row r="489">
          <cell r="B489" t="str">
            <v>DTS652</v>
          </cell>
          <cell r="C489">
            <v>2.5</v>
          </cell>
          <cell r="D489">
            <v>39354</v>
          </cell>
          <cell r="E489">
            <v>78741</v>
          </cell>
          <cell r="F489" t="str">
            <v>S04804</v>
          </cell>
          <cell r="G489" t="str">
            <v>DTS652/UB1299#DTS</v>
          </cell>
          <cell r="H489">
            <v>85</v>
          </cell>
          <cell r="I489">
            <v>13000</v>
          </cell>
          <cell r="J489">
            <v>1874250</v>
          </cell>
          <cell r="K489">
            <v>1874250</v>
          </cell>
          <cell r="L489">
            <v>12952500</v>
          </cell>
          <cell r="M489" t="str">
            <v>PNK CONSULTANTS PVT LTD</v>
          </cell>
          <cell r="N489" t="str">
            <v>SUN AERO LTD.</v>
          </cell>
        </row>
        <row r="490">
          <cell r="B490" t="str">
            <v>DTS653</v>
          </cell>
          <cell r="C490">
            <v>2.5</v>
          </cell>
          <cell r="D490">
            <v>39354</v>
          </cell>
          <cell r="E490">
            <v>78795</v>
          </cell>
          <cell r="F490" t="str">
            <v>C01704</v>
          </cell>
          <cell r="G490" t="str">
            <v>DTS653/UB1321#DTS</v>
          </cell>
          <cell r="H490">
            <v>65.400000000000006</v>
          </cell>
          <cell r="I490">
            <v>13000</v>
          </cell>
          <cell r="J490">
            <v>1462800</v>
          </cell>
          <cell r="K490">
            <v>1462800</v>
          </cell>
          <cell r="L490">
            <v>10104000</v>
          </cell>
          <cell r="M490" t="str">
            <v>PNK CONSULTANTS PVT LTD</v>
          </cell>
          <cell r="N490" t="str">
            <v>COLUMBIA TRANDING COMPANY</v>
          </cell>
        </row>
        <row r="491">
          <cell r="B491" t="str">
            <v>DTS654</v>
          </cell>
          <cell r="C491">
            <v>2.5</v>
          </cell>
          <cell r="D491">
            <v>39354</v>
          </cell>
          <cell r="E491">
            <v>78908</v>
          </cell>
          <cell r="F491" t="str">
            <v>V02031</v>
          </cell>
          <cell r="G491" t="str">
            <v>DTS654/UB1465#DTS</v>
          </cell>
          <cell r="H491">
            <v>178.84</v>
          </cell>
          <cell r="I491">
            <v>14000</v>
          </cell>
          <cell r="J491">
            <v>4132500</v>
          </cell>
          <cell r="K491">
            <v>4132500</v>
          </cell>
          <cell r="L491">
            <v>28512500</v>
          </cell>
          <cell r="M491" t="str">
            <v>ETHICAL INFRASTRUCTURES PVT.</v>
          </cell>
          <cell r="N491" t="str">
            <v>VINEET SOOD</v>
          </cell>
        </row>
        <row r="492">
          <cell r="B492" t="str">
            <v>DTS655</v>
          </cell>
          <cell r="C492">
            <v>2.5</v>
          </cell>
          <cell r="D492">
            <v>39354</v>
          </cell>
          <cell r="E492">
            <v>78840</v>
          </cell>
          <cell r="F492" t="str">
            <v>P01718</v>
          </cell>
          <cell r="G492" t="str">
            <v>DTS655/UB1304#DTS</v>
          </cell>
          <cell r="H492">
            <v>65.400000000000006</v>
          </cell>
          <cell r="I492">
            <v>13000</v>
          </cell>
          <cell r="J492">
            <v>1462800</v>
          </cell>
          <cell r="K492">
            <v>1462800</v>
          </cell>
          <cell r="L492">
            <v>10104000</v>
          </cell>
          <cell r="M492" t="str">
            <v>PNK CONSULTANTS PVT LTD</v>
          </cell>
          <cell r="N492" t="str">
            <v>PROMODOME COMMUNICATIONS (P)</v>
          </cell>
        </row>
        <row r="493">
          <cell r="B493" t="str">
            <v>DTS656</v>
          </cell>
          <cell r="C493">
            <v>2.5</v>
          </cell>
          <cell r="D493">
            <v>39354</v>
          </cell>
          <cell r="E493">
            <v>79009</v>
          </cell>
          <cell r="F493" t="str">
            <v>K01295</v>
          </cell>
          <cell r="G493" t="str">
            <v>DTS656/UB1244#DTS</v>
          </cell>
          <cell r="H493">
            <v>89.93</v>
          </cell>
          <cell r="I493">
            <v>13000</v>
          </cell>
          <cell r="J493">
            <v>1977600</v>
          </cell>
          <cell r="K493">
            <v>1977600</v>
          </cell>
          <cell r="L493">
            <v>13668000</v>
          </cell>
          <cell r="M493" t="str">
            <v>PNK CONSULTANTS PVT LTD</v>
          </cell>
          <cell r="N493" t="str">
            <v>KARAN GUPTA</v>
          </cell>
        </row>
        <row r="494">
          <cell r="B494" t="str">
            <v>DTS657</v>
          </cell>
          <cell r="C494">
            <v>2.5</v>
          </cell>
          <cell r="D494">
            <v>39354</v>
          </cell>
          <cell r="E494">
            <v>79075</v>
          </cell>
          <cell r="F494" t="str">
            <v>P01725</v>
          </cell>
          <cell r="G494" t="str">
            <v>DTS657/UB1463#DTS</v>
          </cell>
          <cell r="H494">
            <v>89.93</v>
          </cell>
          <cell r="I494">
            <v>13000</v>
          </cell>
          <cell r="J494">
            <v>1977600</v>
          </cell>
          <cell r="K494">
            <v>1977600</v>
          </cell>
          <cell r="L494">
            <v>13668000</v>
          </cell>
          <cell r="M494" t="str">
            <v>PNK CONSULTANTS PVT LTD</v>
          </cell>
          <cell r="N494" t="str">
            <v>PNK CONSULTANTS (P) LTD.</v>
          </cell>
        </row>
        <row r="495">
          <cell r="B495" t="str">
            <v>DTS658</v>
          </cell>
          <cell r="C495">
            <v>2.5</v>
          </cell>
          <cell r="D495">
            <v>39354</v>
          </cell>
          <cell r="E495">
            <v>78941</v>
          </cell>
          <cell r="F495" t="str">
            <v>P01721</v>
          </cell>
          <cell r="G495" t="str">
            <v>DTS658/UB1233#DTS</v>
          </cell>
          <cell r="H495">
            <v>69.209999999999994</v>
          </cell>
          <cell r="I495">
            <v>13000</v>
          </cell>
          <cell r="J495">
            <v>1542750</v>
          </cell>
          <cell r="K495">
            <v>1542750</v>
          </cell>
          <cell r="L495">
            <v>10657500</v>
          </cell>
          <cell r="M495" t="str">
            <v>PNK CONSULTANTS PVT LTD</v>
          </cell>
          <cell r="N495" t="str">
            <v>PUSHPLATA DHINGRA</v>
          </cell>
        </row>
        <row r="496">
          <cell r="B496" t="str">
            <v>DTS659</v>
          </cell>
          <cell r="C496">
            <v>2.5</v>
          </cell>
          <cell r="D496">
            <v>39354</v>
          </cell>
          <cell r="E496">
            <v>78752</v>
          </cell>
          <cell r="F496" t="str">
            <v>P01702</v>
          </cell>
          <cell r="G496" t="str">
            <v>DTS659/UB1307#DTS</v>
          </cell>
          <cell r="H496">
            <v>104.52</v>
          </cell>
          <cell r="I496">
            <v>13000</v>
          </cell>
          <cell r="J496">
            <v>2283750</v>
          </cell>
          <cell r="K496">
            <v>2283750</v>
          </cell>
          <cell r="L496">
            <v>29850000</v>
          </cell>
          <cell r="M496" t="str">
            <v>PNK CONSULTANTS PVT LTD</v>
          </cell>
          <cell r="N496" t="str">
            <v>PRADEEP KUMAR DHINGRA</v>
          </cell>
        </row>
        <row r="497">
          <cell r="B497" t="str">
            <v>DTS660</v>
          </cell>
          <cell r="C497">
            <v>2.5</v>
          </cell>
          <cell r="D497">
            <v>39354</v>
          </cell>
          <cell r="E497">
            <v>78849</v>
          </cell>
          <cell r="F497" t="str">
            <v>B00847</v>
          </cell>
          <cell r="G497" t="str">
            <v>DTS660/UB1416#DTS</v>
          </cell>
          <cell r="H497">
            <v>74.97</v>
          </cell>
          <cell r="I497">
            <v>13000</v>
          </cell>
          <cell r="J497">
            <v>1663650</v>
          </cell>
          <cell r="K497">
            <v>1663650</v>
          </cell>
          <cell r="L497">
            <v>11494500</v>
          </cell>
          <cell r="M497" t="str">
            <v>KHUSHI HOUSING SOLUTIONS</v>
          </cell>
          <cell r="N497" t="str">
            <v>BEC CONDUITS PVT LTD</v>
          </cell>
        </row>
        <row r="498">
          <cell r="B498" t="str">
            <v>DTS661</v>
          </cell>
          <cell r="C498">
            <v>2.5</v>
          </cell>
          <cell r="D498">
            <v>39354</v>
          </cell>
          <cell r="E498">
            <v>78884</v>
          </cell>
          <cell r="F498" t="str">
            <v>F00068</v>
          </cell>
          <cell r="G498" t="str">
            <v>DTS661/UB1373#DTS</v>
          </cell>
          <cell r="H498">
            <v>69.209999999999994</v>
          </cell>
          <cell r="I498">
            <v>13000</v>
          </cell>
          <cell r="J498">
            <v>1542750</v>
          </cell>
          <cell r="K498">
            <v>1542750</v>
          </cell>
          <cell r="L498">
            <v>10657500</v>
          </cell>
          <cell r="M498" t="str">
            <v>KHUSHI HOUSING SOLUTIONS</v>
          </cell>
          <cell r="N498" t="str">
            <v>FRIENDS APPARELS PVT. LTD.</v>
          </cell>
        </row>
        <row r="499">
          <cell r="B499" t="str">
            <v>DTS662</v>
          </cell>
          <cell r="C499">
            <v>2.5</v>
          </cell>
          <cell r="D499">
            <v>39354</v>
          </cell>
          <cell r="E499">
            <v>78793</v>
          </cell>
          <cell r="F499" t="str">
            <v>A03508</v>
          </cell>
          <cell r="G499" t="str">
            <v>DTS662/UB1319#DTS</v>
          </cell>
          <cell r="H499">
            <v>69.209999999999994</v>
          </cell>
          <cell r="I499">
            <v>13000</v>
          </cell>
          <cell r="J499">
            <v>1542750</v>
          </cell>
          <cell r="K499">
            <v>1542750</v>
          </cell>
          <cell r="L499">
            <v>10657500</v>
          </cell>
          <cell r="M499" t="str">
            <v>KHUSHI HOUSING SOLUTIONS</v>
          </cell>
          <cell r="N499" t="str">
            <v>ASHOK KUMAR</v>
          </cell>
        </row>
        <row r="500">
          <cell r="B500" t="str">
            <v>DTS663</v>
          </cell>
          <cell r="C500">
            <v>2.5</v>
          </cell>
          <cell r="D500">
            <v>39354</v>
          </cell>
          <cell r="E500">
            <v>78835</v>
          </cell>
          <cell r="F500" t="str">
            <v>I00307</v>
          </cell>
          <cell r="G500" t="str">
            <v>DTS663/UB1238#DTS</v>
          </cell>
          <cell r="H500">
            <v>73.760000000000005</v>
          </cell>
          <cell r="I500">
            <v>13000</v>
          </cell>
          <cell r="J500">
            <v>1638300</v>
          </cell>
          <cell r="K500">
            <v>1638300</v>
          </cell>
          <cell r="L500">
            <v>11319000</v>
          </cell>
          <cell r="M500" t="str">
            <v>KHUSHI HOUSING SOLUTIONS</v>
          </cell>
          <cell r="N500" t="str">
            <v>IQBAL FASHIONS PVT LIMITED</v>
          </cell>
        </row>
        <row r="501">
          <cell r="B501" t="str">
            <v>DTS707</v>
          </cell>
          <cell r="C501">
            <v>2.5</v>
          </cell>
          <cell r="D501">
            <v>39354</v>
          </cell>
          <cell r="E501">
            <v>78797</v>
          </cell>
          <cell r="F501" t="str">
            <v>N01126</v>
          </cell>
          <cell r="G501" t="str">
            <v>DTS707/UB1322#DTS</v>
          </cell>
          <cell r="H501">
            <v>90.02</v>
          </cell>
          <cell r="I501">
            <v>13000</v>
          </cell>
          <cell r="J501">
            <v>1979550</v>
          </cell>
          <cell r="K501">
            <v>1979550</v>
          </cell>
          <cell r="L501">
            <v>13681500</v>
          </cell>
          <cell r="M501" t="str">
            <v>RAHEJA ASSOCIATES</v>
          </cell>
          <cell r="N501" t="str">
            <v>NIGANIA STEELS PVT. LTD.     _x000C_</v>
          </cell>
        </row>
        <row r="502">
          <cell r="B502" t="str">
            <v>DTS708</v>
          </cell>
          <cell r="C502">
            <v>2.5</v>
          </cell>
          <cell r="D502">
            <v>39354</v>
          </cell>
          <cell r="E502">
            <v>79001</v>
          </cell>
          <cell r="F502" t="str">
            <v>A03530</v>
          </cell>
          <cell r="G502" t="str">
            <v>DTS708/UB1242#DTS</v>
          </cell>
          <cell r="H502">
            <v>89.93</v>
          </cell>
          <cell r="I502">
            <v>13000</v>
          </cell>
          <cell r="J502">
            <v>1977600</v>
          </cell>
          <cell r="K502">
            <v>1977600</v>
          </cell>
          <cell r="L502">
            <v>13668000</v>
          </cell>
          <cell r="M502" t="str">
            <v>RAHEJA ASSOCIATES</v>
          </cell>
          <cell r="N502" t="str">
            <v>AMRIT KAPUR &amp; SONS (HUF)</v>
          </cell>
        </row>
        <row r="503">
          <cell r="B503" t="str">
            <v>DTS709</v>
          </cell>
          <cell r="C503">
            <v>2.5</v>
          </cell>
          <cell r="D503">
            <v>39354</v>
          </cell>
          <cell r="E503">
            <v>78772</v>
          </cell>
          <cell r="F503" t="str">
            <v>R04006</v>
          </cell>
          <cell r="G503" t="str">
            <v>DTS709/UB1288#DTS</v>
          </cell>
          <cell r="H503">
            <v>65.400000000000006</v>
          </cell>
          <cell r="I503">
            <v>13000</v>
          </cell>
          <cell r="J503">
            <v>1462800</v>
          </cell>
          <cell r="K503">
            <v>1462800</v>
          </cell>
          <cell r="L503">
            <v>10104000</v>
          </cell>
          <cell r="M503" t="str">
            <v>RAHEJA ASSOCIATES</v>
          </cell>
          <cell r="N503" t="str">
            <v>ROHAN KHANNA</v>
          </cell>
        </row>
        <row r="504">
          <cell r="B504" t="str">
            <v>DTS710</v>
          </cell>
          <cell r="C504">
            <v>2.5</v>
          </cell>
          <cell r="D504">
            <v>39354</v>
          </cell>
          <cell r="E504">
            <v>78864</v>
          </cell>
          <cell r="F504" t="str">
            <v>R04016</v>
          </cell>
          <cell r="G504" t="str">
            <v>DTS710/UB1385#DTS</v>
          </cell>
          <cell r="H504">
            <v>114.08</v>
          </cell>
          <cell r="I504">
            <v>13000</v>
          </cell>
          <cell r="J504">
            <v>2484600</v>
          </cell>
          <cell r="K504">
            <v>2484600</v>
          </cell>
          <cell r="L504">
            <v>17178000</v>
          </cell>
          <cell r="M504" t="str">
            <v>KHUSHAL SETHI HOUSING SOLUTIO</v>
          </cell>
          <cell r="N504" t="str">
            <v>RAMAN SOBTI</v>
          </cell>
        </row>
        <row r="505">
          <cell r="B505" t="str">
            <v>DTS711</v>
          </cell>
          <cell r="C505">
            <v>2.5</v>
          </cell>
          <cell r="D505">
            <v>39354</v>
          </cell>
          <cell r="E505">
            <v>79050</v>
          </cell>
          <cell r="F505" t="str">
            <v>J01507</v>
          </cell>
          <cell r="G505" t="str">
            <v>DTS711/UB1514#DTS</v>
          </cell>
          <cell r="H505">
            <v>150.22</v>
          </cell>
          <cell r="I505">
            <v>14000</v>
          </cell>
          <cell r="J505">
            <v>3485700</v>
          </cell>
          <cell r="K505">
            <v>3486000</v>
          </cell>
          <cell r="L505">
            <v>24046500</v>
          </cell>
          <cell r="M505" t="str">
            <v>ARVIND ESTATES (P) LTD</v>
          </cell>
          <cell r="N505" t="str">
            <v>JINDAL ART GLASS INNOVATIONS</v>
          </cell>
        </row>
        <row r="506">
          <cell r="B506" t="str">
            <v>DTS712</v>
          </cell>
          <cell r="C506">
            <v>2.5</v>
          </cell>
          <cell r="D506">
            <v>39354</v>
          </cell>
          <cell r="E506">
            <v>78843</v>
          </cell>
          <cell r="F506" t="str">
            <v>S04816</v>
          </cell>
          <cell r="G506" t="str">
            <v>DTS712/UB1418#DTS</v>
          </cell>
          <cell r="H506">
            <v>89</v>
          </cell>
          <cell r="I506">
            <v>13000</v>
          </cell>
          <cell r="J506">
            <v>1958100</v>
          </cell>
          <cell r="K506">
            <v>1958100</v>
          </cell>
          <cell r="L506">
            <v>13533000</v>
          </cell>
          <cell r="M506" t="str">
            <v>RAHEJA ASSOCIATES</v>
          </cell>
          <cell r="N506" t="str">
            <v>SHILPI KAPOOR</v>
          </cell>
        </row>
        <row r="507">
          <cell r="B507" t="str">
            <v>DTS714</v>
          </cell>
          <cell r="C507">
            <v>2.5</v>
          </cell>
          <cell r="D507">
            <v>39354</v>
          </cell>
          <cell r="E507">
            <v>78845</v>
          </cell>
          <cell r="F507" t="str">
            <v>A03513</v>
          </cell>
          <cell r="G507" t="str">
            <v>DTS714/UB1417#DTS</v>
          </cell>
          <cell r="H507">
            <v>89.74</v>
          </cell>
          <cell r="I507">
            <v>13000</v>
          </cell>
          <cell r="J507">
            <v>1973700</v>
          </cell>
          <cell r="K507">
            <v>1973700</v>
          </cell>
          <cell r="L507">
            <v>13641000</v>
          </cell>
          <cell r="M507" t="str">
            <v>RAHEJA ASSOCIATES</v>
          </cell>
          <cell r="N507" t="str">
            <v>APK IDENTIFICATION</v>
          </cell>
        </row>
        <row r="508">
          <cell r="B508" t="str">
            <v>DTS715</v>
          </cell>
          <cell r="C508">
            <v>2.5</v>
          </cell>
          <cell r="D508">
            <v>39354</v>
          </cell>
          <cell r="E508">
            <v>78913</v>
          </cell>
          <cell r="F508" t="str">
            <v>V02032</v>
          </cell>
          <cell r="G508" t="str">
            <v>DTS715/UB1482#DTS</v>
          </cell>
          <cell r="H508">
            <v>85</v>
          </cell>
          <cell r="I508">
            <v>13000</v>
          </cell>
          <cell r="J508">
            <v>1874250</v>
          </cell>
          <cell r="K508">
            <v>2700000</v>
          </cell>
          <cell r="L508">
            <v>12952500</v>
          </cell>
          <cell r="M508" t="str">
            <v>RAHEJA ASSOCIATES</v>
          </cell>
          <cell r="N508" t="str">
            <v>VEENA KUMARI TANDON</v>
          </cell>
        </row>
        <row r="509">
          <cell r="B509" t="str">
            <v>DTS716</v>
          </cell>
          <cell r="C509">
            <v>2.5</v>
          </cell>
          <cell r="D509">
            <v>39354</v>
          </cell>
          <cell r="E509">
            <v>78766</v>
          </cell>
          <cell r="F509" t="str">
            <v>D01047</v>
          </cell>
          <cell r="G509" t="str">
            <v>DTS716/UB1291#DTS</v>
          </cell>
          <cell r="H509">
            <v>69.209999999999994</v>
          </cell>
          <cell r="I509">
            <v>13000</v>
          </cell>
          <cell r="J509">
            <v>1542750</v>
          </cell>
          <cell r="K509">
            <v>1542750</v>
          </cell>
          <cell r="L509">
            <v>10657500</v>
          </cell>
          <cell r="M509" t="str">
            <v>RAHEJA ASSOCIATES</v>
          </cell>
          <cell r="N509" t="str">
            <v>DAVINDER K GUPTA</v>
          </cell>
        </row>
        <row r="510">
          <cell r="B510" t="str">
            <v>DTS717</v>
          </cell>
          <cell r="C510">
            <v>2.5</v>
          </cell>
          <cell r="D510">
            <v>39354</v>
          </cell>
          <cell r="E510">
            <v>79053</v>
          </cell>
          <cell r="F510" t="str">
            <v>V02037</v>
          </cell>
          <cell r="G510" t="str">
            <v>DTS717/UB1367#DTS</v>
          </cell>
          <cell r="H510">
            <v>75.53</v>
          </cell>
          <cell r="I510">
            <v>13000</v>
          </cell>
          <cell r="J510">
            <v>1675350</v>
          </cell>
          <cell r="K510">
            <v>2700000</v>
          </cell>
          <cell r="L510">
            <v>11575500</v>
          </cell>
          <cell r="M510" t="str">
            <v>RAHEJA ASSOCIATES</v>
          </cell>
          <cell r="N510" t="str">
            <v>VISHAL SIKKA</v>
          </cell>
        </row>
        <row r="511">
          <cell r="B511" t="str">
            <v>DTS718</v>
          </cell>
          <cell r="C511">
            <v>2.5</v>
          </cell>
          <cell r="D511">
            <v>39354</v>
          </cell>
          <cell r="E511">
            <v>78773</v>
          </cell>
          <cell r="F511" t="str">
            <v>R04007</v>
          </cell>
          <cell r="G511" t="str">
            <v>DTS718/UB1294#DTS</v>
          </cell>
          <cell r="H511">
            <v>75.53</v>
          </cell>
          <cell r="I511">
            <v>13000</v>
          </cell>
          <cell r="J511">
            <v>1675350</v>
          </cell>
          <cell r="K511">
            <v>1675350</v>
          </cell>
          <cell r="L511">
            <v>11575500</v>
          </cell>
          <cell r="M511" t="str">
            <v>RAHEJA ASSOCIATES</v>
          </cell>
          <cell r="N511" t="str">
            <v>ROHIT D KUMAR</v>
          </cell>
        </row>
        <row r="512">
          <cell r="B512" t="str">
            <v>DTS719</v>
          </cell>
          <cell r="C512">
            <v>2.5</v>
          </cell>
          <cell r="D512">
            <v>39354</v>
          </cell>
          <cell r="E512">
            <v>78825</v>
          </cell>
          <cell r="F512" t="str">
            <v>S04815</v>
          </cell>
          <cell r="G512" t="str">
            <v>DTS719/UB1544#DTS</v>
          </cell>
          <cell r="H512">
            <v>69.209999999999994</v>
          </cell>
          <cell r="I512">
            <v>13000</v>
          </cell>
          <cell r="J512">
            <v>1542750</v>
          </cell>
          <cell r="K512">
            <v>1542750</v>
          </cell>
          <cell r="L512">
            <v>10657500</v>
          </cell>
          <cell r="M512" t="str">
            <v>RAHEJA ASSOCIATES</v>
          </cell>
          <cell r="N512" t="str">
            <v>SUKHBIR KUMAR JAIN</v>
          </cell>
        </row>
        <row r="513">
          <cell r="B513" t="str">
            <v>DTS725</v>
          </cell>
          <cell r="C513">
            <v>2.5</v>
          </cell>
          <cell r="D513">
            <v>39354</v>
          </cell>
          <cell r="E513">
            <v>78993</v>
          </cell>
          <cell r="F513" t="str">
            <v>H01016</v>
          </cell>
          <cell r="G513" t="str">
            <v>DTS725/UB1230#DTS</v>
          </cell>
          <cell r="H513">
            <v>65.400000000000006</v>
          </cell>
          <cell r="I513">
            <v>13000</v>
          </cell>
          <cell r="J513">
            <v>1462800</v>
          </cell>
          <cell r="K513">
            <v>1462800</v>
          </cell>
          <cell r="L513">
            <v>10104000</v>
          </cell>
          <cell r="M513" t="str">
            <v>RAHEJA ASSOCIATES</v>
          </cell>
          <cell r="N513" t="str">
            <v>HARVINDER SINGH SIDHU</v>
          </cell>
        </row>
        <row r="514">
          <cell r="B514" t="str">
            <v>DTS726</v>
          </cell>
          <cell r="C514">
            <v>2.5</v>
          </cell>
          <cell r="D514">
            <v>39354</v>
          </cell>
          <cell r="E514">
            <v>78821</v>
          </cell>
          <cell r="F514" t="str">
            <v>G00773</v>
          </cell>
          <cell r="G514" t="str">
            <v>DTS726/UB1542#DTS</v>
          </cell>
          <cell r="H514">
            <v>89.93</v>
          </cell>
          <cell r="I514">
            <v>13000</v>
          </cell>
          <cell r="J514">
            <v>1977600</v>
          </cell>
          <cell r="K514">
            <v>1977600</v>
          </cell>
          <cell r="L514">
            <v>13668000</v>
          </cell>
          <cell r="M514" t="str">
            <v>RAHEJA ASSOCIATES</v>
          </cell>
          <cell r="N514" t="str">
            <v>GEETA KASSAL</v>
          </cell>
        </row>
        <row r="515">
          <cell r="B515" t="str">
            <v>DTS727</v>
          </cell>
          <cell r="C515">
            <v>2.5</v>
          </cell>
          <cell r="D515">
            <v>39354</v>
          </cell>
          <cell r="E515">
            <v>78822</v>
          </cell>
          <cell r="F515" t="str">
            <v>K01275</v>
          </cell>
          <cell r="G515" t="str">
            <v>DTS727/UB1543#DTS</v>
          </cell>
          <cell r="H515">
            <v>90.02</v>
          </cell>
          <cell r="I515">
            <v>13000</v>
          </cell>
          <cell r="J515">
            <v>1979550</v>
          </cell>
          <cell r="K515">
            <v>1979550</v>
          </cell>
          <cell r="L515">
            <v>13681500</v>
          </cell>
          <cell r="M515" t="str">
            <v>KHUSHAL SETHI HOUSING SOLUTIO</v>
          </cell>
          <cell r="N515" t="str">
            <v>KHUSHAL SETHI HOUSING SOLUTIO</v>
          </cell>
        </row>
        <row r="516">
          <cell r="B516" t="str">
            <v>DTS728</v>
          </cell>
          <cell r="C516">
            <v>2.5</v>
          </cell>
          <cell r="D516">
            <v>39354</v>
          </cell>
          <cell r="E516">
            <v>78965</v>
          </cell>
          <cell r="F516" t="str">
            <v>O00132</v>
          </cell>
          <cell r="G516" t="str">
            <v>DTS728/UB1495#DTS</v>
          </cell>
          <cell r="H516">
            <v>69.209999999999994</v>
          </cell>
          <cell r="I516">
            <v>13000</v>
          </cell>
          <cell r="J516">
            <v>1542750</v>
          </cell>
          <cell r="K516">
            <v>1542750</v>
          </cell>
          <cell r="L516">
            <v>10657500</v>
          </cell>
          <cell r="M516" t="str">
            <v>VIRENDRA VERMA</v>
          </cell>
          <cell r="N516" t="str">
            <v>OM PRAKASH MANHANDA</v>
          </cell>
        </row>
        <row r="517">
          <cell r="B517" t="str">
            <v>DTS747</v>
          </cell>
          <cell r="C517">
            <v>2.5</v>
          </cell>
          <cell r="D517">
            <v>39354</v>
          </cell>
          <cell r="E517">
            <v>78980</v>
          </cell>
          <cell r="F517" t="str">
            <v>R04023</v>
          </cell>
          <cell r="G517" t="str">
            <v>DTS747/UB1528#DTS</v>
          </cell>
          <cell r="H517">
            <v>69.12</v>
          </cell>
          <cell r="I517">
            <v>13000</v>
          </cell>
          <cell r="J517">
            <v>1540800</v>
          </cell>
          <cell r="K517">
            <v>1540800</v>
          </cell>
          <cell r="L517">
            <v>10644000</v>
          </cell>
          <cell r="M517" t="str">
            <v>RAHEJA ASSOCIATES</v>
          </cell>
          <cell r="N517" t="str">
            <v>RAJEEV KUMAR SOOD</v>
          </cell>
        </row>
        <row r="518">
          <cell r="B518" t="str">
            <v>DTS749</v>
          </cell>
          <cell r="C518">
            <v>2.5</v>
          </cell>
          <cell r="D518">
            <v>39354</v>
          </cell>
          <cell r="E518">
            <v>78895</v>
          </cell>
          <cell r="F518" t="str">
            <v>R04020</v>
          </cell>
          <cell r="G518" t="str">
            <v>DTS749/UB1375#DTS</v>
          </cell>
          <cell r="H518">
            <v>75.53</v>
          </cell>
          <cell r="I518">
            <v>13000</v>
          </cell>
          <cell r="J518">
            <v>1675350</v>
          </cell>
          <cell r="K518">
            <v>1675350</v>
          </cell>
          <cell r="L518">
            <v>11575500</v>
          </cell>
          <cell r="M518" t="str">
            <v>RAHEJA ASSOCIATES</v>
          </cell>
          <cell r="N518" t="str">
            <v>RAHUL MALIK (HUF)</v>
          </cell>
        </row>
        <row r="519">
          <cell r="B519" t="str">
            <v>DTS750</v>
          </cell>
          <cell r="C519">
            <v>2.5</v>
          </cell>
          <cell r="D519">
            <v>39354</v>
          </cell>
          <cell r="E519">
            <v>79030</v>
          </cell>
          <cell r="F519" t="str">
            <v>D01061</v>
          </cell>
          <cell r="G519" t="str">
            <v>DTS750/UB1519#DTS</v>
          </cell>
          <cell r="H519">
            <v>69.12</v>
          </cell>
          <cell r="I519">
            <v>13000</v>
          </cell>
          <cell r="J519">
            <v>1540800</v>
          </cell>
          <cell r="K519">
            <v>2700000</v>
          </cell>
          <cell r="L519">
            <v>10644000</v>
          </cell>
          <cell r="M519" t="str">
            <v>RAHEJA ASSOCIATES</v>
          </cell>
          <cell r="N519" t="str">
            <v>DARSHAN MOHAN SINGH NANDA</v>
          </cell>
        </row>
        <row r="520">
          <cell r="B520" t="str">
            <v>DTS751</v>
          </cell>
          <cell r="C520">
            <v>2.5</v>
          </cell>
          <cell r="D520">
            <v>39354</v>
          </cell>
          <cell r="E520">
            <v>78841</v>
          </cell>
          <cell r="F520" t="str">
            <v>P01719</v>
          </cell>
          <cell r="G520" t="str">
            <v>DTS751/UB1419#DTS</v>
          </cell>
          <cell r="H520">
            <v>85</v>
          </cell>
          <cell r="I520">
            <v>13000</v>
          </cell>
          <cell r="J520">
            <v>1874250</v>
          </cell>
          <cell r="K520">
            <v>1874250</v>
          </cell>
          <cell r="L520">
            <v>12952500</v>
          </cell>
          <cell r="M520" t="str">
            <v>RAHEJA ASSOCIATES</v>
          </cell>
          <cell r="N520" t="str">
            <v>PLICA INDIA PVT LTD</v>
          </cell>
        </row>
        <row r="521">
          <cell r="B521" t="str">
            <v>DTS752</v>
          </cell>
          <cell r="C521">
            <v>2.5</v>
          </cell>
          <cell r="D521">
            <v>39354</v>
          </cell>
          <cell r="E521">
            <v>79011</v>
          </cell>
          <cell r="F521" t="str">
            <v>N01132</v>
          </cell>
          <cell r="G521" t="str">
            <v>DTS752/UB1361#DTS</v>
          </cell>
          <cell r="H521">
            <v>85</v>
          </cell>
          <cell r="I521">
            <v>13000</v>
          </cell>
          <cell r="J521">
            <v>1874250</v>
          </cell>
          <cell r="K521">
            <v>1874250</v>
          </cell>
          <cell r="L521">
            <v>12952500</v>
          </cell>
          <cell r="M521" t="str">
            <v>RAHEJA ASSOCIATES</v>
          </cell>
          <cell r="N521" t="str">
            <v>NITISH GARG</v>
          </cell>
        </row>
        <row r="522">
          <cell r="B522" t="str">
            <v>DTS753</v>
          </cell>
          <cell r="C522">
            <v>2.5</v>
          </cell>
          <cell r="D522">
            <v>39354</v>
          </cell>
          <cell r="E522">
            <v>78817</v>
          </cell>
          <cell r="F522" t="str">
            <v>P01716</v>
          </cell>
          <cell r="G522" t="str">
            <v>DTS753/UB1323#DTS</v>
          </cell>
          <cell r="H522">
            <v>65.400000000000006</v>
          </cell>
          <cell r="I522">
            <v>13000</v>
          </cell>
          <cell r="J522">
            <v>1462800</v>
          </cell>
          <cell r="K522">
            <v>2700000</v>
          </cell>
          <cell r="L522">
            <v>10104000</v>
          </cell>
          <cell r="M522" t="str">
            <v>RAHEJA ASSOCIATES</v>
          </cell>
          <cell r="N522" t="str">
            <v>PIYUSH AGRAWAL</v>
          </cell>
        </row>
        <row r="523">
          <cell r="B523" t="str">
            <v>DTS754</v>
          </cell>
          <cell r="C523">
            <v>2.5</v>
          </cell>
          <cell r="D523">
            <v>39354</v>
          </cell>
          <cell r="E523">
            <v>78914</v>
          </cell>
          <cell r="F523" t="str">
            <v>A03519</v>
          </cell>
          <cell r="G523" t="str">
            <v>DTS754/UB1552#DTS</v>
          </cell>
          <cell r="H523">
            <v>178.84</v>
          </cell>
          <cell r="I523">
            <v>14000</v>
          </cell>
          <cell r="J523">
            <v>4132500</v>
          </cell>
          <cell r="K523">
            <v>4132500</v>
          </cell>
          <cell r="L523">
            <v>28512500</v>
          </cell>
          <cell r="M523" t="str">
            <v>K.K. REAL ESTATE</v>
          </cell>
          <cell r="N523" t="str">
            <v>A K JEWELLERS (P) LTD</v>
          </cell>
        </row>
        <row r="524">
          <cell r="B524" t="str">
            <v>DTS755</v>
          </cell>
          <cell r="C524">
            <v>2.5</v>
          </cell>
          <cell r="D524">
            <v>39354</v>
          </cell>
          <cell r="E524">
            <v>79070</v>
          </cell>
          <cell r="F524" t="str">
            <v>S04850</v>
          </cell>
          <cell r="G524" t="str">
            <v>DTS755/UB1487#DTS</v>
          </cell>
          <cell r="H524">
            <v>65.400000000000006</v>
          </cell>
          <cell r="I524">
            <v>13000</v>
          </cell>
          <cell r="J524">
            <v>1462800</v>
          </cell>
          <cell r="K524">
            <v>1462800</v>
          </cell>
          <cell r="L524">
            <v>10104000</v>
          </cell>
          <cell r="M524" t="str">
            <v>RAHEJA ASSOCIATES</v>
          </cell>
          <cell r="N524" t="str">
            <v>SUNIL JAIN</v>
          </cell>
        </row>
        <row r="525">
          <cell r="B525" t="str">
            <v>DTS756</v>
          </cell>
          <cell r="C525">
            <v>2.5</v>
          </cell>
          <cell r="D525">
            <v>39354</v>
          </cell>
          <cell r="E525">
            <v>79065</v>
          </cell>
          <cell r="F525" t="str">
            <v>S04848</v>
          </cell>
          <cell r="G525" t="str">
            <v>DTS756/UB1263#DTS</v>
          </cell>
          <cell r="H525">
            <v>89.93</v>
          </cell>
          <cell r="I525">
            <v>13000</v>
          </cell>
          <cell r="J525">
            <v>1977600</v>
          </cell>
          <cell r="K525">
            <v>1977600</v>
          </cell>
          <cell r="L525">
            <v>13668000</v>
          </cell>
          <cell r="M525" t="str">
            <v>RAHEJA ASSOCIATES</v>
          </cell>
          <cell r="N525" t="str">
            <v>SUNIL JAIN</v>
          </cell>
        </row>
        <row r="526">
          <cell r="B526" t="str">
            <v>DTS757</v>
          </cell>
          <cell r="C526">
            <v>2.5</v>
          </cell>
          <cell r="D526">
            <v>39354</v>
          </cell>
          <cell r="E526">
            <v>78875</v>
          </cell>
          <cell r="F526" t="str">
            <v>Y00249</v>
          </cell>
          <cell r="G526" t="str">
            <v>DTS757/UB1404#DTS</v>
          </cell>
          <cell r="H526">
            <v>89.93</v>
          </cell>
          <cell r="I526">
            <v>13000</v>
          </cell>
          <cell r="J526">
            <v>1977600</v>
          </cell>
          <cell r="K526">
            <v>1977600</v>
          </cell>
          <cell r="L526">
            <v>13668000</v>
          </cell>
          <cell r="M526" t="str">
            <v>RAHEJA ASSOCIATES</v>
          </cell>
          <cell r="N526" t="str">
            <v>YOGESH VERMA                 _x000C_</v>
          </cell>
        </row>
        <row r="527">
          <cell r="B527" t="str">
            <v>DTS758</v>
          </cell>
          <cell r="C527">
            <v>2.5</v>
          </cell>
          <cell r="D527">
            <v>39354</v>
          </cell>
          <cell r="E527">
            <v>78783</v>
          </cell>
          <cell r="F527" t="str">
            <v>Y00247</v>
          </cell>
          <cell r="G527" t="str">
            <v>DTS758/UB1289#DTS</v>
          </cell>
          <cell r="H527">
            <v>69.209999999999994</v>
          </cell>
          <cell r="I527">
            <v>13000</v>
          </cell>
          <cell r="J527">
            <v>1542750</v>
          </cell>
          <cell r="K527">
            <v>1542750</v>
          </cell>
          <cell r="L527">
            <v>10657500</v>
          </cell>
          <cell r="M527" t="str">
            <v>RAHEJA ASSOCIATES</v>
          </cell>
          <cell r="N527" t="str">
            <v>YOGESH MEHTANI</v>
          </cell>
        </row>
        <row r="528">
          <cell r="B528" t="str">
            <v>DTS760</v>
          </cell>
          <cell r="C528">
            <v>2.5</v>
          </cell>
          <cell r="D528">
            <v>39354</v>
          </cell>
          <cell r="E528">
            <v>78727</v>
          </cell>
          <cell r="F528" t="str">
            <v>A03499</v>
          </cell>
          <cell r="G528" t="str">
            <v>DTS760/UB1309#DTS</v>
          </cell>
          <cell r="H528">
            <v>74.97</v>
          </cell>
          <cell r="I528">
            <v>13000</v>
          </cell>
          <cell r="J528">
            <v>1663650</v>
          </cell>
          <cell r="K528">
            <v>1663650</v>
          </cell>
          <cell r="L528">
            <v>11494500</v>
          </cell>
          <cell r="M528" t="str">
            <v>SANJAY NAGPAL ESTATES</v>
          </cell>
          <cell r="N528" t="str">
            <v>AMRIT LAL SARNA</v>
          </cell>
        </row>
        <row r="529">
          <cell r="B529" t="str">
            <v>DTS762</v>
          </cell>
          <cell r="C529">
            <v>2.5</v>
          </cell>
          <cell r="D529">
            <v>39354</v>
          </cell>
          <cell r="E529">
            <v>78950</v>
          </cell>
          <cell r="F529" t="str">
            <v>A03523</v>
          </cell>
          <cell r="G529" t="str">
            <v>DTS762/UB1356#DTS</v>
          </cell>
          <cell r="H529">
            <v>69.209999999999994</v>
          </cell>
          <cell r="I529">
            <v>13000</v>
          </cell>
          <cell r="J529">
            <v>1542750</v>
          </cell>
          <cell r="K529">
            <v>2700000</v>
          </cell>
          <cell r="L529">
            <v>10657500</v>
          </cell>
          <cell r="M529" t="str">
            <v>SANJAY NAGPAL ESTATES</v>
          </cell>
          <cell r="N529" t="str">
            <v>ANJANI KUMAR</v>
          </cell>
        </row>
        <row r="530">
          <cell r="B530" t="str">
            <v>DTS763</v>
          </cell>
          <cell r="C530">
            <v>2.5</v>
          </cell>
          <cell r="D530">
            <v>39354</v>
          </cell>
          <cell r="E530">
            <v>78894</v>
          </cell>
          <cell r="F530" t="str">
            <v>R04019</v>
          </cell>
          <cell r="G530" t="str">
            <v>DTS763/UB1414#DTS</v>
          </cell>
          <cell r="H530">
            <v>73.760000000000005</v>
          </cell>
          <cell r="I530">
            <v>13000</v>
          </cell>
          <cell r="J530">
            <v>1638300</v>
          </cell>
          <cell r="K530">
            <v>1700000</v>
          </cell>
          <cell r="L530">
            <v>11319000</v>
          </cell>
          <cell r="M530" t="str">
            <v>SANJAY NAGPAL ESTATES</v>
          </cell>
          <cell r="N530" t="str">
            <v>RAJESH GUPTA</v>
          </cell>
        </row>
        <row r="531">
          <cell r="B531" t="str">
            <v>DTS801</v>
          </cell>
          <cell r="C531">
            <v>2.5</v>
          </cell>
          <cell r="D531">
            <v>39354</v>
          </cell>
          <cell r="E531">
            <v>78726</v>
          </cell>
          <cell r="F531" t="str">
            <v>S04800</v>
          </cell>
          <cell r="G531" t="str">
            <v>DTS801/UB1310#DTS</v>
          </cell>
          <cell r="H531">
            <v>71.91</v>
          </cell>
          <cell r="I531">
            <v>13000</v>
          </cell>
          <cell r="J531">
            <v>1599300</v>
          </cell>
          <cell r="K531">
            <v>1599300</v>
          </cell>
          <cell r="L531">
            <v>11049000</v>
          </cell>
          <cell r="M531" t="str">
            <v>RAHEJA ASSOCIATES</v>
          </cell>
          <cell r="N531" t="str">
            <v>SAHIL NATH</v>
          </cell>
        </row>
        <row r="532">
          <cell r="B532" t="str">
            <v>DTS802</v>
          </cell>
          <cell r="C532">
            <v>2.5</v>
          </cell>
          <cell r="D532">
            <v>39354</v>
          </cell>
          <cell r="E532">
            <v>78796</v>
          </cell>
          <cell r="F532" t="str">
            <v>K01274</v>
          </cell>
          <cell r="G532" t="str">
            <v>DTS802/UB1318#DTS</v>
          </cell>
          <cell r="H532">
            <v>69.209999999999994</v>
          </cell>
          <cell r="I532">
            <v>13000</v>
          </cell>
          <cell r="J532">
            <v>1542750</v>
          </cell>
          <cell r="K532">
            <v>1542750</v>
          </cell>
          <cell r="L532">
            <v>10657500</v>
          </cell>
          <cell r="M532" t="str">
            <v>RAHEJA ASSOCIATES</v>
          </cell>
          <cell r="N532" t="str">
            <v>KADIMI CONSTRUCTIONS P.LTD.</v>
          </cell>
        </row>
        <row r="533">
          <cell r="B533" t="str">
            <v>DTS803</v>
          </cell>
          <cell r="C533">
            <v>2.5</v>
          </cell>
          <cell r="D533">
            <v>39354</v>
          </cell>
          <cell r="E533">
            <v>78974</v>
          </cell>
          <cell r="F533" t="str">
            <v>K01294</v>
          </cell>
          <cell r="G533" t="str">
            <v>DTS803/UB1558#DTS</v>
          </cell>
          <cell r="H533">
            <v>69.209999999999994</v>
          </cell>
          <cell r="I533">
            <v>13000</v>
          </cell>
          <cell r="J533">
            <v>1542750</v>
          </cell>
          <cell r="K533">
            <v>1542750</v>
          </cell>
          <cell r="L533">
            <v>10657500</v>
          </cell>
          <cell r="M533" t="str">
            <v>RAHEJA ASSOCIATES</v>
          </cell>
          <cell r="N533" t="str">
            <v>KADMIMI CONSTRUCTIONS PVT LTD</v>
          </cell>
        </row>
        <row r="534">
          <cell r="B534" t="str">
            <v>DTS804</v>
          </cell>
          <cell r="C534">
            <v>2.5</v>
          </cell>
          <cell r="D534">
            <v>39354</v>
          </cell>
          <cell r="E534">
            <v>78778</v>
          </cell>
          <cell r="F534" t="str">
            <v>R04008</v>
          </cell>
          <cell r="G534" t="str">
            <v>DTS804/UB1295#DTS</v>
          </cell>
          <cell r="H534">
            <v>69.209999999999994</v>
          </cell>
          <cell r="I534">
            <v>13000</v>
          </cell>
          <cell r="J534">
            <v>1542750</v>
          </cell>
          <cell r="K534">
            <v>1542750</v>
          </cell>
          <cell r="L534">
            <v>10657500</v>
          </cell>
          <cell r="M534" t="str">
            <v>RAHEJA ASSOCIATES</v>
          </cell>
          <cell r="N534" t="str">
            <v>RAVINDER NATH</v>
          </cell>
        </row>
        <row r="535">
          <cell r="B535" t="str">
            <v>DTS805</v>
          </cell>
          <cell r="C535">
            <v>2.5</v>
          </cell>
          <cell r="D535">
            <v>39354</v>
          </cell>
          <cell r="E535">
            <v>78858</v>
          </cell>
          <cell r="F535" t="str">
            <v>A03516</v>
          </cell>
          <cell r="G535" t="str">
            <v>DTS805/UB1397#DTS</v>
          </cell>
          <cell r="H535">
            <v>69.209999999999994</v>
          </cell>
          <cell r="I535">
            <v>13000</v>
          </cell>
          <cell r="J535">
            <v>1542750</v>
          </cell>
          <cell r="K535">
            <v>1958100</v>
          </cell>
          <cell r="L535">
            <v>10657500</v>
          </cell>
          <cell r="M535" t="str">
            <v>KHUSHAL SETHI HOUSING SOLUTIO</v>
          </cell>
          <cell r="N535" t="str">
            <v>AMBICA STEELS LTD</v>
          </cell>
        </row>
        <row r="536">
          <cell r="B536" t="str">
            <v>DTS806</v>
          </cell>
          <cell r="C536">
            <v>2.5</v>
          </cell>
          <cell r="D536">
            <v>39354</v>
          </cell>
          <cell r="E536">
            <v>78799</v>
          </cell>
          <cell r="F536" t="str">
            <v>A03509</v>
          </cell>
          <cell r="G536" t="str">
            <v>DTS806/UB1401#DTS</v>
          </cell>
          <cell r="H536">
            <v>69.209999999999994</v>
          </cell>
          <cell r="I536">
            <v>13000</v>
          </cell>
          <cell r="J536">
            <v>1542750</v>
          </cell>
          <cell r="K536">
            <v>1542750</v>
          </cell>
          <cell r="L536">
            <v>10657500</v>
          </cell>
          <cell r="M536" t="str">
            <v>KHUSHAL SETHI HOUSING SOLUTIO</v>
          </cell>
          <cell r="N536" t="str">
            <v>AMBICA STEELS LIMITED</v>
          </cell>
        </row>
        <row r="537">
          <cell r="B537" t="str">
            <v>DTS811</v>
          </cell>
          <cell r="C537">
            <v>2.5</v>
          </cell>
          <cell r="D537">
            <v>39354</v>
          </cell>
          <cell r="E537">
            <v>78812</v>
          </cell>
          <cell r="F537" t="str">
            <v>N01127</v>
          </cell>
          <cell r="G537" t="str">
            <v>DTS811/UB1421#DTS</v>
          </cell>
          <cell r="H537">
            <v>150.22</v>
          </cell>
          <cell r="I537">
            <v>14000</v>
          </cell>
          <cell r="J537">
            <v>3485700</v>
          </cell>
          <cell r="K537">
            <v>3485700</v>
          </cell>
          <cell r="L537">
            <v>24046500</v>
          </cell>
          <cell r="M537" t="str">
            <v>LANDMARK</v>
          </cell>
          <cell r="N537" t="str">
            <v>NITA BANSAL</v>
          </cell>
        </row>
        <row r="538">
          <cell r="B538" t="str">
            <v>DTS812</v>
          </cell>
          <cell r="C538">
            <v>2.5</v>
          </cell>
          <cell r="D538">
            <v>39354</v>
          </cell>
          <cell r="E538">
            <v>79084</v>
          </cell>
          <cell r="F538" t="str">
            <v>G00781</v>
          </cell>
          <cell r="G538" t="str">
            <v>DTS812/UB1527#DTS</v>
          </cell>
          <cell r="H538">
            <v>89</v>
          </cell>
          <cell r="I538">
            <v>13000</v>
          </cell>
          <cell r="J538">
            <v>1958100</v>
          </cell>
          <cell r="K538">
            <v>1959000</v>
          </cell>
          <cell r="L538">
            <v>13533000</v>
          </cell>
          <cell r="M538" t="str">
            <v>RAHEJA ASSOCIATES</v>
          </cell>
          <cell r="N538" t="str">
            <v>GOLDEN TOBACCO MFG CO.(P) LTD</v>
          </cell>
        </row>
        <row r="539">
          <cell r="B539" t="str">
            <v>DTS816</v>
          </cell>
          <cell r="C539">
            <v>2.5</v>
          </cell>
          <cell r="D539">
            <v>39354</v>
          </cell>
          <cell r="E539">
            <v>78955</v>
          </cell>
          <cell r="F539" t="str">
            <v>A03524</v>
          </cell>
          <cell r="G539" t="str">
            <v>DTS816/UB1357#DTS</v>
          </cell>
          <cell r="H539">
            <v>69.209999999999994</v>
          </cell>
          <cell r="I539">
            <v>13000</v>
          </cell>
          <cell r="J539">
            <v>1542750</v>
          </cell>
          <cell r="K539">
            <v>1542750</v>
          </cell>
          <cell r="L539">
            <v>10657500</v>
          </cell>
          <cell r="M539" t="str">
            <v>VSERV CAPITAL SERVICES PVT LT</v>
          </cell>
          <cell r="N539" t="str">
            <v>AMIT SHARMA</v>
          </cell>
        </row>
        <row r="540">
          <cell r="B540" t="str">
            <v>DTS825</v>
          </cell>
          <cell r="C540">
            <v>2.5</v>
          </cell>
          <cell r="D540">
            <v>39354</v>
          </cell>
          <cell r="E540">
            <v>79010</v>
          </cell>
          <cell r="F540" t="str">
            <v>A03532</v>
          </cell>
          <cell r="G540" t="str">
            <v>DTS825/UB1513#DTS</v>
          </cell>
          <cell r="H540">
            <v>65.400000000000006</v>
          </cell>
          <cell r="I540">
            <v>11000</v>
          </cell>
          <cell r="J540">
            <v>1251600</v>
          </cell>
          <cell r="K540">
            <v>1251600</v>
          </cell>
          <cell r="L540">
            <v>8696000</v>
          </cell>
          <cell r="M540" t="str">
            <v>RAHEJA ASSOCIATES</v>
          </cell>
          <cell r="N540" t="str">
            <v>AKASH TRIPATNI</v>
          </cell>
        </row>
        <row r="541">
          <cell r="B541" t="str">
            <v>DTS826</v>
          </cell>
          <cell r="C541">
            <v>2.5</v>
          </cell>
          <cell r="D541">
            <v>39354</v>
          </cell>
          <cell r="E541">
            <v>78865</v>
          </cell>
          <cell r="F541" t="str">
            <v>S04823</v>
          </cell>
          <cell r="G541" t="str">
            <v>DTS826/UB1390#DTS</v>
          </cell>
          <cell r="H541">
            <v>89.93</v>
          </cell>
          <cell r="I541">
            <v>11000</v>
          </cell>
          <cell r="J541">
            <v>1687200</v>
          </cell>
          <cell r="K541">
            <v>1687200</v>
          </cell>
          <cell r="L541">
            <v>11732000</v>
          </cell>
          <cell r="M541" t="str">
            <v>RAHEJA ASSOCIATES</v>
          </cell>
          <cell r="N541" t="str">
            <v>SATYA PRAKASH</v>
          </cell>
        </row>
        <row r="542">
          <cell r="B542" t="str">
            <v>DTS831</v>
          </cell>
          <cell r="C542">
            <v>2.5</v>
          </cell>
          <cell r="D542">
            <v>39354</v>
          </cell>
          <cell r="E542">
            <v>79082</v>
          </cell>
          <cell r="F542" t="str">
            <v>V02038</v>
          </cell>
          <cell r="G542" t="str">
            <v>DTS831/UB1264#DTS</v>
          </cell>
          <cell r="H542">
            <v>69.209999999999994</v>
          </cell>
          <cell r="I542">
            <v>13000</v>
          </cell>
          <cell r="J542">
            <v>1542750</v>
          </cell>
          <cell r="K542">
            <v>1542750</v>
          </cell>
          <cell r="L542">
            <v>10657500</v>
          </cell>
          <cell r="M542" t="str">
            <v>RAHEJA ASSOCIATES</v>
          </cell>
          <cell r="N542" t="str">
            <v>VIVEK SABHARWAL</v>
          </cell>
        </row>
        <row r="543">
          <cell r="B543" t="str">
            <v>DTS832</v>
          </cell>
          <cell r="C543">
            <v>2.5</v>
          </cell>
          <cell r="D543">
            <v>39354</v>
          </cell>
          <cell r="E543">
            <v>78887</v>
          </cell>
          <cell r="F543" t="str">
            <v>S04828</v>
          </cell>
          <cell r="G543" t="str">
            <v>DTS832/UB1376#DTS</v>
          </cell>
          <cell r="H543">
            <v>69.209999999999994</v>
          </cell>
          <cell r="I543">
            <v>13000</v>
          </cell>
          <cell r="J543">
            <v>1542750</v>
          </cell>
          <cell r="K543">
            <v>1542750</v>
          </cell>
          <cell r="L543">
            <v>10657500</v>
          </cell>
          <cell r="M543" t="str">
            <v>RAHEJA ASSOCIATES</v>
          </cell>
          <cell r="N543" t="str">
            <v>SANGEETA DHAWAN</v>
          </cell>
        </row>
        <row r="544">
          <cell r="B544" t="str">
            <v>DTS833</v>
          </cell>
          <cell r="C544">
            <v>2.5</v>
          </cell>
          <cell r="D544">
            <v>39354</v>
          </cell>
          <cell r="E544">
            <v>78966</v>
          </cell>
          <cell r="F544" t="str">
            <v>K01289</v>
          </cell>
          <cell r="G544" t="str">
            <v>DTS833/UB1237#DTS</v>
          </cell>
          <cell r="H544">
            <v>71.91</v>
          </cell>
          <cell r="I544">
            <v>13000</v>
          </cell>
          <cell r="J544">
            <v>1599300</v>
          </cell>
          <cell r="K544">
            <v>2700000</v>
          </cell>
          <cell r="L544">
            <v>11049000</v>
          </cell>
          <cell r="M544" t="str">
            <v>RAHEJA ASSOCIATES</v>
          </cell>
          <cell r="N544" t="str">
            <v>KRISHAN MAKHIJANI</v>
          </cell>
        </row>
        <row r="545">
          <cell r="B545" t="str">
            <v>DTS834</v>
          </cell>
          <cell r="C545">
            <v>2.5</v>
          </cell>
          <cell r="D545">
            <v>39354</v>
          </cell>
          <cell r="E545">
            <v>78787</v>
          </cell>
          <cell r="F545" t="str">
            <v>K01273</v>
          </cell>
          <cell r="G545" t="str">
            <v>DTS834/UB1297#DTS</v>
          </cell>
          <cell r="H545">
            <v>73.760000000000005</v>
          </cell>
          <cell r="I545">
            <v>13000</v>
          </cell>
          <cell r="J545">
            <v>1638300</v>
          </cell>
          <cell r="K545">
            <v>2700000</v>
          </cell>
          <cell r="L545">
            <v>11319000</v>
          </cell>
          <cell r="M545" t="str">
            <v>RAHEJA ASSOCIATES</v>
          </cell>
          <cell r="N545" t="str">
            <v>KRISHAN MAKHIJANI</v>
          </cell>
        </row>
        <row r="546">
          <cell r="B546" t="str">
            <v>DTS835</v>
          </cell>
          <cell r="C546">
            <v>2.5</v>
          </cell>
          <cell r="D546">
            <v>39354</v>
          </cell>
          <cell r="E546">
            <v>78834</v>
          </cell>
          <cell r="F546" t="str">
            <v>R04014</v>
          </cell>
          <cell r="G546" t="str">
            <v>DTS835/UB1239#DTS</v>
          </cell>
          <cell r="H546">
            <v>69.209999999999994</v>
          </cell>
          <cell r="I546">
            <v>13000</v>
          </cell>
          <cell r="J546">
            <v>1542750</v>
          </cell>
          <cell r="K546">
            <v>2700000</v>
          </cell>
          <cell r="L546">
            <v>10657500</v>
          </cell>
          <cell r="M546" t="str">
            <v>RAHEJA ASSOCIATES</v>
          </cell>
          <cell r="N546" t="str">
            <v>REKHA PRINTER PVT LIMITED</v>
          </cell>
        </row>
        <row r="547">
          <cell r="B547" t="str">
            <v>DTS836</v>
          </cell>
          <cell r="C547">
            <v>2.5</v>
          </cell>
          <cell r="D547">
            <v>39354</v>
          </cell>
          <cell r="E547">
            <v>78833</v>
          </cell>
          <cell r="F547" t="str">
            <v>M02200</v>
          </cell>
          <cell r="G547" t="str">
            <v>DTS836/UB1330#DTS</v>
          </cell>
          <cell r="H547">
            <v>69.209999999999994</v>
          </cell>
          <cell r="I547">
            <v>13000</v>
          </cell>
          <cell r="J547">
            <v>1542750</v>
          </cell>
          <cell r="K547">
            <v>2700000</v>
          </cell>
          <cell r="L547">
            <v>10657500</v>
          </cell>
          <cell r="M547" t="str">
            <v>RAHEJA ASSOCIATES</v>
          </cell>
          <cell r="N547" t="str">
            <v>MOHAN MAKHJANI</v>
          </cell>
        </row>
        <row r="548">
          <cell r="B548" t="str">
            <v>DTS837</v>
          </cell>
          <cell r="C548">
            <v>2.5</v>
          </cell>
          <cell r="D548">
            <v>39354</v>
          </cell>
          <cell r="E548">
            <v>78976</v>
          </cell>
          <cell r="F548" t="str">
            <v>M02202</v>
          </cell>
          <cell r="G548" t="str">
            <v>DTS837/UB1240#DTS</v>
          </cell>
          <cell r="H548">
            <v>74.97</v>
          </cell>
          <cell r="I548">
            <v>13000</v>
          </cell>
          <cell r="J548">
            <v>1663650</v>
          </cell>
          <cell r="K548">
            <v>2700000</v>
          </cell>
          <cell r="L548">
            <v>11494500</v>
          </cell>
          <cell r="M548" t="str">
            <v>RAHEJA ASSOCIATES</v>
          </cell>
          <cell r="N548" t="str">
            <v>MOHAN MAKHIJANI</v>
          </cell>
        </row>
        <row r="549">
          <cell r="B549" t="str">
            <v>DTS838</v>
          </cell>
          <cell r="C549">
            <v>2.5</v>
          </cell>
          <cell r="D549">
            <v>39354</v>
          </cell>
          <cell r="E549">
            <v>78814</v>
          </cell>
          <cell r="F549" t="str">
            <v>R04011</v>
          </cell>
          <cell r="G549" t="str">
            <v>DTS838/UB1420#DTS</v>
          </cell>
          <cell r="H549">
            <v>104.52</v>
          </cell>
          <cell r="I549">
            <v>13000</v>
          </cell>
          <cell r="J549">
            <v>2283750</v>
          </cell>
          <cell r="K549">
            <v>2283750</v>
          </cell>
          <cell r="L549">
            <v>15787500</v>
          </cell>
          <cell r="M549" t="str">
            <v>KHUSHAL SETHI HOUSING SOLUTIO</v>
          </cell>
          <cell r="N549" t="str">
            <v>RAJESH SHARMA</v>
          </cell>
        </row>
        <row r="550">
          <cell r="B550" t="str">
            <v>DTS840</v>
          </cell>
          <cell r="C550">
            <v>2.5</v>
          </cell>
          <cell r="D550">
            <v>39354</v>
          </cell>
          <cell r="E550">
            <v>78794</v>
          </cell>
          <cell r="F550" t="str">
            <v>R04009</v>
          </cell>
          <cell r="G550" t="str">
            <v>DTS840/UB1320#DTS</v>
          </cell>
          <cell r="H550">
            <v>89.93</v>
          </cell>
          <cell r="I550">
            <v>13000</v>
          </cell>
          <cell r="J550">
            <v>1977600</v>
          </cell>
          <cell r="K550">
            <v>1977600</v>
          </cell>
          <cell r="L550">
            <v>13668000</v>
          </cell>
          <cell r="M550" t="str">
            <v>RAHEJA ASSOCIATES</v>
          </cell>
          <cell r="N550" t="str">
            <v>RAVIN KUMAR SADH</v>
          </cell>
        </row>
        <row r="551">
          <cell r="B551" t="str">
            <v>DTS841</v>
          </cell>
          <cell r="C551">
            <v>2.5</v>
          </cell>
          <cell r="D551">
            <v>39354</v>
          </cell>
          <cell r="E551">
            <v>78853</v>
          </cell>
          <cell r="F551" t="str">
            <v>A03515</v>
          </cell>
          <cell r="G551" t="str">
            <v>DTS841/UB1387#DTS</v>
          </cell>
          <cell r="H551">
            <v>89.93</v>
          </cell>
          <cell r="I551">
            <v>11000</v>
          </cell>
          <cell r="J551">
            <v>1687200</v>
          </cell>
          <cell r="K551">
            <v>1687200</v>
          </cell>
          <cell r="L551">
            <v>11732000</v>
          </cell>
          <cell r="M551" t="str">
            <v>RAHEJA ASSOCIATES</v>
          </cell>
          <cell r="N551" t="str">
            <v>AMANSHIEL REALTORS PVT LTD   _x000C_</v>
          </cell>
        </row>
        <row r="552">
          <cell r="B552" t="str">
            <v>DTS842</v>
          </cell>
          <cell r="C552">
            <v>2.5</v>
          </cell>
          <cell r="D552">
            <v>39354</v>
          </cell>
          <cell r="E552">
            <v>78848</v>
          </cell>
          <cell r="F552" t="str">
            <v>A03514</v>
          </cell>
          <cell r="G552" t="str">
            <v>DTS842/UB1389#DTS</v>
          </cell>
          <cell r="H552">
            <v>65.400000000000006</v>
          </cell>
          <cell r="I552">
            <v>11000</v>
          </cell>
          <cell r="J552">
            <v>1251600</v>
          </cell>
          <cell r="K552">
            <v>1251600</v>
          </cell>
          <cell r="L552">
            <v>8696000</v>
          </cell>
          <cell r="M552" t="str">
            <v>RAHEJA ASSOCIATES</v>
          </cell>
          <cell r="N552" t="str">
            <v>AMANSHIEL REALTORS PVT LTD</v>
          </cell>
        </row>
        <row r="553">
          <cell r="B553" t="str">
            <v>DTS843</v>
          </cell>
          <cell r="C553">
            <v>2.5</v>
          </cell>
          <cell r="D553">
            <v>39354</v>
          </cell>
          <cell r="E553">
            <v>78949</v>
          </cell>
          <cell r="F553" t="str">
            <v>H01009</v>
          </cell>
          <cell r="G553" t="str">
            <v>DTS843/UB1535#DTS</v>
          </cell>
          <cell r="H553">
            <v>178.84</v>
          </cell>
          <cell r="I553">
            <v>14000</v>
          </cell>
          <cell r="J553">
            <v>4132500</v>
          </cell>
          <cell r="K553">
            <v>4132500</v>
          </cell>
          <cell r="L553">
            <v>28512500</v>
          </cell>
          <cell r="M553" t="str">
            <v>RAHEJA ASSOCIATES</v>
          </cell>
          <cell r="N553" t="str">
            <v>HONEST FINANCE &amp; INVESTMENT P</v>
          </cell>
        </row>
        <row r="554">
          <cell r="B554" t="str">
            <v>DTS845</v>
          </cell>
          <cell r="C554">
            <v>2.5</v>
          </cell>
          <cell r="D554">
            <v>39354</v>
          </cell>
          <cell r="E554">
            <v>78989</v>
          </cell>
          <cell r="F554" t="str">
            <v>V02035</v>
          </cell>
          <cell r="G554" t="str">
            <v>DTS845/UB1475#DTS</v>
          </cell>
          <cell r="H554">
            <v>85</v>
          </cell>
          <cell r="I554">
            <v>11000</v>
          </cell>
          <cell r="J554">
            <v>1599750</v>
          </cell>
          <cell r="K554">
            <v>1599750</v>
          </cell>
          <cell r="L554">
            <v>11122500</v>
          </cell>
          <cell r="M554">
            <v>11122500</v>
          </cell>
          <cell r="N554" t="str">
            <v>VALSALA</v>
          </cell>
        </row>
        <row r="555">
          <cell r="B555" t="str">
            <v>DTS849</v>
          </cell>
          <cell r="C555">
            <v>2.5</v>
          </cell>
          <cell r="D555">
            <v>39354</v>
          </cell>
          <cell r="E555">
            <v>78903</v>
          </cell>
          <cell r="F555" t="str">
            <v>S04833</v>
          </cell>
          <cell r="G555" t="str">
            <v>DTS849/UB1407#DTS</v>
          </cell>
          <cell r="H555">
            <v>75.53</v>
          </cell>
          <cell r="I555">
            <v>13000</v>
          </cell>
          <cell r="J555">
            <v>1675350</v>
          </cell>
          <cell r="K555">
            <v>1675350</v>
          </cell>
          <cell r="L555">
            <v>11575500</v>
          </cell>
          <cell r="M555" t="str">
            <v>VSERV CAPITAL SERVICES PVT LT</v>
          </cell>
          <cell r="N555" t="str">
            <v>SIMRAN PREET KAUR</v>
          </cell>
        </row>
        <row r="556">
          <cell r="B556" t="str">
            <v>DTS850</v>
          </cell>
          <cell r="C556">
            <v>2.5</v>
          </cell>
          <cell r="D556">
            <v>39354</v>
          </cell>
          <cell r="E556">
            <v>79000</v>
          </cell>
          <cell r="F556" t="str">
            <v>A03529</v>
          </cell>
          <cell r="G556" t="str">
            <v>DTS850/UB1424#DTS</v>
          </cell>
          <cell r="H556">
            <v>69.12</v>
          </cell>
          <cell r="I556">
            <v>13000</v>
          </cell>
          <cell r="J556">
            <v>1540800</v>
          </cell>
          <cell r="K556">
            <v>1540800</v>
          </cell>
          <cell r="L556">
            <v>10644000</v>
          </cell>
          <cell r="M556" t="str">
            <v>VSERV CAPITAL SERVICES PVT LT</v>
          </cell>
          <cell r="N556" t="str">
            <v>ANGAD ESTATES (P) LTD.</v>
          </cell>
        </row>
        <row r="557">
          <cell r="B557" t="str">
            <v>DTS851</v>
          </cell>
          <cell r="C557">
            <v>2.5</v>
          </cell>
          <cell r="D557">
            <v>39354</v>
          </cell>
          <cell r="E557">
            <v>78977</v>
          </cell>
          <cell r="F557" t="str">
            <v>A03527</v>
          </cell>
          <cell r="G557" t="str">
            <v>DTS851/UB1423#DTS</v>
          </cell>
          <cell r="H557">
            <v>85</v>
          </cell>
          <cell r="I557">
            <v>13000</v>
          </cell>
          <cell r="J557">
            <v>1874250</v>
          </cell>
          <cell r="K557">
            <v>1874250</v>
          </cell>
          <cell r="L557">
            <v>12952500</v>
          </cell>
          <cell r="M557" t="str">
            <v>VSERV CAPITAL SERVICES PVT LT</v>
          </cell>
          <cell r="N557" t="str">
            <v>ANGAD ESTATES (P) LTD.</v>
          </cell>
        </row>
        <row r="558">
          <cell r="B558" t="str">
            <v>DTS858</v>
          </cell>
          <cell r="C558">
            <v>2.5</v>
          </cell>
          <cell r="D558">
            <v>39354</v>
          </cell>
          <cell r="E558">
            <v>78905</v>
          </cell>
          <cell r="F558" t="str">
            <v>A03518</v>
          </cell>
          <cell r="G558" t="str">
            <v>DTS858/UB1411#DTS</v>
          </cell>
          <cell r="H558">
            <v>69.209999999999994</v>
          </cell>
          <cell r="I558">
            <v>13000</v>
          </cell>
          <cell r="J558">
            <v>1542750</v>
          </cell>
          <cell r="K558">
            <v>1542750</v>
          </cell>
          <cell r="L558">
            <v>10657500</v>
          </cell>
          <cell r="M558" t="str">
            <v>VSERV CAPITAL SERVICES PVT LT</v>
          </cell>
          <cell r="N558" t="str">
            <v>AMIT SHARMA</v>
          </cell>
        </row>
        <row r="559">
          <cell r="B559" t="str">
            <v>DTS859</v>
          </cell>
          <cell r="C559">
            <v>2.5</v>
          </cell>
          <cell r="D559">
            <v>39354</v>
          </cell>
          <cell r="E559">
            <v>78877</v>
          </cell>
          <cell r="F559" t="str">
            <v>R04018</v>
          </cell>
          <cell r="G559" t="str">
            <v>DTS859/UB1374#DTS</v>
          </cell>
          <cell r="H559">
            <v>104.52</v>
          </cell>
          <cell r="I559">
            <v>13000</v>
          </cell>
          <cell r="J559">
            <v>2283750</v>
          </cell>
          <cell r="K559">
            <v>2700000</v>
          </cell>
          <cell r="L559">
            <v>15787500</v>
          </cell>
          <cell r="M559" t="str">
            <v>KHUSHAL SETHI HOUSING SOLUTIO</v>
          </cell>
          <cell r="N559" t="str">
            <v>RAKESH SHARMA</v>
          </cell>
        </row>
        <row r="560">
          <cell r="B560" t="str">
            <v>DTS860</v>
          </cell>
          <cell r="C560">
            <v>2.5</v>
          </cell>
          <cell r="D560">
            <v>39354</v>
          </cell>
          <cell r="E560">
            <v>78718</v>
          </cell>
          <cell r="F560" t="str">
            <v>A03496</v>
          </cell>
          <cell r="G560" t="str">
            <v>DTS860/UB1293#DTS</v>
          </cell>
          <cell r="H560">
            <v>74.97</v>
          </cell>
          <cell r="I560">
            <v>13000</v>
          </cell>
          <cell r="J560">
            <v>1663650</v>
          </cell>
          <cell r="K560">
            <v>1663650</v>
          </cell>
          <cell r="L560">
            <v>11494500</v>
          </cell>
          <cell r="M560" t="str">
            <v>RAHEJA ASSOCIATES</v>
          </cell>
          <cell r="N560" t="str">
            <v>AMARJEET SINGH</v>
          </cell>
        </row>
        <row r="561">
          <cell r="B561" t="str">
            <v>DTS861</v>
          </cell>
          <cell r="C561">
            <v>2.5</v>
          </cell>
          <cell r="D561">
            <v>39354</v>
          </cell>
          <cell r="E561">
            <v>79055</v>
          </cell>
          <cell r="F561" t="str">
            <v>B00858</v>
          </cell>
          <cell r="G561" t="str">
            <v>DTS861/UB1265#DTS</v>
          </cell>
          <cell r="H561">
            <v>69.209999999999994</v>
          </cell>
          <cell r="I561">
            <v>13000</v>
          </cell>
          <cell r="J561">
            <v>1542750</v>
          </cell>
          <cell r="K561">
            <v>1542750</v>
          </cell>
          <cell r="L561">
            <v>10657500</v>
          </cell>
          <cell r="M561" t="str">
            <v>RAHEJA ASSOCIATES</v>
          </cell>
          <cell r="N561" t="str">
            <v>BALJEET SINGH</v>
          </cell>
        </row>
        <row r="562">
          <cell r="B562" t="str">
            <v>DTS862</v>
          </cell>
          <cell r="C562">
            <v>2.5</v>
          </cell>
          <cell r="D562">
            <v>39354</v>
          </cell>
          <cell r="E562">
            <v>78816</v>
          </cell>
          <cell r="F562" t="str">
            <v>M02199</v>
          </cell>
          <cell r="G562" t="str">
            <v>DTS862/UB1256#DTS</v>
          </cell>
          <cell r="H562">
            <v>69.209999999999994</v>
          </cell>
          <cell r="I562">
            <v>13000</v>
          </cell>
          <cell r="J562">
            <v>1542750</v>
          </cell>
          <cell r="K562">
            <v>1542750</v>
          </cell>
          <cell r="L562">
            <v>10657500</v>
          </cell>
          <cell r="M562" t="str">
            <v>RAHEJA ASSOCIATES</v>
          </cell>
          <cell r="N562" t="str">
            <v>MADHU SUNEJA</v>
          </cell>
        </row>
        <row r="563">
          <cell r="B563" t="str">
            <v>DTS863</v>
          </cell>
          <cell r="C563">
            <v>2.5</v>
          </cell>
          <cell r="D563">
            <v>39354</v>
          </cell>
          <cell r="E563">
            <v>78720</v>
          </cell>
          <cell r="F563" t="str">
            <v>A03497</v>
          </cell>
          <cell r="G563" t="str">
            <v>DTS863/UB1305#DTS</v>
          </cell>
          <cell r="H563">
            <v>73.760000000000005</v>
          </cell>
          <cell r="I563">
            <v>13000</v>
          </cell>
          <cell r="J563">
            <v>1638300</v>
          </cell>
          <cell r="K563">
            <v>1638300</v>
          </cell>
          <cell r="L563">
            <v>11319000</v>
          </cell>
          <cell r="M563" t="str">
            <v>RAHEJA ASSOCIATES</v>
          </cell>
          <cell r="N563" t="str">
            <v>ANIL DATTA</v>
          </cell>
        </row>
        <row r="564">
          <cell r="B564" t="str">
            <v>DTS016</v>
          </cell>
          <cell r="C564">
            <v>2.5</v>
          </cell>
          <cell r="D564">
            <v>39359</v>
          </cell>
          <cell r="E564">
            <v>79106</v>
          </cell>
          <cell r="F564" t="str">
            <v>C01706</v>
          </cell>
          <cell r="G564" t="str">
            <v>DTS016/UB1570#DTS</v>
          </cell>
          <cell r="H564">
            <v>51.65</v>
          </cell>
          <cell r="I564">
            <v>17000</v>
          </cell>
          <cell r="J564">
            <v>1507800</v>
          </cell>
          <cell r="K564">
            <v>1507800</v>
          </cell>
          <cell r="L564">
            <v>10330000</v>
          </cell>
          <cell r="M564" t="str">
            <v>ARVIND ESTATES (P) LTD</v>
          </cell>
          <cell r="N564" t="str">
            <v>CHARU BATRA</v>
          </cell>
        </row>
        <row r="565">
          <cell r="B565" t="str">
            <v>DTS017</v>
          </cell>
          <cell r="C565">
            <v>2.5</v>
          </cell>
          <cell r="D565">
            <v>39359</v>
          </cell>
          <cell r="E565">
            <v>79104</v>
          </cell>
          <cell r="F565" t="str">
            <v>C01705</v>
          </cell>
          <cell r="G565" t="str">
            <v>DTS017/UB1566#DTS</v>
          </cell>
          <cell r="H565">
            <v>52.95</v>
          </cell>
          <cell r="I565">
            <v>17000</v>
          </cell>
          <cell r="J565">
            <v>1688850</v>
          </cell>
          <cell r="K565">
            <v>1688850</v>
          </cell>
          <cell r="L565">
            <v>11544000</v>
          </cell>
          <cell r="M565" t="str">
            <v>ARVIND ESTATES (P) LTD</v>
          </cell>
          <cell r="N565" t="str">
            <v>CHARU BATRA</v>
          </cell>
        </row>
        <row r="566">
          <cell r="B566" t="str">
            <v>DTS034</v>
          </cell>
          <cell r="C566">
            <v>2.5</v>
          </cell>
          <cell r="D566">
            <v>39359</v>
          </cell>
          <cell r="E566">
            <v>79098</v>
          </cell>
          <cell r="F566" t="str">
            <v>O00134</v>
          </cell>
          <cell r="G566" t="str">
            <v>DTS034/UB1559#DTS</v>
          </cell>
          <cell r="H566">
            <v>52.58</v>
          </cell>
          <cell r="I566">
            <v>17000</v>
          </cell>
          <cell r="J566">
            <v>1677630</v>
          </cell>
          <cell r="K566">
            <v>1677630</v>
          </cell>
          <cell r="L566">
            <v>11467200</v>
          </cell>
          <cell r="M566" t="str">
            <v>K.K. REAL ESTATE</v>
          </cell>
          <cell r="N566" t="str">
            <v>OKHLA PLASTICS PVT LTD</v>
          </cell>
        </row>
        <row r="567">
          <cell r="B567" t="str">
            <v>DTS108</v>
          </cell>
          <cell r="C567">
            <v>2.5</v>
          </cell>
          <cell r="D567">
            <v>39359</v>
          </cell>
          <cell r="E567">
            <v>79103</v>
          </cell>
          <cell r="F567" t="str">
            <v>D01063</v>
          </cell>
          <cell r="G567" t="str">
            <v>DTS108/UB1568#DTS</v>
          </cell>
          <cell r="H567">
            <v>69.209999999999994</v>
          </cell>
          <cell r="I567">
            <v>14000</v>
          </cell>
          <cell r="J567">
            <v>1654500</v>
          </cell>
          <cell r="K567">
            <v>1658700</v>
          </cell>
          <cell r="L567">
            <v>11402500</v>
          </cell>
          <cell r="M567" t="str">
            <v>KHOSLA ESTATE</v>
          </cell>
          <cell r="N567" t="str">
            <v>DEEPAK GROVER</v>
          </cell>
        </row>
        <row r="568">
          <cell r="B568" t="str">
            <v>DTS109</v>
          </cell>
          <cell r="C568">
            <v>2.5</v>
          </cell>
          <cell r="D568">
            <v>39359</v>
          </cell>
          <cell r="E568">
            <v>79105</v>
          </cell>
          <cell r="F568" t="str">
            <v>R04039</v>
          </cell>
          <cell r="G568" t="str">
            <v>DTS109/UB1569#DTS</v>
          </cell>
          <cell r="H568">
            <v>90.02</v>
          </cell>
          <cell r="I568">
            <v>14000</v>
          </cell>
          <cell r="J568">
            <v>2124900</v>
          </cell>
          <cell r="K568">
            <v>2124900</v>
          </cell>
          <cell r="L568">
            <v>14650500</v>
          </cell>
          <cell r="M568" t="str">
            <v>KHOSLA ESTATE</v>
          </cell>
          <cell r="N568" t="str">
            <v>RITU ANAND</v>
          </cell>
        </row>
        <row r="569">
          <cell r="B569" t="str">
            <v>DTS144</v>
          </cell>
          <cell r="C569">
            <v>2.5</v>
          </cell>
          <cell r="D569">
            <v>39359</v>
          </cell>
          <cell r="E569">
            <v>79095</v>
          </cell>
          <cell r="F569" t="str">
            <v>P01729</v>
          </cell>
          <cell r="G569" t="str">
            <v>DTS144/UB1563#DTS</v>
          </cell>
          <cell r="H569">
            <v>183.11</v>
          </cell>
          <cell r="I569">
            <v>14000</v>
          </cell>
          <cell r="J569">
            <v>4229100</v>
          </cell>
          <cell r="K569">
            <v>4229100</v>
          </cell>
          <cell r="L569">
            <v>29179500</v>
          </cell>
          <cell r="M569" t="str">
            <v>K.K. REAL ESTATE</v>
          </cell>
          <cell r="N569" t="str">
            <v>PARDEEP KUMAR VIJ HUF</v>
          </cell>
        </row>
        <row r="570">
          <cell r="B570" t="str">
            <v>DTS145</v>
          </cell>
          <cell r="C570">
            <v>2.5</v>
          </cell>
          <cell r="D570">
            <v>39359</v>
          </cell>
          <cell r="E570">
            <v>79099</v>
          </cell>
          <cell r="F570" t="str">
            <v>H01020</v>
          </cell>
          <cell r="G570" t="str">
            <v>DTS145/UB1561#DTS</v>
          </cell>
          <cell r="H570">
            <v>182.65</v>
          </cell>
          <cell r="I570">
            <v>14000</v>
          </cell>
          <cell r="J570">
            <v>4218600</v>
          </cell>
          <cell r="K570">
            <v>4220000</v>
          </cell>
          <cell r="L570">
            <v>29107000</v>
          </cell>
          <cell r="M570" t="str">
            <v>AMIT ARORA(Real Estate Develo</v>
          </cell>
          <cell r="N570" t="str">
            <v>HEMANT GOYAL</v>
          </cell>
        </row>
        <row r="571">
          <cell r="B571" t="str">
            <v>DTS155</v>
          </cell>
          <cell r="C571">
            <v>2.5</v>
          </cell>
          <cell r="D571">
            <v>39359</v>
          </cell>
          <cell r="E571">
            <v>79108</v>
          </cell>
          <cell r="F571" t="str">
            <v>S04858</v>
          </cell>
          <cell r="G571" t="str">
            <v>DTS155/UB1573#DTS</v>
          </cell>
          <cell r="H571">
            <v>183.11</v>
          </cell>
          <cell r="I571">
            <v>14000</v>
          </cell>
          <cell r="J571">
            <v>4229100</v>
          </cell>
          <cell r="K571">
            <v>4229100</v>
          </cell>
          <cell r="L571">
            <v>29179500</v>
          </cell>
          <cell r="M571" t="str">
            <v>C S &amp; ASSOCIATES</v>
          </cell>
          <cell r="N571" t="str">
            <v>SONU BUILDERS</v>
          </cell>
        </row>
        <row r="572">
          <cell r="B572" t="str">
            <v>DTS411</v>
          </cell>
          <cell r="C572">
            <v>2.5</v>
          </cell>
          <cell r="D572">
            <v>39359</v>
          </cell>
          <cell r="E572">
            <v>79096</v>
          </cell>
          <cell r="F572" t="str">
            <v>S04855</v>
          </cell>
          <cell r="G572" t="str">
            <v>DTS411/UB1562#DTS</v>
          </cell>
          <cell r="H572">
            <v>65.400000000000006</v>
          </cell>
          <cell r="I572">
            <v>12000</v>
          </cell>
          <cell r="J572">
            <v>1357200</v>
          </cell>
          <cell r="K572">
            <v>2000000</v>
          </cell>
          <cell r="L572">
            <v>9400000</v>
          </cell>
          <cell r="M572" t="str">
            <v>M/S AKANSHA ENTERPRISES</v>
          </cell>
          <cell r="N572" t="str">
            <v>SURENDER SINGH GERA</v>
          </cell>
        </row>
        <row r="573">
          <cell r="B573" t="str">
            <v>DTS446</v>
          </cell>
          <cell r="C573">
            <v>2.5</v>
          </cell>
          <cell r="D573">
            <v>39359</v>
          </cell>
          <cell r="E573">
            <v>79100</v>
          </cell>
          <cell r="F573" t="str">
            <v>H01021</v>
          </cell>
          <cell r="G573" t="str">
            <v>DTS446/UB1560#DTS</v>
          </cell>
          <cell r="H573">
            <v>65.400000000000006</v>
          </cell>
          <cell r="I573">
            <v>12000</v>
          </cell>
          <cell r="J573">
            <v>1357200</v>
          </cell>
          <cell r="K573">
            <v>1357200</v>
          </cell>
          <cell r="L573">
            <v>9400000</v>
          </cell>
          <cell r="M573" t="str">
            <v>C S &amp; ASSOCIATES</v>
          </cell>
          <cell r="N573" t="str">
            <v>HANISHA DARYANI</v>
          </cell>
        </row>
        <row r="574">
          <cell r="B574" t="str">
            <v>DTS502</v>
          </cell>
          <cell r="C574">
            <v>2.5</v>
          </cell>
          <cell r="D574">
            <v>39359</v>
          </cell>
          <cell r="E574">
            <v>79097</v>
          </cell>
          <cell r="F574" t="str">
            <v>S04856</v>
          </cell>
          <cell r="G574" t="str">
            <v>DTS502/UB1564#DTS</v>
          </cell>
          <cell r="H574">
            <v>69.209999999999994</v>
          </cell>
          <cell r="I574">
            <v>13000</v>
          </cell>
          <cell r="J574">
            <v>1542750</v>
          </cell>
          <cell r="K574">
            <v>1542750</v>
          </cell>
          <cell r="L574">
            <v>10657500</v>
          </cell>
          <cell r="M574" t="str">
            <v>ICICI BANK LTD</v>
          </cell>
          <cell r="N574" t="str">
            <v>SANJEEV MITTAL</v>
          </cell>
        </row>
        <row r="575">
          <cell r="B575" t="str">
            <v>DTS525</v>
          </cell>
          <cell r="C575">
            <v>2.5</v>
          </cell>
          <cell r="D575">
            <v>39359</v>
          </cell>
          <cell r="E575">
            <v>79110</v>
          </cell>
          <cell r="F575" t="str">
            <v>N01137</v>
          </cell>
          <cell r="G575" t="str">
            <v>DTS525/UB1572#DTS</v>
          </cell>
          <cell r="H575">
            <v>65.400000000000006</v>
          </cell>
          <cell r="I575">
            <v>14000</v>
          </cell>
          <cell r="J575">
            <v>1568400</v>
          </cell>
          <cell r="K575">
            <v>1568400</v>
          </cell>
          <cell r="L575">
            <v>10808000</v>
          </cell>
          <cell r="M575" t="str">
            <v>ICICI HOME FINANCE COMPANY LT</v>
          </cell>
          <cell r="N575" t="str">
            <v>NAVIN KUMAR</v>
          </cell>
        </row>
        <row r="576">
          <cell r="B576" t="str">
            <v>DTS748</v>
          </cell>
          <cell r="C576">
            <v>2.5</v>
          </cell>
          <cell r="D576">
            <v>39359</v>
          </cell>
          <cell r="E576">
            <v>79101</v>
          </cell>
          <cell r="F576" t="str">
            <v>A03539</v>
          </cell>
          <cell r="G576" t="str">
            <v>DTS748/UB1565#DTS</v>
          </cell>
          <cell r="H576">
            <v>75.53</v>
          </cell>
          <cell r="I576">
            <v>13000</v>
          </cell>
          <cell r="J576">
            <v>1675350</v>
          </cell>
          <cell r="K576">
            <v>1675350</v>
          </cell>
          <cell r="L576">
            <v>11575500</v>
          </cell>
          <cell r="M576" t="str">
            <v>RAHEJA ASSOCIATES</v>
          </cell>
          <cell r="N576" t="str">
            <v>ARUN KUMAR KHANNA            _x000C_</v>
          </cell>
        </row>
        <row r="577">
          <cell r="B577" t="str">
            <v>DTS823</v>
          </cell>
          <cell r="C577">
            <v>2.5</v>
          </cell>
          <cell r="D577">
            <v>39359</v>
          </cell>
          <cell r="E577">
            <v>79102</v>
          </cell>
          <cell r="F577" t="str">
            <v>S04857</v>
          </cell>
          <cell r="G577" t="str">
            <v>DTS823/UB1567#DTS</v>
          </cell>
          <cell r="H577">
            <v>150.22</v>
          </cell>
          <cell r="I577">
            <v>14000</v>
          </cell>
          <cell r="J577">
            <v>3485700</v>
          </cell>
          <cell r="K577">
            <v>3485700</v>
          </cell>
          <cell r="L577">
            <v>24046500</v>
          </cell>
          <cell r="M577" t="str">
            <v>AMIT ARORA(Real Estate Develo</v>
          </cell>
          <cell r="N577" t="str">
            <v>SARAN ENTERPRISES</v>
          </cell>
        </row>
        <row r="578">
          <cell r="B578" t="str">
            <v>DTS854</v>
          </cell>
          <cell r="C578">
            <v>2.5</v>
          </cell>
          <cell r="D578">
            <v>39359</v>
          </cell>
          <cell r="E578">
            <v>79107</v>
          </cell>
          <cell r="F578" t="str">
            <v>A03540</v>
          </cell>
          <cell r="G578" t="str">
            <v>DTS854/UB1571#DTS</v>
          </cell>
          <cell r="H578">
            <v>178.84</v>
          </cell>
          <cell r="I578">
            <v>14000</v>
          </cell>
          <cell r="J578">
            <v>4132500</v>
          </cell>
          <cell r="K578">
            <v>4132500</v>
          </cell>
          <cell r="L578">
            <v>28512500</v>
          </cell>
          <cell r="M578" t="str">
            <v>PNK CONSULTANTS PVT LTD</v>
          </cell>
          <cell r="N578" t="str">
            <v>ASIAN CONTEC LTD</v>
          </cell>
        </row>
        <row r="579">
          <cell r="B579" t="str">
            <v>DTS743</v>
          </cell>
          <cell r="C579">
            <v>2.5</v>
          </cell>
          <cell r="D579">
            <v>39360</v>
          </cell>
          <cell r="E579">
            <v>79123</v>
          </cell>
          <cell r="F579" t="str">
            <v>J01512</v>
          </cell>
          <cell r="G579" t="str">
            <v>DTS743/UB1574#DTS</v>
          </cell>
          <cell r="H579">
            <v>178.84</v>
          </cell>
          <cell r="I579">
            <v>14000</v>
          </cell>
          <cell r="J579">
            <v>4132500</v>
          </cell>
          <cell r="K579">
            <v>4133000</v>
          </cell>
          <cell r="L579">
            <v>28512500</v>
          </cell>
          <cell r="M579" t="str">
            <v>ARVIND ESTATES (P) LTD</v>
          </cell>
          <cell r="N579" t="str">
            <v>JINDAL ART GLASS INNOVATIONS</v>
          </cell>
        </row>
      </sheetData>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 block"/>
      <sheetName val="Table 41"/>
      <sheetName val="Table 9"/>
      <sheetName val="Table11"/>
      <sheetName val="K-1"/>
      <sheetName val="K-2"/>
      <sheetName val="Sheet1"/>
      <sheetName val="K-3"/>
      <sheetName val="Table 1"/>
      <sheetName val="Table 2"/>
      <sheetName val="Table 3"/>
      <sheetName val="Table 4"/>
      <sheetName val="Table 5"/>
      <sheetName val="Table 6"/>
      <sheetName val="Pivot"/>
      <sheetName val="Pivot 2"/>
      <sheetName val="DOT-Customer-data"/>
      <sheetName val="Fund Utilisation"/>
      <sheetName val="Consol"/>
      <sheetName val="Hyderabad_NLA"/>
      <sheetName val="Silokhera_NLA"/>
      <sheetName val="Cyber City_NLA"/>
      <sheetName val="Chennai_NLA"/>
      <sheetName val="Summary"/>
      <sheetName val="Chennai "/>
      <sheetName val="Tenant-Chennai"/>
      <sheetName val="Hyderabad"/>
      <sheetName val="Tanent-W Block"/>
      <sheetName val="W block (2)"/>
      <sheetName val="Silokhera"/>
      <sheetName val="Table 7"/>
      <sheetName val="Project Data"/>
      <sheetName val="Unleased area"/>
      <sheetName val="Assumption"/>
      <sheetName val="Pivot (2)"/>
      <sheetName val="Building Matrix"/>
      <sheetName val="ridgewood"/>
      <sheetName val="CDR"/>
      <sheetName val="Other"/>
      <sheetName val="Intro"/>
      <sheetName val="Staff"/>
      <sheetName val="Hot"/>
      <sheetName val="Demand"/>
      <sheetName val="Valuation - block 2"/>
      <sheetName val="This Proj OCC"/>
      <sheetName val="Form 3CD"/>
      <sheetName val="W_block"/>
      <sheetName val="Table_41"/>
      <sheetName val="Table_9"/>
      <sheetName val="Table_1"/>
      <sheetName val="Table_2"/>
      <sheetName val="Table_3"/>
      <sheetName val="Table_4"/>
      <sheetName val="Table_5"/>
      <sheetName val="Table_6"/>
      <sheetName val="Pivot_2"/>
      <sheetName val="Fund_Utilisation"/>
      <sheetName val="Cyber_City_NLA"/>
      <sheetName val="Chennai_"/>
      <sheetName val="Tanent-W_Block"/>
      <sheetName val="W_block_(2)"/>
      <sheetName val="Table_7"/>
      <sheetName val="Project_Data"/>
      <sheetName val="Unleased_area"/>
      <sheetName val="Pivot_(2)"/>
      <sheetName val="Building_Matrix"/>
      <sheetName val="Form_3CD"/>
      <sheetName val="Inputs"/>
      <sheetName val="Group"/>
      <sheetName val="Valuation_-_block_2"/>
      <sheetName val="This_Proj_OCC"/>
      <sheetName val="ABP"/>
      <sheetName val="Detail P&amp;L"/>
      <sheetName val="Assumption Sheet"/>
      <sheetName val="GROUPING"/>
      <sheetName val="Results"/>
      <sheetName val="15-21"/>
      <sheetName val="PL"/>
      <sheetName val="b.s.-p.l.-sch."/>
      <sheetName val="07-08"/>
      <sheetName val="P &amp; 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E1">
            <v>3.7037037037037035E-2</v>
          </cell>
        </row>
      </sheetData>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m"/>
      <sheetName val="TITAN"/>
      <sheetName val="BAKER"/>
      <sheetName val="ALFA"/>
      <sheetName val="KAMAJEE"/>
      <sheetName val="RELIANCE"/>
      <sheetName val="CLASSIC"/>
      <sheetName val="SREEKAR"/>
      <sheetName val="INDO STAR"/>
      <sheetName val="HMT I-II"/>
      <sheetName val="HMT -EWD"/>
      <sheetName val="HMT IV"/>
      <sheetName val="INTEREST"/>
      <sheetName val="T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_16A _ MONTHLY DETAILED _"/>
      <sheetName val="Reconciliation"/>
      <sheetName val="A"/>
      <sheetName val="FORM-16A ( MONTHLY DETAILED )"/>
      <sheetName val="A (2)"/>
      <sheetName val="Sheet1"/>
      <sheetName val="words"/>
      <sheetName val="Jun"/>
      <sheetName val="Sep 06"/>
      <sheetName val="Sheet3"/>
      <sheetName val="CRITERIA4"/>
    </sheetNames>
    <sheetDataSet>
      <sheetData sheetId="0"/>
      <sheetData sheetId="1" refreshError="1"/>
      <sheetData sheetId="2">
        <row r="70">
          <cell r="C70">
            <v>139</v>
          </cell>
        </row>
      </sheetData>
      <sheetData sheetId="3">
        <row r="70">
          <cell r="C70">
            <v>139</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Balsheet"/>
      <sheetName val="Profit &amp; Loss"/>
      <sheetName val="fa"/>
      <sheetName val="schedules"/>
      <sheetName val="Groupings"/>
      <sheetName val="TB"/>
      <sheetName val="DefTax"/>
      <sheetName val="ProvTax"/>
      <sheetName val="MAT"/>
      <sheetName val="MgrRem"/>
      <sheetName val="198"/>
      <sheetName val="EPS"/>
      <sheetName val="WT"/>
      <sheetName val="SSI"/>
      <sheetName val="pm"/>
      <sheetName val="PrvYr"/>
      <sheetName val="Related"/>
      <sheetName val="FCY+GIT"/>
      <sheetName val="amortisation"/>
      <sheetName val="cr"/>
    </sheetNames>
    <sheetDataSet>
      <sheetData sheetId="0"/>
      <sheetData sheetId="1"/>
      <sheetData sheetId="2"/>
      <sheetData sheetId="3"/>
      <sheetData sheetId="4"/>
      <sheetData sheetId="5"/>
      <sheetData sheetId="6" refreshError="1">
        <row r="1">
          <cell r="A1" t="str">
            <v>Account</v>
          </cell>
          <cell r="C1" t="str">
            <v>Debit</v>
          </cell>
          <cell r="D1" t="str">
            <v>Credit</v>
          </cell>
        </row>
        <row r="3">
          <cell r="A3" t="str">
            <v>SOURCES OF FUNDS</v>
          </cell>
        </row>
        <row r="4">
          <cell r="A4" t="str">
            <v>RESERVES AND SURPLUS</v>
          </cell>
        </row>
        <row r="5">
          <cell r="A5" t="str">
            <v>Opening Balance Difference Account</v>
          </cell>
          <cell r="D5">
            <v>0</v>
          </cell>
        </row>
        <row r="6">
          <cell r="A6" t="str">
            <v>General  Reserves</v>
          </cell>
          <cell r="D6">
            <v>3761293</v>
          </cell>
        </row>
        <row r="7">
          <cell r="A7" t="str">
            <v>Profit &amp; Loss - Previous Year</v>
          </cell>
          <cell r="D7">
            <v>24845057.579999998</v>
          </cell>
        </row>
        <row r="8">
          <cell r="A8" t="str">
            <v>Capital Redemption Reserve A/c</v>
          </cell>
          <cell r="D8">
            <v>70000000</v>
          </cell>
        </row>
        <row r="9">
          <cell r="A9" t="str">
            <v>SECURED LOANS</v>
          </cell>
        </row>
        <row r="10">
          <cell r="A10" t="str">
            <v>BANK LOANS AND OVERDRAFTS</v>
          </cell>
        </row>
        <row r="11">
          <cell r="A11" t="str">
            <v>Deutsche Bank (Short Term loan)</v>
          </cell>
          <cell r="D11">
            <v>0</v>
          </cell>
        </row>
        <row r="12">
          <cell r="A12" t="str">
            <v>HDFC Bank (Short Term Loan)</v>
          </cell>
          <cell r="D12">
            <v>0</v>
          </cell>
        </row>
        <row r="13">
          <cell r="A13" t="str">
            <v>LOANS RECEIVED</v>
          </cell>
        </row>
        <row r="14">
          <cell r="A14" t="str">
            <v>UNSECURED LOANS</v>
          </cell>
        </row>
        <row r="15">
          <cell r="A15" t="str">
            <v>ADVANCES FROM CUSTOMERS</v>
          </cell>
        </row>
        <row r="16">
          <cell r="A16" t="str">
            <v>Claas KGaA</v>
          </cell>
          <cell r="D16">
            <v>0</v>
          </cell>
        </row>
        <row r="17">
          <cell r="A17" t="str">
            <v>DEPOSITS RECEIVED</v>
          </cell>
        </row>
        <row r="18">
          <cell r="A18" t="str">
            <v>CURRENT LIABILITIES</v>
          </cell>
        </row>
        <row r="19">
          <cell r="A19" t="str">
            <v>PROVISIONS</v>
          </cell>
        </row>
        <row r="20">
          <cell r="A20" t="str">
            <v>Provision for salary</v>
          </cell>
          <cell r="D20">
            <v>409728</v>
          </cell>
        </row>
        <row r="21">
          <cell r="A21" t="str">
            <v>Provision for expenses</v>
          </cell>
          <cell r="D21">
            <v>2251794.88</v>
          </cell>
        </row>
        <row r="22">
          <cell r="A22" t="str">
            <v>Provision for ESI</v>
          </cell>
          <cell r="D22">
            <v>13651</v>
          </cell>
        </row>
        <row r="23">
          <cell r="A23" t="str">
            <v>Provision for PF &amp; FPS</v>
          </cell>
          <cell r="D23">
            <v>309319</v>
          </cell>
        </row>
        <row r="24">
          <cell r="A24" t="str">
            <v>PROVISION STORES (1999-2000)</v>
          </cell>
          <cell r="D24">
            <v>339350.2</v>
          </cell>
        </row>
        <row r="25">
          <cell r="A25" t="str">
            <v>PROVISION STORES (1998-1999)</v>
          </cell>
          <cell r="D25">
            <v>0</v>
          </cell>
        </row>
        <row r="26">
          <cell r="A26" t="str">
            <v>Provision for Gratuity</v>
          </cell>
          <cell r="D26">
            <v>0</v>
          </cell>
        </row>
        <row r="27">
          <cell r="A27" t="str">
            <v>Provision for Preference Dividend</v>
          </cell>
          <cell r="D27">
            <v>0</v>
          </cell>
        </row>
        <row r="28">
          <cell r="A28" t="str">
            <v>Provision for Tax</v>
          </cell>
          <cell r="D28">
            <v>63162790</v>
          </cell>
        </row>
        <row r="29">
          <cell r="A29" t="str">
            <v>Provision for Bonus/Exgratia</v>
          </cell>
          <cell r="D29">
            <v>990040</v>
          </cell>
        </row>
        <row r="30">
          <cell r="A30" t="str">
            <v>PROVISION STORES (1997-98)</v>
          </cell>
          <cell r="D30">
            <v>0</v>
          </cell>
        </row>
        <row r="31">
          <cell r="A31" t="str">
            <v>Provision for CCL</v>
          </cell>
          <cell r="D31">
            <v>0</v>
          </cell>
        </row>
        <row r="32">
          <cell r="A32" t="str">
            <v>Provision for Depreciation</v>
          </cell>
          <cell r="D32">
            <v>74823567.930000007</v>
          </cell>
        </row>
        <row r="33">
          <cell r="A33" t="str">
            <v>Provision-Leave Encashment</v>
          </cell>
          <cell r="D33">
            <v>819052</v>
          </cell>
        </row>
        <row r="34">
          <cell r="A34" t="str">
            <v>PROVISION STORES (2000-01)</v>
          </cell>
          <cell r="D34">
            <v>327625.84000000003</v>
          </cell>
        </row>
        <row r="35">
          <cell r="A35" t="str">
            <v>PROVISION STORES (2001-2002)</v>
          </cell>
          <cell r="D35">
            <v>158547.60999999999</v>
          </cell>
        </row>
        <row r="36">
          <cell r="A36" t="str">
            <v>PROVISION STORES (APRIL -SEP)</v>
          </cell>
          <cell r="D36">
            <v>1976607.31</v>
          </cell>
        </row>
        <row r="37">
          <cell r="A37" t="str">
            <v>EXPENSES / OUTSTANDINGS PAYABLE</v>
          </cell>
        </row>
        <row r="38">
          <cell r="A38" t="str">
            <v>Sales tax collections/payable</v>
          </cell>
          <cell r="D38">
            <v>0</v>
          </cell>
        </row>
        <row r="39">
          <cell r="A39" t="str">
            <v>Salary payble</v>
          </cell>
          <cell r="D39">
            <v>0</v>
          </cell>
        </row>
        <row r="40">
          <cell r="A40" t="str">
            <v>Tax payble - contractors -2.3%</v>
          </cell>
          <cell r="D40">
            <v>0</v>
          </cell>
        </row>
        <row r="41">
          <cell r="A41" t="str">
            <v>Bills payble-Hundi</v>
          </cell>
          <cell r="D41">
            <v>2116836.0699999998</v>
          </cell>
        </row>
        <row r="42">
          <cell r="A42" t="str">
            <v>Sales Tax Payble</v>
          </cell>
          <cell r="D42">
            <v>1044822.92</v>
          </cell>
        </row>
        <row r="43">
          <cell r="A43" t="str">
            <v>ESI Payble-Others</v>
          </cell>
          <cell r="D43">
            <v>0</v>
          </cell>
        </row>
        <row r="44">
          <cell r="A44" t="str">
            <v>Unpaid bonus-1996-97</v>
          </cell>
          <cell r="D44">
            <v>0</v>
          </cell>
        </row>
        <row r="45">
          <cell r="A45" t="str">
            <v>Tax Payable - prof.-5.5%</v>
          </cell>
          <cell r="D45">
            <v>0</v>
          </cell>
        </row>
        <row r="46">
          <cell r="A46" t="str">
            <v>Tax Payable - Rent - 22 %</v>
          </cell>
          <cell r="D46">
            <v>0</v>
          </cell>
        </row>
        <row r="47">
          <cell r="A47" t="str">
            <v>Tax payable - Salary</v>
          </cell>
          <cell r="D47">
            <v>0</v>
          </cell>
        </row>
        <row r="48">
          <cell r="A48" t="str">
            <v>Service Tax Payble</v>
          </cell>
          <cell r="D48">
            <v>0</v>
          </cell>
        </row>
        <row r="49">
          <cell r="A49" t="str">
            <v>Escorts Finance Limited - salary</v>
          </cell>
          <cell r="D49">
            <v>0</v>
          </cell>
        </row>
        <row r="50">
          <cell r="A50" t="str">
            <v>Escorts Employee Welfare Ltd. - sal</v>
          </cell>
          <cell r="D50">
            <v>0</v>
          </cell>
        </row>
        <row r="51">
          <cell r="A51" t="str">
            <v>Life Insurance Corporation-salary</v>
          </cell>
          <cell r="D51">
            <v>0</v>
          </cell>
        </row>
        <row r="52">
          <cell r="A52" t="str">
            <v>G.G.B.Loan -Salary</v>
          </cell>
          <cell r="D52">
            <v>0</v>
          </cell>
        </row>
        <row r="53">
          <cell r="A53" t="str">
            <v>Tax payble - Contractor - 2.2%</v>
          </cell>
          <cell r="D53">
            <v>0</v>
          </cell>
        </row>
        <row r="54">
          <cell r="A54" t="str">
            <v>Tax payble - Prof. 5.75%</v>
          </cell>
          <cell r="D54">
            <v>0</v>
          </cell>
        </row>
        <row r="55">
          <cell r="A55" t="str">
            <v>Tax payble - Rent - 17.25 %</v>
          </cell>
          <cell r="D55">
            <v>0</v>
          </cell>
        </row>
        <row r="56">
          <cell r="A56" t="str">
            <v>Unpaid Bonus - 1998-99</v>
          </cell>
          <cell r="D56">
            <v>0</v>
          </cell>
        </row>
        <row r="57">
          <cell r="A57" t="str">
            <v>Unpaid Salary 1998-99</v>
          </cell>
          <cell r="D57">
            <v>0</v>
          </cell>
        </row>
        <row r="58">
          <cell r="A58" t="str">
            <v>Upaid Salary - 1999-2000</v>
          </cell>
          <cell r="D58">
            <v>0</v>
          </cell>
        </row>
        <row r="59">
          <cell r="A59" t="str">
            <v>Unpaid Salary-1997-98</v>
          </cell>
          <cell r="D59">
            <v>0</v>
          </cell>
        </row>
        <row r="60">
          <cell r="A60" t="str">
            <v>Interim Dividend Payable</v>
          </cell>
          <cell r="D60">
            <v>0</v>
          </cell>
        </row>
        <row r="61">
          <cell r="A61" t="str">
            <v>Dividend Payable-Escorts Ltd.</v>
          </cell>
          <cell r="D61">
            <v>0</v>
          </cell>
        </row>
        <row r="62">
          <cell r="A62" t="str">
            <v>MAHINDRA SONA LTD.(AMORTISATION)</v>
          </cell>
          <cell r="D62">
            <v>0</v>
          </cell>
        </row>
        <row r="63">
          <cell r="A63" t="str">
            <v>AMRIT ENTERPRISES (AMORTISATION)</v>
          </cell>
          <cell r="D63">
            <v>7008.49</v>
          </cell>
        </row>
        <row r="64">
          <cell r="A64" t="str">
            <v>YUVA ENGINEERS (AMORTISATION)</v>
          </cell>
          <cell r="D64">
            <v>0</v>
          </cell>
        </row>
        <row r="65">
          <cell r="A65" t="str">
            <v>Unpaid Bonus -1997-98</v>
          </cell>
          <cell r="D65">
            <v>0</v>
          </cell>
        </row>
        <row r="66">
          <cell r="A66" t="str">
            <v>Kargil Fund</v>
          </cell>
          <cell r="D66">
            <v>0</v>
          </cell>
        </row>
        <row r="67">
          <cell r="A67" t="str">
            <v>PF &amp; FPF PAYABLE</v>
          </cell>
          <cell r="D67">
            <v>0</v>
          </cell>
        </row>
        <row r="68">
          <cell r="A68" t="str">
            <v>Salary Deduction</v>
          </cell>
          <cell r="D68">
            <v>0</v>
          </cell>
        </row>
        <row r="69">
          <cell r="A69" t="str">
            <v>ESCORTS EMPLOYEES WELFARE LTD.-Liability</v>
          </cell>
          <cell r="D69">
            <v>21528</v>
          </cell>
        </row>
        <row r="70">
          <cell r="A70" t="str">
            <v>Unpaid Salary 2000-01</v>
          </cell>
          <cell r="D70">
            <v>8357</v>
          </cell>
        </row>
        <row r="71">
          <cell r="A71" t="str">
            <v>ESCORTS CLAAS LTD.EMPL.GRP.GRATUITY</v>
          </cell>
          <cell r="D71">
            <v>0</v>
          </cell>
        </row>
        <row r="72">
          <cell r="A72" t="str">
            <v>DRAWBACK EXCESS REPAYABLE</v>
          </cell>
          <cell r="D72">
            <v>0</v>
          </cell>
        </row>
        <row r="73">
          <cell r="A73" t="str">
            <v>STDS  PAYABLE</v>
          </cell>
          <cell r="D73">
            <v>3954.53</v>
          </cell>
        </row>
        <row r="74">
          <cell r="A74" t="str">
            <v>UNPAID BONUS 1999-2000</v>
          </cell>
          <cell r="D74">
            <v>0</v>
          </cell>
        </row>
        <row r="75">
          <cell r="A75" t="str">
            <v>Preference Dividend Payable</v>
          </cell>
          <cell r="D75">
            <v>0</v>
          </cell>
        </row>
        <row r="76">
          <cell r="A76" t="str">
            <v>Tax Payble-cont-2.04%</v>
          </cell>
          <cell r="D76">
            <v>0</v>
          </cell>
        </row>
        <row r="77">
          <cell r="A77" t="str">
            <v>Tax Payble-Rent-15.30%</v>
          </cell>
          <cell r="D77">
            <v>0</v>
          </cell>
        </row>
        <row r="78">
          <cell r="A78" t="str">
            <v>Tax Payble-proff-5.10%</v>
          </cell>
          <cell r="D78">
            <v>0</v>
          </cell>
        </row>
        <row r="79">
          <cell r="A79" t="str">
            <v>Claas KGaA(pref.capital redemption)</v>
          </cell>
          <cell r="D79">
            <v>0</v>
          </cell>
        </row>
        <row r="80">
          <cell r="A80" t="str">
            <v>Amount payable</v>
          </cell>
          <cell r="D80">
            <v>0</v>
          </cell>
        </row>
        <row r="81">
          <cell r="A81" t="str">
            <v>Escorts Ltd.(pref.capital redemption)</v>
          </cell>
          <cell r="D81">
            <v>0</v>
          </cell>
        </row>
        <row r="82">
          <cell r="A82" t="str">
            <v>Entry Tax Payable</v>
          </cell>
          <cell r="D82">
            <v>0</v>
          </cell>
        </row>
        <row r="83">
          <cell r="A83" t="str">
            <v>ESI PAYBLE - (SALARY)</v>
          </cell>
          <cell r="D83">
            <v>0</v>
          </cell>
        </row>
        <row r="84">
          <cell r="A84" t="str">
            <v>Tax Payable - Rent - 20.40%</v>
          </cell>
          <cell r="D84">
            <v>0</v>
          </cell>
        </row>
        <row r="85">
          <cell r="A85" t="str">
            <v>Unpaid salary - 2001-2002</v>
          </cell>
          <cell r="D85">
            <v>6690</v>
          </cell>
        </row>
        <row r="86">
          <cell r="A86" t="str">
            <v>UNPAID BONUS 2000-2001</v>
          </cell>
          <cell r="D86">
            <v>27400</v>
          </cell>
        </row>
        <row r="87">
          <cell r="A87" t="str">
            <v>Tax Payble-cont.-2.10%</v>
          </cell>
          <cell r="D87">
            <v>23778.85</v>
          </cell>
        </row>
        <row r="88">
          <cell r="A88" t="str">
            <v>Tax Payble-Rent-21%</v>
          </cell>
          <cell r="D88">
            <v>62828</v>
          </cell>
        </row>
        <row r="89">
          <cell r="A89" t="str">
            <v>Tax Payble-Proff.-5.25%</v>
          </cell>
          <cell r="D89">
            <v>29627</v>
          </cell>
        </row>
        <row r="90">
          <cell r="A90" t="str">
            <v>BIRLA GLOBAL ASSET FINANCE COMPANY-Sal</v>
          </cell>
          <cell r="D90">
            <v>0</v>
          </cell>
        </row>
        <row r="91">
          <cell r="A91" t="str">
            <v>UNPAID SALARY 2002-2003</v>
          </cell>
          <cell r="D91">
            <v>480</v>
          </cell>
        </row>
        <row r="92">
          <cell r="A92" t="str">
            <v>BANK / CASH CREDIT ACCOUNTS</v>
          </cell>
        </row>
        <row r="93">
          <cell r="A93" t="str">
            <v>SUNDRY CREDITOR-A</v>
          </cell>
        </row>
        <row r="94">
          <cell r="A94" t="str">
            <v>ASHOKA MACHINE TOOLS CORPORATION</v>
          </cell>
          <cell r="D94">
            <v>2460</v>
          </cell>
        </row>
        <row r="95">
          <cell r="A95" t="str">
            <v>AAKARSHAN DECORATORS</v>
          </cell>
          <cell r="D95">
            <v>0</v>
          </cell>
        </row>
        <row r="96">
          <cell r="A96" t="str">
            <v>ACCURATE ENGINEERING WORKS</v>
          </cell>
          <cell r="D96">
            <v>25568</v>
          </cell>
        </row>
        <row r="97">
          <cell r="A97" t="str">
            <v>AIRTRAVELS</v>
          </cell>
          <cell r="D97">
            <v>0</v>
          </cell>
        </row>
        <row r="98">
          <cell r="A98" t="str">
            <v>ARVINDO FABNOPLAST PVT LTD</v>
          </cell>
          <cell r="D98">
            <v>101422.91</v>
          </cell>
        </row>
        <row r="99">
          <cell r="A99" t="str">
            <v>ALLIED GAS CENTRE</v>
          </cell>
          <cell r="D99">
            <v>0</v>
          </cell>
        </row>
        <row r="100">
          <cell r="A100" t="str">
            <v>AAE PEE TRADERS</v>
          </cell>
          <cell r="D100">
            <v>11481.3</v>
          </cell>
        </row>
        <row r="101">
          <cell r="A101" t="str">
            <v>AVS BRAKE LINING PVT LTD</v>
          </cell>
          <cell r="D101">
            <v>13920</v>
          </cell>
        </row>
        <row r="102">
          <cell r="A102" t="str">
            <v>ALFA POLYMER INDUSTRIES</v>
          </cell>
          <cell r="D102">
            <v>0</v>
          </cell>
        </row>
        <row r="103">
          <cell r="A103" t="str">
            <v>ARANKARI RISK MANAGEMENT SERVICES P</v>
          </cell>
          <cell r="D103">
            <v>0</v>
          </cell>
        </row>
        <row r="104">
          <cell r="A104" t="str">
            <v>AMFORGE INDUSTRIES LIMITED</v>
          </cell>
          <cell r="D104">
            <v>0</v>
          </cell>
        </row>
        <row r="105">
          <cell r="A105" t="str">
            <v>ASSAM BEARING AGENCIES</v>
          </cell>
          <cell r="D105">
            <v>0</v>
          </cell>
        </row>
        <row r="106">
          <cell r="A106" t="str">
            <v>ATOP PRODUCTS PVT LTD</v>
          </cell>
          <cell r="D106">
            <v>0</v>
          </cell>
        </row>
        <row r="107">
          <cell r="A107" t="str">
            <v>ANIL KAPOOR</v>
          </cell>
          <cell r="D107">
            <v>3877</v>
          </cell>
        </row>
        <row r="108">
          <cell r="A108" t="str">
            <v>AAR KAY INDUSTRIES-DELHI</v>
          </cell>
          <cell r="D108">
            <v>0</v>
          </cell>
        </row>
        <row r="109">
          <cell r="A109" t="str">
            <v>ASTHA RADIATORS PVT. LTD.</v>
          </cell>
          <cell r="D109">
            <v>0</v>
          </cell>
        </row>
        <row r="110">
          <cell r="A110" t="str">
            <v>AUTO TENSION LIMITED</v>
          </cell>
          <cell r="D110">
            <v>0</v>
          </cell>
        </row>
        <row r="111">
          <cell r="A111" t="str">
            <v>ASB RUBBER INDUSTRIES PVT LTD</v>
          </cell>
          <cell r="D111">
            <v>0</v>
          </cell>
        </row>
        <row r="112">
          <cell r="A112" t="str">
            <v>AMRIT ENTERPRISES</v>
          </cell>
          <cell r="D112">
            <v>0</v>
          </cell>
        </row>
        <row r="113">
          <cell r="A113" t="str">
            <v>ABILITY ENTERPRISES</v>
          </cell>
          <cell r="D113">
            <v>1175</v>
          </cell>
        </row>
        <row r="114">
          <cell r="A114" t="str">
            <v>ADVANCE ELECTRIC &amp; MILL STORE</v>
          </cell>
          <cell r="D114">
            <v>0</v>
          </cell>
        </row>
        <row r="115">
          <cell r="A115" t="str">
            <v>ADVANCE MICRONIC DEVICES (P) LTD.</v>
          </cell>
          <cell r="D115">
            <v>2400</v>
          </cell>
        </row>
        <row r="116">
          <cell r="A116" t="str">
            <v>AGARWAL FOUNDRY &amp; ENGG. WORKS</v>
          </cell>
          <cell r="D116">
            <v>0</v>
          </cell>
        </row>
        <row r="117">
          <cell r="A117" t="str">
            <v>AGGARWAL TRADERS</v>
          </cell>
          <cell r="D117">
            <v>0</v>
          </cell>
        </row>
        <row r="118">
          <cell r="A118" t="str">
            <v>AMAR ENGG. WORKS</v>
          </cell>
          <cell r="D118">
            <v>11116.85</v>
          </cell>
        </row>
        <row r="119">
          <cell r="A119" t="str">
            <v>AMBIKA ENGINEERS</v>
          </cell>
          <cell r="D119">
            <v>23543</v>
          </cell>
        </row>
        <row r="120">
          <cell r="A120" t="str">
            <v>ANURAG AGENCIES</v>
          </cell>
          <cell r="D120">
            <v>0</v>
          </cell>
        </row>
        <row r="121">
          <cell r="A121" t="str">
            <v>ASHOK BROTHERS IMPEX (P) LTD.</v>
          </cell>
          <cell r="D121">
            <v>33734.25</v>
          </cell>
        </row>
        <row r="122">
          <cell r="A122" t="str">
            <v>AVADH ENGG. &amp; FABRICATORS</v>
          </cell>
          <cell r="D122">
            <v>0</v>
          </cell>
        </row>
        <row r="123">
          <cell r="A123" t="str">
            <v>A.V.INDUSTRIAL SALES CORP.</v>
          </cell>
          <cell r="D123">
            <v>350</v>
          </cell>
        </row>
        <row r="124">
          <cell r="A124" t="str">
            <v>AGK COMPUTER SECURE PRINTS LTD.</v>
          </cell>
          <cell r="D124">
            <v>6000</v>
          </cell>
        </row>
        <row r="125">
          <cell r="A125" t="str">
            <v>A.G.ENGINEERS</v>
          </cell>
          <cell r="D125">
            <v>43374</v>
          </cell>
        </row>
        <row r="126">
          <cell r="A126" t="str">
            <v>A.P.ENGINEERS</v>
          </cell>
          <cell r="D126">
            <v>0</v>
          </cell>
        </row>
        <row r="127">
          <cell r="A127" t="str">
            <v>AFL FREIGHT SYSTEMS</v>
          </cell>
          <cell r="D127">
            <v>4897</v>
          </cell>
        </row>
        <row r="128">
          <cell r="A128" t="str">
            <v>ARSHDEEP SINGH SETHI</v>
          </cell>
          <cell r="D128">
            <v>67240.44</v>
          </cell>
        </row>
        <row r="129">
          <cell r="A129" t="str">
            <v>A.R.C. INDIA LTD</v>
          </cell>
          <cell r="D129">
            <v>0</v>
          </cell>
        </row>
        <row r="130">
          <cell r="A130" t="str">
            <v>ANAND TRADERS</v>
          </cell>
          <cell r="D130">
            <v>0</v>
          </cell>
        </row>
        <row r="131">
          <cell r="A131" t="str">
            <v>ABHISHEK AIRCON APPLIANCES PVT LTD</v>
          </cell>
          <cell r="D131">
            <v>37758</v>
          </cell>
        </row>
        <row r="132">
          <cell r="A132" t="str">
            <v>ADVANCED TECHNO PRODUCTS (P) LTD</v>
          </cell>
          <cell r="D132">
            <v>0</v>
          </cell>
        </row>
        <row r="133">
          <cell r="A133" t="str">
            <v>Amchi Techosales Pvt. Ltd.</v>
          </cell>
          <cell r="D133">
            <v>0</v>
          </cell>
        </row>
        <row r="134">
          <cell r="A134" t="str">
            <v>A.P. ENTERPRISES</v>
          </cell>
          <cell r="D134">
            <v>0</v>
          </cell>
        </row>
        <row r="135">
          <cell r="A135" t="str">
            <v>A.D. ENGINEERS</v>
          </cell>
          <cell r="D135">
            <v>3242</v>
          </cell>
        </row>
        <row r="136">
          <cell r="A136" t="str">
            <v>ANAND AGRO EQUIPMENT</v>
          </cell>
          <cell r="D136">
            <v>0</v>
          </cell>
        </row>
        <row r="137">
          <cell r="A137" t="str">
            <v>ADISHA COMMUNICATIONS</v>
          </cell>
          <cell r="D137">
            <v>0</v>
          </cell>
        </row>
        <row r="138">
          <cell r="A138" t="str">
            <v>AKSHARA ENTERPRISES</v>
          </cell>
          <cell r="D138">
            <v>0</v>
          </cell>
        </row>
        <row r="139">
          <cell r="A139" t="str">
            <v>ANANT UDYOG</v>
          </cell>
          <cell r="D139">
            <v>0</v>
          </cell>
        </row>
        <row r="140">
          <cell r="A140" t="str">
            <v>AUTOMETER ALLIANCE LTD</v>
          </cell>
          <cell r="D140">
            <v>0</v>
          </cell>
        </row>
        <row r="141">
          <cell r="A141" t="str">
            <v>ATE CONSULTANT &amp; ENGINEERS</v>
          </cell>
          <cell r="D141">
            <v>0</v>
          </cell>
        </row>
        <row r="142">
          <cell r="A142" t="str">
            <v>ASHISH CATERERS</v>
          </cell>
          <cell r="D142">
            <v>0</v>
          </cell>
        </row>
        <row r="143">
          <cell r="A143" t="str">
            <v>ARYA FOAM  'N' FURNISHINGS</v>
          </cell>
          <cell r="D143">
            <v>0</v>
          </cell>
        </row>
        <row r="144">
          <cell r="A144" t="str">
            <v>ANKIT OIL CARRIERS</v>
          </cell>
          <cell r="D144">
            <v>0</v>
          </cell>
        </row>
        <row r="145">
          <cell r="A145" t="str">
            <v>ASHOKA INTERNATIONAL</v>
          </cell>
          <cell r="D145">
            <v>0</v>
          </cell>
        </row>
        <row r="146">
          <cell r="A146" t="str">
            <v>ARTCRAFTS SALES</v>
          </cell>
          <cell r="D146">
            <v>0</v>
          </cell>
        </row>
        <row r="147">
          <cell r="A147" t="str">
            <v>ABBOTT ENTERPRISE INDIA</v>
          </cell>
          <cell r="D147">
            <v>0</v>
          </cell>
        </row>
        <row r="148">
          <cell r="A148" t="str">
            <v>ALLIED TRADE LINKS PVT LTD</v>
          </cell>
          <cell r="D148">
            <v>0</v>
          </cell>
        </row>
        <row r="149">
          <cell r="A149" t="str">
            <v>ABHISHEK DAEWOO</v>
          </cell>
          <cell r="D149">
            <v>0</v>
          </cell>
        </row>
        <row r="150">
          <cell r="A150" t="str">
            <v>ALFA AUTOMOBILES</v>
          </cell>
          <cell r="D150">
            <v>0</v>
          </cell>
        </row>
        <row r="151">
          <cell r="A151" t="str">
            <v>AJANTA ENAMEL &amp; METAL UDYOG</v>
          </cell>
          <cell r="D151">
            <v>0</v>
          </cell>
        </row>
        <row r="152">
          <cell r="A152" t="str">
            <v>AEROAIDS CORPORATION</v>
          </cell>
          <cell r="D152">
            <v>6500</v>
          </cell>
        </row>
        <row r="153">
          <cell r="A153" t="str">
            <v>ANUPAM BEARING CO PVT LTD</v>
          </cell>
          <cell r="D153">
            <v>0</v>
          </cell>
        </row>
        <row r="154">
          <cell r="A154" t="str">
            <v>AEROVENT (INDIA) PVT LTD</v>
          </cell>
          <cell r="D154">
            <v>0</v>
          </cell>
        </row>
        <row r="155">
          <cell r="A155" t="str">
            <v>ATLAS COPCO (INDIA) LTD</v>
          </cell>
          <cell r="D155">
            <v>0</v>
          </cell>
        </row>
        <row r="156">
          <cell r="A156" t="str">
            <v>A.I.C. MACHINERY</v>
          </cell>
          <cell r="D156">
            <v>0</v>
          </cell>
        </row>
        <row r="157">
          <cell r="A157" t="str">
            <v>A.M. INDUSTRIES</v>
          </cell>
          <cell r="D157">
            <v>0</v>
          </cell>
        </row>
        <row r="158">
          <cell r="A158" t="str">
            <v>ASSOCIATED ROAD CARRIERS LTD</v>
          </cell>
          <cell r="D158">
            <v>0</v>
          </cell>
        </row>
        <row r="159">
          <cell r="A159" t="str">
            <v>ACCURATE SALES &amp; SERVICES PVT LTD</v>
          </cell>
          <cell r="D159">
            <v>0</v>
          </cell>
        </row>
        <row r="160">
          <cell r="A160" t="str">
            <v>ARAVALLI GOLF CLUB</v>
          </cell>
          <cell r="D160">
            <v>0</v>
          </cell>
        </row>
        <row r="161">
          <cell r="A161" t="str">
            <v>ALBINO ELECTRICALS</v>
          </cell>
          <cell r="D161">
            <v>0</v>
          </cell>
        </row>
        <row r="162">
          <cell r="A162" t="str">
            <v>ASHOK MANUFACTURING CO. PVT LTD</v>
          </cell>
          <cell r="D162">
            <v>0</v>
          </cell>
        </row>
        <row r="163">
          <cell r="A163" t="str">
            <v>A.D. TRADING &amp; MARKETING</v>
          </cell>
          <cell r="D163">
            <v>324.5</v>
          </cell>
        </row>
        <row r="164">
          <cell r="A164" t="str">
            <v>AAR PEE FABRICATORS</v>
          </cell>
          <cell r="D164">
            <v>0</v>
          </cell>
        </row>
        <row r="165">
          <cell r="A165" t="str">
            <v>AUTO CARE SERVICES</v>
          </cell>
          <cell r="D165">
            <v>0</v>
          </cell>
        </row>
        <row r="166">
          <cell r="A166" t="str">
            <v>ADVANCE ELECTRICALS</v>
          </cell>
          <cell r="D166">
            <v>0</v>
          </cell>
        </row>
        <row r="167">
          <cell r="A167" t="str">
            <v>ASSAM BEARING PRIVATE LIMITED</v>
          </cell>
          <cell r="D167">
            <v>2918</v>
          </cell>
        </row>
        <row r="168">
          <cell r="A168" t="str">
            <v>AARKAY ALLOY UDYOG</v>
          </cell>
          <cell r="D168">
            <v>0</v>
          </cell>
        </row>
        <row r="169">
          <cell r="A169" t="str">
            <v>ASIAD ENGINEERING WORKS (P) LTD</v>
          </cell>
          <cell r="D169">
            <v>0</v>
          </cell>
        </row>
        <row r="170">
          <cell r="A170" t="str">
            <v>ADVANCE HYDRO-PNEUMATIC CONTROLS PVT LTD</v>
          </cell>
          <cell r="D170">
            <v>0</v>
          </cell>
        </row>
        <row r="171">
          <cell r="A171" t="str">
            <v>A.P. ENGINEERING WORKS</v>
          </cell>
          <cell r="D171">
            <v>32779.919999999998</v>
          </cell>
        </row>
        <row r="172">
          <cell r="A172" t="str">
            <v>ANJANA ENTERPRISES</v>
          </cell>
          <cell r="D172">
            <v>0</v>
          </cell>
        </row>
        <row r="173">
          <cell r="A173" t="str">
            <v>ALANKIT ASSIGNMENTS LIMITED</v>
          </cell>
          <cell r="D173">
            <v>0</v>
          </cell>
        </row>
        <row r="174">
          <cell r="A174" t="str">
            <v>APD ENGINEERS PVT. LTD.</v>
          </cell>
          <cell r="D174">
            <v>1003</v>
          </cell>
        </row>
        <row r="175">
          <cell r="A175" t="str">
            <v>ADVANCE INTERNATIONAL</v>
          </cell>
          <cell r="D175">
            <v>0</v>
          </cell>
        </row>
        <row r="176">
          <cell r="A176" t="str">
            <v>ANAND BARKHA &amp; CO.</v>
          </cell>
          <cell r="D176">
            <v>0</v>
          </cell>
        </row>
        <row r="177">
          <cell r="A177" t="str">
            <v>AMARJIT SINGH CHADHA (ADVOCATE)</v>
          </cell>
          <cell r="D177">
            <v>0</v>
          </cell>
        </row>
        <row r="178">
          <cell r="A178" t="str">
            <v>ANANT CONSULTANTS &amp; ENGINEERS</v>
          </cell>
          <cell r="D178">
            <v>4500</v>
          </cell>
        </row>
        <row r="179">
          <cell r="A179" t="str">
            <v>SUNDRY CREDITOR-B</v>
          </cell>
        </row>
        <row r="180">
          <cell r="A180" t="str">
            <v>BOMBAY PAINTS LTD</v>
          </cell>
          <cell r="D180">
            <v>0</v>
          </cell>
        </row>
        <row r="181">
          <cell r="A181" t="str">
            <v>BARKATRAM &amp; SONS</v>
          </cell>
          <cell r="D181">
            <v>5437.5</v>
          </cell>
        </row>
        <row r="182">
          <cell r="A182" t="str">
            <v>B.S. INDUSTRIAL CO.</v>
          </cell>
          <cell r="D182">
            <v>13488.8</v>
          </cell>
        </row>
        <row r="183">
          <cell r="A183" t="str">
            <v>BHARDWAJ MECHANICAL ENGINEERS</v>
          </cell>
          <cell r="D183">
            <v>162682.10999999999</v>
          </cell>
        </row>
        <row r="184">
          <cell r="A184" t="str">
            <v>B.K. INDUSTRIES</v>
          </cell>
          <cell r="D184">
            <v>0</v>
          </cell>
        </row>
        <row r="185">
          <cell r="A185" t="str">
            <v>BHIWADI KNITTINGS PVT LTD</v>
          </cell>
          <cell r="D185">
            <v>5200</v>
          </cell>
        </row>
        <row r="186">
          <cell r="A186" t="str">
            <v>BONY RUBBER CO. PVT. LTD.</v>
          </cell>
          <cell r="D186">
            <v>4408.5600000000004</v>
          </cell>
        </row>
        <row r="187">
          <cell r="A187" t="str">
            <v>BHANDARI INTERSTATE CARRIERS</v>
          </cell>
          <cell r="D187">
            <v>0</v>
          </cell>
        </row>
        <row r="188">
          <cell r="A188" t="str">
            <v>BEVEL GEARS INDIA (P) LTD.</v>
          </cell>
          <cell r="D188">
            <v>0</v>
          </cell>
        </row>
        <row r="189">
          <cell r="A189" t="str">
            <v>BHASKER PROJECTS</v>
          </cell>
          <cell r="D189">
            <v>176941</v>
          </cell>
        </row>
        <row r="190">
          <cell r="A190" t="str">
            <v>BPL TELECOM LTD.</v>
          </cell>
          <cell r="D190">
            <v>0</v>
          </cell>
        </row>
        <row r="191">
          <cell r="A191" t="str">
            <v>B.S.PETRO CHEMICALS</v>
          </cell>
          <cell r="D191">
            <v>6240</v>
          </cell>
        </row>
        <row r="192">
          <cell r="A192" t="str">
            <v>BESTO INDUSTRIES</v>
          </cell>
          <cell r="D192">
            <v>660</v>
          </cell>
        </row>
        <row r="193">
          <cell r="A193" t="str">
            <v>BHARAT OPTICAL CO.</v>
          </cell>
          <cell r="D193">
            <v>0</v>
          </cell>
        </row>
        <row r="194">
          <cell r="A194" t="str">
            <v>BOMBAY TOOLS SUPPLYING AGENCY</v>
          </cell>
          <cell r="D194">
            <v>5475</v>
          </cell>
        </row>
        <row r="195">
          <cell r="A195" t="str">
            <v>BHARAT METAL &amp; ENGINEERS</v>
          </cell>
          <cell r="C195">
            <v>25050</v>
          </cell>
        </row>
        <row r="196">
          <cell r="A196" t="str">
            <v>BATRA AUTO COMPANY</v>
          </cell>
          <cell r="D196">
            <v>0</v>
          </cell>
        </row>
        <row r="197">
          <cell r="A197" t="str">
            <v>BELZ INSTRUMENTS</v>
          </cell>
          <cell r="D197">
            <v>4294.5600000000004</v>
          </cell>
        </row>
        <row r="198">
          <cell r="A198" t="str">
            <v>BONY POLYMERS LTD.</v>
          </cell>
          <cell r="D198">
            <v>0</v>
          </cell>
        </row>
        <row r="199">
          <cell r="A199" t="str">
            <v>BSB INFO CENTRE PVT LTD</v>
          </cell>
          <cell r="D199">
            <v>0</v>
          </cell>
        </row>
        <row r="200">
          <cell r="A200" t="str">
            <v>BOMBAY PAINTS LIMITED (FBD)</v>
          </cell>
          <cell r="D200">
            <v>167878</v>
          </cell>
        </row>
        <row r="201">
          <cell r="A201" t="str">
            <v>BRYTAX AUTO INDUSTRIES LTD</v>
          </cell>
          <cell r="D201">
            <v>0</v>
          </cell>
        </row>
        <row r="202">
          <cell r="A202" t="str">
            <v>BLUE STAR LIMITED</v>
          </cell>
          <cell r="D202">
            <v>0</v>
          </cell>
        </row>
        <row r="203">
          <cell r="A203" t="str">
            <v>BHARAT ASSOCIATES</v>
          </cell>
          <cell r="D203">
            <v>0</v>
          </cell>
        </row>
        <row r="204">
          <cell r="A204" t="str">
            <v>BHARAT PEST CONTROL</v>
          </cell>
          <cell r="D204">
            <v>3442</v>
          </cell>
        </row>
        <row r="205">
          <cell r="A205" t="str">
            <v>BALTIC COMMERCIAL CO. LTD</v>
          </cell>
          <cell r="D205">
            <v>0</v>
          </cell>
        </row>
        <row r="206">
          <cell r="A206" t="str">
            <v>BHATIA REFRIGERATION</v>
          </cell>
          <cell r="D206">
            <v>0</v>
          </cell>
        </row>
        <row r="207">
          <cell r="A207" t="str">
            <v>BHODAY AGRO INDUSTRIES</v>
          </cell>
          <cell r="D207">
            <v>0</v>
          </cell>
        </row>
        <row r="208">
          <cell r="A208" t="str">
            <v>BELZ  INSTRUMENTS PVT LTD</v>
          </cell>
          <cell r="D208">
            <v>3821.54</v>
          </cell>
        </row>
        <row r="209">
          <cell r="A209" t="str">
            <v>BAKER GAUGES INDIA LIMITED</v>
          </cell>
          <cell r="D209">
            <v>0</v>
          </cell>
        </row>
        <row r="210">
          <cell r="A210" t="str">
            <v>BPL TELECOM  PVT LTD</v>
          </cell>
          <cell r="C210">
            <v>51300</v>
          </cell>
        </row>
        <row r="211">
          <cell r="A211" t="str">
            <v>SUNDRY CREDITOR-C</v>
          </cell>
        </row>
        <row r="212">
          <cell r="A212" t="str">
            <v>CHAMPION ENGINEERING WORKS</v>
          </cell>
          <cell r="D212">
            <v>676043.16</v>
          </cell>
        </row>
        <row r="213">
          <cell r="A213" t="str">
            <v>CHHOTE LAL</v>
          </cell>
          <cell r="D213">
            <v>11121</v>
          </cell>
        </row>
        <row r="214">
          <cell r="A214" t="str">
            <v>COMPETENT ENGINEERS &amp; TRADERS</v>
          </cell>
          <cell r="D214">
            <v>0</v>
          </cell>
        </row>
        <row r="215">
          <cell r="A215" t="str">
            <v>CASTROL INDIA LIMITED</v>
          </cell>
          <cell r="D215">
            <v>0</v>
          </cell>
        </row>
        <row r="216">
          <cell r="A216" t="str">
            <v>CIRCLIPS INDIA PVT LTD</v>
          </cell>
          <cell r="D216">
            <v>0</v>
          </cell>
        </row>
        <row r="217">
          <cell r="A217" t="str">
            <v>CARGO CARRIERS</v>
          </cell>
          <cell r="D217">
            <v>0</v>
          </cell>
        </row>
        <row r="218">
          <cell r="A218" t="str">
            <v>CWG WATER TREATMENT PVT LTD</v>
          </cell>
          <cell r="D218">
            <v>0</v>
          </cell>
        </row>
        <row r="219">
          <cell r="A219" t="str">
            <v>COOLWELS AUTOMOBILE ENGINEERS</v>
          </cell>
          <cell r="D219">
            <v>2563.6</v>
          </cell>
        </row>
        <row r="220">
          <cell r="A220" t="str">
            <v>CNC METAL FORMING LTD</v>
          </cell>
          <cell r="D220">
            <v>0</v>
          </cell>
        </row>
        <row r="221">
          <cell r="A221" t="str">
            <v>Claas KGaA ( creditor)</v>
          </cell>
          <cell r="D221">
            <v>2668019.0499999998</v>
          </cell>
        </row>
        <row r="222">
          <cell r="A222" t="str">
            <v>CROMPTON GREAVES LTD.</v>
          </cell>
          <cell r="D222">
            <v>0</v>
          </cell>
        </row>
        <row r="223">
          <cell r="A223" t="str">
            <v>COVENTRY SPRING &amp; ENGINEERING CO LT</v>
          </cell>
          <cell r="D223">
            <v>0</v>
          </cell>
        </row>
        <row r="224">
          <cell r="A224" t="str">
            <v>CHICAGO PNEUMATIC INDIA LTD.</v>
          </cell>
          <cell r="D224">
            <v>0</v>
          </cell>
        </row>
        <row r="225">
          <cell r="A225" t="str">
            <v>CHANDRA AUTOMATIVE COMPONENTS</v>
          </cell>
          <cell r="D225">
            <v>6326.31</v>
          </cell>
        </row>
        <row r="226">
          <cell r="A226" t="str">
            <v>CITY MARKET DEPT. STORE (P) LTD.</v>
          </cell>
          <cell r="D226">
            <v>150</v>
          </cell>
        </row>
        <row r="227">
          <cell r="A227" t="str">
            <v>CHLORIDE INDUSTRIAL LTD.</v>
          </cell>
          <cell r="D227">
            <v>2837.36</v>
          </cell>
        </row>
        <row r="228">
          <cell r="A228" t="str">
            <v>CARBO TOOLS &amp; GAUGES (I) PVT. LTD.</v>
          </cell>
          <cell r="D228">
            <v>0</v>
          </cell>
        </row>
        <row r="229">
          <cell r="A229" t="str">
            <v>CHUGH SCALE COMPANY</v>
          </cell>
          <cell r="D229">
            <v>0</v>
          </cell>
        </row>
        <row r="230">
          <cell r="A230" t="str">
            <v>CALCUTTA PLASTIC STORE</v>
          </cell>
          <cell r="D230">
            <v>0</v>
          </cell>
        </row>
        <row r="231">
          <cell r="A231" t="str">
            <v>CENTRE FOR INDIVIDUAL &amp; ORGANIZATION EXCELLENCE</v>
          </cell>
          <cell r="D231">
            <v>0</v>
          </cell>
        </row>
        <row r="232">
          <cell r="A232" t="str">
            <v>CLASSIC INTERNATIONAL</v>
          </cell>
          <cell r="D232">
            <v>0</v>
          </cell>
        </row>
        <row r="233">
          <cell r="A233" t="str">
            <v>COMMERCIAL EQUIPMENTS</v>
          </cell>
          <cell r="D233">
            <v>0</v>
          </cell>
        </row>
        <row r="234">
          <cell r="A234" t="str">
            <v>CROWNE PLAZA SURYA</v>
          </cell>
          <cell r="D234">
            <v>0</v>
          </cell>
        </row>
        <row r="235">
          <cell r="A235" t="str">
            <v>CONTRADE INTERNATIONAL (P) LTD</v>
          </cell>
          <cell r="D235">
            <v>35584.639999999999</v>
          </cell>
        </row>
        <row r="236">
          <cell r="A236" t="str">
            <v>COZY INTERNATIONAL</v>
          </cell>
          <cell r="D236">
            <v>4482.3999999999996</v>
          </cell>
        </row>
        <row r="237">
          <cell r="A237" t="str">
            <v>CEAT LIMITED</v>
          </cell>
          <cell r="D237">
            <v>0</v>
          </cell>
        </row>
        <row r="238">
          <cell r="A238" t="str">
            <v>COMMUNICATION MEDIA PRODUCTS (INDIA) PVT LTD</v>
          </cell>
          <cell r="D238">
            <v>0</v>
          </cell>
        </row>
        <row r="239">
          <cell r="A239" t="str">
            <v>CITY GLASS</v>
          </cell>
          <cell r="D239">
            <v>0</v>
          </cell>
        </row>
        <row r="240">
          <cell r="A240" t="str">
            <v>COMPETENT CARGO PRIVATE LIMITED</v>
          </cell>
          <cell r="C240">
            <v>25709.1</v>
          </cell>
        </row>
        <row r="241">
          <cell r="A241" t="str">
            <v>CITY FASHIONERS</v>
          </cell>
          <cell r="D241">
            <v>0</v>
          </cell>
        </row>
        <row r="242">
          <cell r="A242" t="str">
            <v>COOLENHEAT ENGINEERS PVT LTD</v>
          </cell>
          <cell r="D242">
            <v>0</v>
          </cell>
        </row>
        <row r="243">
          <cell r="A243" t="str">
            <v>SUNDRY CREDITOR-D</v>
          </cell>
        </row>
        <row r="244">
          <cell r="A244" t="str">
            <v>DANTAL HYDRAULICS LIMITED</v>
          </cell>
          <cell r="C244">
            <v>2459.1999999999998</v>
          </cell>
        </row>
        <row r="245">
          <cell r="A245" t="str">
            <v>DRILL TECH ENGINEERS</v>
          </cell>
          <cell r="D245">
            <v>0</v>
          </cell>
        </row>
        <row r="246">
          <cell r="A246" t="str">
            <v>DHIMAN ELECTRICAL WORKS</v>
          </cell>
          <cell r="D246">
            <v>0</v>
          </cell>
        </row>
        <row r="247">
          <cell r="A247" t="str">
            <v>DHL-EXPRESS DIVISION OF AIRFREIGHT</v>
          </cell>
          <cell r="D247">
            <v>0</v>
          </cell>
        </row>
        <row r="248">
          <cell r="A248" t="str">
            <v>DELITE TECHNOPLAST</v>
          </cell>
          <cell r="D248">
            <v>44151.1</v>
          </cell>
        </row>
        <row r="249">
          <cell r="A249" t="str">
            <v>DSM EPP SURLON INDIA LTD</v>
          </cell>
          <cell r="D249">
            <v>0</v>
          </cell>
        </row>
        <row r="250">
          <cell r="A250" t="str">
            <v>D.B.A. CANTEEN CONTRACTOR</v>
          </cell>
          <cell r="D250">
            <v>0</v>
          </cell>
        </row>
        <row r="251">
          <cell r="A251" t="str">
            <v>DINESH POLYMERS</v>
          </cell>
          <cell r="D251">
            <v>4676.6499999999996</v>
          </cell>
        </row>
        <row r="252">
          <cell r="A252" t="str">
            <v>DYNAMATIC TECHNOLOGIES LIMITED</v>
          </cell>
          <cell r="D252">
            <v>98780.06</v>
          </cell>
        </row>
        <row r="253">
          <cell r="A253" t="str">
            <v>DELITE AUTO PRODUCTS</v>
          </cell>
          <cell r="D253">
            <v>0</v>
          </cell>
        </row>
        <row r="254">
          <cell r="A254" t="str">
            <v>DIPAK COLOUR LAB (P) LTD.</v>
          </cell>
          <cell r="D254">
            <v>0</v>
          </cell>
        </row>
        <row r="255">
          <cell r="A255" t="str">
            <v>D.K. NAGPAL</v>
          </cell>
          <cell r="D255">
            <v>0</v>
          </cell>
        </row>
        <row r="256">
          <cell r="A256" t="str">
            <v>DIWAN CHAND SURAJ PRAKASH JAIN</v>
          </cell>
          <cell r="D256">
            <v>54850.45</v>
          </cell>
        </row>
        <row r="257">
          <cell r="A257" t="str">
            <v>DILEEP SINGH SETHI</v>
          </cell>
          <cell r="D257">
            <v>67240.44</v>
          </cell>
        </row>
        <row r="258">
          <cell r="A258" t="str">
            <v>DINESH ELECTRICAL &amp; MACHINES</v>
          </cell>
          <cell r="D258">
            <v>1837</v>
          </cell>
        </row>
        <row r="259">
          <cell r="A259" t="str">
            <v>D.P.AUTO INDUSTRIES</v>
          </cell>
          <cell r="D259">
            <v>1849.93</v>
          </cell>
        </row>
        <row r="260">
          <cell r="A260" t="str">
            <v>DELUXE SPRINGS (P) LTD.</v>
          </cell>
          <cell r="D260">
            <v>0</v>
          </cell>
        </row>
        <row r="261">
          <cell r="A261" t="str">
            <v>DYNASCAN INSPECTION SYSTEM CO.</v>
          </cell>
          <cell r="D261">
            <v>68487.399999999994</v>
          </cell>
        </row>
        <row r="262">
          <cell r="A262" t="str">
            <v>DEEPAK SANITARY CONTRACTOR</v>
          </cell>
          <cell r="D262">
            <v>1711.5</v>
          </cell>
        </row>
        <row r="263">
          <cell r="A263" t="str">
            <v>DIAMOND DIESEL SALES &amp; SERVICE</v>
          </cell>
          <cell r="D263">
            <v>1424</v>
          </cell>
        </row>
        <row r="264">
          <cell r="A264" t="str">
            <v>DIAMOND ELECTRICALS</v>
          </cell>
          <cell r="D264">
            <v>572</v>
          </cell>
        </row>
        <row r="265">
          <cell r="A265" t="str">
            <v>DHINGRA TRADING CO.</v>
          </cell>
          <cell r="D265">
            <v>0</v>
          </cell>
        </row>
        <row r="266">
          <cell r="A266" t="str">
            <v>DEEPAK CYCLE &amp; GENERAL STORE</v>
          </cell>
          <cell r="D266">
            <v>462</v>
          </cell>
        </row>
        <row r="267">
          <cell r="A267" t="str">
            <v>DAS TRADERS</v>
          </cell>
          <cell r="D267">
            <v>0</v>
          </cell>
        </row>
        <row r="268">
          <cell r="A268" t="str">
            <v>DINESH RAGHUVANSHI</v>
          </cell>
          <cell r="D268">
            <v>0</v>
          </cell>
        </row>
        <row r="269">
          <cell r="A269" t="str">
            <v>DEEPA ENTERPRISES</v>
          </cell>
          <cell r="D269">
            <v>0</v>
          </cell>
        </row>
        <row r="270">
          <cell r="A270" t="str">
            <v>DHL-EXPRESS DIVISION OF AFL  PVT LTD</v>
          </cell>
          <cell r="D270">
            <v>0</v>
          </cell>
        </row>
        <row r="271">
          <cell r="A271" t="str">
            <v>D.K. NAGPAL &amp; ASSOCIATES</v>
          </cell>
          <cell r="D271">
            <v>0</v>
          </cell>
        </row>
        <row r="272">
          <cell r="A272" t="str">
            <v>DIGITALS INDIA</v>
          </cell>
          <cell r="D272">
            <v>0</v>
          </cell>
        </row>
        <row r="273">
          <cell r="A273" t="str">
            <v>DENTO KEM</v>
          </cell>
          <cell r="D273">
            <v>0</v>
          </cell>
        </row>
        <row r="274">
          <cell r="A274" t="str">
            <v>DHL-WORLDWIDE EXPRESS (INDIA) PVT LTD</v>
          </cell>
          <cell r="D274">
            <v>986</v>
          </cell>
        </row>
        <row r="275">
          <cell r="A275" t="str">
            <v>DECORA CAR ACCESSORIES</v>
          </cell>
          <cell r="D275">
            <v>0</v>
          </cell>
        </row>
        <row r="276">
          <cell r="A276" t="str">
            <v>DYNA AUTOMATION PVT LTD</v>
          </cell>
          <cell r="D276">
            <v>12677</v>
          </cell>
        </row>
        <row r="277">
          <cell r="A277" t="str">
            <v>SUNDRY CREDITOR-E</v>
          </cell>
        </row>
        <row r="278">
          <cell r="A278" t="str">
            <v>ESHITA KATYAL(HOMEMADE MEAL SERVICE</v>
          </cell>
          <cell r="D278">
            <v>0</v>
          </cell>
        </row>
        <row r="279">
          <cell r="A279" t="str">
            <v>EMM KAY LANDSCAPE CONSULTANTS</v>
          </cell>
          <cell r="D279">
            <v>8859</v>
          </cell>
        </row>
        <row r="280">
          <cell r="A280" t="str">
            <v>ELOFIC INDUSTRIES LTD.</v>
          </cell>
          <cell r="D280">
            <v>1648</v>
          </cell>
        </row>
        <row r="281">
          <cell r="A281" t="str">
            <v>ELEKTROTECH</v>
          </cell>
          <cell r="D281">
            <v>0</v>
          </cell>
        </row>
        <row r="282">
          <cell r="A282" t="str">
            <v>ESCORTS LTD (CORPORATE FINANCE)</v>
          </cell>
          <cell r="D282">
            <v>4127</v>
          </cell>
        </row>
        <row r="283">
          <cell r="A283" t="str">
            <v>ESS ESS ENGINEERS</v>
          </cell>
          <cell r="D283">
            <v>13428.18</v>
          </cell>
        </row>
        <row r="284">
          <cell r="A284" t="str">
            <v>ET TRAV-AIDES PVT LTD</v>
          </cell>
          <cell r="D284">
            <v>0</v>
          </cell>
        </row>
        <row r="285">
          <cell r="A285" t="str">
            <v>EMSON STAMPINGS</v>
          </cell>
          <cell r="D285">
            <v>52551.72</v>
          </cell>
        </row>
        <row r="286">
          <cell r="A286" t="str">
            <v>Escorts Yamaha Moters Limited.</v>
          </cell>
          <cell r="D286">
            <v>0</v>
          </cell>
        </row>
        <row r="287">
          <cell r="A287" t="str">
            <v>Eaton Corporation</v>
          </cell>
          <cell r="D287">
            <v>4253231.1043999996</v>
          </cell>
        </row>
        <row r="288">
          <cell r="A288" t="str">
            <v>ESCORTS LTD.(FARM TRACK DIV.)</v>
          </cell>
          <cell r="D288">
            <v>44508</v>
          </cell>
        </row>
        <row r="289">
          <cell r="A289" t="str">
            <v>ESCORTS LTD.(TD)</v>
          </cell>
          <cell r="D289">
            <v>0</v>
          </cell>
        </row>
        <row r="290">
          <cell r="A290" t="str">
            <v>ESCORTS LTD. (ED)</v>
          </cell>
          <cell r="D290">
            <v>4072</v>
          </cell>
        </row>
        <row r="291">
          <cell r="A291" t="str">
            <v>ESCORTS LTD.(EAMD BANGALORE)</v>
          </cell>
          <cell r="D291">
            <v>9136.14</v>
          </cell>
        </row>
        <row r="292">
          <cell r="A292" t="str">
            <v>ESCORTS EMPLOYEES WELFAIR LTD.</v>
          </cell>
          <cell r="D292">
            <v>0</v>
          </cell>
        </row>
        <row r="293">
          <cell r="A293" t="str">
            <v>ENGINEERING INNOVATIONS LTD.</v>
          </cell>
          <cell r="D293">
            <v>5296.75</v>
          </cell>
        </row>
        <row r="294">
          <cell r="A294" t="str">
            <v>ESCORTS CONS. EQUIP.LTD.</v>
          </cell>
          <cell r="D294">
            <v>0</v>
          </cell>
        </row>
        <row r="295">
          <cell r="A295" t="str">
            <v>ESCORTS HOSPITAL &amp; RESEARCH CENTRE</v>
          </cell>
          <cell r="D295">
            <v>20800</v>
          </cell>
        </row>
        <row r="296">
          <cell r="A296" t="str">
            <v>EXIDE INDUSTRIES LTD.</v>
          </cell>
          <cell r="D296">
            <v>0</v>
          </cell>
        </row>
        <row r="297">
          <cell r="A297" t="str">
            <v>EXTERIOR INTERIOR</v>
          </cell>
          <cell r="D297">
            <v>3158.4</v>
          </cell>
        </row>
        <row r="298">
          <cell r="A298" t="str">
            <v>ESCORTS LTD.(ELECTRICAL PROD.DIV.)</v>
          </cell>
          <cell r="D298">
            <v>0</v>
          </cell>
        </row>
        <row r="299">
          <cell r="A299" t="str">
            <v>EXOTICA FLORA PVT LTD</v>
          </cell>
          <cell r="D299">
            <v>0</v>
          </cell>
        </row>
        <row r="300">
          <cell r="A300" t="str">
            <v>EDS TECHNOLOGIES PVT LTD</v>
          </cell>
          <cell r="D300">
            <v>0</v>
          </cell>
        </row>
        <row r="301">
          <cell r="A301" t="str">
            <v>EXCELLENT BEARINGS</v>
          </cell>
          <cell r="D301">
            <v>0</v>
          </cell>
        </row>
        <row r="302">
          <cell r="A302" t="str">
            <v>EKKO AUTO ELECTRICALS</v>
          </cell>
          <cell r="D302">
            <v>0</v>
          </cell>
        </row>
        <row r="303">
          <cell r="A303" t="str">
            <v>ECOTHERM ENGINEERS PVT LTD</v>
          </cell>
          <cell r="D303">
            <v>0</v>
          </cell>
        </row>
        <row r="304">
          <cell r="A304" t="str">
            <v>EXCEL MARKETING</v>
          </cell>
          <cell r="D304">
            <v>0</v>
          </cell>
        </row>
        <row r="305">
          <cell r="A305" t="str">
            <v>ERNST &amp; YOUNG PVT LTD</v>
          </cell>
          <cell r="D305">
            <v>0</v>
          </cell>
        </row>
        <row r="306">
          <cell r="A306" t="str">
            <v>EXCEL MOTORS</v>
          </cell>
          <cell r="D306">
            <v>0</v>
          </cell>
        </row>
        <row r="307">
          <cell r="A307" t="str">
            <v>ESCORTS LTD - B.S.P.D. (AGRI MACHINERY DIVISION)</v>
          </cell>
          <cell r="D307">
            <v>0</v>
          </cell>
        </row>
        <row r="308">
          <cell r="A308" t="str">
            <v>ELECTRICAL SALES CORPORATION</v>
          </cell>
          <cell r="D308">
            <v>0</v>
          </cell>
        </row>
        <row r="309">
          <cell r="A309" t="str">
            <v>ELNOVA LIMITED</v>
          </cell>
          <cell r="D309">
            <v>700</v>
          </cell>
        </row>
        <row r="310">
          <cell r="A310" t="str">
            <v>SUNDRY CREDITOR-F</v>
          </cell>
        </row>
        <row r="311">
          <cell r="A311" t="str">
            <v>FREIGHT SYSTEMS (INDIA) PVT LTD</v>
          </cell>
          <cell r="D311">
            <v>71378</v>
          </cell>
        </row>
        <row r="312">
          <cell r="A312" t="str">
            <v>FDRA LABS INDIA PVT LTD</v>
          </cell>
          <cell r="D312">
            <v>7000</v>
          </cell>
        </row>
        <row r="313">
          <cell r="A313" t="str">
            <v>FARIDABAD DIESELS &amp; EARTHMOVERS P L</v>
          </cell>
          <cell r="D313">
            <v>0</v>
          </cell>
        </row>
        <row r="314">
          <cell r="A314" t="str">
            <v>Federal Mogul</v>
          </cell>
          <cell r="D314">
            <v>0</v>
          </cell>
        </row>
        <row r="315">
          <cell r="A315" t="str">
            <v>FLUIDOMATICS-AHEMEDABAD</v>
          </cell>
          <cell r="D315">
            <v>0</v>
          </cell>
        </row>
        <row r="316">
          <cell r="A316" t="str">
            <v>FLAMINGO TRAVEL SERVICES</v>
          </cell>
          <cell r="D316">
            <v>0</v>
          </cell>
        </row>
        <row r="317">
          <cell r="A317" t="str">
            <v>FIRE SAFETY DEVICES PVT LTD</v>
          </cell>
          <cell r="D317">
            <v>0</v>
          </cell>
        </row>
        <row r="318">
          <cell r="A318" t="str">
            <v>FOLKS UNITED</v>
          </cell>
          <cell r="D318">
            <v>0</v>
          </cell>
        </row>
        <row r="319">
          <cell r="A319" t="str">
            <v>FAX-EXPRESS TELECOMMUNICATIONS</v>
          </cell>
          <cell r="C319">
            <v>2000</v>
          </cell>
        </row>
        <row r="320">
          <cell r="A320" t="str">
            <v>FUTURESOFT SOLUTIONS PVT LTD</v>
          </cell>
          <cell r="D320">
            <v>0</v>
          </cell>
        </row>
        <row r="321">
          <cell r="A321" t="str">
            <v>FAG BEARINGS INDIA LIMITED</v>
          </cell>
          <cell r="D321">
            <v>79886</v>
          </cell>
        </row>
        <row r="322">
          <cell r="A322" t="str">
            <v>FLARE COMBUSTION SYSTEMS</v>
          </cell>
          <cell r="D322">
            <v>0</v>
          </cell>
        </row>
        <row r="323">
          <cell r="A323" t="str">
            <v>FORKLIFT SPARES (INDIA) PVT. LTD.</v>
          </cell>
          <cell r="D323">
            <v>0</v>
          </cell>
        </row>
        <row r="324">
          <cell r="A324" t="str">
            <v>FARIDABAD FORKLIFT TRADERS</v>
          </cell>
          <cell r="D324">
            <v>0</v>
          </cell>
        </row>
        <row r="325">
          <cell r="A325" t="str">
            <v>FALCON  BEARING  CO.</v>
          </cell>
          <cell r="D325">
            <v>3850</v>
          </cell>
        </row>
        <row r="326">
          <cell r="A326" t="str">
            <v>SUNDRY CREDITOR-G</v>
          </cell>
        </row>
        <row r="327">
          <cell r="A327" t="str">
            <v>GULF OIL INDIA LTD</v>
          </cell>
          <cell r="D327">
            <v>0</v>
          </cell>
        </row>
        <row r="328">
          <cell r="A328" t="str">
            <v>GOEL ENGINEERS &amp; TRADERS</v>
          </cell>
          <cell r="D328">
            <v>2294</v>
          </cell>
        </row>
        <row r="329">
          <cell r="A329" t="str">
            <v>G.R.D. ENGINEERING WORKS</v>
          </cell>
          <cell r="D329">
            <v>0</v>
          </cell>
        </row>
        <row r="330">
          <cell r="A330" t="str">
            <v>GROUP 4 SECURITAS GUARDING LTD</v>
          </cell>
          <cell r="D330">
            <v>82047</v>
          </cell>
        </row>
        <row r="331">
          <cell r="A331" t="str">
            <v>GANSONS RADIATORS PVT LTD</v>
          </cell>
          <cell r="D331">
            <v>101206</v>
          </cell>
        </row>
        <row r="332">
          <cell r="A332" t="str">
            <v>GUPTA INSTRUMENTS WORKS</v>
          </cell>
          <cell r="D332">
            <v>1477.96</v>
          </cell>
        </row>
        <row r="333">
          <cell r="A333" t="str">
            <v>GAZAL CATERERS</v>
          </cell>
          <cell r="D333">
            <v>0</v>
          </cell>
        </row>
        <row r="334">
          <cell r="A334" t="str">
            <v>G.S. ENTERPRISES</v>
          </cell>
          <cell r="D334">
            <v>187247.35999999999</v>
          </cell>
        </row>
        <row r="335">
          <cell r="A335" t="str">
            <v>GAMBHIR TIMBER CO.</v>
          </cell>
          <cell r="D335">
            <v>0</v>
          </cell>
        </row>
        <row r="336">
          <cell r="A336" t="str">
            <v>GOODYEAR INDIA LIMITED</v>
          </cell>
          <cell r="D336">
            <v>191546.45</v>
          </cell>
        </row>
        <row r="337">
          <cell r="A337" t="str">
            <v>GODREJ GE APPLIANCES LTD</v>
          </cell>
          <cell r="D337">
            <v>0</v>
          </cell>
        </row>
        <row r="338">
          <cell r="A338" t="str">
            <v>GOWELL RUBBER INDUSTRIES</v>
          </cell>
          <cell r="D338">
            <v>17808.09</v>
          </cell>
        </row>
        <row r="339">
          <cell r="A339" t="str">
            <v>GEE ESS ENTERPRISES</v>
          </cell>
          <cell r="D339">
            <v>0</v>
          </cell>
        </row>
        <row r="340">
          <cell r="A340" t="str">
            <v>GANSONS HEAT TRANSFER</v>
          </cell>
          <cell r="D340">
            <v>216955.55</v>
          </cell>
        </row>
        <row r="341">
          <cell r="A341" t="str">
            <v>GE POWER CONTROLS INDIA (P) LTD.</v>
          </cell>
          <cell r="D341">
            <v>4165</v>
          </cell>
        </row>
        <row r="342">
          <cell r="A342" t="str">
            <v>GREAVES LIMITED</v>
          </cell>
          <cell r="D342">
            <v>0</v>
          </cell>
        </row>
        <row r="343">
          <cell r="A343" t="str">
            <v>GENINS INDIA LTD.</v>
          </cell>
          <cell r="D343">
            <v>395</v>
          </cell>
        </row>
        <row r="344">
          <cell r="A344" t="str">
            <v>GNL SPA ITALY</v>
          </cell>
          <cell r="D344">
            <v>192152.03</v>
          </cell>
        </row>
        <row r="345">
          <cell r="A345" t="str">
            <v>GULATI INSTRUMENTS &amp; CHEMICALS</v>
          </cell>
          <cell r="D345">
            <v>0</v>
          </cell>
        </row>
        <row r="346">
          <cell r="A346" t="str">
            <v>GIR MOVERS PVT LTD.</v>
          </cell>
          <cell r="D346">
            <v>0</v>
          </cell>
        </row>
        <row r="347">
          <cell r="A347" t="str">
            <v>GARG BROS. &amp; ASSOCIATES</v>
          </cell>
          <cell r="D347">
            <v>525</v>
          </cell>
        </row>
        <row r="348">
          <cell r="A348" t="str">
            <v>GULATI ASSOCIATES</v>
          </cell>
          <cell r="D348">
            <v>13706</v>
          </cell>
        </row>
        <row r="349">
          <cell r="A349" t="str">
            <v>GURU KIRPA  TOUR &amp; TRAVELS</v>
          </cell>
          <cell r="D349">
            <v>0</v>
          </cell>
        </row>
        <row r="350">
          <cell r="A350" t="str">
            <v>GUPTA SALES CORP.</v>
          </cell>
          <cell r="D350">
            <v>0</v>
          </cell>
        </row>
        <row r="351">
          <cell r="A351" t="str">
            <v>GROVER SALES CORPORATION</v>
          </cell>
          <cell r="D351">
            <v>1031</v>
          </cell>
        </row>
        <row r="352">
          <cell r="A352" t="str">
            <v>SUNDRY CREDITOR-H</v>
          </cell>
        </row>
        <row r="353">
          <cell r="A353" t="str">
            <v>Hy-Tech Engineers Pvt Ltd</v>
          </cell>
          <cell r="D353">
            <v>62726</v>
          </cell>
        </row>
        <row r="354">
          <cell r="A354" t="str">
            <v>H.K. ENGINEERS</v>
          </cell>
          <cell r="D354">
            <v>443830.48</v>
          </cell>
        </row>
        <row r="355">
          <cell r="A355" t="str">
            <v>HARYANA DELHI FREIGHT CARRIERS</v>
          </cell>
          <cell r="D355">
            <v>0</v>
          </cell>
        </row>
        <row r="356">
          <cell r="A356" t="str">
            <v>HI-LUX AUTOMOTIVE PVT LTD</v>
          </cell>
          <cell r="D356">
            <v>0</v>
          </cell>
        </row>
        <row r="357">
          <cell r="A357" t="str">
            <v>HYDROLINE PRODUCTS</v>
          </cell>
          <cell r="D357">
            <v>181.69</v>
          </cell>
        </row>
        <row r="358">
          <cell r="A358" t="str">
            <v>HARYANA SPRINGS &amp; PRESSING WORKS</v>
          </cell>
          <cell r="D358">
            <v>0</v>
          </cell>
        </row>
        <row r="359">
          <cell r="A359" t="str">
            <v>HCL HAWLETT PACKARD LTD.</v>
          </cell>
          <cell r="D359">
            <v>0</v>
          </cell>
        </row>
        <row r="360">
          <cell r="A360" t="str">
            <v>H.R.A. SALES CORPORATION</v>
          </cell>
          <cell r="D360">
            <v>0</v>
          </cell>
        </row>
        <row r="361">
          <cell r="A361" t="str">
            <v>HYD.-AIR ENGG.PVT.LTD.</v>
          </cell>
          <cell r="D361">
            <v>0</v>
          </cell>
        </row>
        <row r="362">
          <cell r="A362" t="str">
            <v>HYDROFLEX EQUIP.LTD.</v>
          </cell>
          <cell r="D362">
            <v>23707.85</v>
          </cell>
        </row>
        <row r="363">
          <cell r="A363" t="str">
            <v>HARPREET SINGH</v>
          </cell>
          <cell r="D363">
            <v>67240.429999999993</v>
          </cell>
        </row>
        <row r="364">
          <cell r="A364" t="str">
            <v>HALDIRAM MARKETING LTD.</v>
          </cell>
          <cell r="D364">
            <v>0</v>
          </cell>
        </row>
        <row r="365">
          <cell r="A365" t="str">
            <v>H.K.ENGINEERING</v>
          </cell>
          <cell r="D365">
            <v>1134</v>
          </cell>
        </row>
        <row r="366">
          <cell r="A366" t="str">
            <v>HIMANSU BATTERY REPAIRS</v>
          </cell>
          <cell r="D366">
            <v>996</v>
          </cell>
        </row>
        <row r="367">
          <cell r="A367" t="str">
            <v>HINDUSTAN VACUUM GLASS LTD</v>
          </cell>
          <cell r="D367">
            <v>0</v>
          </cell>
        </row>
        <row r="368">
          <cell r="A368" t="str">
            <v>HARYANA ELECTRODE CORPORATION</v>
          </cell>
          <cell r="D368">
            <v>0</v>
          </cell>
        </row>
        <row r="369">
          <cell r="A369" t="str">
            <v>HARYANA WHEEL TYRES PVT LTD</v>
          </cell>
          <cell r="D369">
            <v>0</v>
          </cell>
        </row>
        <row r="370">
          <cell r="A370" t="str">
            <v>HYDROLINE PRODUCTS PVT LTD</v>
          </cell>
          <cell r="D370">
            <v>0</v>
          </cell>
        </row>
        <row r="371">
          <cell r="A371" t="str">
            <v>HARISH BHATIA</v>
          </cell>
          <cell r="D371">
            <v>0</v>
          </cell>
        </row>
        <row r="372">
          <cell r="A372" t="str">
            <v>HEENA CAR SHINGAR</v>
          </cell>
          <cell r="D372">
            <v>0</v>
          </cell>
        </row>
        <row r="373">
          <cell r="A373" t="str">
            <v>SUNDRY CREDITOR-I</v>
          </cell>
        </row>
        <row r="374">
          <cell r="A374" t="str">
            <v>INDIAN OIL CORPORATION LTD</v>
          </cell>
          <cell r="C374">
            <v>1784.69</v>
          </cell>
        </row>
        <row r="375">
          <cell r="A375" t="str">
            <v>INDUSTRIAL TOOL &amp; ENGG WORKS</v>
          </cell>
          <cell r="D375">
            <v>69358.95</v>
          </cell>
        </row>
        <row r="376">
          <cell r="A376" t="str">
            <v>IMPERIAL AUTO INDUSTRIES LTD</v>
          </cell>
          <cell r="D376">
            <v>471570.38</v>
          </cell>
        </row>
        <row r="377">
          <cell r="A377" t="str">
            <v>INVEL PLASTICS</v>
          </cell>
          <cell r="D377">
            <v>0</v>
          </cell>
        </row>
        <row r="378">
          <cell r="A378" t="str">
            <v>INNOVATIVE TECHNOCRATS PVT LTD</v>
          </cell>
          <cell r="D378">
            <v>2554.98</v>
          </cell>
        </row>
        <row r="379">
          <cell r="A379" t="str">
            <v>INDUS FORMS PVT LTD</v>
          </cell>
          <cell r="D379">
            <v>0</v>
          </cell>
        </row>
        <row r="380">
          <cell r="A380" t="str">
            <v>INDUSTRIAL MACHINE TOOLS &amp; ENGINEER</v>
          </cell>
          <cell r="D380">
            <v>14719.98</v>
          </cell>
        </row>
        <row r="381">
          <cell r="A381" t="str">
            <v>I.S. BHATTI</v>
          </cell>
          <cell r="D381">
            <v>0</v>
          </cell>
        </row>
        <row r="382">
          <cell r="A382" t="str">
            <v>INDCON PROJECTS &amp; EQUIPMENTS</v>
          </cell>
          <cell r="D382">
            <v>18687.5</v>
          </cell>
        </row>
        <row r="383">
          <cell r="A383" t="str">
            <v>INDIAN FASTNERS</v>
          </cell>
          <cell r="D383">
            <v>1732.4</v>
          </cell>
        </row>
        <row r="384">
          <cell r="A384" t="str">
            <v>INDO PRECISION HYDROLICS</v>
          </cell>
          <cell r="D384">
            <v>0</v>
          </cell>
        </row>
        <row r="385">
          <cell r="A385" t="str">
            <v>INTERFACE MICRO SYSTEMS</v>
          </cell>
          <cell r="D385">
            <v>0</v>
          </cell>
        </row>
        <row r="386">
          <cell r="A386" t="str">
            <v>INTERNATIONAL INDUSTRIAL SPRINGS</v>
          </cell>
          <cell r="D386">
            <v>0</v>
          </cell>
        </row>
        <row r="387">
          <cell r="A387" t="str">
            <v>INDUSTRIAL CONSULTANTS &amp; TRADERS</v>
          </cell>
          <cell r="D387">
            <v>0</v>
          </cell>
        </row>
        <row r="388">
          <cell r="A388" t="str">
            <v>ISHWAR ENTERPRISES</v>
          </cell>
          <cell r="D388">
            <v>0</v>
          </cell>
        </row>
        <row r="389">
          <cell r="A389" t="str">
            <v>INTER UNIT ST. TRF.-F.GOODS</v>
          </cell>
          <cell r="D389">
            <v>0</v>
          </cell>
        </row>
        <row r="390">
          <cell r="A390" t="str">
            <v>INDU ENTERPRISES</v>
          </cell>
          <cell r="D390">
            <v>0</v>
          </cell>
        </row>
        <row r="391">
          <cell r="A391" t="str">
            <v>INDUSTRIAL SAFETY ENGINEERS</v>
          </cell>
          <cell r="D391">
            <v>0</v>
          </cell>
        </row>
        <row r="392">
          <cell r="A392" t="str">
            <v>IDEAL AUTOLINE</v>
          </cell>
          <cell r="D392">
            <v>0</v>
          </cell>
        </row>
        <row r="393">
          <cell r="A393" t="str">
            <v>IT WORLD</v>
          </cell>
          <cell r="D393">
            <v>0</v>
          </cell>
        </row>
        <row r="394">
          <cell r="A394" t="str">
            <v>INDUSTRIAL AUTOMATION SERVICES</v>
          </cell>
          <cell r="D394">
            <v>0</v>
          </cell>
        </row>
        <row r="395">
          <cell r="A395" t="str">
            <v>IYER LAW BOOK HOUSE</v>
          </cell>
          <cell r="D395">
            <v>0</v>
          </cell>
        </row>
        <row r="396">
          <cell r="A396" t="str">
            <v>INTERNATIONAL TRADING CO.</v>
          </cell>
          <cell r="D396">
            <v>0</v>
          </cell>
        </row>
        <row r="397">
          <cell r="A397" t="str">
            <v>IMAGE FURNISHERS PVT. LTD.</v>
          </cell>
          <cell r="D397">
            <v>0</v>
          </cell>
        </row>
        <row r="398">
          <cell r="A398" t="str">
            <v>IBM GLOBAL SERVICES INDIA PVT LTD</v>
          </cell>
          <cell r="D398">
            <v>0</v>
          </cell>
        </row>
        <row r="399">
          <cell r="A399" t="str">
            <v>INDUSTRIAL SALES AGENCY</v>
          </cell>
          <cell r="D399">
            <v>0</v>
          </cell>
        </row>
        <row r="400">
          <cell r="A400" t="str">
            <v>INTEGRATED ENGINEERS &amp; CONTRACTORS</v>
          </cell>
          <cell r="D400">
            <v>0</v>
          </cell>
        </row>
        <row r="401">
          <cell r="A401" t="str">
            <v>INTEGRAL PR SERVICES PVT LTD</v>
          </cell>
          <cell r="D401">
            <v>15750</v>
          </cell>
        </row>
        <row r="402">
          <cell r="A402" t="str">
            <v>INDUSTRIAL TRADING CORPORATION</v>
          </cell>
          <cell r="D402">
            <v>18206.5</v>
          </cell>
        </row>
        <row r="403">
          <cell r="A403" t="str">
            <v>INDIAN MARKET RESEARCH BUREAU</v>
          </cell>
          <cell r="D403">
            <v>0</v>
          </cell>
        </row>
        <row r="404">
          <cell r="A404" t="str">
            <v>INDUSTRIAL PERSONNEL NETWORK</v>
          </cell>
          <cell r="D404">
            <v>12241.95</v>
          </cell>
        </row>
        <row r="405">
          <cell r="A405" t="str">
            <v>SUNDRY CREDITOR-J</v>
          </cell>
        </row>
        <row r="406">
          <cell r="A406" t="str">
            <v>J.K. ROADLINES</v>
          </cell>
          <cell r="D406">
            <v>0</v>
          </cell>
        </row>
        <row r="407">
          <cell r="A407" t="str">
            <v>JITENDRA ENGINEERS</v>
          </cell>
          <cell r="D407">
            <v>42227.72</v>
          </cell>
        </row>
        <row r="408">
          <cell r="A408" t="str">
            <v>J.K. RAO ASSOCIATES</v>
          </cell>
          <cell r="D408">
            <v>0</v>
          </cell>
        </row>
        <row r="409">
          <cell r="A409" t="str">
            <v>JINDAL ENTERPRISES</v>
          </cell>
          <cell r="D409">
            <v>172651</v>
          </cell>
        </row>
        <row r="410">
          <cell r="A410" t="str">
            <v>JYOTI SPRING &amp; ENGINEERING WORKS</v>
          </cell>
          <cell r="D410">
            <v>46908.27</v>
          </cell>
        </row>
        <row r="411">
          <cell r="A411" t="str">
            <v>JOHN FOWLER (INDIA) LTD</v>
          </cell>
          <cell r="D411">
            <v>78658</v>
          </cell>
        </row>
        <row r="412">
          <cell r="A412" t="str">
            <v>JAY EMM GASES PVT LTD</v>
          </cell>
          <cell r="D412">
            <v>15629.65</v>
          </cell>
        </row>
        <row r="413">
          <cell r="A413" t="str">
            <v>JASWAL REFRIGERATION CORPORATION</v>
          </cell>
          <cell r="D413">
            <v>41914</v>
          </cell>
        </row>
        <row r="414">
          <cell r="A414" t="str">
            <v>JYOTI TEST HOUSE</v>
          </cell>
          <cell r="D414">
            <v>0</v>
          </cell>
        </row>
        <row r="415">
          <cell r="A415" t="str">
            <v>JUPITER INDUSTRIAL WORKS THANE</v>
          </cell>
          <cell r="D415">
            <v>0</v>
          </cell>
        </row>
        <row r="416">
          <cell r="A416" t="str">
            <v>JAYEM AUTO INDUSTRIES PVT LTD</v>
          </cell>
          <cell r="D416">
            <v>0</v>
          </cell>
        </row>
        <row r="417">
          <cell r="A417" t="str">
            <v>JAYESH ENTERPRISES</v>
          </cell>
          <cell r="D417">
            <v>0</v>
          </cell>
        </row>
        <row r="418">
          <cell r="A418" t="str">
            <v>JAGDISH RAJ VED PRAKASH</v>
          </cell>
          <cell r="D418">
            <v>1350</v>
          </cell>
        </row>
        <row r="419">
          <cell r="A419" t="str">
            <v>JANTA ENGINEERS</v>
          </cell>
          <cell r="D419">
            <v>3990</v>
          </cell>
        </row>
        <row r="420">
          <cell r="A420" t="str">
            <v>JAY DISTRIBUTORS</v>
          </cell>
          <cell r="D420">
            <v>3731</v>
          </cell>
        </row>
        <row r="421">
          <cell r="A421" t="str">
            <v>JESSE ENTERPRISES PVT. LTD.</v>
          </cell>
          <cell r="D421">
            <v>11000</v>
          </cell>
        </row>
        <row r="422">
          <cell r="A422" t="str">
            <v>JMD ENTERPRISES</v>
          </cell>
          <cell r="D422">
            <v>325</v>
          </cell>
        </row>
        <row r="423">
          <cell r="A423" t="str">
            <v>J.S. LAMP INDUSTRIES</v>
          </cell>
          <cell r="D423">
            <v>0</v>
          </cell>
        </row>
        <row r="424">
          <cell r="A424" t="str">
            <v>JUROM MANAGEMENT SYSTEMS</v>
          </cell>
          <cell r="D424">
            <v>0</v>
          </cell>
        </row>
        <row r="425">
          <cell r="A425" t="str">
            <v>JCT LIMITED</v>
          </cell>
          <cell r="D425">
            <v>0</v>
          </cell>
        </row>
        <row r="426">
          <cell r="A426" t="str">
            <v>JAIN ELECTRICAL WORKS</v>
          </cell>
          <cell r="D426">
            <v>0</v>
          </cell>
        </row>
        <row r="427">
          <cell r="A427" t="str">
            <v>JAIPUR GOLDEN TRANSPORT CO LTD</v>
          </cell>
          <cell r="D427">
            <v>0</v>
          </cell>
        </row>
        <row r="428">
          <cell r="A428" t="str">
            <v>JOST'S ENGINEERING COMPANY LIMITED</v>
          </cell>
          <cell r="D428">
            <v>0</v>
          </cell>
        </row>
        <row r="429">
          <cell r="A429" t="str">
            <v>JINDAL KITCHEN EQUIPMENTS PVT LTD</v>
          </cell>
          <cell r="D429">
            <v>0</v>
          </cell>
        </row>
        <row r="430">
          <cell r="A430" t="str">
            <v>JAIN DISTRIBUTORS</v>
          </cell>
          <cell r="D430">
            <v>0</v>
          </cell>
        </row>
        <row r="431">
          <cell r="A431" t="str">
            <v>JASH PRECISION TOOLS LTD</v>
          </cell>
          <cell r="D431">
            <v>188976</v>
          </cell>
        </row>
        <row r="432">
          <cell r="A432" t="str">
            <v>J.G. WORKS</v>
          </cell>
          <cell r="D432">
            <v>0</v>
          </cell>
        </row>
        <row r="433">
          <cell r="A433" t="str">
            <v>J.S. MINHAS</v>
          </cell>
          <cell r="D433">
            <v>0</v>
          </cell>
        </row>
        <row r="434">
          <cell r="A434" t="str">
            <v>SUNDRY CREDITOR-K</v>
          </cell>
        </row>
        <row r="435">
          <cell r="A435" t="str">
            <v>KUEHNE &amp; NAGEL  PVT. LTD.</v>
          </cell>
          <cell r="C435">
            <v>246877</v>
          </cell>
        </row>
        <row r="436">
          <cell r="A436" t="str">
            <v>KAVERI SUPPORT SERVICES PVT LTD</v>
          </cell>
          <cell r="D436">
            <v>0</v>
          </cell>
        </row>
        <row r="437">
          <cell r="A437" t="str">
            <v>KARTAR BROS PVT LTD</v>
          </cell>
          <cell r="C437">
            <v>433.12</v>
          </cell>
        </row>
        <row r="438">
          <cell r="A438" t="str">
            <v>KEMFIN PAINTS (INDIA) LTD</v>
          </cell>
          <cell r="D438">
            <v>2040</v>
          </cell>
        </row>
        <row r="439">
          <cell r="A439" t="str">
            <v>KEWAL KRISHAN CHOPRA &amp; SONS</v>
          </cell>
          <cell r="D439">
            <v>0</v>
          </cell>
        </row>
        <row r="440">
          <cell r="A440" t="str">
            <v>K.P. TECHNOCRATS</v>
          </cell>
          <cell r="D440">
            <v>0</v>
          </cell>
        </row>
        <row r="441">
          <cell r="A441" t="str">
            <v>KAY BEE ENGINEERS</v>
          </cell>
          <cell r="D441">
            <v>0</v>
          </cell>
        </row>
        <row r="442">
          <cell r="A442" t="str">
            <v>KISHAN ENGINEERS</v>
          </cell>
          <cell r="D442">
            <v>481392.42</v>
          </cell>
        </row>
        <row r="443">
          <cell r="A443" t="str">
            <v>KEYS &amp; DOWELS (INDIA) PVT  LTD</v>
          </cell>
          <cell r="D443">
            <v>0</v>
          </cell>
        </row>
        <row r="444">
          <cell r="A444" t="str">
            <v>KAY ESS COMPUTERS</v>
          </cell>
          <cell r="D444">
            <v>0</v>
          </cell>
        </row>
        <row r="445">
          <cell r="A445" t="str">
            <v>K.N.V.Engineers</v>
          </cell>
          <cell r="D445">
            <v>12241.13</v>
          </cell>
        </row>
        <row r="446">
          <cell r="A446" t="str">
            <v>KANORIA PETRO PRODUCTS LTD.</v>
          </cell>
          <cell r="D446">
            <v>4245</v>
          </cell>
        </row>
        <row r="447">
          <cell r="A447" t="str">
            <v>KIRAN AUTO ELECTRIC WORKS</v>
          </cell>
          <cell r="D447">
            <v>410</v>
          </cell>
        </row>
        <row r="448">
          <cell r="A448" t="str">
            <v>K.K. MOTORS</v>
          </cell>
          <cell r="D448">
            <v>200</v>
          </cell>
        </row>
        <row r="449">
          <cell r="A449" t="str">
            <v>KUMAR SALES ENTERPRISES</v>
          </cell>
          <cell r="C449">
            <v>4825.92</v>
          </cell>
        </row>
        <row r="450">
          <cell r="A450" t="str">
            <v>KRISHAN ENGINEERS</v>
          </cell>
          <cell r="D450">
            <v>3073.99</v>
          </cell>
        </row>
        <row r="451">
          <cell r="A451" t="str">
            <v>KARTAR BEVEL GEARS</v>
          </cell>
          <cell r="D451">
            <v>1418</v>
          </cell>
        </row>
        <row r="452">
          <cell r="A452" t="str">
            <v>K.K.CHEMICALS</v>
          </cell>
          <cell r="D452">
            <v>567</v>
          </cell>
        </row>
        <row r="453">
          <cell r="A453" t="str">
            <v>KAVERI POWER MANAGEMENT PVT LTD</v>
          </cell>
          <cell r="D453">
            <v>0</v>
          </cell>
        </row>
        <row r="454">
          <cell r="A454" t="str">
            <v>KIRITI INKS TRADERS</v>
          </cell>
          <cell r="D454">
            <v>1875</v>
          </cell>
        </row>
        <row r="455">
          <cell r="A455" t="str">
            <v>KRISHAN LAL SANJIV KUMAR</v>
          </cell>
          <cell r="D455">
            <v>0</v>
          </cell>
        </row>
        <row r="456">
          <cell r="A456" t="str">
            <v>KARTAR AGRO ENGINEERS PVT LTD</v>
          </cell>
          <cell r="D456">
            <v>1707142.88</v>
          </cell>
        </row>
        <row r="457">
          <cell r="A457" t="str">
            <v>KAYSONS SALES</v>
          </cell>
          <cell r="D457">
            <v>0</v>
          </cell>
        </row>
        <row r="458">
          <cell r="A458" t="str">
            <v>K.P. TOOLS PVT LTD</v>
          </cell>
          <cell r="D458">
            <v>17862.400000000001</v>
          </cell>
        </row>
        <row r="459">
          <cell r="A459" t="str">
            <v>KRISHAN KUMAR GUPTA</v>
          </cell>
          <cell r="D459">
            <v>18000</v>
          </cell>
        </row>
        <row r="460">
          <cell r="A460" t="str">
            <v>KUKREJA MARKETINGS</v>
          </cell>
          <cell r="D460">
            <v>0</v>
          </cell>
        </row>
        <row r="461">
          <cell r="A461" t="str">
            <v>KAMBOJ  ENTERPRISES</v>
          </cell>
          <cell r="D461">
            <v>0</v>
          </cell>
        </row>
        <row r="462">
          <cell r="A462" t="str">
            <v>KATARIA ELECTRONICS</v>
          </cell>
          <cell r="D462">
            <v>0</v>
          </cell>
        </row>
        <row r="463">
          <cell r="A463" t="str">
            <v>KANTAWALA ENGINEERS</v>
          </cell>
          <cell r="D463">
            <v>0</v>
          </cell>
        </row>
        <row r="464">
          <cell r="A464" t="str">
            <v>KHADI GRAMUDYOG VIKAS SAMITI</v>
          </cell>
          <cell r="D464">
            <v>17820</v>
          </cell>
        </row>
        <row r="465">
          <cell r="A465" t="str">
            <v>K.R. ENTERPRISES</v>
          </cell>
          <cell r="D465">
            <v>187392.39</v>
          </cell>
        </row>
        <row r="466">
          <cell r="A466" t="str">
            <v>K.N. KALRA</v>
          </cell>
          <cell r="D466">
            <v>44968.63</v>
          </cell>
        </row>
        <row r="467">
          <cell r="A467" t="str">
            <v>KASTUR COMPUTER SERVICES</v>
          </cell>
          <cell r="D467">
            <v>23300</v>
          </cell>
        </row>
        <row r="468">
          <cell r="A468" t="str">
            <v>KUMAR &amp; COMPANY</v>
          </cell>
          <cell r="D468">
            <v>0</v>
          </cell>
        </row>
        <row r="469">
          <cell r="A469" t="str">
            <v>SUNDRY CREDITOR-L</v>
          </cell>
        </row>
        <row r="470">
          <cell r="A470" t="str">
            <v>LIBERTY ENTERPRISES</v>
          </cell>
          <cell r="D470">
            <v>0</v>
          </cell>
        </row>
        <row r="471">
          <cell r="A471" t="str">
            <v>LINK ENTERPRISES</v>
          </cell>
          <cell r="D471">
            <v>0</v>
          </cell>
        </row>
        <row r="472">
          <cell r="A472" t="str">
            <v>LINK ENGINEERS</v>
          </cell>
          <cell r="D472">
            <v>0</v>
          </cell>
        </row>
        <row r="473">
          <cell r="A473" t="str">
            <v>LAKSHMI ELECTRICALS</v>
          </cell>
          <cell r="D473">
            <v>2552</v>
          </cell>
        </row>
        <row r="474">
          <cell r="A474" t="str">
            <v>LAXMI ELECTRICALS</v>
          </cell>
          <cell r="D474">
            <v>3210.5</v>
          </cell>
        </row>
        <row r="475">
          <cell r="A475" t="str">
            <v>LMR INTERNATINAL</v>
          </cell>
          <cell r="D475">
            <v>1000</v>
          </cell>
        </row>
        <row r="476">
          <cell r="A476" t="str">
            <v>LUCKY BODY SPARES</v>
          </cell>
          <cell r="D476">
            <v>0</v>
          </cell>
        </row>
        <row r="477">
          <cell r="A477" t="str">
            <v>LUMAX INDUSTRIES LIMITED</v>
          </cell>
          <cell r="D477">
            <v>11397.84</v>
          </cell>
        </row>
        <row r="478">
          <cell r="A478" t="str">
            <v>LUCAS INDIAN SERVICE LIMITED</v>
          </cell>
          <cell r="C478">
            <v>154.6</v>
          </cell>
        </row>
        <row r="479">
          <cell r="A479" t="str">
            <v>LAULS LIMITED</v>
          </cell>
          <cell r="D479">
            <v>200</v>
          </cell>
        </row>
        <row r="480">
          <cell r="A480" t="str">
            <v>LUXMI ELECTRIC WORKS</v>
          </cell>
          <cell r="D480">
            <v>0</v>
          </cell>
        </row>
        <row r="481">
          <cell r="A481" t="str">
            <v>LEGRIS INDIA PVT LTD</v>
          </cell>
          <cell r="D481">
            <v>15926.1</v>
          </cell>
        </row>
        <row r="482">
          <cell r="A482" t="str">
            <v>L.D. KALRA</v>
          </cell>
          <cell r="D482">
            <v>0</v>
          </cell>
        </row>
        <row r="483">
          <cell r="A483" t="str">
            <v>L G ELECTRONICS INDIA PVT.LTD.</v>
          </cell>
          <cell r="D483">
            <v>0</v>
          </cell>
        </row>
        <row r="484">
          <cell r="A484" t="str">
            <v>SUNDRY CREDITOR-M</v>
          </cell>
        </row>
        <row r="485">
          <cell r="A485" t="str">
            <v>MAJESTIC SEATS (INDIA)</v>
          </cell>
          <cell r="D485">
            <v>0</v>
          </cell>
        </row>
        <row r="486">
          <cell r="A486" t="str">
            <v>MICRO-TECH ENGINEERS</v>
          </cell>
          <cell r="D486">
            <v>120.52</v>
          </cell>
        </row>
        <row r="487">
          <cell r="A487" t="str">
            <v>MUNDHRA BROTHERS</v>
          </cell>
          <cell r="D487">
            <v>0</v>
          </cell>
        </row>
        <row r="488">
          <cell r="A488" t="str">
            <v>MAHALAXMI TRADING CORPORATION</v>
          </cell>
          <cell r="D488">
            <v>3239.9</v>
          </cell>
        </row>
        <row r="489">
          <cell r="A489" t="str">
            <v>MANOHAR SINGH</v>
          </cell>
          <cell r="D489">
            <v>0</v>
          </cell>
        </row>
        <row r="490">
          <cell r="A490" t="str">
            <v>METHODEX INFRES LTD</v>
          </cell>
          <cell r="D490">
            <v>0</v>
          </cell>
        </row>
        <row r="491">
          <cell r="A491" t="str">
            <v>M.G. SACHDEVA &amp; SONS</v>
          </cell>
          <cell r="D491">
            <v>0</v>
          </cell>
        </row>
        <row r="492">
          <cell r="A492" t="str">
            <v>MUKUL LABELS</v>
          </cell>
          <cell r="D492">
            <v>0</v>
          </cell>
        </row>
        <row r="493">
          <cell r="A493" t="str">
            <v>MODERN TRADING COMPANY</v>
          </cell>
          <cell r="D493">
            <v>0</v>
          </cell>
        </row>
        <row r="494">
          <cell r="A494" t="str">
            <v>MAMTA ENGINEERING CORPORATION</v>
          </cell>
          <cell r="D494">
            <v>0</v>
          </cell>
        </row>
        <row r="495">
          <cell r="A495" t="str">
            <v>MAHINDRA SONA LIMITED</v>
          </cell>
          <cell r="D495">
            <v>42978.04</v>
          </cell>
        </row>
        <row r="496">
          <cell r="A496" t="str">
            <v>MAX-E PRODUCTS PVT. LTD.</v>
          </cell>
          <cell r="D496">
            <v>912.6</v>
          </cell>
        </row>
        <row r="497">
          <cell r="A497" t="str">
            <v>M.K. TRANSPORT &amp; CO.</v>
          </cell>
          <cell r="D497">
            <v>0</v>
          </cell>
        </row>
        <row r="498">
          <cell r="A498" t="str">
            <v>MAHALAKSHMI TRANSPORT CORPORATION</v>
          </cell>
          <cell r="D498">
            <v>0</v>
          </cell>
        </row>
        <row r="499">
          <cell r="A499" t="str">
            <v>MUNCHUR INDUSTRIES PVT LTD.</v>
          </cell>
          <cell r="D499">
            <v>0</v>
          </cell>
        </row>
        <row r="500">
          <cell r="A500" t="str">
            <v>Mitsui &amp; Co. Ltd.</v>
          </cell>
          <cell r="D500">
            <v>9239788.8000000007</v>
          </cell>
        </row>
        <row r="501">
          <cell r="A501" t="str">
            <v>MAHAVIR SALES CORP.</v>
          </cell>
          <cell r="D501">
            <v>491.71</v>
          </cell>
        </row>
        <row r="502">
          <cell r="A502" t="str">
            <v>MAYUR AIR CONDITIONING ENGG.</v>
          </cell>
          <cell r="D502">
            <v>245</v>
          </cell>
        </row>
        <row r="503">
          <cell r="A503" t="str">
            <v>MEENASHA ENGINEERS</v>
          </cell>
          <cell r="D503">
            <v>0</v>
          </cell>
        </row>
        <row r="504">
          <cell r="A504" t="str">
            <v>MERCURY TRAVELS LTD.</v>
          </cell>
          <cell r="D504">
            <v>6800</v>
          </cell>
        </row>
        <row r="505">
          <cell r="A505" t="str">
            <v>MICRO TOOL</v>
          </cell>
          <cell r="D505">
            <v>11211.94</v>
          </cell>
        </row>
        <row r="506">
          <cell r="A506" t="str">
            <v>MODI XEROX LTD.</v>
          </cell>
          <cell r="D506">
            <v>11021.6</v>
          </cell>
        </row>
        <row r="507">
          <cell r="A507" t="str">
            <v>MOHINDRA CASTING</v>
          </cell>
          <cell r="D507">
            <v>0</v>
          </cell>
        </row>
        <row r="508">
          <cell r="A508" t="str">
            <v>M.S.FABRICATORS</v>
          </cell>
          <cell r="D508">
            <v>0</v>
          </cell>
        </row>
        <row r="509">
          <cell r="A509" t="str">
            <v>MODERN CROCKERY</v>
          </cell>
          <cell r="D509">
            <v>100</v>
          </cell>
        </row>
        <row r="510">
          <cell r="A510" t="str">
            <v>MEHRA,SINGH &amp; VISHWANATH</v>
          </cell>
          <cell r="D510">
            <v>0</v>
          </cell>
        </row>
        <row r="511">
          <cell r="A511" t="str">
            <v>M.M.MATHUR</v>
          </cell>
          <cell r="D511">
            <v>0</v>
          </cell>
        </row>
        <row r="512">
          <cell r="A512" t="str">
            <v>MOONDROP CHEMINEERS PVT. LTD.</v>
          </cell>
          <cell r="D512">
            <v>9009</v>
          </cell>
        </row>
        <row r="513">
          <cell r="A513" t="str">
            <v>MOTHERSON SUMI SYSTEMS LIMITED</v>
          </cell>
          <cell r="D513">
            <v>0</v>
          </cell>
        </row>
        <row r="514">
          <cell r="A514" t="str">
            <v>MOD FURNITURES</v>
          </cell>
          <cell r="D514">
            <v>0</v>
          </cell>
        </row>
        <row r="515">
          <cell r="A515" t="str">
            <v>MECHANICA VALVES PVT LTD</v>
          </cell>
          <cell r="D515">
            <v>0</v>
          </cell>
        </row>
        <row r="516">
          <cell r="A516" t="str">
            <v>MAHINDRA TOURS &amp; TRAVELS</v>
          </cell>
          <cell r="D516">
            <v>0</v>
          </cell>
        </row>
        <row r="517">
          <cell r="A517" t="str">
            <v>MEHEK INDUSTRIES</v>
          </cell>
          <cell r="D517">
            <v>0</v>
          </cell>
        </row>
        <row r="518">
          <cell r="A518" t="str">
            <v>MICRO CLINIC INDIA PVT LTD</v>
          </cell>
          <cell r="D518">
            <v>0</v>
          </cell>
        </row>
        <row r="519">
          <cell r="A519" t="str">
            <v>MATERIAL WORLD AND TECHNOLOGIES</v>
          </cell>
          <cell r="D519">
            <v>0</v>
          </cell>
        </row>
        <row r="520">
          <cell r="A520" t="str">
            <v>MARKK-LAMB COLOR PLUS LTD</v>
          </cell>
          <cell r="D520">
            <v>125404.52</v>
          </cell>
        </row>
        <row r="521">
          <cell r="A521" t="str">
            <v>MALIK BUILDING MATERIAL HOUSE</v>
          </cell>
          <cell r="D521">
            <v>0</v>
          </cell>
        </row>
        <row r="522">
          <cell r="A522" t="str">
            <v>MADRAS ELASTOMERS LIMITED</v>
          </cell>
          <cell r="D522">
            <v>0</v>
          </cell>
        </row>
        <row r="523">
          <cell r="A523" t="str">
            <v>MOHIT SALES AGENCIES</v>
          </cell>
          <cell r="D523">
            <v>10596.76</v>
          </cell>
        </row>
        <row r="524">
          <cell r="A524" t="str">
            <v>MAHESH AGENCIES</v>
          </cell>
          <cell r="D524">
            <v>0</v>
          </cell>
        </row>
        <row r="525">
          <cell r="A525" t="str">
            <v>MAHATTA CAMERA CORPORATION</v>
          </cell>
          <cell r="D525">
            <v>0</v>
          </cell>
        </row>
        <row r="526">
          <cell r="A526" t="str">
            <v>MEDICAL ENGINEERS (INDIA) PVT LTD</v>
          </cell>
          <cell r="D526">
            <v>0</v>
          </cell>
        </row>
        <row r="527">
          <cell r="A527" t="str">
            <v>MILHARD SALES PVT LTD</v>
          </cell>
          <cell r="D527">
            <v>0</v>
          </cell>
        </row>
        <row r="528">
          <cell r="A528" t="str">
            <v>MERCURY SCIENTIFIC EQUIPMENTS &amp; CHEMICALS</v>
          </cell>
          <cell r="D528">
            <v>0</v>
          </cell>
        </row>
        <row r="529">
          <cell r="A529" t="str">
            <v>MODERN TECHNOLOGIES</v>
          </cell>
          <cell r="D529">
            <v>4000</v>
          </cell>
        </row>
        <row r="530">
          <cell r="A530" t="str">
            <v>MILLENIUM CONTROL ENGINEERS</v>
          </cell>
          <cell r="D530">
            <v>0</v>
          </cell>
        </row>
        <row r="531">
          <cell r="A531" t="str">
            <v>MAHARAJA AIRCONDITIONERS</v>
          </cell>
          <cell r="D531">
            <v>0</v>
          </cell>
        </row>
        <row r="532">
          <cell r="A532" t="str">
            <v>MANTRG SYSTEMS INDIA</v>
          </cell>
          <cell r="D532">
            <v>0</v>
          </cell>
        </row>
        <row r="533">
          <cell r="A533" t="str">
            <v>MITUTOYO SOUTH ASIA PVT LTD</v>
          </cell>
          <cell r="D533">
            <v>0.36</v>
          </cell>
        </row>
        <row r="534">
          <cell r="A534" t="str">
            <v>MAJESTIC SEATS (INDIA) UNIT - II</v>
          </cell>
          <cell r="D534">
            <v>0</v>
          </cell>
        </row>
        <row r="535">
          <cell r="A535" t="str">
            <v>MOHAN TRADING CORPORATION</v>
          </cell>
          <cell r="D535">
            <v>0</v>
          </cell>
        </row>
        <row r="536">
          <cell r="A536" t="str">
            <v>MACH-MILL &amp; HARDWARES</v>
          </cell>
          <cell r="D536">
            <v>0</v>
          </cell>
        </row>
        <row r="537">
          <cell r="A537" t="str">
            <v>SUNDRY CREDITOR-N</v>
          </cell>
        </row>
        <row r="538">
          <cell r="A538" t="str">
            <v>NEW SUPREET ENTERPRISES</v>
          </cell>
          <cell r="C538">
            <v>2449.9299999999998</v>
          </cell>
        </row>
        <row r="539">
          <cell r="A539" t="str">
            <v>NEW NAYYAR MACHINE TOOLS</v>
          </cell>
          <cell r="D539">
            <v>1511.94</v>
          </cell>
        </row>
        <row r="540">
          <cell r="A540" t="str">
            <v>NUCHEM LIMITED</v>
          </cell>
          <cell r="D540">
            <v>4175</v>
          </cell>
        </row>
        <row r="541">
          <cell r="A541" t="str">
            <v>NAHAR PRASHAD &amp; CO.</v>
          </cell>
          <cell r="D541">
            <v>0</v>
          </cell>
        </row>
        <row r="542">
          <cell r="A542" t="str">
            <v>NATIONAL INSURANCE CO. LTD</v>
          </cell>
          <cell r="D542">
            <v>304582</v>
          </cell>
        </row>
        <row r="543">
          <cell r="A543" t="str">
            <v>NEW NATIONAL AUTOMOTIVE INDUSTRIES</v>
          </cell>
          <cell r="C543">
            <v>1117.48</v>
          </cell>
        </row>
        <row r="544">
          <cell r="A544" t="str">
            <v>N.A. GLASS WORKS</v>
          </cell>
          <cell r="D544">
            <v>0</v>
          </cell>
        </row>
        <row r="545">
          <cell r="A545" t="str">
            <v>NEERAJ AGENCIES</v>
          </cell>
          <cell r="D545">
            <v>0</v>
          </cell>
        </row>
        <row r="546">
          <cell r="A546" t="str">
            <v>NEW ENGINEER`S ENTERPRISES</v>
          </cell>
          <cell r="D546">
            <v>0</v>
          </cell>
        </row>
        <row r="547">
          <cell r="A547" t="str">
            <v>NEXO INDUSTRIES PVT LTD</v>
          </cell>
          <cell r="D547">
            <v>7371</v>
          </cell>
        </row>
        <row r="548">
          <cell r="A548" t="str">
            <v>NUCHEM MACHINE TOOLS LIMITED</v>
          </cell>
          <cell r="D548">
            <v>784</v>
          </cell>
        </row>
        <row r="549">
          <cell r="A549" t="str">
            <v>NRV CONSULTANTS</v>
          </cell>
          <cell r="D549">
            <v>6350</v>
          </cell>
        </row>
        <row r="550">
          <cell r="A550" t="str">
            <v>NATIONAL BLOCK SERVICE</v>
          </cell>
          <cell r="D550">
            <v>0</v>
          </cell>
        </row>
        <row r="551">
          <cell r="A551" t="str">
            <v>NOBLE HOUSE TRAVELS PVT LTD</v>
          </cell>
          <cell r="D551">
            <v>0</v>
          </cell>
        </row>
        <row r="552">
          <cell r="A552" t="str">
            <v>NEPTUNE ENGINEERING PVT LTD</v>
          </cell>
          <cell r="D552">
            <v>0</v>
          </cell>
        </row>
        <row r="553">
          <cell r="A553" t="str">
            <v>NEW AGE CHEMICALS</v>
          </cell>
          <cell r="D553">
            <v>0</v>
          </cell>
        </row>
        <row r="554">
          <cell r="A554" t="str">
            <v>NEW TECHNO MACHINE TOOLS</v>
          </cell>
          <cell r="D554">
            <v>0</v>
          </cell>
        </row>
        <row r="555">
          <cell r="A555" t="str">
            <v>NRB TORRINGTON LIMITED</v>
          </cell>
          <cell r="D555">
            <v>1080</v>
          </cell>
        </row>
        <row r="556">
          <cell r="A556" t="str">
            <v>NEEL ENGINEERING SOLUTIONS</v>
          </cell>
          <cell r="D556">
            <v>6545</v>
          </cell>
        </row>
        <row r="557">
          <cell r="A557" t="str">
            <v>NIRMAL FURNITURE WORKS</v>
          </cell>
          <cell r="D557">
            <v>0</v>
          </cell>
        </row>
        <row r="558">
          <cell r="A558" t="str">
            <v>NEW DELHI LABORATORIES PVT LTD</v>
          </cell>
          <cell r="D558">
            <v>0</v>
          </cell>
        </row>
        <row r="559">
          <cell r="A559" t="str">
            <v>SUNDRY CREDITOR-O</v>
          </cell>
        </row>
        <row r="560">
          <cell r="A560" t="str">
            <v>OMEGA ENTERPRISES</v>
          </cell>
          <cell r="D560">
            <v>396810.28</v>
          </cell>
        </row>
        <row r="561">
          <cell r="A561" t="str">
            <v>OM AUTO CARRIERS</v>
          </cell>
          <cell r="D561">
            <v>0</v>
          </cell>
        </row>
        <row r="562">
          <cell r="A562" t="str">
            <v>OKHLA SERVICE CENTRE</v>
          </cell>
          <cell r="D562">
            <v>1823</v>
          </cell>
        </row>
        <row r="563">
          <cell r="A563" t="str">
            <v>OM AIR FREIGHT LIMITED</v>
          </cell>
          <cell r="D563">
            <v>0</v>
          </cell>
        </row>
        <row r="564">
          <cell r="A564" t="str">
            <v>ORIENT SHIP AGENCY (P) LTD.</v>
          </cell>
          <cell r="D564">
            <v>2016.8</v>
          </cell>
        </row>
        <row r="565">
          <cell r="A565" t="str">
            <v>OA COMPSERVE (P) LTD.</v>
          </cell>
          <cell r="D565">
            <v>398</v>
          </cell>
        </row>
        <row r="566">
          <cell r="A566" t="str">
            <v>OM LOGISTICS LTD.</v>
          </cell>
          <cell r="D566">
            <v>0</v>
          </cell>
        </row>
        <row r="567">
          <cell r="A567" t="str">
            <v>SUNDRY CREDITOR-P</v>
          </cell>
        </row>
        <row r="568">
          <cell r="A568" t="str">
            <v>Pushpa Suppliers</v>
          </cell>
          <cell r="D568">
            <v>0</v>
          </cell>
        </row>
        <row r="569">
          <cell r="A569" t="str">
            <v>PARKASH CONTRACTORS PVT LTD</v>
          </cell>
          <cell r="D569">
            <v>32959</v>
          </cell>
        </row>
        <row r="570">
          <cell r="A570" t="str">
            <v>PREMIER INSTRUMENTS &amp; CONTROLS LTD</v>
          </cell>
          <cell r="D570">
            <v>20947.2</v>
          </cell>
        </row>
        <row r="571">
          <cell r="A571" t="str">
            <v>PEE CEE ELECTRICALS</v>
          </cell>
          <cell r="D571">
            <v>0</v>
          </cell>
        </row>
        <row r="572">
          <cell r="A572" t="str">
            <v>PEFCO FOUNDRY ,A DIVISION OF KORES</v>
          </cell>
          <cell r="D572">
            <v>190320</v>
          </cell>
        </row>
        <row r="573">
          <cell r="A573" t="str">
            <v>PIX TRANSMISSIONS LTD</v>
          </cell>
          <cell r="D573">
            <v>4919.1400000000003</v>
          </cell>
        </row>
        <row r="574">
          <cell r="A574" t="str">
            <v>PEE JAY ENTERPRISES</v>
          </cell>
          <cell r="D574">
            <v>0</v>
          </cell>
        </row>
        <row r="575">
          <cell r="A575" t="str">
            <v>PREMIER ELECTRIC CO.</v>
          </cell>
          <cell r="D575">
            <v>0</v>
          </cell>
        </row>
        <row r="576">
          <cell r="A576" t="str">
            <v>PEARL PRINTERS</v>
          </cell>
          <cell r="D576">
            <v>0</v>
          </cell>
        </row>
        <row r="577">
          <cell r="A577" t="str">
            <v>PIONEER INDIA</v>
          </cell>
          <cell r="D577">
            <v>0</v>
          </cell>
        </row>
        <row r="578">
          <cell r="A578" t="str">
            <v>PAINTAL &amp; CO.</v>
          </cell>
          <cell r="D578">
            <v>0</v>
          </cell>
        </row>
        <row r="579">
          <cell r="A579" t="str">
            <v>POLYHYDRON PVT. LTD.</v>
          </cell>
          <cell r="D579">
            <v>0</v>
          </cell>
        </row>
        <row r="580">
          <cell r="A580" t="str">
            <v>PARAMJIT KAUR SETHI</v>
          </cell>
          <cell r="D580">
            <v>67240.44</v>
          </cell>
        </row>
        <row r="581">
          <cell r="A581" t="str">
            <v>PUSHPA SALES CORPORATION</v>
          </cell>
          <cell r="D581">
            <v>0</v>
          </cell>
        </row>
        <row r="582">
          <cell r="A582" t="str">
            <v>PERFECT INDUSTRIES</v>
          </cell>
          <cell r="D582">
            <v>0</v>
          </cell>
        </row>
        <row r="583">
          <cell r="A583" t="str">
            <v>PARTH TECHNICAL SERVICES</v>
          </cell>
          <cell r="D583">
            <v>0</v>
          </cell>
        </row>
        <row r="584">
          <cell r="A584" t="str">
            <v>P.P. GOSAIN</v>
          </cell>
          <cell r="D584">
            <v>3500</v>
          </cell>
        </row>
        <row r="585">
          <cell r="A585" t="str">
            <v>POLYMER PAPERS LIMITED</v>
          </cell>
          <cell r="D585">
            <v>510</v>
          </cell>
        </row>
        <row r="586">
          <cell r="A586" t="str">
            <v>PERFECT ENGINEERING SERVICES</v>
          </cell>
          <cell r="D586">
            <v>0</v>
          </cell>
        </row>
        <row r="587">
          <cell r="A587" t="str">
            <v>PRADHAN ENTERPRISES</v>
          </cell>
          <cell r="D587">
            <v>0</v>
          </cell>
        </row>
        <row r="588">
          <cell r="A588" t="str">
            <v>PROTHERM ENGINEERING SYSTEMS</v>
          </cell>
          <cell r="D588">
            <v>0</v>
          </cell>
        </row>
        <row r="589">
          <cell r="A589" t="str">
            <v>PRADEEP CROCKERY HOUSE</v>
          </cell>
          <cell r="D589">
            <v>0</v>
          </cell>
        </row>
        <row r="590">
          <cell r="A590" t="str">
            <v>PUSHPA INDUSTRIES</v>
          </cell>
          <cell r="D590">
            <v>0</v>
          </cell>
        </row>
        <row r="591">
          <cell r="A591" t="str">
            <v>PARNAMI ENGINEERS PVT LTD</v>
          </cell>
          <cell r="D591">
            <v>0</v>
          </cell>
        </row>
        <row r="592">
          <cell r="A592" t="str">
            <v>PRAKASH AIR FREIGHT PVT LTD</v>
          </cell>
          <cell r="D592">
            <v>0</v>
          </cell>
        </row>
        <row r="593">
          <cell r="A593" t="str">
            <v>PUNJAB ELECTRICAL WORKS</v>
          </cell>
          <cell r="D593">
            <v>1468</v>
          </cell>
        </row>
        <row r="594">
          <cell r="A594" t="str">
            <v>PARNAMI SALES CORPORATION</v>
          </cell>
          <cell r="D594">
            <v>0</v>
          </cell>
        </row>
        <row r="595">
          <cell r="A595" t="str">
            <v>PUMPWELL DRILLERS  PVT LTD</v>
          </cell>
          <cell r="D595">
            <v>26562.400000000001</v>
          </cell>
        </row>
        <row r="596">
          <cell r="A596" t="str">
            <v>PARMAR ELECTRICALS</v>
          </cell>
          <cell r="D596">
            <v>2758</v>
          </cell>
        </row>
        <row r="597">
          <cell r="A597" t="str">
            <v>PUNJAB TRACTORS LTD</v>
          </cell>
          <cell r="D597">
            <v>0</v>
          </cell>
        </row>
        <row r="598">
          <cell r="A598" t="str">
            <v>P.R.J. AUTOMOBILES</v>
          </cell>
          <cell r="D598">
            <v>0</v>
          </cell>
        </row>
        <row r="599">
          <cell r="A599" t="str">
            <v>SUNDRY CREDITOR-Q</v>
          </cell>
        </row>
        <row r="600">
          <cell r="A600" t="str">
            <v>QUALITY SWITCHES &amp; METERS</v>
          </cell>
          <cell r="D600">
            <v>0</v>
          </cell>
        </row>
        <row r="601">
          <cell r="A601" t="str">
            <v>Q.H. TALBROS LIMITED</v>
          </cell>
          <cell r="D601">
            <v>0</v>
          </cell>
        </row>
        <row r="602">
          <cell r="A602" t="str">
            <v>QUALITY AUTO ELECTRIC CO.</v>
          </cell>
          <cell r="D602">
            <v>0</v>
          </cell>
        </row>
        <row r="603">
          <cell r="A603" t="str">
            <v>QUALITY INDUSTRIES</v>
          </cell>
          <cell r="C603">
            <v>5202</v>
          </cell>
        </row>
        <row r="604">
          <cell r="A604" t="str">
            <v>QUADRANT EPP SURLON INDIA LTD</v>
          </cell>
          <cell r="D604">
            <v>0</v>
          </cell>
        </row>
        <row r="605">
          <cell r="A605" t="str">
            <v>SUNDRY CREDITOR-R</v>
          </cell>
        </row>
        <row r="606">
          <cell r="A606" t="str">
            <v>RASHY TOOLS (INDIA)</v>
          </cell>
          <cell r="D606">
            <v>437960.2</v>
          </cell>
        </row>
        <row r="607">
          <cell r="A607" t="str">
            <v>R.B. ENGINEERS</v>
          </cell>
          <cell r="D607">
            <v>0</v>
          </cell>
        </row>
        <row r="608">
          <cell r="A608" t="str">
            <v>RESISTOFLEX (P) LTD.</v>
          </cell>
          <cell r="D608">
            <v>0</v>
          </cell>
        </row>
        <row r="609">
          <cell r="A609" t="str">
            <v>R.B. INDUSTRIAL FABRICATORS PVT LTD</v>
          </cell>
          <cell r="D609">
            <v>19852.53</v>
          </cell>
        </row>
        <row r="610">
          <cell r="A610" t="str">
            <v>R.C. ENTERPRISES</v>
          </cell>
          <cell r="D610">
            <v>15396</v>
          </cell>
        </row>
        <row r="611">
          <cell r="A611" t="str">
            <v>R.K. DHALL</v>
          </cell>
          <cell r="D611">
            <v>56412.35</v>
          </cell>
        </row>
        <row r="612">
          <cell r="A612" t="str">
            <v>RADHIKA ENGINEERING</v>
          </cell>
          <cell r="D612">
            <v>0</v>
          </cell>
        </row>
        <row r="613">
          <cell r="A613" t="str">
            <v>Reggiana Ridutori</v>
          </cell>
          <cell r="D613">
            <v>3789767</v>
          </cell>
        </row>
        <row r="614">
          <cell r="A614" t="str">
            <v>R.B. COMPUTER PRODUCTS</v>
          </cell>
          <cell r="D614">
            <v>0</v>
          </cell>
        </row>
        <row r="615">
          <cell r="A615" t="str">
            <v>REINOL OBSTFELD INDIA</v>
          </cell>
          <cell r="D615">
            <v>0</v>
          </cell>
        </row>
        <row r="616">
          <cell r="A616" t="str">
            <v>RAPA RELAYS LTD.</v>
          </cell>
          <cell r="D616">
            <v>854.8</v>
          </cell>
        </row>
        <row r="617">
          <cell r="A617" t="str">
            <v>ROYAL ENTERPRISES</v>
          </cell>
          <cell r="D617">
            <v>0</v>
          </cell>
        </row>
        <row r="618">
          <cell r="A618" t="str">
            <v>ROZAL ENTERPRISES</v>
          </cell>
          <cell r="D618">
            <v>0</v>
          </cell>
        </row>
        <row r="619">
          <cell r="A619" t="str">
            <v>R.KHATTAR &amp; ASSOCIATES</v>
          </cell>
          <cell r="D619">
            <v>0</v>
          </cell>
        </row>
        <row r="620">
          <cell r="A620" t="str">
            <v>R.K.ELECTRICAL WORKS</v>
          </cell>
          <cell r="D620">
            <v>422</v>
          </cell>
        </row>
        <row r="621">
          <cell r="A621" t="str">
            <v>RUBY AUTO INDUSTRIES</v>
          </cell>
          <cell r="C621">
            <v>16037</v>
          </cell>
        </row>
        <row r="622">
          <cell r="A622" t="str">
            <v>RAM PARSHAD</v>
          </cell>
          <cell r="D622">
            <v>0</v>
          </cell>
        </row>
        <row r="623">
          <cell r="A623" t="str">
            <v>RIMA LIFTERS</v>
          </cell>
          <cell r="D623">
            <v>0</v>
          </cell>
        </row>
        <row r="624">
          <cell r="A624" t="str">
            <v>RAJESH DIESELS &amp; EARTHMOVERS PVT LTD</v>
          </cell>
          <cell r="D624">
            <v>0</v>
          </cell>
        </row>
        <row r="625">
          <cell r="A625" t="str">
            <v>R.K. FIRE PROTECTION</v>
          </cell>
          <cell r="D625">
            <v>12771</v>
          </cell>
        </row>
        <row r="626">
          <cell r="A626" t="str">
            <v>RAMASU HYDRAULICS PVT LTD</v>
          </cell>
          <cell r="D626">
            <v>0</v>
          </cell>
        </row>
        <row r="627">
          <cell r="A627" t="str">
            <v>RAMSUN  LIGHTING UDYOG</v>
          </cell>
          <cell r="D627">
            <v>0</v>
          </cell>
        </row>
        <row r="628">
          <cell r="A628" t="str">
            <v>RANK ADVERTISING</v>
          </cell>
          <cell r="D628">
            <v>0</v>
          </cell>
        </row>
        <row r="629">
          <cell r="A629" t="str">
            <v>RELIANCE INDUSTRIES LTD</v>
          </cell>
          <cell r="D629">
            <v>67.5</v>
          </cell>
        </row>
        <row r="630">
          <cell r="A630" t="str">
            <v>RAINBOW AQUA EQUIPMENTS</v>
          </cell>
          <cell r="D630">
            <v>0</v>
          </cell>
        </row>
        <row r="631">
          <cell r="A631" t="str">
            <v>R.V. ENTERPRISES</v>
          </cell>
          <cell r="C631">
            <v>95680</v>
          </cell>
        </row>
        <row r="632">
          <cell r="A632" t="str">
            <v>SUNDRY CREDITOR-S</v>
          </cell>
        </row>
        <row r="633">
          <cell r="A633" t="str">
            <v>Scout Dynamics</v>
          </cell>
          <cell r="D633">
            <v>0</v>
          </cell>
        </row>
        <row r="634">
          <cell r="A634" t="str">
            <v>SHADES</v>
          </cell>
          <cell r="D634">
            <v>0</v>
          </cell>
        </row>
        <row r="635">
          <cell r="A635" t="str">
            <v>SHUBH ENGINEERS</v>
          </cell>
          <cell r="D635">
            <v>5000</v>
          </cell>
        </row>
        <row r="636">
          <cell r="A636" t="str">
            <v>SUPER PARTS LIMITED</v>
          </cell>
          <cell r="D636">
            <v>1171</v>
          </cell>
        </row>
        <row r="637">
          <cell r="A637" t="str">
            <v>SONU POLYMERS (P) LTD</v>
          </cell>
          <cell r="D637">
            <v>9554.01</v>
          </cell>
        </row>
        <row r="638">
          <cell r="A638" t="str">
            <v>SHRI RAM PRINTERS</v>
          </cell>
          <cell r="D638">
            <v>5252.52</v>
          </cell>
        </row>
        <row r="639">
          <cell r="A639" t="str">
            <v>SUNDARAM INDUSTRIES LIMITED</v>
          </cell>
          <cell r="D639">
            <v>21386.77</v>
          </cell>
        </row>
        <row r="640">
          <cell r="A640" t="str">
            <v>SUBHRAJ ENGINEERS</v>
          </cell>
          <cell r="D640">
            <v>1674.25</v>
          </cell>
        </row>
        <row r="641">
          <cell r="A641" t="str">
            <v>SANJEEV TAYAL &amp; CO.</v>
          </cell>
          <cell r="D641">
            <v>0</v>
          </cell>
        </row>
        <row r="642">
          <cell r="A642" t="str">
            <v>SUN &amp; MOON TRAVELS (INDIA) PVT LTD</v>
          </cell>
          <cell r="D642">
            <v>0</v>
          </cell>
        </row>
        <row r="643">
          <cell r="A643" t="str">
            <v>SCIENTIFIC &amp; INDUSTRIAL ENTERPRISES</v>
          </cell>
          <cell r="D643">
            <v>475</v>
          </cell>
        </row>
        <row r="644">
          <cell r="A644" t="str">
            <v>SHIVAM FABRICATION AND ENGG. WORKS</v>
          </cell>
          <cell r="D644">
            <v>600</v>
          </cell>
        </row>
        <row r="645">
          <cell r="A645" t="str">
            <v>SKF BEARINGS INDIA LIMITED</v>
          </cell>
          <cell r="D645">
            <v>0</v>
          </cell>
        </row>
        <row r="646">
          <cell r="A646" t="str">
            <v>SUN DWEEP ENGINEERS (P) LTD</v>
          </cell>
          <cell r="D646">
            <v>378018.27</v>
          </cell>
        </row>
        <row r="647">
          <cell r="A647" t="str">
            <v>SISODIA ENGINEERING</v>
          </cell>
          <cell r="D647">
            <v>43188.45</v>
          </cell>
        </row>
        <row r="648">
          <cell r="A648" t="str">
            <v>SUMESH ENGINEERING WORKS</v>
          </cell>
          <cell r="D648">
            <v>134792.04</v>
          </cell>
        </row>
        <row r="649">
          <cell r="A649" t="str">
            <v>SIMPSON &amp; CO. LTD.</v>
          </cell>
          <cell r="D649">
            <v>6503.51</v>
          </cell>
        </row>
        <row r="650">
          <cell r="A650" t="str">
            <v>SUNIKA BEE PARKASH</v>
          </cell>
          <cell r="D650">
            <v>0</v>
          </cell>
        </row>
        <row r="651">
          <cell r="A651" t="str">
            <v>STRIPCO SPRINGS PVT LTD</v>
          </cell>
          <cell r="D651">
            <v>0</v>
          </cell>
        </row>
        <row r="652">
          <cell r="A652" t="str">
            <v>SHIPM SHILA ENGINEERS PVT LTD</v>
          </cell>
          <cell r="D652">
            <v>0</v>
          </cell>
        </row>
        <row r="653">
          <cell r="A653" t="str">
            <v>SHIVAM MEDICOS</v>
          </cell>
          <cell r="D653">
            <v>2773.53</v>
          </cell>
        </row>
        <row r="654">
          <cell r="A654" t="str">
            <v>SHIVAM DEPARTMENTAL STORE</v>
          </cell>
          <cell r="D654">
            <v>16624.55</v>
          </cell>
        </row>
        <row r="655">
          <cell r="A655" t="str">
            <v>STAR WIRE (INDIA) LIMITED</v>
          </cell>
          <cell r="D655">
            <v>0</v>
          </cell>
        </row>
        <row r="656">
          <cell r="A656" t="str">
            <v>SAMIT SALES (P) LTD</v>
          </cell>
          <cell r="D656">
            <v>392.1</v>
          </cell>
        </row>
        <row r="657">
          <cell r="A657" t="str">
            <v>SURAJ PLASTIC INDUSTRIES</v>
          </cell>
          <cell r="D657">
            <v>0</v>
          </cell>
        </row>
        <row r="658">
          <cell r="A658" t="str">
            <v>SVAM POWER PLANTS (P) LTD</v>
          </cell>
          <cell r="D658">
            <v>857</v>
          </cell>
        </row>
        <row r="659">
          <cell r="A659" t="str">
            <v>SHARP INDUSTRIES</v>
          </cell>
          <cell r="D659">
            <v>0</v>
          </cell>
        </row>
        <row r="660">
          <cell r="A660" t="str">
            <v>SUN TRADERS</v>
          </cell>
          <cell r="D660">
            <v>0</v>
          </cell>
        </row>
        <row r="661">
          <cell r="A661" t="str">
            <v>SHARMA COMMUNICATION</v>
          </cell>
          <cell r="D661">
            <v>0</v>
          </cell>
        </row>
        <row r="662">
          <cell r="A662" t="str">
            <v>S.S. SETHI</v>
          </cell>
          <cell r="D662">
            <v>0</v>
          </cell>
        </row>
        <row r="663">
          <cell r="A663" t="str">
            <v>STJ ELECTRONICS PVT LTD</v>
          </cell>
          <cell r="D663">
            <v>4160</v>
          </cell>
        </row>
        <row r="664">
          <cell r="A664" t="str">
            <v>SAINIK MACHINE TOOLS</v>
          </cell>
          <cell r="D664">
            <v>5445</v>
          </cell>
        </row>
        <row r="665">
          <cell r="A665" t="str">
            <v>SAFEXPRESS</v>
          </cell>
          <cell r="D665">
            <v>0</v>
          </cell>
        </row>
        <row r="666">
          <cell r="A666" t="str">
            <v>SARASWATI CHEMICAL INDUSTRIES</v>
          </cell>
          <cell r="D666">
            <v>2259.96</v>
          </cell>
        </row>
        <row r="667">
          <cell r="A667" t="str">
            <v>SHRI RAM INST.OF INDUS. RESEARCH</v>
          </cell>
          <cell r="D667">
            <v>7051.5</v>
          </cell>
        </row>
        <row r="668">
          <cell r="A668" t="str">
            <v>SINDHU CAB</v>
          </cell>
          <cell r="D668">
            <v>4333</v>
          </cell>
        </row>
        <row r="669">
          <cell r="A669" t="str">
            <v>SPIRE INDIA</v>
          </cell>
          <cell r="D669">
            <v>6967.36</v>
          </cell>
        </row>
        <row r="670">
          <cell r="A670" t="str">
            <v>STEEL UDYOG</v>
          </cell>
          <cell r="D670">
            <v>0</v>
          </cell>
        </row>
        <row r="671">
          <cell r="A671" t="str">
            <v>STERLING BULB INDUSTRIES</v>
          </cell>
          <cell r="D671">
            <v>1107.05</v>
          </cell>
        </row>
        <row r="672">
          <cell r="A672" t="str">
            <v>SUPER SALES CORP.</v>
          </cell>
          <cell r="D672">
            <v>4596</v>
          </cell>
        </row>
        <row r="673">
          <cell r="A673" t="str">
            <v>SPECTRO ANALYTICAL LABS (P) LTD.</v>
          </cell>
          <cell r="D673">
            <v>0</v>
          </cell>
        </row>
        <row r="674">
          <cell r="A674" t="str">
            <v>SABARWAL INDUSTRIAL CORP.</v>
          </cell>
          <cell r="D674">
            <v>3000</v>
          </cell>
        </row>
        <row r="675">
          <cell r="A675" t="str">
            <v>SHAH CONCABS (P) LTD.</v>
          </cell>
          <cell r="D675">
            <v>43672</v>
          </cell>
        </row>
        <row r="676">
          <cell r="A676" t="str">
            <v>S.S. CONSTRUCTIONS</v>
          </cell>
          <cell r="D676">
            <v>4190</v>
          </cell>
        </row>
        <row r="677">
          <cell r="A677" t="str">
            <v>SANJIV SINGH RAO,ADVOCATE</v>
          </cell>
          <cell r="D677">
            <v>8850</v>
          </cell>
        </row>
        <row r="678">
          <cell r="A678" t="str">
            <v>SHREEJI BEARING ENTERPRISES</v>
          </cell>
          <cell r="D678">
            <v>0</v>
          </cell>
        </row>
        <row r="679">
          <cell r="A679" t="str">
            <v>S.K. PHOTO LAMINATION</v>
          </cell>
          <cell r="D679">
            <v>0</v>
          </cell>
        </row>
        <row r="680">
          <cell r="A680" t="str">
            <v>SONI TECH (INDIA)</v>
          </cell>
          <cell r="D680">
            <v>0</v>
          </cell>
        </row>
        <row r="681">
          <cell r="A681" t="str">
            <v>SHRIRAM HARIRAM JEWELLERS</v>
          </cell>
          <cell r="D681">
            <v>0</v>
          </cell>
        </row>
        <row r="682">
          <cell r="A682" t="str">
            <v>S.R. DINODIA &amp; CO.</v>
          </cell>
          <cell r="D682">
            <v>0</v>
          </cell>
        </row>
        <row r="683">
          <cell r="A683" t="str">
            <v>SONNEIX INDIA</v>
          </cell>
          <cell r="D683">
            <v>0</v>
          </cell>
        </row>
        <row r="684">
          <cell r="A684" t="str">
            <v>Schmolz+Bickenbach</v>
          </cell>
          <cell r="D684">
            <v>0</v>
          </cell>
        </row>
        <row r="685">
          <cell r="A685" t="str">
            <v>SORABH AUTOLIFT SERVICE</v>
          </cell>
          <cell r="D685">
            <v>0</v>
          </cell>
        </row>
        <row r="686">
          <cell r="A686" t="str">
            <v>SANTOSH ENTERPRISES</v>
          </cell>
          <cell r="D686">
            <v>0</v>
          </cell>
        </row>
        <row r="687">
          <cell r="A687" t="str">
            <v>SAR SALES PVT LTD.</v>
          </cell>
          <cell r="D687">
            <v>0</v>
          </cell>
        </row>
        <row r="688">
          <cell r="A688" t="str">
            <v>SHANKER GEN. STORE</v>
          </cell>
          <cell r="D688">
            <v>0</v>
          </cell>
        </row>
        <row r="689">
          <cell r="A689" t="str">
            <v>SHINEGUARD (INDIA) LTD</v>
          </cell>
          <cell r="D689">
            <v>0</v>
          </cell>
        </row>
        <row r="690">
          <cell r="A690" t="str">
            <v>SUPERIOR PRODUCTS INDUSTRIES</v>
          </cell>
          <cell r="D690">
            <v>0</v>
          </cell>
        </row>
        <row r="691">
          <cell r="A691" t="str">
            <v>STATIONERS 2000</v>
          </cell>
          <cell r="D691">
            <v>209.26</v>
          </cell>
        </row>
        <row r="692">
          <cell r="A692" t="str">
            <v>SHIVAM FABRICATORS</v>
          </cell>
          <cell r="D692">
            <v>0</v>
          </cell>
        </row>
        <row r="693">
          <cell r="A693" t="str">
            <v>SERVICE EQUIPMENT COMPANY</v>
          </cell>
          <cell r="D693">
            <v>0</v>
          </cell>
        </row>
        <row r="694">
          <cell r="A694" t="str">
            <v>SAUER DANFOSS INDIA PVT LTD</v>
          </cell>
          <cell r="D694">
            <v>0</v>
          </cell>
        </row>
        <row r="695">
          <cell r="A695" t="str">
            <v>SCIENTIFIC AGENCIES PVT LTD</v>
          </cell>
          <cell r="D695">
            <v>0</v>
          </cell>
        </row>
        <row r="696">
          <cell r="A696" t="str">
            <v>SUPER ELECTRICAL CO.</v>
          </cell>
          <cell r="D696">
            <v>0</v>
          </cell>
        </row>
        <row r="697">
          <cell r="A697" t="str">
            <v>SMK TRADERS &amp; ENGINEERS</v>
          </cell>
          <cell r="D697">
            <v>1995</v>
          </cell>
        </row>
        <row r="698">
          <cell r="A698" t="str">
            <v>SAARC TEST HOUSE</v>
          </cell>
          <cell r="D698">
            <v>0</v>
          </cell>
        </row>
        <row r="699">
          <cell r="A699" t="str">
            <v>SOUTH EASTERN ROADWAYS</v>
          </cell>
          <cell r="D699">
            <v>0</v>
          </cell>
        </row>
        <row r="700">
          <cell r="A700" t="str">
            <v>SHICAGO TOOLS &amp; COMPONENTS</v>
          </cell>
          <cell r="D700">
            <v>670174.64</v>
          </cell>
        </row>
        <row r="701">
          <cell r="A701" t="str">
            <v>SQUARE TECH ENGINEERS</v>
          </cell>
          <cell r="D701">
            <v>0</v>
          </cell>
        </row>
        <row r="702">
          <cell r="A702" t="str">
            <v>SARAL SALES PRIVATE LIMITED</v>
          </cell>
          <cell r="D702">
            <v>10531.52</v>
          </cell>
        </row>
        <row r="703">
          <cell r="A703" t="str">
            <v>SUNEX POWER CONTROLS</v>
          </cell>
          <cell r="D703">
            <v>0</v>
          </cell>
        </row>
        <row r="704">
          <cell r="A704" t="str">
            <v>SHRI LAXMI TUBE CO.</v>
          </cell>
          <cell r="D704">
            <v>0</v>
          </cell>
        </row>
        <row r="705">
          <cell r="A705" t="str">
            <v>STANDARD ELECTRICAL &amp; REFRIGERATION WORKS</v>
          </cell>
          <cell r="D705">
            <v>650</v>
          </cell>
        </row>
        <row r="706">
          <cell r="A706" t="str">
            <v>SHRI RAM GRAPHICS</v>
          </cell>
          <cell r="D706">
            <v>3396.36</v>
          </cell>
        </row>
        <row r="707">
          <cell r="A707" t="str">
            <v>SHRI RADHEY TRADERS</v>
          </cell>
          <cell r="D707">
            <v>5600</v>
          </cell>
        </row>
        <row r="708">
          <cell r="A708" t="str">
            <v>SUNDRY CREDITOR-T</v>
          </cell>
        </row>
        <row r="709">
          <cell r="A709" t="str">
            <v>THE ANTIFRICTION BEARINGS CORP LTD</v>
          </cell>
          <cell r="D709">
            <v>0</v>
          </cell>
        </row>
        <row r="710">
          <cell r="A710" t="str">
            <v>TARUN AUTOMOBILES</v>
          </cell>
          <cell r="D710">
            <v>0</v>
          </cell>
        </row>
        <row r="711">
          <cell r="A711" t="str">
            <v>TATA ENGINEERING &amp; LOCOMOTIVE CO LT</v>
          </cell>
          <cell r="D711">
            <v>1030185.6</v>
          </cell>
        </row>
        <row r="712">
          <cell r="A712" t="str">
            <v>TEST MAC SERVICES</v>
          </cell>
          <cell r="D712">
            <v>0</v>
          </cell>
        </row>
        <row r="713">
          <cell r="A713" t="str">
            <v>TRIG ENGINEERS &amp; CONSTRUCTORS</v>
          </cell>
          <cell r="D713">
            <v>0</v>
          </cell>
        </row>
        <row r="714">
          <cell r="A714" t="str">
            <v>TIRUPATI INDUSTRIAL CHEMICAL PVT LT</v>
          </cell>
          <cell r="D714">
            <v>0</v>
          </cell>
        </row>
        <row r="715">
          <cell r="A715" t="str">
            <v>TABSONS INDUSTRIES</v>
          </cell>
          <cell r="D715">
            <v>0</v>
          </cell>
        </row>
        <row r="716">
          <cell r="A716" t="str">
            <v>THE WELFAIR SHOP</v>
          </cell>
          <cell r="D716">
            <v>12375</v>
          </cell>
        </row>
        <row r="717">
          <cell r="A717" t="str">
            <v>THE OBEROI,NEW DELHI</v>
          </cell>
          <cell r="D717">
            <v>0</v>
          </cell>
        </row>
        <row r="718">
          <cell r="A718" t="str">
            <v>TERA ATTO APPLIANCES (P) LTD</v>
          </cell>
          <cell r="D718">
            <v>1109.1199999999999</v>
          </cell>
        </row>
        <row r="719">
          <cell r="A719" t="str">
            <v>T I DIAMOND CHAIN LTD</v>
          </cell>
          <cell r="D719">
            <v>297579.34999999998</v>
          </cell>
        </row>
        <row r="720">
          <cell r="A720" t="str">
            <v>TOSHI AUTO INDUSTRIES (P) LIMITED</v>
          </cell>
          <cell r="D720">
            <v>0</v>
          </cell>
        </row>
        <row r="721">
          <cell r="A721" t="str">
            <v>TANU PEST CONTROL</v>
          </cell>
          <cell r="D721">
            <v>0</v>
          </cell>
        </row>
        <row r="722">
          <cell r="A722" t="str">
            <v>TECHNOLINKS ENGINEERS &amp; FABRICATORS</v>
          </cell>
          <cell r="D722">
            <v>4455.3999999999996</v>
          </cell>
        </row>
        <row r="723">
          <cell r="A723" t="str">
            <v>THE SURYA</v>
          </cell>
          <cell r="D723">
            <v>0</v>
          </cell>
        </row>
        <row r="724">
          <cell r="A724" t="str">
            <v>THE PROFESSIONAL COURIER</v>
          </cell>
          <cell r="D724">
            <v>4030.1</v>
          </cell>
        </row>
        <row r="725">
          <cell r="A725" t="str">
            <v>THAKURAL ELECTRIC WORKS</v>
          </cell>
          <cell r="D725">
            <v>935.68</v>
          </cell>
        </row>
        <row r="726">
          <cell r="A726" t="str">
            <v>TECHNICAL TOOL INDUSTRIES</v>
          </cell>
          <cell r="D726">
            <v>68853.78</v>
          </cell>
        </row>
        <row r="727">
          <cell r="A727" t="str">
            <v>THE NEW INDIA ASSURANCE CO.LTD.</v>
          </cell>
          <cell r="D727">
            <v>161</v>
          </cell>
        </row>
        <row r="728">
          <cell r="A728" t="str">
            <v>THE TATA IRON STEEL CO. LTD.</v>
          </cell>
          <cell r="D728">
            <v>0</v>
          </cell>
        </row>
        <row r="729">
          <cell r="A729" t="str">
            <v>THE BLESSINGS</v>
          </cell>
          <cell r="D729">
            <v>0</v>
          </cell>
        </row>
        <row r="730">
          <cell r="A730" t="str">
            <v>TEARYUK RUBBER BELT CO. LTD.</v>
          </cell>
          <cell r="D730">
            <v>0</v>
          </cell>
        </row>
        <row r="731">
          <cell r="A731" t="str">
            <v>TQM INTERNATIONAL PVT LTD</v>
          </cell>
          <cell r="D731">
            <v>0</v>
          </cell>
        </row>
        <row r="732">
          <cell r="A732" t="str">
            <v>TUV SUDDEUTSCHLAND INDIA PVT LTD</v>
          </cell>
          <cell r="D732">
            <v>0</v>
          </cell>
        </row>
        <row r="733">
          <cell r="A733" t="str">
            <v>TUBE WELL ENGG. WORKS</v>
          </cell>
          <cell r="D733">
            <v>0</v>
          </cell>
        </row>
        <row r="734">
          <cell r="A734" t="str">
            <v>TECHNI AIDS</v>
          </cell>
          <cell r="D734">
            <v>0</v>
          </cell>
        </row>
        <row r="735">
          <cell r="A735" t="str">
            <v>THE SHELTERS</v>
          </cell>
          <cell r="D735">
            <v>0</v>
          </cell>
        </row>
        <row r="736">
          <cell r="A736" t="str">
            <v>TIMES MARKETING PVT LTD</v>
          </cell>
          <cell r="D736">
            <v>0</v>
          </cell>
        </row>
        <row r="737">
          <cell r="A737" t="str">
            <v>TELEGROUP INDIA LTD</v>
          </cell>
          <cell r="D737">
            <v>0</v>
          </cell>
        </row>
        <row r="738">
          <cell r="A738" t="str">
            <v>THINK INC.</v>
          </cell>
          <cell r="D738">
            <v>0</v>
          </cell>
        </row>
        <row r="739">
          <cell r="A739" t="str">
            <v>TEST LINE SERVICES</v>
          </cell>
          <cell r="D739">
            <v>0</v>
          </cell>
        </row>
        <row r="740">
          <cell r="A740" t="str">
            <v>TELERIKSSON GALLERY</v>
          </cell>
          <cell r="D740">
            <v>0</v>
          </cell>
        </row>
        <row r="741">
          <cell r="A741" t="str">
            <v>THOMAS COOK (INDIA) LTD</v>
          </cell>
          <cell r="D741">
            <v>90165</v>
          </cell>
        </row>
        <row r="742">
          <cell r="A742" t="str">
            <v>TRANSAIR PNEUMATICS PVT LTD</v>
          </cell>
          <cell r="D742">
            <v>0</v>
          </cell>
        </row>
        <row r="743">
          <cell r="A743" t="str">
            <v>TAYAL INDIA MOTORS PVT LTD</v>
          </cell>
          <cell r="D743">
            <v>0</v>
          </cell>
        </row>
        <row r="744">
          <cell r="A744" t="str">
            <v>TALLY SOLUTIONS PVT LTD</v>
          </cell>
          <cell r="C744">
            <v>53460</v>
          </cell>
        </row>
        <row r="745">
          <cell r="A745" t="str">
            <v>TECHNO COMMERCIAL CONSULTANCY SERVICES</v>
          </cell>
          <cell r="D745">
            <v>0</v>
          </cell>
        </row>
        <row r="746">
          <cell r="A746" t="str">
            <v>TIRUPATI OIL CO.</v>
          </cell>
          <cell r="D746">
            <v>15545</v>
          </cell>
        </row>
        <row r="747">
          <cell r="A747" t="str">
            <v>SUNDRY CREDITOR-U</v>
          </cell>
        </row>
        <row r="748">
          <cell r="A748" t="str">
            <v>UNITED TRADING CO.</v>
          </cell>
          <cell r="D748">
            <v>0</v>
          </cell>
        </row>
        <row r="749">
          <cell r="A749" t="str">
            <v>UMA SHANKAR KHANDELWAL &amp; CO.</v>
          </cell>
          <cell r="D749">
            <v>0</v>
          </cell>
        </row>
        <row r="750">
          <cell r="A750" t="str">
            <v>UNITED TRADERS &amp; ENGINEERS</v>
          </cell>
          <cell r="D750">
            <v>5619.12</v>
          </cell>
        </row>
        <row r="751">
          <cell r="A751" t="str">
            <v>UNITED REFRIGERATION &amp; ELECTRIC WOR</v>
          </cell>
          <cell r="D751">
            <v>0</v>
          </cell>
        </row>
        <row r="752">
          <cell r="A752" t="str">
            <v>UNIVERSAL LAW LINKERS</v>
          </cell>
          <cell r="D752">
            <v>600</v>
          </cell>
        </row>
        <row r="753">
          <cell r="A753" t="str">
            <v>UNICORP INDUSTRIES</v>
          </cell>
          <cell r="D753">
            <v>5475.6</v>
          </cell>
        </row>
        <row r="754">
          <cell r="A754" t="str">
            <v>UNIVERSAL BOOK CORP.</v>
          </cell>
          <cell r="D754">
            <v>0</v>
          </cell>
        </row>
        <row r="755">
          <cell r="A755" t="str">
            <v>UNITED INDIA INSURANCE CO. LTD</v>
          </cell>
          <cell r="C755">
            <v>39000</v>
          </cell>
        </row>
        <row r="756">
          <cell r="A756" t="str">
            <v>UNITY CHAINS</v>
          </cell>
          <cell r="D756">
            <v>0</v>
          </cell>
        </row>
        <row r="757">
          <cell r="A757" t="str">
            <v>UPADHAYAY TECHNICAL SERIVCES</v>
          </cell>
          <cell r="D757">
            <v>0</v>
          </cell>
        </row>
        <row r="758">
          <cell r="A758" t="str">
            <v>U.S. ENGINEERING WORKS</v>
          </cell>
          <cell r="D758">
            <v>0</v>
          </cell>
        </row>
        <row r="759">
          <cell r="A759" t="str">
            <v>UNIVERSAL FOODS PVT LTD</v>
          </cell>
          <cell r="D759">
            <v>0</v>
          </cell>
        </row>
        <row r="760">
          <cell r="A760" t="str">
            <v>UPADHAYAY INSTRUMENT WORKS</v>
          </cell>
          <cell r="D760">
            <v>323</v>
          </cell>
        </row>
        <row r="761">
          <cell r="A761" t="str">
            <v>UVS ENGINEERS</v>
          </cell>
          <cell r="D761">
            <v>0</v>
          </cell>
        </row>
        <row r="762">
          <cell r="A762" t="str">
            <v>SUNDRY CREDITOR-V</v>
          </cell>
        </row>
        <row r="763">
          <cell r="A763" t="str">
            <v>VISHNU ENTERPRISES</v>
          </cell>
          <cell r="D763">
            <v>0</v>
          </cell>
        </row>
        <row r="764">
          <cell r="A764" t="str">
            <v>VIKAS FORGINGS PVT. LTD.</v>
          </cell>
          <cell r="D764">
            <v>0</v>
          </cell>
        </row>
        <row r="765">
          <cell r="A765" t="str">
            <v>VIKAS INDUSTRIES</v>
          </cell>
          <cell r="C765">
            <v>860.85</v>
          </cell>
        </row>
        <row r="766">
          <cell r="A766" t="str">
            <v>VALLABH AUTOCAST LTD</v>
          </cell>
          <cell r="D766">
            <v>0</v>
          </cell>
        </row>
        <row r="767">
          <cell r="A767" t="str">
            <v>VIJAY ENGG WORKS</v>
          </cell>
          <cell r="D767">
            <v>0</v>
          </cell>
        </row>
        <row r="768">
          <cell r="A768" t="str">
            <v>VERMA SALES &amp; PRODUCTS</v>
          </cell>
          <cell r="D768">
            <v>375</v>
          </cell>
        </row>
        <row r="769">
          <cell r="A769" t="str">
            <v>VAR</v>
          </cell>
          <cell r="D769">
            <v>0</v>
          </cell>
        </row>
        <row r="770">
          <cell r="A770" t="str">
            <v>VINAY TRADING CORP.</v>
          </cell>
          <cell r="D770">
            <v>7231</v>
          </cell>
        </row>
        <row r="771">
          <cell r="A771" t="str">
            <v>VIRAJ TECHNOCRATS</v>
          </cell>
          <cell r="D771">
            <v>0</v>
          </cell>
        </row>
        <row r="772">
          <cell r="A772" t="str">
            <v>VIJAY MALLEABLE (P) LTD.</v>
          </cell>
          <cell r="D772">
            <v>0</v>
          </cell>
        </row>
        <row r="773">
          <cell r="A773" t="str">
            <v>V.N. INDUSTRIES</v>
          </cell>
          <cell r="D773">
            <v>1799.17</v>
          </cell>
        </row>
        <row r="774">
          <cell r="A774" t="str">
            <v>VOLTAS LIMITED</v>
          </cell>
          <cell r="D774">
            <v>0</v>
          </cell>
        </row>
        <row r="775">
          <cell r="A775" t="str">
            <v>VIKRAM MACHINE TOOLS</v>
          </cell>
          <cell r="D775">
            <v>800</v>
          </cell>
        </row>
        <row r="776">
          <cell r="A776" t="str">
            <v>VIJAY METAL FORGING PVT LTD</v>
          </cell>
          <cell r="D776">
            <v>3422</v>
          </cell>
        </row>
        <row r="777">
          <cell r="A777" t="str">
            <v>VISHAL ENGINEERS</v>
          </cell>
          <cell r="D777">
            <v>0</v>
          </cell>
        </row>
        <row r="778">
          <cell r="A778" t="str">
            <v>V.K. PALIWAL</v>
          </cell>
          <cell r="C778">
            <v>4198</v>
          </cell>
        </row>
        <row r="779">
          <cell r="A779" t="str">
            <v>VIBRODYNE TECHNOLOGIES</v>
          </cell>
          <cell r="D779">
            <v>0</v>
          </cell>
        </row>
        <row r="780">
          <cell r="A780" t="str">
            <v>VIBGYOR INTERNATIONAL PVT LTD</v>
          </cell>
          <cell r="D780">
            <v>0</v>
          </cell>
        </row>
        <row r="781">
          <cell r="A781" t="str">
            <v>V.R. FORKLIFT MARKETING PVT LTD</v>
          </cell>
          <cell r="D781">
            <v>0</v>
          </cell>
        </row>
        <row r="782">
          <cell r="A782" t="str">
            <v>VERMA TENT HOUSE</v>
          </cell>
          <cell r="D782">
            <v>0</v>
          </cell>
        </row>
        <row r="783">
          <cell r="A783" t="str">
            <v>VIJAY SHANKAR</v>
          </cell>
          <cell r="D783">
            <v>7592</v>
          </cell>
        </row>
        <row r="784">
          <cell r="A784" t="str">
            <v>VEEN TACK INTERIORS</v>
          </cell>
          <cell r="D784">
            <v>0</v>
          </cell>
        </row>
        <row r="785">
          <cell r="A785" t="str">
            <v>V.S. COMPUTERS &amp; COMMUNICATION</v>
          </cell>
          <cell r="D785">
            <v>3050</v>
          </cell>
        </row>
        <row r="786">
          <cell r="A786" t="str">
            <v>VINAY ENTERPRISES</v>
          </cell>
          <cell r="D786">
            <v>0</v>
          </cell>
        </row>
        <row r="787">
          <cell r="A787" t="str">
            <v>VIPIN KUMAR SOOD (VIPIN PROPERTIES)</v>
          </cell>
          <cell r="D787">
            <v>0</v>
          </cell>
        </row>
        <row r="788">
          <cell r="A788" t="str">
            <v>VEENA VENETIAN BLINDS</v>
          </cell>
          <cell r="D788">
            <v>2258</v>
          </cell>
        </row>
        <row r="789">
          <cell r="A789" t="str">
            <v>SUNDRY CREDITOR-W</v>
          </cell>
        </row>
        <row r="790">
          <cell r="A790" t="str">
            <v>WELDING SYSTEMS</v>
          </cell>
          <cell r="D790">
            <v>0</v>
          </cell>
        </row>
        <row r="791">
          <cell r="A791" t="str">
            <v>WALVOIL (ITALY)</v>
          </cell>
          <cell r="D791">
            <v>73144.649999999994</v>
          </cell>
        </row>
        <row r="792">
          <cell r="A792" t="str">
            <v>WIPRO LTD.</v>
          </cell>
          <cell r="D792">
            <v>24533</v>
          </cell>
        </row>
        <row r="793">
          <cell r="A793" t="str">
            <v>WELDARC PRODUCTS INDUSTRIES</v>
          </cell>
          <cell r="D793">
            <v>3647</v>
          </cell>
        </row>
        <row r="794">
          <cell r="A794" t="str">
            <v>WEB LINK INDIA</v>
          </cell>
          <cell r="D794">
            <v>0</v>
          </cell>
        </row>
        <row r="795">
          <cell r="A795" t="str">
            <v>WESCO AUTO PRODUCTS (I) PVT LTD</v>
          </cell>
          <cell r="D795">
            <v>0</v>
          </cell>
        </row>
        <row r="796">
          <cell r="A796" t="str">
            <v>WHIRLPOOL OF INDIA LIMITED</v>
          </cell>
          <cell r="C796">
            <v>11700</v>
          </cell>
        </row>
        <row r="797">
          <cell r="A797" t="str">
            <v>WIPRO FLUID POWER LTD</v>
          </cell>
          <cell r="D797">
            <v>0</v>
          </cell>
        </row>
        <row r="798">
          <cell r="A798" t="str">
            <v>SUNDRY CREDITOR-X</v>
          </cell>
        </row>
        <row r="799">
          <cell r="A799" t="str">
            <v>XEROX MODICORP LIMITED</v>
          </cell>
          <cell r="D799">
            <v>23217</v>
          </cell>
        </row>
        <row r="800">
          <cell r="A800" t="str">
            <v>SUNDRY CREDITOR-Y</v>
          </cell>
        </row>
        <row r="801">
          <cell r="A801" t="str">
            <v>YUVA ENGINEERS</v>
          </cell>
          <cell r="D801">
            <v>63616</v>
          </cell>
        </row>
        <row r="802">
          <cell r="A802" t="str">
            <v>SUNDRY CREDITOR-Z</v>
          </cell>
        </row>
        <row r="803">
          <cell r="A803" t="str">
            <v>OTHER LIABILITIES</v>
          </cell>
        </row>
        <row r="804">
          <cell r="A804" t="str">
            <v>Dividend Payable-Claas KGaA</v>
          </cell>
          <cell r="D804">
            <v>0</v>
          </cell>
        </row>
        <row r="805">
          <cell r="A805" t="str">
            <v>Dividend Tax Payable</v>
          </cell>
          <cell r="D805">
            <v>0</v>
          </cell>
        </row>
        <row r="806">
          <cell r="A806" t="str">
            <v>VIKAS INDUSTRIES (AMORTISATION)</v>
          </cell>
          <cell r="D806">
            <v>55.05</v>
          </cell>
        </row>
        <row r="807">
          <cell r="A807" t="str">
            <v>H.K. ENGINEERS (AMORTISATION)</v>
          </cell>
          <cell r="D807">
            <v>1388.2</v>
          </cell>
        </row>
        <row r="808">
          <cell r="A808" t="str">
            <v>OMEGA ENTERPRISES (AMORTISATION)</v>
          </cell>
          <cell r="D808">
            <v>2268.6</v>
          </cell>
        </row>
        <row r="809">
          <cell r="A809" t="str">
            <v>KISHAN ENGINEERS (AMORTISATION)</v>
          </cell>
          <cell r="D809">
            <v>31241.599999999999</v>
          </cell>
        </row>
        <row r="810">
          <cell r="A810" t="str">
            <v>DEFERRED TAX</v>
          </cell>
          <cell r="D810">
            <v>13200303.716825001</v>
          </cell>
        </row>
        <row r="811">
          <cell r="A811" t="str">
            <v>RASHY TOOLS ( AMORTISATION)</v>
          </cell>
          <cell r="D811">
            <v>5416.32</v>
          </cell>
        </row>
        <row r="812">
          <cell r="A812" t="str">
            <v>PRODUCTION DEPT-FIN. GOOD RECEIPTS</v>
          </cell>
        </row>
        <row r="813">
          <cell r="A813" t="str">
            <v>SHARE CAPITAL</v>
          </cell>
        </row>
        <row r="814">
          <cell r="A814" t="str">
            <v>Preference Capital</v>
          </cell>
          <cell r="D814">
            <v>0</v>
          </cell>
        </row>
        <row r="815">
          <cell r="A815" t="str">
            <v>Equity Share Capital</v>
          </cell>
          <cell r="D815">
            <v>70000000</v>
          </cell>
        </row>
        <row r="816">
          <cell r="A816" t="str">
            <v>APPLICATION OF FUNDS</v>
          </cell>
        </row>
        <row r="817">
          <cell r="A817" t="str">
            <v>FIXED ASSETS</v>
          </cell>
        </row>
        <row r="818">
          <cell r="A818" t="str">
            <v>LAND</v>
          </cell>
        </row>
        <row r="819">
          <cell r="A819" t="str">
            <v>Factory Land</v>
          </cell>
          <cell r="C819">
            <v>26344619</v>
          </cell>
        </row>
        <row r="820">
          <cell r="A820" t="str">
            <v>BUILDINGS / PREMISES</v>
          </cell>
        </row>
        <row r="821">
          <cell r="A821" t="str">
            <v>Building-Factory</v>
          </cell>
          <cell r="C821">
            <v>47410971.829999998</v>
          </cell>
        </row>
        <row r="822">
          <cell r="A822" t="str">
            <v>PLANT &amp; MACHINERY</v>
          </cell>
        </row>
        <row r="823">
          <cell r="A823" t="str">
            <v>Plant &amp; Mach.-Dies/Pattrens-vendor</v>
          </cell>
          <cell r="C823">
            <v>1086688</v>
          </cell>
        </row>
        <row r="824">
          <cell r="A824" t="str">
            <v>Plant &amp; Mach.-Fbrication Equipment</v>
          </cell>
          <cell r="C824">
            <v>31532.400000000001</v>
          </cell>
        </row>
        <row r="825">
          <cell r="A825" t="str">
            <v>Plant &amp; Mach.-Harvestor Combine M/c</v>
          </cell>
          <cell r="C825">
            <v>1934230.82</v>
          </cell>
        </row>
        <row r="826">
          <cell r="A826" t="str">
            <v>Plant &amp; Mach.-Paint Shop Equipments</v>
          </cell>
          <cell r="C826">
            <v>994832.7</v>
          </cell>
        </row>
        <row r="827">
          <cell r="A827" t="str">
            <v>Plant &amp; Machinary-opening bal.</v>
          </cell>
          <cell r="C827">
            <v>45603747.119999997</v>
          </cell>
        </row>
        <row r="828">
          <cell r="A828" t="str">
            <v>Plant &amp; Mach - Machine for QA-3D</v>
          </cell>
          <cell r="C828">
            <v>2315921</v>
          </cell>
        </row>
        <row r="829">
          <cell r="A829" t="str">
            <v>Plant &amp; Mach.-Stores</v>
          </cell>
          <cell r="C829">
            <v>562109.06000000006</v>
          </cell>
        </row>
        <row r="830">
          <cell r="A830" t="str">
            <v>Plant &amp; Mach.-Others</v>
          </cell>
          <cell r="C830">
            <v>1006755.36</v>
          </cell>
        </row>
        <row r="831">
          <cell r="A831" t="str">
            <v>PLANT &amp; MACHINERY - A.C.</v>
          </cell>
          <cell r="C831">
            <v>44970</v>
          </cell>
        </row>
        <row r="832">
          <cell r="A832" t="str">
            <v>Plant &amp; Mach.-TAF 60</v>
          </cell>
          <cell r="C832">
            <v>0</v>
          </cell>
        </row>
        <row r="833">
          <cell r="A833" t="str">
            <v>FURNITURE AND FIXTURES</v>
          </cell>
        </row>
        <row r="834">
          <cell r="A834" t="str">
            <v>Furniture &amp; Fixture</v>
          </cell>
          <cell r="C834">
            <v>10315048.689999999</v>
          </cell>
        </row>
        <row r="835">
          <cell r="A835" t="str">
            <v>OFFICE &amp; OTHER EQUIPMENT</v>
          </cell>
        </row>
        <row r="836">
          <cell r="A836" t="str">
            <v>Office &amp; Other Equipments</v>
          </cell>
          <cell r="C836">
            <v>3882848.19</v>
          </cell>
        </row>
        <row r="837">
          <cell r="A837" t="str">
            <v>VEHICLES</v>
          </cell>
        </row>
        <row r="838">
          <cell r="A838" t="str">
            <v>Vehicles-Car</v>
          </cell>
          <cell r="C838">
            <v>4478746.79</v>
          </cell>
        </row>
        <row r="839">
          <cell r="A839" t="str">
            <v>COMPUTERS</v>
          </cell>
        </row>
        <row r="840">
          <cell r="A840" t="str">
            <v>Computer-Pc's &amp; Printers.</v>
          </cell>
          <cell r="C840">
            <v>8853087.9299999997</v>
          </cell>
        </row>
        <row r="841">
          <cell r="A841" t="str">
            <v>Computer- System Upgradations</v>
          </cell>
          <cell r="C841">
            <v>1765720</v>
          </cell>
        </row>
        <row r="842">
          <cell r="A842" t="str">
            <v>Computer - System software</v>
          </cell>
          <cell r="C842">
            <v>0</v>
          </cell>
        </row>
        <row r="843">
          <cell r="A843" t="str">
            <v>Computer- Networking</v>
          </cell>
          <cell r="C843">
            <v>19552</v>
          </cell>
        </row>
        <row r="844">
          <cell r="A844" t="str">
            <v>Computer - CD Writer / Modem</v>
          </cell>
          <cell r="C844">
            <v>0</v>
          </cell>
        </row>
        <row r="845">
          <cell r="A845" t="str">
            <v>Computer - New application</v>
          </cell>
          <cell r="C845">
            <v>0</v>
          </cell>
        </row>
        <row r="846">
          <cell r="A846" t="str">
            <v>Computer - catia  for prod. engg.</v>
          </cell>
          <cell r="C846">
            <v>833040</v>
          </cell>
        </row>
        <row r="847">
          <cell r="A847" t="str">
            <v>CAPITAL WORK IN PROGRESS</v>
          </cell>
          <cell r="C847">
            <v>0</v>
          </cell>
        </row>
        <row r="848">
          <cell r="A848" t="str">
            <v>INVESTMENTS</v>
          </cell>
        </row>
        <row r="849">
          <cell r="A849" t="str">
            <v>MUTUAL FUNDS</v>
          </cell>
        </row>
        <row r="850">
          <cell r="A850" t="str">
            <v>Dundee Sovereign Trst.(Mutual fund)</v>
          </cell>
          <cell r="C850">
            <v>0</v>
          </cell>
        </row>
        <row r="851">
          <cell r="A851" t="str">
            <v>Escorts Income Plus (Mutual Fund)</v>
          </cell>
          <cell r="C851">
            <v>187218</v>
          </cell>
        </row>
        <row r="852">
          <cell r="A852" t="str">
            <v>Prudential ICICI Gilt (Mutual Fund)</v>
          </cell>
          <cell r="C852">
            <v>0</v>
          </cell>
        </row>
        <row r="853">
          <cell r="A853" t="str">
            <v>Templeton Funds (Mutual Fund)</v>
          </cell>
          <cell r="C853">
            <v>0</v>
          </cell>
        </row>
        <row r="854">
          <cell r="A854" t="str">
            <v>UTI G-Sec (Mutual Fund)</v>
          </cell>
          <cell r="C854">
            <v>0</v>
          </cell>
        </row>
        <row r="855">
          <cell r="A855" t="str">
            <v>AGSF Long term plan (Mutual Fund)</v>
          </cell>
          <cell r="C855">
            <v>0</v>
          </cell>
        </row>
        <row r="856">
          <cell r="A856" t="str">
            <v>ICICI BANK - ACCOUNT ICICI 05/5</v>
          </cell>
          <cell r="C856">
            <v>0</v>
          </cell>
        </row>
        <row r="857">
          <cell r="A857" t="str">
            <v>ESCORTS FINANCE LIMITED</v>
          </cell>
          <cell r="C857">
            <v>0</v>
          </cell>
        </row>
        <row r="858">
          <cell r="A858" t="str">
            <v>SHARES / DEBENTURES</v>
          </cell>
        </row>
        <row r="859">
          <cell r="A859" t="str">
            <v>CURRENT ASSETS,LOANS AND ADVANCES</v>
          </cell>
        </row>
        <row r="860">
          <cell r="A860" t="str">
            <v>LOANS AND ADVANCES</v>
          </cell>
        </row>
        <row r="861">
          <cell r="A861" t="str">
            <v>LOANS GIVEN</v>
          </cell>
        </row>
        <row r="862">
          <cell r="A862" t="str">
            <v>H.K.ENGINEERS (LOAN A/C)</v>
          </cell>
          <cell r="C862">
            <v>0</v>
          </cell>
        </row>
        <row r="863">
          <cell r="A863" t="str">
            <v>VISHNU ENTERPRISES (LOAN A/C)</v>
          </cell>
          <cell r="C863">
            <v>0</v>
          </cell>
        </row>
        <row r="864">
          <cell r="A864" t="str">
            <v>ESCORTS EMPL. WELFARE (LOAN A/C)</v>
          </cell>
          <cell r="C864">
            <v>350000</v>
          </cell>
        </row>
        <row r="865">
          <cell r="A865" t="str">
            <v>Housing loan</v>
          </cell>
          <cell r="C865">
            <v>20591</v>
          </cell>
        </row>
        <row r="866">
          <cell r="A866" t="str">
            <v>LIC Loan</v>
          </cell>
          <cell r="C866">
            <v>164109</v>
          </cell>
        </row>
        <row r="867">
          <cell r="A867" t="str">
            <v>LOAN TO EMPLOYEES</v>
          </cell>
          <cell r="C867">
            <v>0</v>
          </cell>
        </row>
        <row r="868">
          <cell r="A868" t="str">
            <v>YUVA ENGINEERS (LOAN A/C)</v>
          </cell>
          <cell r="C868">
            <v>120000</v>
          </cell>
        </row>
        <row r="869">
          <cell r="A869" t="str">
            <v>K.N. KALRA (LOAN)</v>
          </cell>
          <cell r="C869">
            <v>0</v>
          </cell>
        </row>
        <row r="870">
          <cell r="A870" t="str">
            <v>ADVANCES GIVEN</v>
          </cell>
        </row>
        <row r="871">
          <cell r="A871" t="str">
            <v>L.D. KALRA (ADV.)</v>
          </cell>
          <cell r="C871">
            <v>0</v>
          </cell>
        </row>
        <row r="872">
          <cell r="A872" t="str">
            <v>REFUNDS / CLAIMS RECEIVABLES</v>
          </cell>
        </row>
        <row r="873">
          <cell r="A873" t="str">
            <v>Claas Selbstfahrende Erntemaschinen GmbH</v>
          </cell>
          <cell r="C873">
            <v>140212</v>
          </cell>
        </row>
        <row r="874">
          <cell r="A874" t="str">
            <v>Foreign Travelling Recoverable</v>
          </cell>
          <cell r="C874">
            <v>0</v>
          </cell>
        </row>
        <row r="875">
          <cell r="A875" t="str">
            <v>ADVANCES GIVEN TO SUPPLIERS</v>
          </cell>
        </row>
        <row r="876">
          <cell r="A876" t="str">
            <v>INCOME TAX ADVANCES</v>
          </cell>
        </row>
        <row r="877">
          <cell r="A877" t="str">
            <v>Advance Tax Paid</v>
          </cell>
          <cell r="C877">
            <v>65543431</v>
          </cell>
        </row>
        <row r="878">
          <cell r="A878" t="str">
            <v>Tax paid (deducted at Source)</v>
          </cell>
          <cell r="C878">
            <v>3491975.99</v>
          </cell>
        </row>
        <row r="879">
          <cell r="A879" t="str">
            <v>WEALTH TAX PAID</v>
          </cell>
          <cell r="C879">
            <v>18700</v>
          </cell>
        </row>
        <row r="880">
          <cell r="A880" t="str">
            <v>DEPOSITS</v>
          </cell>
        </row>
        <row r="881">
          <cell r="A881" t="str">
            <v>HDFC Fixed deposit a/c</v>
          </cell>
          <cell r="C881">
            <v>0</v>
          </cell>
        </row>
        <row r="882">
          <cell r="A882" t="str">
            <v>Deutche bank Fixed deposit a/c</v>
          </cell>
          <cell r="C882">
            <v>57287</v>
          </cell>
        </row>
        <row r="883">
          <cell r="A883" t="str">
            <v>Security Deposits</v>
          </cell>
          <cell r="C883">
            <v>990638</v>
          </cell>
        </row>
        <row r="884">
          <cell r="A884" t="str">
            <v>IMPREST</v>
          </cell>
        </row>
        <row r="885">
          <cell r="A885" t="str">
            <v>P.K.Malik- Imp.</v>
          </cell>
          <cell r="C885">
            <v>7339.15</v>
          </cell>
        </row>
        <row r="886">
          <cell r="A886" t="str">
            <v>P.C.Pahuja -30605- Imp.</v>
          </cell>
          <cell r="C886">
            <v>0</v>
          </cell>
        </row>
        <row r="887">
          <cell r="A887" t="str">
            <v>K.D.Parashar-115-Imp.</v>
          </cell>
          <cell r="C887">
            <v>30000</v>
          </cell>
        </row>
        <row r="888">
          <cell r="A888" t="str">
            <v>D.C.Lala-00918-Imp.</v>
          </cell>
          <cell r="C888">
            <v>0</v>
          </cell>
        </row>
        <row r="889">
          <cell r="A889" t="str">
            <v>Vijay Arora-027-Imp.</v>
          </cell>
          <cell r="C889">
            <v>0</v>
          </cell>
        </row>
        <row r="890">
          <cell r="A890" t="str">
            <v>Sanjay Wadhawa-152-Imp.</v>
          </cell>
          <cell r="C890">
            <v>0</v>
          </cell>
        </row>
        <row r="891">
          <cell r="A891" t="str">
            <v>Sucharita Chakroborty-05138-Imp.</v>
          </cell>
          <cell r="C891">
            <v>0</v>
          </cell>
        </row>
        <row r="892">
          <cell r="A892" t="str">
            <v>V.K.Anand-17831-Imp.</v>
          </cell>
          <cell r="C892">
            <v>0</v>
          </cell>
        </row>
        <row r="893">
          <cell r="A893" t="str">
            <v>Anil Kumar Saxena-085-Imp.</v>
          </cell>
          <cell r="C893">
            <v>0</v>
          </cell>
        </row>
        <row r="894">
          <cell r="A894" t="str">
            <v>Yogesh Baweja-088-Imp.</v>
          </cell>
          <cell r="C894">
            <v>0</v>
          </cell>
        </row>
        <row r="895">
          <cell r="A895" t="str">
            <v>Sushil Kumar Sharma-092-Imp.</v>
          </cell>
          <cell r="C895">
            <v>0</v>
          </cell>
        </row>
        <row r="896">
          <cell r="A896" t="str">
            <v>Vineet Sharma-112-Imp.</v>
          </cell>
          <cell r="C896">
            <v>2535.64</v>
          </cell>
        </row>
        <row r="897">
          <cell r="A897" t="str">
            <v>N.K.Chaturvedi-140-Imp.</v>
          </cell>
          <cell r="D897">
            <v>0.14000000000000001</v>
          </cell>
        </row>
        <row r="898">
          <cell r="A898" t="str">
            <v>Devasheesh Mukerji-130-Imp.</v>
          </cell>
          <cell r="C898">
            <v>0</v>
          </cell>
        </row>
        <row r="899">
          <cell r="A899" t="str">
            <v>Yatinder Kumar Rustogi-131-Imp.</v>
          </cell>
          <cell r="C899">
            <v>0</v>
          </cell>
        </row>
        <row r="900">
          <cell r="A900" t="str">
            <v>Pramod Kumar Gupta-133-Imp.</v>
          </cell>
          <cell r="C900">
            <v>0</v>
          </cell>
        </row>
        <row r="901">
          <cell r="A901" t="str">
            <v>R,C.Sharma-142-Imp.</v>
          </cell>
          <cell r="C901">
            <v>0</v>
          </cell>
        </row>
        <row r="902">
          <cell r="A902" t="str">
            <v>Yogesh Kumar Arora-143-Imp.</v>
          </cell>
          <cell r="C902">
            <v>0</v>
          </cell>
        </row>
        <row r="903">
          <cell r="A903" t="str">
            <v>Vijay Kalra-144-Imp.</v>
          </cell>
          <cell r="C903">
            <v>0</v>
          </cell>
        </row>
        <row r="904">
          <cell r="A904" t="str">
            <v>Ashwani Mittal-154-Imp.</v>
          </cell>
          <cell r="C904">
            <v>0</v>
          </cell>
        </row>
        <row r="905">
          <cell r="A905" t="str">
            <v>Arun Mathur-157-Imp.</v>
          </cell>
          <cell r="C905">
            <v>367</v>
          </cell>
        </row>
        <row r="906">
          <cell r="A906" t="str">
            <v>Ashish Mathur-162-Imp.</v>
          </cell>
          <cell r="C906">
            <v>0</v>
          </cell>
        </row>
        <row r="907">
          <cell r="A907" t="str">
            <v>H.K.Bedi-132-Imp.</v>
          </cell>
          <cell r="C907">
            <v>0</v>
          </cell>
        </row>
        <row r="908">
          <cell r="A908" t="str">
            <v>Gaurav Sood-164-Imp.</v>
          </cell>
          <cell r="C908">
            <v>15000</v>
          </cell>
        </row>
        <row r="909">
          <cell r="A909" t="str">
            <v>Ashish Kumar Matta-171-Imp.</v>
          </cell>
          <cell r="C909">
            <v>0</v>
          </cell>
        </row>
        <row r="910">
          <cell r="A910" t="str">
            <v>P.K.Gupta-17759-Imp.</v>
          </cell>
          <cell r="C910">
            <v>0</v>
          </cell>
        </row>
        <row r="911">
          <cell r="A911" t="str">
            <v>S.K.Ghosh-31163-Imp.</v>
          </cell>
          <cell r="C911">
            <v>0</v>
          </cell>
        </row>
        <row r="912">
          <cell r="A912" t="str">
            <v>R.K.Saxena-31381-Imp.</v>
          </cell>
          <cell r="C912">
            <v>0</v>
          </cell>
        </row>
        <row r="913">
          <cell r="A913" t="str">
            <v>Vijay Sachdeva-83380-Imp.</v>
          </cell>
          <cell r="C913">
            <v>0</v>
          </cell>
        </row>
        <row r="914">
          <cell r="A914" t="str">
            <v>Avtar Singh-83014-Imp.</v>
          </cell>
          <cell r="C914">
            <v>5000</v>
          </cell>
        </row>
        <row r="915">
          <cell r="A915" t="str">
            <v>Vivek Chand Mathur-013-Imp.</v>
          </cell>
          <cell r="C915">
            <v>0</v>
          </cell>
        </row>
        <row r="916">
          <cell r="A916" t="str">
            <v>Krishnan Dev Sharma-015-Imp.</v>
          </cell>
          <cell r="C916">
            <v>2500</v>
          </cell>
        </row>
        <row r="917">
          <cell r="A917" t="str">
            <v>Manish Bharadwaj-068-Imp.</v>
          </cell>
          <cell r="C917">
            <v>0</v>
          </cell>
        </row>
        <row r="918">
          <cell r="A918" t="str">
            <v>Vijayant Kumar Pandey-071-Imp.</v>
          </cell>
          <cell r="C918">
            <v>0</v>
          </cell>
        </row>
        <row r="919">
          <cell r="A919" t="str">
            <v>Sanjay Kumar Sharma-126-Imp.</v>
          </cell>
          <cell r="C919">
            <v>0</v>
          </cell>
        </row>
        <row r="920">
          <cell r="A920" t="str">
            <v>Ashish Garg-141-Imp,</v>
          </cell>
          <cell r="C920">
            <v>0</v>
          </cell>
        </row>
        <row r="921">
          <cell r="A921" t="str">
            <v>Vikas Matta-145-Imp.</v>
          </cell>
          <cell r="C921">
            <v>0</v>
          </cell>
        </row>
        <row r="922">
          <cell r="A922" t="str">
            <v>Gulshan Arora-146-Imp.</v>
          </cell>
          <cell r="C922">
            <v>0</v>
          </cell>
        </row>
        <row r="923">
          <cell r="A923" t="str">
            <v>Gurvinder Singh Dheer-150-Imp.</v>
          </cell>
          <cell r="C923">
            <v>2000</v>
          </cell>
        </row>
        <row r="924">
          <cell r="A924" t="str">
            <v>Sudeep Singh-153-Imp.</v>
          </cell>
          <cell r="C924">
            <v>0</v>
          </cell>
        </row>
        <row r="925">
          <cell r="A925" t="str">
            <v>Sanjeev Kumar Jain-155-Imp.</v>
          </cell>
          <cell r="C925">
            <v>539</v>
          </cell>
        </row>
        <row r="926">
          <cell r="A926" t="str">
            <v>Tarun Dora-156-Imp.</v>
          </cell>
          <cell r="C926">
            <v>24904</v>
          </cell>
        </row>
        <row r="927">
          <cell r="A927" t="str">
            <v>Devrishi Bhogra-159-Imp.</v>
          </cell>
          <cell r="C927">
            <v>0</v>
          </cell>
        </row>
        <row r="928">
          <cell r="A928" t="str">
            <v>Devender Budhiraja-165-Imp.</v>
          </cell>
          <cell r="C928">
            <v>0</v>
          </cell>
        </row>
        <row r="929">
          <cell r="A929" t="str">
            <v>Sandeep Hooda-166-Imp.</v>
          </cell>
          <cell r="C929">
            <v>324</v>
          </cell>
        </row>
        <row r="930">
          <cell r="A930" t="str">
            <v>Ashish Garg-167-Imp.</v>
          </cell>
          <cell r="C930">
            <v>0</v>
          </cell>
        </row>
        <row r="931">
          <cell r="A931" t="str">
            <v>Bharat Bhushan-168-Imp.</v>
          </cell>
          <cell r="C931">
            <v>0</v>
          </cell>
        </row>
        <row r="932">
          <cell r="A932" t="str">
            <v>Pawan Kumar Grover-18179-Imp.</v>
          </cell>
          <cell r="C932">
            <v>0</v>
          </cell>
        </row>
        <row r="933">
          <cell r="A933" t="str">
            <v>S.P.Sharma-31283-Imp.</v>
          </cell>
          <cell r="C933">
            <v>0</v>
          </cell>
        </row>
        <row r="934">
          <cell r="A934" t="str">
            <v>D.K.Bansal-31344-Imp.</v>
          </cell>
          <cell r="C934">
            <v>0</v>
          </cell>
        </row>
        <row r="935">
          <cell r="A935" t="str">
            <v>Inder Singh-31569-Imp.</v>
          </cell>
          <cell r="C935">
            <v>10460</v>
          </cell>
        </row>
        <row r="936">
          <cell r="A936" t="str">
            <v>Ramesh Deswal-83177-Imp.</v>
          </cell>
          <cell r="C936">
            <v>0</v>
          </cell>
        </row>
        <row r="937">
          <cell r="A937" t="str">
            <v>Mahender Sharma-094-Imp.</v>
          </cell>
          <cell r="C937">
            <v>0</v>
          </cell>
        </row>
        <row r="938">
          <cell r="A938" t="str">
            <v>Naresh Kumar.- 004- Imp.</v>
          </cell>
          <cell r="C938">
            <v>0</v>
          </cell>
        </row>
        <row r="939">
          <cell r="A939" t="str">
            <v>Sudhir Kumar - 093 - Imp.</v>
          </cell>
          <cell r="C939">
            <v>0</v>
          </cell>
        </row>
        <row r="940">
          <cell r="A940" t="str">
            <v>BALKAR SINGH-009</v>
          </cell>
          <cell r="D940">
            <v>312</v>
          </cell>
        </row>
        <row r="941">
          <cell r="A941" t="str">
            <v>Krishan Kumar-032-Imp.</v>
          </cell>
          <cell r="C941">
            <v>0</v>
          </cell>
        </row>
        <row r="942">
          <cell r="A942" t="str">
            <v>Rajpal-096-Imp.</v>
          </cell>
          <cell r="C942">
            <v>0</v>
          </cell>
        </row>
        <row r="943">
          <cell r="A943" t="str">
            <v>KRISHAN LAL SINGH - 021-IMP</v>
          </cell>
          <cell r="C943">
            <v>0</v>
          </cell>
        </row>
        <row r="944">
          <cell r="A944" t="str">
            <v>Prem Arora (Pur)-IMP</v>
          </cell>
          <cell r="C944">
            <v>0</v>
          </cell>
        </row>
        <row r="945">
          <cell r="A945" t="str">
            <v>Girdhari Lal Tno 033-IMP</v>
          </cell>
          <cell r="C945">
            <v>0</v>
          </cell>
        </row>
        <row r="946">
          <cell r="A946" t="str">
            <v>RAJ SINGH 005-IMP</v>
          </cell>
          <cell r="C946">
            <v>0</v>
          </cell>
        </row>
        <row r="947">
          <cell r="A947" t="str">
            <v>Sher Singh . T.No 82</v>
          </cell>
          <cell r="C947">
            <v>0</v>
          </cell>
        </row>
        <row r="948">
          <cell r="A948" t="str">
            <v>RAM NIWAS (EIN 120)</v>
          </cell>
          <cell r="C948">
            <v>0</v>
          </cell>
        </row>
        <row r="949">
          <cell r="A949" t="str">
            <v>Shally Aggarwal-IMP.</v>
          </cell>
          <cell r="C949">
            <v>0</v>
          </cell>
        </row>
        <row r="950">
          <cell r="A950" t="str">
            <v>S.K.Choudhary</v>
          </cell>
          <cell r="C950">
            <v>280</v>
          </cell>
        </row>
        <row r="951">
          <cell r="A951" t="str">
            <v>Ram Dhan TNO 91</v>
          </cell>
          <cell r="C951">
            <v>0</v>
          </cell>
        </row>
        <row r="952">
          <cell r="A952" t="str">
            <v>Jagjit Singh TNI 111</v>
          </cell>
          <cell r="C952">
            <v>0</v>
          </cell>
        </row>
        <row r="953">
          <cell r="A953" t="str">
            <v>GEEVARUGHESE T.B. (EIN 107)</v>
          </cell>
          <cell r="C953">
            <v>15907</v>
          </cell>
        </row>
        <row r="954">
          <cell r="A954" t="str">
            <v>RAJESH SHARMA (EIN 081)</v>
          </cell>
          <cell r="C954">
            <v>0</v>
          </cell>
        </row>
        <row r="955">
          <cell r="A955" t="str">
            <v>Ishwar Lal Tno 020</v>
          </cell>
          <cell r="C955">
            <v>0</v>
          </cell>
        </row>
        <row r="956">
          <cell r="A956" t="str">
            <v>RAJ KUMAR-00107-IMPREST</v>
          </cell>
          <cell r="C956">
            <v>0</v>
          </cell>
        </row>
        <row r="957">
          <cell r="A957" t="str">
            <v>NARENDER KUMAR-00039-IMPREST</v>
          </cell>
          <cell r="C957">
            <v>0</v>
          </cell>
        </row>
        <row r="958">
          <cell r="A958" t="str">
            <v>PANNA LAL (EIN 056)</v>
          </cell>
          <cell r="C958">
            <v>0</v>
          </cell>
        </row>
        <row r="959">
          <cell r="A959" t="str">
            <v>NARESH -040 -IMP.</v>
          </cell>
          <cell r="C959">
            <v>0</v>
          </cell>
        </row>
        <row r="960">
          <cell r="A960" t="str">
            <v>RAJENDER SINGH - 122- IMP</v>
          </cell>
          <cell r="C960">
            <v>0</v>
          </cell>
        </row>
        <row r="961">
          <cell r="A961" t="str">
            <v>SANGEETA MATHUR - 037</v>
          </cell>
          <cell r="C961">
            <v>0</v>
          </cell>
        </row>
        <row r="962">
          <cell r="A962" t="str">
            <v>lakshmi  Chand TNO 0060</v>
          </cell>
          <cell r="C962">
            <v>0</v>
          </cell>
        </row>
        <row r="963">
          <cell r="A963" t="str">
            <v>R.C.Sharma-Imprest</v>
          </cell>
          <cell r="C963">
            <v>0</v>
          </cell>
        </row>
        <row r="964">
          <cell r="A964" t="str">
            <v>RATTAN LAL -IMP.</v>
          </cell>
          <cell r="C964">
            <v>0</v>
          </cell>
        </row>
        <row r="965">
          <cell r="A965" t="str">
            <v>Vinod Wadhwa-053-imp</v>
          </cell>
          <cell r="C965">
            <v>0</v>
          </cell>
        </row>
        <row r="966">
          <cell r="A966" t="str">
            <v>Sushil Kumar Tno 104</v>
          </cell>
          <cell r="C966">
            <v>0</v>
          </cell>
        </row>
        <row r="967">
          <cell r="A967" t="str">
            <v>SUSHMA AHUJA - IMP (EIN 161)</v>
          </cell>
          <cell r="C967">
            <v>0</v>
          </cell>
        </row>
        <row r="968">
          <cell r="A968" t="str">
            <v>MONIKA</v>
          </cell>
          <cell r="C968">
            <v>1500</v>
          </cell>
        </row>
        <row r="969">
          <cell r="A969" t="str">
            <v>Dalvir singh -103-Imp.</v>
          </cell>
          <cell r="C969">
            <v>0</v>
          </cell>
        </row>
        <row r="970">
          <cell r="A970" t="str">
            <v>Tej pal - 097-Imp.</v>
          </cell>
          <cell r="C970">
            <v>0</v>
          </cell>
        </row>
        <row r="971">
          <cell r="A971" t="str">
            <v>Koushlesh pandit-075-Imp.</v>
          </cell>
          <cell r="C971">
            <v>0</v>
          </cell>
        </row>
        <row r="972">
          <cell r="A972" t="str">
            <v>Somnath-89-Imp.</v>
          </cell>
          <cell r="C972">
            <v>0</v>
          </cell>
        </row>
        <row r="973">
          <cell r="A973" t="str">
            <v>Luna Ram TNO 57</v>
          </cell>
          <cell r="C973">
            <v>0</v>
          </cell>
        </row>
        <row r="974">
          <cell r="A974" t="str">
            <v>Puran Chand T.No 54</v>
          </cell>
          <cell r="C974">
            <v>0</v>
          </cell>
        </row>
        <row r="975">
          <cell r="A975" t="str">
            <v>RAKESH KUMAR GAUTAM (EIN 034)</v>
          </cell>
          <cell r="C975">
            <v>0</v>
          </cell>
        </row>
        <row r="976">
          <cell r="A976" t="str">
            <v>Rakesh Sharma - 19 - Imp</v>
          </cell>
          <cell r="C976">
            <v>0</v>
          </cell>
        </row>
        <row r="977">
          <cell r="A977" t="str">
            <v>Prem Parkash - 129 - Imp.</v>
          </cell>
          <cell r="C977">
            <v>0</v>
          </cell>
        </row>
        <row r="978">
          <cell r="A978" t="str">
            <v>Sonia Niranjan-Comp.Sec.-Imp.</v>
          </cell>
          <cell r="C978">
            <v>0</v>
          </cell>
        </row>
        <row r="979">
          <cell r="A979" t="str">
            <v>SATYAPAL (EIN 058)</v>
          </cell>
          <cell r="C979">
            <v>0</v>
          </cell>
        </row>
        <row r="980">
          <cell r="A980" t="str">
            <v>SAMAY SINGH (EIN 072)</v>
          </cell>
          <cell r="C980">
            <v>0</v>
          </cell>
        </row>
        <row r="981">
          <cell r="A981" t="str">
            <v>SUBHASH CHANDER (EIN 062)</v>
          </cell>
          <cell r="C981">
            <v>0</v>
          </cell>
        </row>
        <row r="982">
          <cell r="A982" t="str">
            <v>BAHADUR SINGH ( EIN 074)</v>
          </cell>
          <cell r="C982">
            <v>0</v>
          </cell>
        </row>
        <row r="983">
          <cell r="A983" t="str">
            <v>MADAN LAL (EIN 109)</v>
          </cell>
          <cell r="C983">
            <v>0</v>
          </cell>
        </row>
        <row r="984">
          <cell r="A984" t="str">
            <v>RAKESH GULATI - EIN 31648</v>
          </cell>
          <cell r="C984">
            <v>0</v>
          </cell>
        </row>
        <row r="985">
          <cell r="A985" t="str">
            <v>YOGESH ARORA</v>
          </cell>
          <cell r="C985">
            <v>0</v>
          </cell>
        </row>
        <row r="986">
          <cell r="A986" t="str">
            <v>JAI SINGH - (EIN 064)</v>
          </cell>
          <cell r="C986">
            <v>0</v>
          </cell>
        </row>
        <row r="987">
          <cell r="A987" t="str">
            <v>S.Babu - Imp.</v>
          </cell>
          <cell r="C987">
            <v>4734</v>
          </cell>
        </row>
        <row r="988">
          <cell r="A988" t="str">
            <v>Vinod Kumar-098-Imp.</v>
          </cell>
          <cell r="C988">
            <v>0</v>
          </cell>
        </row>
        <row r="989">
          <cell r="A989" t="str">
            <v>Kamal Dev Sharma-030-Imp.</v>
          </cell>
          <cell r="C989">
            <v>0</v>
          </cell>
        </row>
        <row r="990">
          <cell r="A990" t="str">
            <v>SURESH KUMAR - EIN 061</v>
          </cell>
          <cell r="C990">
            <v>0</v>
          </cell>
        </row>
        <row r="991">
          <cell r="A991" t="str">
            <v>Joginder Singh T.No 0124</v>
          </cell>
          <cell r="C991">
            <v>0</v>
          </cell>
        </row>
        <row r="992">
          <cell r="A992" t="str">
            <v>VIJAY KUMAR-EIN 121</v>
          </cell>
          <cell r="D992">
            <v>144</v>
          </cell>
        </row>
        <row r="993">
          <cell r="A993" t="str">
            <v>PREM SINGH EIN - 83</v>
          </cell>
          <cell r="C993">
            <v>0</v>
          </cell>
        </row>
        <row r="994">
          <cell r="A994" t="str">
            <v>Naresh Kumar Tno 31611</v>
          </cell>
          <cell r="C994">
            <v>0</v>
          </cell>
        </row>
        <row r="995">
          <cell r="A995" t="str">
            <v>Gajender Singh TNO 86423</v>
          </cell>
          <cell r="C995">
            <v>0</v>
          </cell>
        </row>
        <row r="996">
          <cell r="A996" t="str">
            <v>DHARAM PAL - EIN 063</v>
          </cell>
          <cell r="C996">
            <v>0</v>
          </cell>
        </row>
        <row r="997">
          <cell r="A997" t="str">
            <v>IMPREST (MEDICAL)</v>
          </cell>
        </row>
        <row r="998">
          <cell r="A998" t="str">
            <v>LAXMAN KUMAR - EIN 108</v>
          </cell>
          <cell r="C998">
            <v>6000</v>
          </cell>
        </row>
        <row r="999">
          <cell r="A999" t="str">
            <v>MAHENDRA SHARMA - EIN 094</v>
          </cell>
          <cell r="C999">
            <v>0</v>
          </cell>
        </row>
        <row r="1000">
          <cell r="A1000" t="str">
            <v>SANJAY MEHNDIRATTA - 110</v>
          </cell>
          <cell r="C1000">
            <v>7672</v>
          </cell>
        </row>
        <row r="1001">
          <cell r="A1001" t="str">
            <v>ARUN KUMAR - (EIN - 08)</v>
          </cell>
          <cell r="C1001">
            <v>2861</v>
          </cell>
        </row>
        <row r="1002">
          <cell r="A1002" t="str">
            <v>GAJENDER SINGH (EIN 86423)</v>
          </cell>
          <cell r="C1002">
            <v>10000</v>
          </cell>
        </row>
        <row r="1003">
          <cell r="A1003" t="str">
            <v>V.K. PANDEY (EIN 071)</v>
          </cell>
          <cell r="C1003">
            <v>2500</v>
          </cell>
        </row>
        <row r="1004">
          <cell r="A1004" t="str">
            <v>MUKESH KUMAR - (EIN 125)</v>
          </cell>
          <cell r="C1004">
            <v>15000</v>
          </cell>
        </row>
        <row r="1005">
          <cell r="A1005" t="str">
            <v>SOM NATH (EIN-89)</v>
          </cell>
          <cell r="C1005">
            <v>9026</v>
          </cell>
        </row>
        <row r="1006">
          <cell r="A1006" t="str">
            <v>RATTAN LAL (EIN-90)MEDICAL</v>
          </cell>
          <cell r="C1006">
            <v>0</v>
          </cell>
        </row>
        <row r="1007">
          <cell r="A1007" t="str">
            <v>JAI SINGH (EIN-64)MEDICAL</v>
          </cell>
          <cell r="C1007">
            <v>5370</v>
          </cell>
        </row>
        <row r="1008">
          <cell r="A1008" t="str">
            <v>DHARAMPAL(EIN-063)MEDICAL</v>
          </cell>
          <cell r="C1008">
            <v>20000</v>
          </cell>
        </row>
        <row r="1009">
          <cell r="A1009" t="str">
            <v>NARESH KUMAR(EIN004)MEDICAL</v>
          </cell>
          <cell r="C1009">
            <v>0</v>
          </cell>
        </row>
        <row r="1010">
          <cell r="A1010" t="str">
            <v>KRISHAN KUMAR (EIN-032)MEDICAL</v>
          </cell>
          <cell r="C1010">
            <v>4419</v>
          </cell>
        </row>
        <row r="1011">
          <cell r="A1011" t="str">
            <v>GIRDHARI LAL (EIN-033)MEDICAL</v>
          </cell>
          <cell r="C1011">
            <v>15000</v>
          </cell>
        </row>
        <row r="1012">
          <cell r="A1012" t="str">
            <v>SUBASH SINGH (ENO-31) MEDICAL</v>
          </cell>
          <cell r="C1012">
            <v>0</v>
          </cell>
        </row>
        <row r="1013">
          <cell r="A1013" t="str">
            <v>NARESH KR TNO 076 MEDICAL</v>
          </cell>
          <cell r="C1013">
            <v>400</v>
          </cell>
        </row>
        <row r="1014">
          <cell r="A1014" t="str">
            <v>YOGESH ARORA (EIN 143) MEDICAL</v>
          </cell>
          <cell r="C1014">
            <v>0</v>
          </cell>
        </row>
        <row r="1015">
          <cell r="A1015" t="str">
            <v>REENU WADHWA - IMP(MEDICAL)</v>
          </cell>
          <cell r="C1015">
            <v>0</v>
          </cell>
        </row>
        <row r="1016">
          <cell r="A1016" t="str">
            <v>IMPREST (RUNNING)</v>
          </cell>
        </row>
        <row r="1017">
          <cell r="A1017" t="str">
            <v>VEENU MATHUR -176</v>
          </cell>
          <cell r="D1017">
            <v>2245</v>
          </cell>
        </row>
        <row r="1018">
          <cell r="A1018" t="str">
            <v>K.A. RAVI KUMAR</v>
          </cell>
          <cell r="C1018">
            <v>0</v>
          </cell>
        </row>
        <row r="1019">
          <cell r="A1019" t="str">
            <v>STAFF ADVANCE</v>
          </cell>
        </row>
        <row r="1020">
          <cell r="A1020" t="str">
            <v>K.D.Sharma -015-staff advance</v>
          </cell>
          <cell r="C1020">
            <v>0</v>
          </cell>
        </row>
        <row r="1021">
          <cell r="A1021" t="str">
            <v>Vinod Wadhwa-053-staff advance</v>
          </cell>
          <cell r="C1021">
            <v>0</v>
          </cell>
        </row>
        <row r="1022">
          <cell r="A1022" t="str">
            <v>Subash Singh -031 - Staff Advance</v>
          </cell>
          <cell r="C1022">
            <v>0</v>
          </cell>
        </row>
        <row r="1023">
          <cell r="A1023" t="str">
            <v>Rennu Sikka-079-staff advance</v>
          </cell>
          <cell r="C1023">
            <v>0</v>
          </cell>
        </row>
        <row r="1024">
          <cell r="A1024" t="str">
            <v>Laxman Kumar 108 - staff advance.</v>
          </cell>
          <cell r="C1024">
            <v>0</v>
          </cell>
        </row>
        <row r="1025">
          <cell r="A1025" t="str">
            <v>Staff Advance Against Salary</v>
          </cell>
          <cell r="C1025">
            <v>0</v>
          </cell>
        </row>
        <row r="1026">
          <cell r="A1026" t="str">
            <v>surender 010 - Staff advance.</v>
          </cell>
          <cell r="C1026">
            <v>0</v>
          </cell>
        </row>
        <row r="1027">
          <cell r="A1027" t="str">
            <v>Gajender singh -86423-staff advance</v>
          </cell>
          <cell r="C1027">
            <v>0</v>
          </cell>
        </row>
        <row r="1028">
          <cell r="A1028" t="str">
            <v>Dalvir singh -103-staff advance</v>
          </cell>
          <cell r="C1028">
            <v>2979</v>
          </cell>
        </row>
        <row r="1029">
          <cell r="A1029" t="str">
            <v>Sudhir kumar-123-staff advance</v>
          </cell>
          <cell r="C1029">
            <v>0</v>
          </cell>
        </row>
        <row r="1030">
          <cell r="A1030" t="str">
            <v>Ramesh kumar-102-staff advance</v>
          </cell>
          <cell r="C1030">
            <v>0</v>
          </cell>
        </row>
        <row r="1031">
          <cell r="A1031" t="str">
            <v>S.k.dey -011-staff advance</v>
          </cell>
          <cell r="C1031">
            <v>0</v>
          </cell>
        </row>
        <row r="1032">
          <cell r="A1032" t="str">
            <v>vivek singh rathor-ein 2208</v>
          </cell>
          <cell r="C1032">
            <v>89</v>
          </cell>
        </row>
        <row r="1033">
          <cell r="A1033" t="str">
            <v>STOCK ON HAND</v>
          </cell>
        </row>
        <row r="1034">
          <cell r="A1034" t="str">
            <v>Stock on hand - Finished Goods</v>
          </cell>
          <cell r="C1034">
            <v>42795822.890000001</v>
          </cell>
        </row>
        <row r="1035">
          <cell r="A1035" t="str">
            <v>Stock on hand - Raw Materials</v>
          </cell>
          <cell r="C1035">
            <v>22102319.5</v>
          </cell>
        </row>
        <row r="1036">
          <cell r="A1036" t="str">
            <v>Stock on hand - Work In Progress</v>
          </cell>
          <cell r="C1036">
            <v>18685387</v>
          </cell>
        </row>
        <row r="1037">
          <cell r="A1037" t="str">
            <v>Stock with Outside Processors</v>
          </cell>
          <cell r="C1037">
            <v>435478.67</v>
          </cell>
        </row>
        <row r="1038">
          <cell r="A1038" t="str">
            <v>Stock-Goods in Transit</v>
          </cell>
          <cell r="C1038">
            <v>7257660.8600000003</v>
          </cell>
        </row>
        <row r="1039">
          <cell r="A1039" t="str">
            <v>SUNDRY DEBTORS</v>
          </cell>
        </row>
        <row r="1040">
          <cell r="A1040" t="str">
            <v>DEALERS</v>
          </cell>
        </row>
        <row r="1041">
          <cell r="A1041" t="str">
            <v>LOCAL DEALERS</v>
          </cell>
        </row>
        <row r="1042">
          <cell r="A1042" t="str">
            <v>Escorts Ltd.-F.E.D.- M/C-Debtors</v>
          </cell>
          <cell r="C1042">
            <v>43145612.079999998</v>
          </cell>
        </row>
        <row r="1043">
          <cell r="A1043" t="str">
            <v>Escorts Ltd.-S.P.D.-Spares-Debtors</v>
          </cell>
          <cell r="C1043">
            <v>4887982.7</v>
          </cell>
        </row>
        <row r="1044">
          <cell r="A1044" t="str">
            <v>Escorts (JCB)</v>
          </cell>
          <cell r="C1044">
            <v>0</v>
          </cell>
        </row>
        <row r="1045">
          <cell r="A1045" t="str">
            <v>OUTSTATION DEALERS</v>
          </cell>
        </row>
        <row r="1046">
          <cell r="A1046" t="str">
            <v>Claas KGaA - Debtors</v>
          </cell>
          <cell r="C1046">
            <v>234493.33</v>
          </cell>
        </row>
        <row r="1047">
          <cell r="A1047" t="str">
            <v>SECUNDRABAD DEPOT A/C</v>
          </cell>
          <cell r="C1047">
            <v>0</v>
          </cell>
        </row>
        <row r="1048">
          <cell r="A1048" t="str">
            <v>SAJ TRADING CORPORATION,BANGLADESH</v>
          </cell>
          <cell r="C1048">
            <v>0</v>
          </cell>
        </row>
        <row r="1049">
          <cell r="A1049" t="str">
            <v>DIRECT CUSTOMERS</v>
          </cell>
        </row>
        <row r="1050">
          <cell r="A1050" t="str">
            <v>CASH &amp; BANK BALANCES</v>
          </cell>
        </row>
        <row r="1051">
          <cell r="A1051" t="str">
            <v>CASH BALANCES</v>
          </cell>
        </row>
        <row r="1052">
          <cell r="A1052" t="str">
            <v>Cash In hand</v>
          </cell>
          <cell r="C1052">
            <v>98557</v>
          </cell>
        </row>
        <row r="1053">
          <cell r="A1053" t="str">
            <v>BANK BALANCES</v>
          </cell>
        </row>
        <row r="1054">
          <cell r="A1054" t="str">
            <v>Deutsche Bank O/D -1013580-00-0</v>
          </cell>
          <cell r="D1054">
            <v>1109467.48</v>
          </cell>
        </row>
        <row r="1055">
          <cell r="A1055" t="str">
            <v>State Bank of Patiala - 01600010204</v>
          </cell>
          <cell r="D1055">
            <v>1685632.63</v>
          </cell>
        </row>
        <row r="1056">
          <cell r="A1056" t="str">
            <v>State Bank Of India-01000080040</v>
          </cell>
          <cell r="C1056">
            <v>108349.15</v>
          </cell>
        </row>
        <row r="1057">
          <cell r="A1057" t="str">
            <v>HDFC BANK-0030110000445</v>
          </cell>
          <cell r="C1057">
            <v>153452.57999999999</v>
          </cell>
        </row>
        <row r="1058">
          <cell r="A1058" t="str">
            <v>Punjab National Bank -1224</v>
          </cell>
          <cell r="C1058">
            <v>18690.23</v>
          </cell>
        </row>
        <row r="1059">
          <cell r="A1059" t="str">
            <v>Cheque in hand</v>
          </cell>
          <cell r="C1059">
            <v>0</v>
          </cell>
        </row>
        <row r="1060">
          <cell r="A1060" t="str">
            <v>ECL Emp. Grp. Grat.(Bank A/c)</v>
          </cell>
          <cell r="C1060">
            <v>0</v>
          </cell>
        </row>
        <row r="1061">
          <cell r="A1061" t="str">
            <v>Deutsche Bank EEFC a/c</v>
          </cell>
          <cell r="C1061">
            <v>11633.48</v>
          </cell>
        </row>
        <row r="1062">
          <cell r="A1062" t="str">
            <v>Emp.Grp.Grat.(Bank A/C)</v>
          </cell>
          <cell r="C1062">
            <v>625</v>
          </cell>
        </row>
        <row r="1063">
          <cell r="A1063" t="str">
            <v>ECL-Pref.Share Dividend (Bank A/c)</v>
          </cell>
          <cell r="C1063">
            <v>0</v>
          </cell>
        </row>
        <row r="1064">
          <cell r="A1064" t="str">
            <v>ECL-Equity Dividend (Bank A/C)</v>
          </cell>
          <cell r="C1064">
            <v>9250</v>
          </cell>
        </row>
        <row r="1065">
          <cell r="A1065" t="str">
            <v>RECOVERABLE</v>
          </cell>
        </row>
        <row r="1066">
          <cell r="A1066" t="str">
            <v>Accrued Dividend</v>
          </cell>
          <cell r="C1066">
            <v>1318.94</v>
          </cell>
        </row>
        <row r="1067">
          <cell r="A1067" t="str">
            <v>Accrued Interest</v>
          </cell>
          <cell r="C1067">
            <v>530.17999999999995</v>
          </cell>
        </row>
        <row r="1068">
          <cell r="A1068" t="str">
            <v>HEPATITIS-B VACCINATION</v>
          </cell>
          <cell r="C1068">
            <v>0</v>
          </cell>
        </row>
        <row r="1069">
          <cell r="A1069" t="str">
            <v>Prepaid Expenses</v>
          </cell>
          <cell r="C1069">
            <v>474536.5</v>
          </cell>
        </row>
        <row r="1070">
          <cell r="A1070" t="str">
            <v>Prepaid Insurance</v>
          </cell>
          <cell r="C1070">
            <v>920435</v>
          </cell>
        </row>
        <row r="1071">
          <cell r="A1071" t="str">
            <v>ECL(Hydrabad Depot)</v>
          </cell>
          <cell r="C1071">
            <v>0</v>
          </cell>
        </row>
        <row r="1072">
          <cell r="A1072" t="str">
            <v>Insurance Claim Recoverable</v>
          </cell>
          <cell r="C1072">
            <v>4738.26</v>
          </cell>
        </row>
        <row r="1073">
          <cell r="A1073" t="str">
            <v>S.K.Chaudhary Stock Option Advance</v>
          </cell>
          <cell r="C1073">
            <v>105279</v>
          </cell>
        </row>
        <row r="1074">
          <cell r="A1074" t="str">
            <v>Sales Tax Recoverable</v>
          </cell>
          <cell r="C1074">
            <v>18763.400000000001</v>
          </cell>
        </row>
        <row r="1075">
          <cell r="A1075" t="str">
            <v>Preliminary Exps.(Not written off)</v>
          </cell>
          <cell r="C1075">
            <v>0</v>
          </cell>
        </row>
        <row r="1076">
          <cell r="A1076" t="str">
            <v>D.B.A. CANTEEN CONTRACTOR (ADV.)</v>
          </cell>
          <cell r="C1076">
            <v>0</v>
          </cell>
        </row>
        <row r="1077">
          <cell r="A1077" t="str">
            <v>SALES TAX (STD-4)</v>
          </cell>
          <cell r="C1077">
            <v>83.21</v>
          </cell>
        </row>
        <row r="1078">
          <cell r="A1078" t="str">
            <v>SALES TAX STD-4 (4 %)</v>
          </cell>
          <cell r="C1078">
            <v>21943.279999999999</v>
          </cell>
        </row>
        <row r="1079">
          <cell r="A1079" t="str">
            <v>Prepaid Gratuity Contribution</v>
          </cell>
          <cell r="C1079">
            <v>0</v>
          </cell>
        </row>
        <row r="1080">
          <cell r="A1080" t="str">
            <v>PRODUCTION DEPT-MAT. ISSUES</v>
          </cell>
        </row>
        <row r="1081">
          <cell r="A1081" t="str">
            <v>INCOME</v>
          </cell>
        </row>
        <row r="1082">
          <cell r="A1082" t="str">
            <v>SALES INCOME</v>
          </cell>
        </row>
        <row r="1083">
          <cell r="A1083" t="str">
            <v>Sales - Net of Excise/Sales tax</v>
          </cell>
          <cell r="D1083">
            <v>0</v>
          </cell>
        </row>
        <row r="1084">
          <cell r="A1084" t="str">
            <v>SALES - DOMESTIC</v>
          </cell>
        </row>
        <row r="1085">
          <cell r="A1085" t="str">
            <v>Sale Domestic -m/c</v>
          </cell>
          <cell r="D1085">
            <v>63250000</v>
          </cell>
        </row>
        <row r="1086">
          <cell r="A1086" t="str">
            <v>Sales-Wheel Machine-Domestic</v>
          </cell>
          <cell r="D1086">
            <v>4356000</v>
          </cell>
        </row>
        <row r="1087">
          <cell r="A1087" t="str">
            <v>Sales-Spares - Domestic</v>
          </cell>
          <cell r="D1087">
            <v>36968295.460000001</v>
          </cell>
        </row>
        <row r="1088">
          <cell r="A1088" t="str">
            <v>sale fixed assets</v>
          </cell>
          <cell r="D1088">
            <v>0</v>
          </cell>
        </row>
        <row r="1089">
          <cell r="A1089" t="str">
            <v>SLAES - EXPORTS.</v>
          </cell>
        </row>
        <row r="1090">
          <cell r="A1090" t="str">
            <v>Sales-Track Machine - Exports</v>
          </cell>
          <cell r="D1090">
            <v>0</v>
          </cell>
        </row>
        <row r="1091">
          <cell r="A1091" t="str">
            <v>Sales-Spares - Exports</v>
          </cell>
          <cell r="D1091">
            <v>609184.73</v>
          </cell>
        </row>
        <row r="1092">
          <cell r="A1092" t="str">
            <v>SALES - SUPPLIERS</v>
          </cell>
        </row>
        <row r="1093">
          <cell r="A1093" t="str">
            <v>Sales - Suppliers (Creditors)</v>
          </cell>
          <cell r="D1093">
            <v>15207.92</v>
          </cell>
        </row>
        <row r="1094">
          <cell r="A1094" t="str">
            <v>Inter unit stock transfer (income)</v>
          </cell>
          <cell r="D1094">
            <v>0</v>
          </cell>
        </row>
        <row r="1095">
          <cell r="A1095" t="str">
            <v>OTHER INCOME AND RECEIPTS</v>
          </cell>
        </row>
        <row r="1096">
          <cell r="A1096" t="str">
            <v>Duty drawback recived - Imports</v>
          </cell>
          <cell r="D1096">
            <v>0</v>
          </cell>
        </row>
        <row r="1097">
          <cell r="A1097" t="str">
            <v>Miscellaneous Income</v>
          </cell>
          <cell r="D1097">
            <v>385657.31</v>
          </cell>
        </row>
        <row r="1098">
          <cell r="A1098" t="str">
            <v>Interest income - Fixed Deposit</v>
          </cell>
          <cell r="D1098">
            <v>117659.18</v>
          </cell>
        </row>
        <row r="1099">
          <cell r="A1099" t="str">
            <v>Non purchase goods receipts</v>
          </cell>
          <cell r="D1099">
            <v>0</v>
          </cell>
        </row>
        <row r="1100">
          <cell r="A1100" t="str">
            <v>Scrap / Wastage Sales</v>
          </cell>
        </row>
        <row r="1101">
          <cell r="A1101" t="str">
            <v>Scrap Sales</v>
          </cell>
          <cell r="D1101">
            <v>110642.20000000001</v>
          </cell>
        </row>
        <row r="1102">
          <cell r="A1102" t="str">
            <v>Bills Recivable - Scrap Sales</v>
          </cell>
          <cell r="D1102">
            <v>137.25</v>
          </cell>
        </row>
        <row r="1103">
          <cell r="A1103" t="str">
            <v>Dividend Recived</v>
          </cell>
          <cell r="D1103">
            <v>8842.02</v>
          </cell>
        </row>
        <row r="1104">
          <cell r="A1104" t="str">
            <v>Warranty recived ( foc)</v>
          </cell>
          <cell r="D1104">
            <v>0</v>
          </cell>
        </row>
        <row r="1105">
          <cell r="A1105" t="str">
            <v>INTEREST RECEIVED -OTHERS</v>
          </cell>
          <cell r="D1105">
            <v>6071171</v>
          </cell>
        </row>
        <row r="1106">
          <cell r="A1106" t="str">
            <v>Excess provision written back</v>
          </cell>
          <cell r="D1106">
            <v>397222.99</v>
          </cell>
        </row>
        <row r="1107">
          <cell r="A1107" t="str">
            <v>Profit on sale of investments</v>
          </cell>
          <cell r="D1107">
            <v>0</v>
          </cell>
        </row>
        <row r="1108">
          <cell r="A1108" t="str">
            <v>Licence sale</v>
          </cell>
          <cell r="D1108">
            <v>0</v>
          </cell>
        </row>
        <row r="1109">
          <cell r="A1109" t="str">
            <v>Taxation earlier year written back</v>
          </cell>
          <cell r="D1109">
            <v>0</v>
          </cell>
        </row>
        <row r="1110">
          <cell r="A1110" t="str">
            <v>Increase/Decrease of inventories</v>
          </cell>
          <cell r="D1110">
            <v>36973008.060000002</v>
          </cell>
        </row>
        <row r="1111">
          <cell r="A1111" t="str">
            <v>Salary Recoverable</v>
          </cell>
          <cell r="D1111">
            <v>44934</v>
          </cell>
        </row>
        <row r="1112">
          <cell r="A1112" t="str">
            <v>Warranty received</v>
          </cell>
          <cell r="D1112">
            <v>0</v>
          </cell>
        </row>
        <row r="1113">
          <cell r="A1113" t="str">
            <v>Interest Received-Housing loan</v>
          </cell>
          <cell r="D1113">
            <v>1872</v>
          </cell>
        </row>
        <row r="1114">
          <cell r="A1114" t="str">
            <v>STOCK- FINISHED GOODS</v>
          </cell>
        </row>
        <row r="1115">
          <cell r="A1115" t="str">
            <v>Closing stock - Finished Goods</v>
          </cell>
          <cell r="D1115">
            <v>0</v>
          </cell>
        </row>
        <row r="1116">
          <cell r="A1116" t="str">
            <v>Opening stock - Finished Goods</v>
          </cell>
          <cell r="D1116">
            <v>0</v>
          </cell>
        </row>
        <row r="1117">
          <cell r="A1117" t="str">
            <v>STOCK- WORK IN PROGRESS</v>
          </cell>
        </row>
        <row r="1118">
          <cell r="A1118" t="str">
            <v>Closing stock - Work In Progress</v>
          </cell>
          <cell r="D1118">
            <v>0</v>
          </cell>
        </row>
        <row r="1119">
          <cell r="A1119" t="str">
            <v>Opening stock - Work In Progress</v>
          </cell>
          <cell r="D1119">
            <v>0</v>
          </cell>
        </row>
        <row r="1120">
          <cell r="A1120" t="str">
            <v>MATERIAL ISSUES-PRODUCTION</v>
          </cell>
        </row>
        <row r="1121">
          <cell r="A1121" t="str">
            <v>Non Sale Raw Mat. Issue-Production</v>
          </cell>
          <cell r="D1121">
            <v>0</v>
          </cell>
        </row>
        <row r="1122">
          <cell r="A1122" t="str">
            <v>EXPENSE</v>
          </cell>
        </row>
        <row r="1123">
          <cell r="A1123" t="str">
            <v>RAW MATERIALS CONSUMED</v>
          </cell>
        </row>
        <row r="1124">
          <cell r="A1124" t="str">
            <v>Closing stock - Raw Materials</v>
          </cell>
          <cell r="C1124">
            <v>0</v>
          </cell>
        </row>
        <row r="1125">
          <cell r="A1125" t="str">
            <v>Opening stock - Raw Materials</v>
          </cell>
          <cell r="C1125">
            <v>0</v>
          </cell>
        </row>
        <row r="1126">
          <cell r="A1126" t="str">
            <v>Raw Materials-STD - 4</v>
          </cell>
          <cell r="C1126">
            <v>0</v>
          </cell>
        </row>
        <row r="1127">
          <cell r="A1127" t="str">
            <v>Raw Material-Interstate</v>
          </cell>
          <cell r="C1127">
            <v>32098066.819999997</v>
          </cell>
        </row>
        <row r="1128">
          <cell r="A1128" t="str">
            <v>Raw Material-R D Purchase</v>
          </cell>
          <cell r="C1128">
            <v>3270222.12</v>
          </cell>
        </row>
        <row r="1129">
          <cell r="A1129" t="str">
            <v>Raw Material-Tax Paid</v>
          </cell>
          <cell r="C1129">
            <v>17684.29</v>
          </cell>
        </row>
        <row r="1130">
          <cell r="A1130" t="str">
            <v>Raw Material - Imports</v>
          </cell>
          <cell r="C1130">
            <v>35735399.710000001</v>
          </cell>
        </row>
        <row r="1131">
          <cell r="A1131" t="str">
            <v>STD-4(RAW MATERIAL)</v>
          </cell>
          <cell r="C1131">
            <v>0</v>
          </cell>
        </row>
        <row r="1132">
          <cell r="A1132" t="str">
            <v>ENTRY TAX EXP.</v>
          </cell>
          <cell r="C1132">
            <v>0</v>
          </cell>
        </row>
        <row r="1133">
          <cell r="A1133" t="str">
            <v>STD-4 RAW MATERIAL (4 %)</v>
          </cell>
          <cell r="C1133">
            <v>24257891.609999999</v>
          </cell>
        </row>
        <row r="1134">
          <cell r="A1134" t="str">
            <v>RAW MATERIAL - LINE REJCTION</v>
          </cell>
          <cell r="D1134">
            <v>171041.98</v>
          </cell>
        </row>
        <row r="1135">
          <cell r="A1135" t="str">
            <v>CONSUMPTION OF OTHER MATERIALS</v>
          </cell>
        </row>
        <row r="1136">
          <cell r="A1136" t="str">
            <v>Consumables &amp; stores items consumed</v>
          </cell>
          <cell r="C1136">
            <v>342764.57</v>
          </cell>
        </row>
        <row r="1137">
          <cell r="A1137" t="str">
            <v>Fuel consumed</v>
          </cell>
          <cell r="C1137">
            <v>0</v>
          </cell>
        </row>
        <row r="1138">
          <cell r="A1138" t="str">
            <v>Laboratory materials consumed</v>
          </cell>
          <cell r="C1138">
            <v>0</v>
          </cell>
        </row>
        <row r="1139">
          <cell r="A1139" t="str">
            <v>Chemicals ( for production)</v>
          </cell>
          <cell r="C1139">
            <v>1036035.25</v>
          </cell>
        </row>
        <row r="1140">
          <cell r="A1140" t="str">
            <v>GASES</v>
          </cell>
          <cell r="C1140">
            <v>67271.399999999994</v>
          </cell>
        </row>
        <row r="1141">
          <cell r="A1141" t="str">
            <v>MATERIALS INWARD EXPENSES</v>
          </cell>
        </row>
        <row r="1142">
          <cell r="A1142" t="str">
            <v>Commission/Brokerage on purchases</v>
          </cell>
          <cell r="C1142">
            <v>0</v>
          </cell>
        </row>
        <row r="1143">
          <cell r="A1143" t="str">
            <v>Freight/Octroi exp. on Ind purchase</v>
          </cell>
          <cell r="C1143">
            <v>210201</v>
          </cell>
        </row>
        <row r="1144">
          <cell r="A1144" t="str">
            <v>Loading/Unloading on ind. purchases</v>
          </cell>
          <cell r="C1144">
            <v>0</v>
          </cell>
        </row>
        <row r="1145">
          <cell r="A1145" t="str">
            <v>Custom Duty - Imports</v>
          </cell>
          <cell r="C1145">
            <v>8398454</v>
          </cell>
        </row>
        <row r="1146">
          <cell r="A1146" t="str">
            <v>Freight/Octroi exp. on Imports</v>
          </cell>
          <cell r="C1146">
            <v>289566</v>
          </cell>
        </row>
        <row r="1147">
          <cell r="A1147" t="str">
            <v>Custom clearance charges - Imports.</v>
          </cell>
          <cell r="C1147">
            <v>178703.66</v>
          </cell>
        </row>
        <row r="1148">
          <cell r="A1148" t="str">
            <v>Agency Charges-imports</v>
          </cell>
          <cell r="C1148">
            <v>155819</v>
          </cell>
        </row>
        <row r="1149">
          <cell r="A1149" t="str">
            <v>MANUFACTURING &amp; OTHER EXPENSES</v>
          </cell>
        </row>
        <row r="1150">
          <cell r="A1150" t="str">
            <v>Factory general expenses</v>
          </cell>
          <cell r="C1150">
            <v>0</v>
          </cell>
        </row>
        <row r="1151">
          <cell r="A1151" t="str">
            <v>Factory water charges</v>
          </cell>
          <cell r="C1151">
            <v>0</v>
          </cell>
        </row>
        <row r="1152">
          <cell r="A1152" t="str">
            <v>Inspection fees</v>
          </cell>
          <cell r="C1152">
            <v>0</v>
          </cell>
        </row>
        <row r="1153">
          <cell r="A1153" t="str">
            <v>Labour/Processing charges</v>
          </cell>
          <cell r="C1153">
            <v>0</v>
          </cell>
        </row>
        <row r="1154">
          <cell r="A1154" t="str">
            <v>Research &amp; Developement expenses</v>
          </cell>
          <cell r="C1154">
            <v>0</v>
          </cell>
        </row>
        <row r="1155">
          <cell r="A1155" t="str">
            <v>Testing fees/Certification charges</v>
          </cell>
          <cell r="C1155">
            <v>46285</v>
          </cell>
        </row>
        <row r="1156">
          <cell r="A1156" t="str">
            <v>Write offs - machineries etc.</v>
          </cell>
          <cell r="C1156">
            <v>0</v>
          </cell>
        </row>
        <row r="1157">
          <cell r="A1157" t="str">
            <v>Write offs - dies/jigs/tools/moulds</v>
          </cell>
          <cell r="C1157">
            <v>0</v>
          </cell>
        </row>
        <row r="1158">
          <cell r="A1158" t="str">
            <v>OUT SIDE PROCESSING</v>
          </cell>
          <cell r="C1158">
            <v>377574.11</v>
          </cell>
        </row>
        <row r="1159">
          <cell r="A1159" t="str">
            <v>POWER</v>
          </cell>
        </row>
        <row r="1160">
          <cell r="A1160" t="str">
            <v>Diesel Expenses</v>
          </cell>
          <cell r="C1160">
            <v>790167</v>
          </cell>
        </row>
        <row r="1161">
          <cell r="A1161" t="str">
            <v>Electricity Expenses</v>
          </cell>
          <cell r="C1161">
            <v>1570666</v>
          </cell>
        </row>
        <row r="1162">
          <cell r="A1162" t="str">
            <v>Electricity Exp.-Reimbursement</v>
          </cell>
          <cell r="C1162">
            <v>24962</v>
          </cell>
        </row>
        <row r="1163">
          <cell r="A1163" t="str">
            <v>Proto Machine Exps.</v>
          </cell>
          <cell r="C1163">
            <v>90784.55</v>
          </cell>
        </row>
        <row r="1164">
          <cell r="A1164" t="str">
            <v>ISO expenses</v>
          </cell>
          <cell r="C1164">
            <v>33661.300000000003</v>
          </cell>
        </row>
        <row r="1165">
          <cell r="A1165" t="str">
            <v>Rework expenses</v>
          </cell>
          <cell r="C1165">
            <v>315</v>
          </cell>
        </row>
        <row r="1166">
          <cell r="A1166" t="str">
            <v>Preliminary Expenses w.off</v>
          </cell>
          <cell r="C1166">
            <v>0</v>
          </cell>
        </row>
        <row r="1167">
          <cell r="A1167" t="str">
            <v>Painting Exp.(outside contractor)</v>
          </cell>
          <cell r="C1167">
            <v>224486.32</v>
          </cell>
        </row>
        <row r="1168">
          <cell r="A1168" t="str">
            <v>MANUFACTURING TAXES AND RATES</v>
          </cell>
        </row>
        <row r="1169">
          <cell r="A1169" t="str">
            <v>Fire tax</v>
          </cell>
          <cell r="C1169">
            <v>19019</v>
          </cell>
        </row>
        <row r="1170">
          <cell r="A1170" t="str">
            <v>Central Sales Tax</v>
          </cell>
          <cell r="C1170">
            <v>0</v>
          </cell>
        </row>
        <row r="1171">
          <cell r="A1171" t="str">
            <v>Excise duty</v>
          </cell>
          <cell r="C1171">
            <v>0</v>
          </cell>
        </row>
        <row r="1172">
          <cell r="A1172" t="str">
            <v>Municipal taxes</v>
          </cell>
          <cell r="C1172">
            <v>0</v>
          </cell>
        </row>
        <row r="1173">
          <cell r="A1173" t="str">
            <v>Purchase tax</v>
          </cell>
          <cell r="C1173">
            <v>0</v>
          </cell>
        </row>
        <row r="1174">
          <cell r="A1174" t="str">
            <v>Sales Tax</v>
          </cell>
          <cell r="C1174">
            <v>15931.17</v>
          </cell>
        </row>
        <row r="1175">
          <cell r="A1175" t="str">
            <v>Sales tax surcharge</v>
          </cell>
          <cell r="C1175">
            <v>0</v>
          </cell>
        </row>
        <row r="1176">
          <cell r="A1176" t="str">
            <v>House Tax - General Admin.</v>
          </cell>
          <cell r="C1176">
            <v>95091</v>
          </cell>
        </row>
        <row r="1177">
          <cell r="A1177" t="str">
            <v>PERSONNEL EXPENSES-SALARY</v>
          </cell>
        </row>
        <row r="1178">
          <cell r="A1178" t="str">
            <v>Commission salary</v>
          </cell>
          <cell r="C1178">
            <v>0</v>
          </cell>
        </row>
        <row r="1179">
          <cell r="A1179" t="str">
            <v>Leased Accomodation</v>
          </cell>
          <cell r="C1179">
            <v>332272.21999999997</v>
          </cell>
        </row>
        <row r="1180">
          <cell r="A1180" t="str">
            <v>Basic</v>
          </cell>
          <cell r="C1180">
            <v>4590035.5199999996</v>
          </cell>
        </row>
        <row r="1181">
          <cell r="A1181" t="str">
            <v>Leave travelling assistance</v>
          </cell>
          <cell r="C1181">
            <v>292572.3</v>
          </cell>
        </row>
        <row r="1182">
          <cell r="A1182" t="str">
            <v>House Rent Allowance</v>
          </cell>
          <cell r="C1182">
            <v>2255933.71</v>
          </cell>
        </row>
        <row r="1183">
          <cell r="A1183" t="str">
            <v>Special Pay</v>
          </cell>
          <cell r="C1183">
            <v>637500</v>
          </cell>
        </row>
        <row r="1184">
          <cell r="A1184" t="str">
            <v>Entertainment Allowance</v>
          </cell>
          <cell r="C1184">
            <v>80948.39</v>
          </cell>
        </row>
        <row r="1185">
          <cell r="A1185" t="str">
            <v>Software Allowance</v>
          </cell>
          <cell r="C1185">
            <v>24000</v>
          </cell>
        </row>
        <row r="1186">
          <cell r="A1186" t="str">
            <v>Conveyance Allowance</v>
          </cell>
          <cell r="C1186">
            <v>1100739.76</v>
          </cell>
        </row>
        <row r="1187">
          <cell r="A1187" t="str">
            <v>Leave Pay</v>
          </cell>
          <cell r="C1187">
            <v>286889.09000000003</v>
          </cell>
        </row>
        <row r="1188">
          <cell r="A1188" t="str">
            <v>Co's Cont. to PF &amp; FPF</v>
          </cell>
          <cell r="C1188">
            <v>778534</v>
          </cell>
        </row>
        <row r="1189">
          <cell r="A1189" t="str">
            <v>Co's Cont to ESI</v>
          </cell>
          <cell r="C1189">
            <v>33461.75</v>
          </cell>
        </row>
        <row r="1190">
          <cell r="A1190" t="str">
            <v>Staff Transport</v>
          </cell>
          <cell r="C1190">
            <v>84428</v>
          </cell>
        </row>
        <row r="1191">
          <cell r="A1191" t="str">
            <v>Canteen Deduction</v>
          </cell>
          <cell r="D1191">
            <v>37372.959999999999</v>
          </cell>
        </row>
        <row r="1192">
          <cell r="A1192" t="str">
            <v>Round Off - Salary</v>
          </cell>
          <cell r="C1192">
            <v>123.99</v>
          </cell>
        </row>
        <row r="1193">
          <cell r="A1193" t="str">
            <v>Dearness Allowance</v>
          </cell>
          <cell r="C1193">
            <v>1541991.53</v>
          </cell>
        </row>
        <row r="1194">
          <cell r="A1194" t="str">
            <v>Education Allowance</v>
          </cell>
          <cell r="C1194">
            <v>95107.86</v>
          </cell>
        </row>
        <row r="1195">
          <cell r="A1195" t="str">
            <v>Personal Pay</v>
          </cell>
          <cell r="C1195">
            <v>274581.73</v>
          </cell>
        </row>
        <row r="1196">
          <cell r="A1196" t="str">
            <v>Ad - Hoc Allowance</v>
          </cell>
          <cell r="C1196">
            <v>748426.93</v>
          </cell>
        </row>
        <row r="1197">
          <cell r="A1197" t="str">
            <v>Night Shift Allowance</v>
          </cell>
          <cell r="C1197">
            <v>3397.5</v>
          </cell>
        </row>
        <row r="1198">
          <cell r="A1198" t="str">
            <v>Production Bonus-salary</v>
          </cell>
          <cell r="C1198">
            <v>104312.74</v>
          </cell>
        </row>
        <row r="1199">
          <cell r="A1199" t="str">
            <v>Meal Expense - salary</v>
          </cell>
          <cell r="C1199">
            <v>58905.75</v>
          </cell>
        </row>
        <row r="1200">
          <cell r="A1200" t="str">
            <v>Medical Reimbursement</v>
          </cell>
          <cell r="C1200">
            <v>303319</v>
          </cell>
        </row>
        <row r="1201">
          <cell r="A1201" t="str">
            <v>Tea Allowance</v>
          </cell>
          <cell r="C1201">
            <v>381.74</v>
          </cell>
        </row>
        <row r="1202">
          <cell r="A1202" t="str">
            <v>Bonus &amp; Exgratia</v>
          </cell>
          <cell r="C1202">
            <v>354837</v>
          </cell>
        </row>
        <row r="1203">
          <cell r="A1203" t="str">
            <v>Wages reimbursement</v>
          </cell>
          <cell r="C1203">
            <v>119250</v>
          </cell>
        </row>
        <row r="1204">
          <cell r="A1204" t="str">
            <v>Parformance Award - salary</v>
          </cell>
          <cell r="C1204">
            <v>2272645</v>
          </cell>
        </row>
        <row r="1205">
          <cell r="A1205" t="str">
            <v>Service Award</v>
          </cell>
          <cell r="C1205">
            <v>4000</v>
          </cell>
        </row>
        <row r="1206">
          <cell r="A1206" t="str">
            <v>Deputation Salary</v>
          </cell>
          <cell r="C1206">
            <v>0</v>
          </cell>
        </row>
        <row r="1207">
          <cell r="A1207" t="str">
            <v>Gratuity Expense</v>
          </cell>
          <cell r="C1207">
            <v>154148.5</v>
          </cell>
        </row>
        <row r="1208">
          <cell r="A1208" t="str">
            <v>Superannuation Expense</v>
          </cell>
          <cell r="C1208">
            <v>401760</v>
          </cell>
        </row>
        <row r="1209">
          <cell r="A1209" t="str">
            <v>Economic / Death Relife Fund</v>
          </cell>
          <cell r="C1209">
            <v>0</v>
          </cell>
        </row>
        <row r="1210">
          <cell r="A1210" t="str">
            <v>Subsistence Allowance</v>
          </cell>
          <cell r="C1210">
            <v>0</v>
          </cell>
        </row>
        <row r="1211">
          <cell r="A1211" t="str">
            <v>NOTICE PAY-SALARY</v>
          </cell>
          <cell r="D1211">
            <v>6300</v>
          </cell>
        </row>
        <row r="1212">
          <cell r="A1212" t="str">
            <v>SALARY DEDUCTION-EMPLOYEES</v>
          </cell>
          <cell r="C1212">
            <v>0</v>
          </cell>
        </row>
        <row r="1213">
          <cell r="A1213" t="str">
            <v>Other Allowance.</v>
          </cell>
          <cell r="C1213">
            <v>88949.3</v>
          </cell>
        </row>
        <row r="1214">
          <cell r="A1214" t="str">
            <v>Car Substitution Allowance</v>
          </cell>
          <cell r="C1214">
            <v>31000</v>
          </cell>
        </row>
        <row r="1215">
          <cell r="A1215" t="str">
            <v>Soft furnishing Exps.</v>
          </cell>
          <cell r="C1215">
            <v>63000</v>
          </cell>
        </row>
        <row r="1216">
          <cell r="A1216" t="str">
            <v>ADMINISTRATIVE &amp; SELLING EXPENSES</v>
          </cell>
        </row>
        <row r="1217">
          <cell r="A1217" t="str">
            <v>Discounts and rebates on sales</v>
          </cell>
          <cell r="C1217">
            <v>0</v>
          </cell>
        </row>
        <row r="1218">
          <cell r="A1218" t="str">
            <v>VEHICLE EXPENSE</v>
          </cell>
        </row>
        <row r="1219">
          <cell r="A1219" t="str">
            <v>Car Lease Rent- Management Engg.</v>
          </cell>
          <cell r="C1219">
            <v>0</v>
          </cell>
        </row>
        <row r="1220">
          <cell r="A1220" t="str">
            <v>Vehicle exp. (Cello)-Ex. Director</v>
          </cell>
          <cell r="C1220">
            <v>44842.3</v>
          </cell>
        </row>
        <row r="1221">
          <cell r="A1221" t="str">
            <v>Vehicle exp. (P.K.Gupta)-Quality</v>
          </cell>
          <cell r="C1221">
            <v>0</v>
          </cell>
        </row>
        <row r="1222">
          <cell r="A1222" t="str">
            <v>Vehicle exp. (Mr.Kalra)-Mfg. Mgt.</v>
          </cell>
          <cell r="C1222">
            <v>6051</v>
          </cell>
        </row>
        <row r="1223">
          <cell r="A1223" t="str">
            <v>Vehicle exp. (SKC)-Management Engg.</v>
          </cell>
          <cell r="C1223">
            <v>1220</v>
          </cell>
        </row>
        <row r="1224">
          <cell r="A1224" t="str">
            <v>Vehicle exp.(Mr.Y.K.Arora)-Mang.Materials</v>
          </cell>
          <cell r="C1224">
            <v>1473</v>
          </cell>
        </row>
        <row r="1225">
          <cell r="A1225" t="str">
            <v>vehicle (Ambulance)</v>
          </cell>
          <cell r="C1225">
            <v>2495</v>
          </cell>
        </row>
        <row r="1226">
          <cell r="A1226" t="str">
            <v>Vehicle exp.(Mitsubishi Lancer)-S.babu</v>
          </cell>
          <cell r="C1226">
            <v>31416</v>
          </cell>
        </row>
        <row r="1227">
          <cell r="A1227" t="str">
            <v>Vehicle exp.(Santro)-S.Babu</v>
          </cell>
          <cell r="C1227">
            <v>17279</v>
          </cell>
        </row>
        <row r="1228">
          <cell r="A1228" t="str">
            <v>vehicle exp -Esteem Mang. Engg</v>
          </cell>
          <cell r="C1228">
            <v>1151</v>
          </cell>
        </row>
        <row r="1229">
          <cell r="A1229" t="str">
            <v>REPAIR AND MAINTENENCE</v>
          </cell>
        </row>
        <row r="1230">
          <cell r="A1230" t="str">
            <v>Repair&amp;Maint. - Systems</v>
          </cell>
          <cell r="C1230">
            <v>89210</v>
          </cell>
        </row>
        <row r="1231">
          <cell r="A1231" t="str">
            <v>Repair &amp; Maint. - PPC</v>
          </cell>
          <cell r="C1231">
            <v>0</v>
          </cell>
        </row>
        <row r="1232">
          <cell r="A1232" t="str">
            <v>Repair &amp; Maint.-Quality</v>
          </cell>
          <cell r="C1232">
            <v>40122</v>
          </cell>
        </row>
        <row r="1233">
          <cell r="A1233" t="str">
            <v>Repair &amp; Maint.-Maintainence</v>
          </cell>
          <cell r="C1233">
            <v>513494.88</v>
          </cell>
        </row>
        <row r="1234">
          <cell r="A1234" t="str">
            <v>Repair &amp; Maint.- Industrial Engg.</v>
          </cell>
          <cell r="C1234">
            <v>550</v>
          </cell>
        </row>
        <row r="1235">
          <cell r="A1235" t="str">
            <v>Repair &amp; Maint.-Cr.Prd. Engg.</v>
          </cell>
          <cell r="C1235">
            <v>178269</v>
          </cell>
        </row>
        <row r="1236">
          <cell r="A1236" t="str">
            <v>Repair &amp; Maint. - Purchase</v>
          </cell>
          <cell r="C1236">
            <v>14138.1</v>
          </cell>
        </row>
        <row r="1237">
          <cell r="A1237" t="str">
            <v>Repair &amp; Maint. - Personnel</v>
          </cell>
          <cell r="C1237">
            <v>22596</v>
          </cell>
        </row>
        <row r="1238">
          <cell r="A1238" t="str">
            <v>Repair &amp; Maint. - Fabrication.</v>
          </cell>
          <cell r="C1238">
            <v>93521.25</v>
          </cell>
        </row>
        <row r="1239">
          <cell r="A1239" t="str">
            <v>Repair &amp; Maint.-Magt. Engg.</v>
          </cell>
          <cell r="C1239">
            <v>0</v>
          </cell>
        </row>
        <row r="1240">
          <cell r="A1240" t="str">
            <v>Repair &amp; Maint. - ED</v>
          </cell>
          <cell r="C1240">
            <v>14979.98</v>
          </cell>
        </row>
        <row r="1241">
          <cell r="A1241" t="str">
            <v>Repair &amp; Maint.- Finance</v>
          </cell>
          <cell r="C1241">
            <v>1700</v>
          </cell>
        </row>
        <row r="1242">
          <cell r="A1242" t="str">
            <v>Repair &amp; Maint. - Stores.</v>
          </cell>
          <cell r="C1242">
            <v>51475.22</v>
          </cell>
        </row>
        <row r="1243">
          <cell r="A1243" t="str">
            <v>Repair &amp; Maint. - Shipment.</v>
          </cell>
          <cell r="C1243">
            <v>4831</v>
          </cell>
        </row>
        <row r="1244">
          <cell r="A1244" t="str">
            <v>Repair &amp; Maint. - Magt. Mfg.</v>
          </cell>
          <cell r="C1244">
            <v>2296</v>
          </cell>
        </row>
        <row r="1245">
          <cell r="A1245" t="str">
            <v>Repair &amp; Maint. - Paint Shop.</v>
          </cell>
          <cell r="C1245">
            <v>289978.45</v>
          </cell>
        </row>
        <row r="1246">
          <cell r="A1246" t="str">
            <v>Repair &amp; Maint.- Assy.</v>
          </cell>
          <cell r="C1246">
            <v>98261.58</v>
          </cell>
        </row>
        <row r="1247">
          <cell r="A1247" t="str">
            <v>Repair &amp; Maint. - Magt. Materials</v>
          </cell>
          <cell r="C1247">
            <v>0</v>
          </cell>
        </row>
        <row r="1248">
          <cell r="A1248" t="str">
            <v>Repairs &amp; Maint.-Bldg.</v>
          </cell>
          <cell r="C1248">
            <v>10009.700000000001</v>
          </cell>
        </row>
        <row r="1249">
          <cell r="A1249" t="str">
            <v>Repairs &amp; Maint.-Plant &amp; Mach.</v>
          </cell>
          <cell r="C1249">
            <v>0</v>
          </cell>
        </row>
        <row r="1250">
          <cell r="A1250" t="str">
            <v>Repair &amp; Maint.- Recoverable</v>
          </cell>
          <cell r="D1250">
            <v>5000</v>
          </cell>
        </row>
        <row r="1251">
          <cell r="A1251" t="str">
            <v>PACKING &amp; FORWARDING</v>
          </cell>
        </row>
        <row r="1252">
          <cell r="A1252" t="str">
            <v>Freight Outward-Shipping</v>
          </cell>
          <cell r="C1252">
            <v>7654.8</v>
          </cell>
        </row>
        <row r="1253">
          <cell r="A1253" t="str">
            <v>Packing Charges-Shipping</v>
          </cell>
          <cell r="C1253">
            <v>79762.86</v>
          </cell>
        </row>
        <row r="1254">
          <cell r="A1254" t="str">
            <v>Freight Outward - Domestic</v>
          </cell>
          <cell r="C1254">
            <v>26024</v>
          </cell>
        </row>
        <row r="1255">
          <cell r="A1255" t="str">
            <v>Commision-clearing &amp; forwarding</v>
          </cell>
          <cell r="C1255">
            <v>0</v>
          </cell>
        </row>
        <row r="1256">
          <cell r="A1256" t="str">
            <v>FREIGHT CHARGES - RECOVERABLE</v>
          </cell>
          <cell r="D1256">
            <v>40000</v>
          </cell>
        </row>
        <row r="1257">
          <cell r="A1257" t="str">
            <v>FREIGHT OUTWARD - TAF 68</v>
          </cell>
          <cell r="C1257">
            <v>0</v>
          </cell>
        </row>
        <row r="1258">
          <cell r="A1258" t="str">
            <v>TRAVEL DOMESTIC</v>
          </cell>
        </row>
        <row r="1259">
          <cell r="A1259" t="str">
            <v>Travel Domestic-E.D.</v>
          </cell>
          <cell r="C1259">
            <v>78134.009999999995</v>
          </cell>
        </row>
        <row r="1260">
          <cell r="A1260" t="str">
            <v>Travel Domestic-Manf. Mgt.</v>
          </cell>
          <cell r="C1260">
            <v>0</v>
          </cell>
        </row>
        <row r="1261">
          <cell r="A1261" t="str">
            <v>Travel Domestic-Assembly</v>
          </cell>
          <cell r="C1261">
            <v>0</v>
          </cell>
        </row>
        <row r="1262">
          <cell r="A1262" t="str">
            <v>Travel Domestic-Fabrication</v>
          </cell>
          <cell r="C1262">
            <v>0</v>
          </cell>
        </row>
        <row r="1263">
          <cell r="A1263" t="str">
            <v>Travel Domestic-PPC</v>
          </cell>
          <cell r="C1263">
            <v>0</v>
          </cell>
        </row>
        <row r="1264">
          <cell r="A1264" t="str">
            <v>Travel Domestic-Maintainence</v>
          </cell>
          <cell r="C1264">
            <v>0</v>
          </cell>
        </row>
        <row r="1265">
          <cell r="A1265" t="str">
            <v>Travel Domestic-Paint Shop</v>
          </cell>
          <cell r="C1265">
            <v>0</v>
          </cell>
        </row>
        <row r="1266">
          <cell r="A1266" t="str">
            <v>Travel Domestic-Indus. Engg.</v>
          </cell>
          <cell r="C1266">
            <v>0</v>
          </cell>
        </row>
        <row r="1267">
          <cell r="A1267" t="str">
            <v>Travel Domestic-Magt. Engg.</v>
          </cell>
          <cell r="C1267">
            <v>7169</v>
          </cell>
        </row>
        <row r="1268">
          <cell r="A1268" t="str">
            <v>Travel Domestic-Curr. Product Engg.</v>
          </cell>
          <cell r="C1268">
            <v>147341</v>
          </cell>
        </row>
        <row r="1269">
          <cell r="A1269" t="str">
            <v>Travel Domestic-Material Magt.</v>
          </cell>
          <cell r="C1269">
            <v>1112</v>
          </cell>
        </row>
        <row r="1270">
          <cell r="A1270" t="str">
            <v>Travel Domestic - Purchase</v>
          </cell>
          <cell r="C1270">
            <v>14100</v>
          </cell>
        </row>
        <row r="1271">
          <cell r="A1271" t="str">
            <v>Travel Domestic - Shipment</v>
          </cell>
          <cell r="C1271">
            <v>0</v>
          </cell>
        </row>
        <row r="1272">
          <cell r="A1272" t="str">
            <v>Travel Domestic - Stores</v>
          </cell>
          <cell r="C1272">
            <v>21556</v>
          </cell>
        </row>
        <row r="1273">
          <cell r="A1273" t="str">
            <v>Travel Domestic - Personnel</v>
          </cell>
          <cell r="C1273">
            <v>19897</v>
          </cell>
        </row>
        <row r="1274">
          <cell r="A1274" t="str">
            <v>Travel Domestic - Finance</v>
          </cell>
          <cell r="C1274">
            <v>0</v>
          </cell>
        </row>
        <row r="1275">
          <cell r="A1275" t="str">
            <v>Travel Domestic - Systems</v>
          </cell>
          <cell r="C1275">
            <v>2958</v>
          </cell>
        </row>
        <row r="1276">
          <cell r="A1276" t="str">
            <v>Travel Domestic - Quality</v>
          </cell>
          <cell r="C1276">
            <v>13380</v>
          </cell>
        </row>
        <row r="1277">
          <cell r="A1277" t="str">
            <v>TRAVEL DOMESTIC - RECOVERABLE</v>
          </cell>
          <cell r="D1277">
            <v>40000</v>
          </cell>
        </row>
        <row r="1278">
          <cell r="A1278" t="str">
            <v>Travel Domestic-New Projects</v>
          </cell>
          <cell r="C1278">
            <v>1113</v>
          </cell>
        </row>
        <row r="1279">
          <cell r="A1279" t="str">
            <v>RATES,TAXES &amp; MICS.</v>
          </cell>
        </row>
        <row r="1280">
          <cell r="A1280" t="str">
            <v>Fees &amp; subscription-General Admin.</v>
          </cell>
          <cell r="C1280">
            <v>72750</v>
          </cell>
        </row>
        <row r="1281">
          <cell r="A1281" t="str">
            <v>Books &amp; Periodicals-General Admin.</v>
          </cell>
          <cell r="C1281">
            <v>14062</v>
          </cell>
        </row>
        <row r="1282">
          <cell r="A1282" t="str">
            <v>Photocopier Expenses-General Admin.</v>
          </cell>
          <cell r="C1282">
            <v>30379</v>
          </cell>
        </row>
        <row r="1283">
          <cell r="A1283" t="str">
            <v>Membership Exps.</v>
          </cell>
          <cell r="C1283">
            <v>17000</v>
          </cell>
        </row>
        <row r="1284">
          <cell r="A1284" t="str">
            <v>Misc. Expenses</v>
          </cell>
          <cell r="C1284">
            <v>7970</v>
          </cell>
        </row>
        <row r="1285">
          <cell r="A1285" t="str">
            <v>Charity &amp; Donation - E.D.</v>
          </cell>
          <cell r="C1285">
            <v>0</v>
          </cell>
        </row>
        <row r="1286">
          <cell r="A1286" t="str">
            <v>Photograph Exps.</v>
          </cell>
          <cell r="C1286">
            <v>1990</v>
          </cell>
        </row>
        <row r="1287">
          <cell r="A1287" t="str">
            <v>Advertisement - General Admin.</v>
          </cell>
          <cell r="C1287">
            <v>7500</v>
          </cell>
        </row>
        <row r="1288">
          <cell r="A1288" t="str">
            <v>Brokerage - General Admin.</v>
          </cell>
          <cell r="C1288">
            <v>4850</v>
          </cell>
        </row>
        <row r="1289">
          <cell r="A1289" t="str">
            <v>Hire Charges - General Admin.</v>
          </cell>
          <cell r="C1289">
            <v>118288</v>
          </cell>
        </row>
        <row r="1290">
          <cell r="A1290" t="str">
            <v>Gifts -General Admin.</v>
          </cell>
          <cell r="C1290">
            <v>420</v>
          </cell>
        </row>
        <row r="1291">
          <cell r="A1291" t="str">
            <v>Dividend Tax</v>
          </cell>
          <cell r="C1291">
            <v>0</v>
          </cell>
        </row>
        <row r="1292">
          <cell r="A1292" t="str">
            <v>Water charges-General Admin.</v>
          </cell>
          <cell r="C1292">
            <v>121880</v>
          </cell>
        </row>
        <row r="1293">
          <cell r="A1293" t="str">
            <v>CONFERENCE EXPS.</v>
          </cell>
          <cell r="C1293">
            <v>0</v>
          </cell>
        </row>
        <row r="1294">
          <cell r="A1294" t="str">
            <v>Fine on statutory payments-General Admin.</v>
          </cell>
          <cell r="C1294">
            <v>266225</v>
          </cell>
        </row>
        <row r="1295">
          <cell r="A1295" t="str">
            <v>ROUNDOFF-BAL.</v>
          </cell>
          <cell r="C1295">
            <v>0</v>
          </cell>
        </row>
        <row r="1296">
          <cell r="A1296" t="str">
            <v>Lease Rent-Corporate</v>
          </cell>
          <cell r="C1296">
            <v>1418400</v>
          </cell>
        </row>
        <row r="1297">
          <cell r="A1297" t="str">
            <v>GAS REIMBURSEMENT</v>
          </cell>
          <cell r="C1297">
            <v>744.36</v>
          </cell>
        </row>
        <row r="1298">
          <cell r="A1298" t="str">
            <v>TELEPHONE &amp; POSTAGE</v>
          </cell>
        </row>
        <row r="1299">
          <cell r="A1299" t="str">
            <v>Telephone Exps.- General Admin.</v>
          </cell>
          <cell r="C1299">
            <v>372419.37</v>
          </cell>
        </row>
        <row r="1300">
          <cell r="A1300" t="str">
            <v>Telephone Exp. 5270766/1767/0765-Ed</v>
          </cell>
          <cell r="C1300">
            <v>0</v>
          </cell>
        </row>
        <row r="1301">
          <cell r="A1301" t="str">
            <v>Telephone Exps.-5273532-Material</v>
          </cell>
          <cell r="C1301">
            <v>0</v>
          </cell>
        </row>
        <row r="1302">
          <cell r="A1302" t="str">
            <v>Telephone Exps.-5273560-Mfg.</v>
          </cell>
          <cell r="C1302">
            <v>0</v>
          </cell>
        </row>
        <row r="1303">
          <cell r="A1303" t="str">
            <v>Telephone Exps.-5278841-Engg.</v>
          </cell>
          <cell r="C1303">
            <v>0</v>
          </cell>
        </row>
        <row r="1304">
          <cell r="A1304" t="str">
            <v>Telephone Exps.-5273545-Systems</v>
          </cell>
          <cell r="C1304">
            <v>0</v>
          </cell>
        </row>
        <row r="1305">
          <cell r="A1305" t="str">
            <v>Telephone Exps.-5255985-Personnel</v>
          </cell>
          <cell r="C1305">
            <v>0</v>
          </cell>
        </row>
        <row r="1306">
          <cell r="A1306" t="str">
            <v>Pager Exps.-General Admin.</v>
          </cell>
          <cell r="C1306">
            <v>1263</v>
          </cell>
        </row>
        <row r="1307">
          <cell r="A1307" t="str">
            <v>Postage Exps.-General Admin.</v>
          </cell>
          <cell r="C1307">
            <v>3480</v>
          </cell>
        </row>
        <row r="1308">
          <cell r="A1308" t="str">
            <v>Courier Exps.-General Admin.</v>
          </cell>
          <cell r="C1308">
            <v>41945.599999999999</v>
          </cell>
        </row>
        <row r="1309">
          <cell r="A1309" t="str">
            <v>Telephone Exps.(y.arora-9810016612)-Material</v>
          </cell>
          <cell r="C1309">
            <v>4036.16</v>
          </cell>
        </row>
        <row r="1310">
          <cell r="A1310" t="str">
            <v>Telephone Exps.-6840485-chairman residence</v>
          </cell>
          <cell r="C1310">
            <v>21669</v>
          </cell>
        </row>
        <row r="1311">
          <cell r="A1311" t="str">
            <v>Telephone Exps.(S.Babu-9810016984)-E.D.</v>
          </cell>
          <cell r="C1311">
            <v>11813.64</v>
          </cell>
        </row>
        <row r="1312">
          <cell r="A1312" t="str">
            <v>ENTERTAINMENT EXPENSES</v>
          </cell>
        </row>
        <row r="1313">
          <cell r="A1313" t="str">
            <v>Entertainment - E D</v>
          </cell>
          <cell r="C1313">
            <v>45104.21</v>
          </cell>
        </row>
        <row r="1314">
          <cell r="A1314" t="str">
            <v>Entertainment - Finance</v>
          </cell>
          <cell r="C1314">
            <v>590</v>
          </cell>
        </row>
        <row r="1315">
          <cell r="A1315" t="str">
            <v>Entertainment - Quality</v>
          </cell>
          <cell r="C1315">
            <v>0</v>
          </cell>
        </row>
        <row r="1316">
          <cell r="A1316" t="str">
            <v>Entertainment - Personnel</v>
          </cell>
          <cell r="C1316">
            <v>0</v>
          </cell>
        </row>
        <row r="1317">
          <cell r="A1317" t="str">
            <v>Entertainment - Systems</v>
          </cell>
          <cell r="C1317">
            <v>0</v>
          </cell>
        </row>
        <row r="1318">
          <cell r="A1318" t="str">
            <v>Entertainment - Purchase</v>
          </cell>
          <cell r="C1318">
            <v>6100</v>
          </cell>
        </row>
        <row r="1319">
          <cell r="A1319" t="str">
            <v>Entertainment-Engineering</v>
          </cell>
          <cell r="C1319">
            <v>1797</v>
          </cell>
        </row>
        <row r="1320">
          <cell r="A1320" t="str">
            <v>TRAVEL OVERSEAS</v>
          </cell>
        </row>
        <row r="1321">
          <cell r="A1321" t="str">
            <v>Travel Overseas - E.D.</v>
          </cell>
          <cell r="C1321">
            <v>438871.5</v>
          </cell>
        </row>
        <row r="1322">
          <cell r="A1322" t="str">
            <v>Foreign Travelling (Training)</v>
          </cell>
          <cell r="C1322">
            <v>0</v>
          </cell>
        </row>
        <row r="1323">
          <cell r="A1323" t="str">
            <v>Foreign Travelling-Quality</v>
          </cell>
          <cell r="C1323">
            <v>0</v>
          </cell>
        </row>
        <row r="1324">
          <cell r="A1324" t="str">
            <v>Foreign Travelling-Engineering</v>
          </cell>
          <cell r="C1324">
            <v>223297.36</v>
          </cell>
        </row>
        <row r="1325">
          <cell r="A1325" t="str">
            <v>LOCAL CONVEYANCE</v>
          </cell>
        </row>
        <row r="1326">
          <cell r="A1326" t="str">
            <v>Local Conveyance-E.D.</v>
          </cell>
          <cell r="C1326">
            <v>13290</v>
          </cell>
        </row>
        <row r="1327">
          <cell r="A1327" t="str">
            <v>Local Conveyance - Mgt. Manuf</v>
          </cell>
          <cell r="C1327">
            <v>0</v>
          </cell>
        </row>
        <row r="1328">
          <cell r="A1328" t="str">
            <v>Local conveyance- Assembly</v>
          </cell>
          <cell r="C1328">
            <v>72</v>
          </cell>
        </row>
        <row r="1329">
          <cell r="A1329" t="str">
            <v>Local Conveyance - Fabrication</v>
          </cell>
          <cell r="C1329">
            <v>1771</v>
          </cell>
        </row>
        <row r="1330">
          <cell r="A1330" t="str">
            <v>Local Conveyance - Maintainence</v>
          </cell>
          <cell r="C1330">
            <v>1111</v>
          </cell>
        </row>
        <row r="1331">
          <cell r="A1331" t="str">
            <v>Local Conveyance - Paint Shop</v>
          </cell>
          <cell r="C1331">
            <v>331</v>
          </cell>
        </row>
        <row r="1332">
          <cell r="A1332" t="str">
            <v>Local Conveyance - PPC</v>
          </cell>
          <cell r="C1332">
            <v>64</v>
          </cell>
        </row>
        <row r="1333">
          <cell r="A1333" t="str">
            <v>Local Conveyance - Manufacturing</v>
          </cell>
          <cell r="C1333">
            <v>0</v>
          </cell>
        </row>
        <row r="1334">
          <cell r="A1334" t="str">
            <v>Local Conveyance - Mgt. Materials</v>
          </cell>
          <cell r="C1334">
            <v>0</v>
          </cell>
        </row>
        <row r="1335">
          <cell r="A1335" t="str">
            <v>Local Conveyance - Purchase</v>
          </cell>
          <cell r="C1335">
            <v>17976</v>
          </cell>
        </row>
        <row r="1336">
          <cell r="A1336" t="str">
            <v>Local Conveyance - Stores</v>
          </cell>
          <cell r="C1336">
            <v>400</v>
          </cell>
        </row>
        <row r="1337">
          <cell r="A1337" t="str">
            <v>Local Conveyance - Industrial Engg.</v>
          </cell>
          <cell r="C1337">
            <v>1425</v>
          </cell>
        </row>
        <row r="1338">
          <cell r="A1338" t="str">
            <v>Local Conveyance - Shipment</v>
          </cell>
          <cell r="C1338">
            <v>0</v>
          </cell>
        </row>
        <row r="1339">
          <cell r="A1339" t="str">
            <v>Local Conveyance - Magt. Engg.</v>
          </cell>
          <cell r="C1339">
            <v>5066</v>
          </cell>
        </row>
        <row r="1340">
          <cell r="A1340" t="str">
            <v>Local Conveyance - Curr. Prod. Engg</v>
          </cell>
          <cell r="C1340">
            <v>13668</v>
          </cell>
        </row>
        <row r="1341">
          <cell r="A1341" t="str">
            <v>Local Conveyance - Quality</v>
          </cell>
          <cell r="C1341">
            <v>1330</v>
          </cell>
        </row>
        <row r="1342">
          <cell r="A1342" t="str">
            <v>Local Conveyance - Finance</v>
          </cell>
          <cell r="C1342">
            <v>7975</v>
          </cell>
        </row>
        <row r="1343">
          <cell r="A1343" t="str">
            <v>Local Conveyance - Systems</v>
          </cell>
          <cell r="C1343">
            <v>1504</v>
          </cell>
        </row>
        <row r="1344">
          <cell r="A1344" t="str">
            <v>Local Conveyance - Personnel</v>
          </cell>
          <cell r="C1344">
            <v>11249</v>
          </cell>
        </row>
        <row r="1345">
          <cell r="A1345" t="str">
            <v>CONVEYANCE REIMBURSEMENT</v>
          </cell>
        </row>
        <row r="1346">
          <cell r="A1346" t="str">
            <v>Conveyance Reim.-Magt. Manuf.</v>
          </cell>
          <cell r="C1346">
            <v>31608</v>
          </cell>
        </row>
        <row r="1347">
          <cell r="A1347" t="str">
            <v>Conveyance Reimb.- Assembly</v>
          </cell>
          <cell r="C1347">
            <v>240</v>
          </cell>
        </row>
        <row r="1348">
          <cell r="A1348" t="str">
            <v>Conveyance Reimb. - Fabrication</v>
          </cell>
          <cell r="C1348">
            <v>120</v>
          </cell>
        </row>
        <row r="1349">
          <cell r="A1349" t="str">
            <v>Conveyance Reimb. - Paint Shop</v>
          </cell>
          <cell r="C1349">
            <v>2968</v>
          </cell>
        </row>
        <row r="1350">
          <cell r="A1350" t="str">
            <v>Conveyance Reimb. - PPC</v>
          </cell>
          <cell r="C1350">
            <v>400</v>
          </cell>
        </row>
        <row r="1351">
          <cell r="A1351" t="str">
            <v>Conveyance Reimb. - Indust. Engg.</v>
          </cell>
          <cell r="C1351">
            <v>3544</v>
          </cell>
        </row>
        <row r="1352">
          <cell r="A1352" t="str">
            <v>Conveyance Reimb. - Maintainence</v>
          </cell>
          <cell r="C1352">
            <v>0</v>
          </cell>
        </row>
        <row r="1353">
          <cell r="A1353" t="str">
            <v>Conveyance Reimb. - Magt. Material</v>
          </cell>
          <cell r="C1353">
            <v>22648</v>
          </cell>
        </row>
        <row r="1354">
          <cell r="A1354" t="str">
            <v>Conveyance Reimb. - Purchase</v>
          </cell>
          <cell r="C1354">
            <v>28316</v>
          </cell>
        </row>
        <row r="1355">
          <cell r="A1355" t="str">
            <v>Conveyance Reimb. - Stores</v>
          </cell>
          <cell r="C1355">
            <v>2640</v>
          </cell>
        </row>
        <row r="1356">
          <cell r="A1356" t="str">
            <v>Conveyance Reinb. - Shipment</v>
          </cell>
          <cell r="C1356">
            <v>0</v>
          </cell>
        </row>
        <row r="1357">
          <cell r="A1357" t="str">
            <v>Conveyance Reimb. - Magt. Engg.</v>
          </cell>
          <cell r="C1357">
            <v>23106</v>
          </cell>
        </row>
        <row r="1358">
          <cell r="A1358" t="str">
            <v>Conveyance Reimb. - Curr. Prod. Eng</v>
          </cell>
          <cell r="C1358">
            <v>14988</v>
          </cell>
        </row>
        <row r="1359">
          <cell r="A1359" t="str">
            <v>Conveyance Reimb. Quality</v>
          </cell>
          <cell r="C1359">
            <v>6602</v>
          </cell>
        </row>
        <row r="1360">
          <cell r="A1360" t="str">
            <v>Conveyance Reimb. - Finance</v>
          </cell>
          <cell r="C1360">
            <v>46365</v>
          </cell>
        </row>
        <row r="1361">
          <cell r="A1361" t="str">
            <v>Conveyance Reimb. - Systems</v>
          </cell>
          <cell r="C1361">
            <v>8084</v>
          </cell>
        </row>
        <row r="1362">
          <cell r="A1362" t="str">
            <v>Conveyance Reimb. - Personnel</v>
          </cell>
          <cell r="C1362">
            <v>21760</v>
          </cell>
        </row>
        <row r="1363">
          <cell r="A1363" t="str">
            <v>LEGAL &amp; PROFFESIONAL EXPENSES</v>
          </cell>
        </row>
        <row r="1364">
          <cell r="A1364" t="str">
            <v>Legal &amp; Proff.-E.D.</v>
          </cell>
          <cell r="C1364">
            <v>285388</v>
          </cell>
        </row>
        <row r="1365">
          <cell r="A1365" t="str">
            <v>Legal &amp; Proff. - Material</v>
          </cell>
          <cell r="C1365">
            <v>675</v>
          </cell>
        </row>
        <row r="1366">
          <cell r="A1366" t="str">
            <v>Legal &amp; Proff. - Personnel</v>
          </cell>
          <cell r="C1366">
            <v>44462</v>
          </cell>
        </row>
        <row r="1367">
          <cell r="A1367" t="str">
            <v>Legal &amp; Proff. - Finance</v>
          </cell>
          <cell r="C1367">
            <v>62395</v>
          </cell>
        </row>
        <row r="1368">
          <cell r="A1368" t="str">
            <v>Legal &amp; Proff.- Genral Admin.</v>
          </cell>
          <cell r="C1368">
            <v>31500</v>
          </cell>
        </row>
        <row r="1369">
          <cell r="A1369" t="str">
            <v>Consultancy-ED</v>
          </cell>
          <cell r="C1369">
            <v>424101.12</v>
          </cell>
        </row>
        <row r="1370">
          <cell r="A1370" t="str">
            <v>Retainership exp.-Material</v>
          </cell>
          <cell r="C1370">
            <v>32329</v>
          </cell>
        </row>
        <row r="1371">
          <cell r="A1371" t="str">
            <v>PRINTING &amp; STATIONERY</v>
          </cell>
        </row>
        <row r="1372">
          <cell r="A1372" t="str">
            <v>Printing &amp; Stationery - Gen. Admin.</v>
          </cell>
          <cell r="C1372">
            <v>140346.19</v>
          </cell>
        </row>
        <row r="1373">
          <cell r="A1373" t="str">
            <v>Printing &amp; stationery - Systems</v>
          </cell>
          <cell r="C1373">
            <v>125602</v>
          </cell>
        </row>
        <row r="1374">
          <cell r="A1374" t="str">
            <v>INSURANCE EXPENSES</v>
          </cell>
        </row>
        <row r="1375">
          <cell r="A1375" t="str">
            <v>Insurance - Finance</v>
          </cell>
          <cell r="C1375">
            <v>47458</v>
          </cell>
        </row>
        <row r="1376">
          <cell r="A1376" t="str">
            <v>Insurance - Personnel</v>
          </cell>
          <cell r="C1376">
            <v>15741</v>
          </cell>
        </row>
        <row r="1377">
          <cell r="A1377" t="str">
            <v>Insurance - Materials</v>
          </cell>
          <cell r="C1377">
            <v>223366</v>
          </cell>
        </row>
        <row r="1378">
          <cell r="A1378" t="str">
            <v>Insurance - General Admin.</v>
          </cell>
          <cell r="C1378">
            <v>4722</v>
          </cell>
        </row>
        <row r="1379">
          <cell r="A1379" t="str">
            <v>SALES RETURN</v>
          </cell>
          <cell r="C1379">
            <v>0</v>
          </cell>
        </row>
        <row r="1380">
          <cell r="A1380" t="str">
            <v>Business promotion &amp; development exps.</v>
          </cell>
          <cell r="C1380">
            <v>0</v>
          </cell>
        </row>
        <row r="1381">
          <cell r="A1381" t="str">
            <v>FINANCIAL EXPENSES</v>
          </cell>
        </row>
        <row r="1382">
          <cell r="A1382" t="str">
            <v>Bank charges</v>
          </cell>
          <cell r="C1382">
            <v>62339.01</v>
          </cell>
        </row>
        <row r="1383">
          <cell r="A1383" t="str">
            <v>Bill discounting charges</v>
          </cell>
          <cell r="C1383">
            <v>0</v>
          </cell>
        </row>
        <row r="1384">
          <cell r="A1384" t="str">
            <v>Commission/Brokerage on finance</v>
          </cell>
          <cell r="C1384">
            <v>0</v>
          </cell>
        </row>
        <row r="1385">
          <cell r="A1385" t="str">
            <v>Interest - Term loans</v>
          </cell>
          <cell r="C1385">
            <v>1970616.47</v>
          </cell>
        </row>
        <row r="1386">
          <cell r="A1386" t="str">
            <v>Interest on other loans</v>
          </cell>
          <cell r="C1386">
            <v>0</v>
          </cell>
        </row>
        <row r="1387">
          <cell r="A1387" t="str">
            <v>Interest paid on Bank loans</v>
          </cell>
          <cell r="C1387">
            <v>1646477.88</v>
          </cell>
        </row>
        <row r="1388">
          <cell r="A1388" t="str">
            <v>L / C Charges</v>
          </cell>
          <cell r="C1388">
            <v>220774.57</v>
          </cell>
        </row>
        <row r="1389">
          <cell r="A1389" t="str">
            <v>Exchange Rate Difference(imports)</v>
          </cell>
          <cell r="C1389">
            <v>51802.38</v>
          </cell>
        </row>
        <row r="1390">
          <cell r="A1390" t="str">
            <v>Interim Dividend</v>
          </cell>
          <cell r="C1390">
            <v>0</v>
          </cell>
        </row>
        <row r="1391">
          <cell r="A1391" t="str">
            <v>Preference Dividend</v>
          </cell>
          <cell r="C1391">
            <v>0</v>
          </cell>
        </row>
        <row r="1392">
          <cell r="A1392" t="str">
            <v>Equity Dividend (final)</v>
          </cell>
          <cell r="C1392">
            <v>0</v>
          </cell>
        </row>
        <row r="1393">
          <cell r="A1393" t="str">
            <v>BAD DEBTS</v>
          </cell>
        </row>
        <row r="1394">
          <cell r="A1394" t="str">
            <v>Bad debts written off</v>
          </cell>
          <cell r="C1394">
            <v>0</v>
          </cell>
        </row>
        <row r="1395">
          <cell r="A1395" t="str">
            <v>Unrecoverable Advances written off</v>
          </cell>
          <cell r="C1395">
            <v>0</v>
          </cell>
        </row>
        <row r="1396">
          <cell r="A1396" t="str">
            <v>FIXED ASSET</v>
          </cell>
        </row>
        <row r="1397">
          <cell r="A1397" t="str">
            <v>Depreciation on fixed assets</v>
          </cell>
          <cell r="C1397">
            <v>4356942.41</v>
          </cell>
        </row>
        <row r="1398">
          <cell r="A1398" t="str">
            <v>Profit &amp; loss on sales of Asset</v>
          </cell>
          <cell r="C1398">
            <v>0</v>
          </cell>
          <cell r="D1398">
            <v>72000</v>
          </cell>
        </row>
        <row r="1399">
          <cell r="A1399" t="str">
            <v>INCOME TAX PROVISION</v>
          </cell>
        </row>
        <row r="1400">
          <cell r="A1400" t="str">
            <v>Income Tax Provision - Current Year</v>
          </cell>
          <cell r="C1400">
            <v>0</v>
          </cell>
        </row>
        <row r="1401">
          <cell r="A1401" t="str">
            <v>PERSONNEL EXPENSES-OTHERS</v>
          </cell>
        </row>
        <row r="1402">
          <cell r="A1402" t="str">
            <v>Canteen expenses-Gen. Admin.</v>
          </cell>
          <cell r="C1402">
            <v>647907.04</v>
          </cell>
        </row>
        <row r="1403">
          <cell r="A1403" t="str">
            <v>Staff  Insurance -  Gen. Admin.</v>
          </cell>
          <cell r="C1403">
            <v>562820.67000000004</v>
          </cell>
        </row>
        <row r="1404">
          <cell r="A1404" t="str">
            <v>Staff Welfare - Gen. Admin.</v>
          </cell>
          <cell r="C1404">
            <v>328309.95</v>
          </cell>
        </row>
        <row r="1405">
          <cell r="A1405" t="str">
            <v>Pantry expenses - Gen. Admin.</v>
          </cell>
          <cell r="C1405">
            <v>25686</v>
          </cell>
        </row>
        <row r="1406">
          <cell r="A1406" t="str">
            <v>Training Expenses- Gen. Admin.</v>
          </cell>
          <cell r="C1406">
            <v>72005</v>
          </cell>
        </row>
        <row r="1407">
          <cell r="A1407" t="str">
            <v>Meal Expenses- Gen. Admin.</v>
          </cell>
          <cell r="C1407">
            <v>12153</v>
          </cell>
        </row>
        <row r="1408">
          <cell r="A1408" t="str">
            <v>Security - Gen. Admin.</v>
          </cell>
          <cell r="C1408">
            <v>500557</v>
          </cell>
        </row>
        <row r="1409">
          <cell r="A1409" t="str">
            <v>Horticulture - Gen. Admin.</v>
          </cell>
          <cell r="C1409">
            <v>56421</v>
          </cell>
        </row>
        <row r="1410">
          <cell r="A1410" t="str">
            <v>Sanitation - Gen. Admin.</v>
          </cell>
          <cell r="C1410">
            <v>234921.13</v>
          </cell>
        </row>
        <row r="1411">
          <cell r="A1411" t="str">
            <v>PF Admin. Charges - Gen. Admin.</v>
          </cell>
          <cell r="C1411">
            <v>56531</v>
          </cell>
        </row>
        <row r="1412">
          <cell r="A1412" t="str">
            <v>Recruitment Expenses - General Admi</v>
          </cell>
          <cell r="C1412">
            <v>234571.95</v>
          </cell>
        </row>
        <row r="1413">
          <cell r="A1413" t="str">
            <v>Medical Expenses - Staff- Gen. Admi</v>
          </cell>
          <cell r="C1413">
            <v>7280</v>
          </cell>
        </row>
        <row r="1414">
          <cell r="A1414" t="str">
            <v>staff welfare (suggestion award)</v>
          </cell>
          <cell r="C1414">
            <v>0</v>
          </cell>
        </row>
        <row r="1415">
          <cell r="A1415" t="str">
            <v>Staff welfare (Cultural evening exps.)</v>
          </cell>
          <cell r="C1415">
            <v>0</v>
          </cell>
        </row>
        <row r="1416">
          <cell r="A1416" t="str">
            <v>Audit Fee</v>
          </cell>
          <cell r="C1416">
            <v>250000</v>
          </cell>
        </row>
        <row r="1417">
          <cell r="A1417" t="str">
            <v>SOFTWARE EXPENSES</v>
          </cell>
        </row>
        <row r="1418">
          <cell r="A1418" t="str">
            <v>Software Expenses - Systems</v>
          </cell>
          <cell r="C1418">
            <v>93314</v>
          </cell>
        </row>
        <row r="1419">
          <cell r="A1419" t="str">
            <v>WARRANTY EXPENSES</v>
          </cell>
        </row>
        <row r="1420">
          <cell r="A1420" t="str">
            <v>Warranty expense</v>
          </cell>
          <cell r="C1420">
            <v>911523.78</v>
          </cell>
        </row>
        <row r="1421">
          <cell r="A1421" t="str">
            <v>Loss on sale of investments - mutual funds</v>
          </cell>
          <cell r="C1421">
            <v>0</v>
          </cell>
        </row>
        <row r="1422">
          <cell r="A1422" t="str">
            <v>APPROPRIATIONS</v>
          </cell>
        </row>
        <row r="1423">
          <cell r="A1423" t="str">
            <v>Appropriation to general reserve</v>
          </cell>
          <cell r="C1423">
            <v>0</v>
          </cell>
        </row>
        <row r="1424">
          <cell r="A1424" t="str">
            <v>Appropriation to capital redemption reserve</v>
          </cell>
          <cell r="C1424">
            <v>0</v>
          </cell>
        </row>
        <row r="1425">
          <cell r="A1425" t="str">
            <v>Provision for Income Tax (A/Y 2003-04) (P&amp;L)</v>
          </cell>
          <cell r="C1425">
            <v>826800</v>
          </cell>
        </row>
        <row r="1426">
          <cell r="A1426" t="str">
            <v>Provision for Income Tax (A/Y 2003-04)</v>
          </cell>
          <cell r="D1426">
            <v>1318000.283175</v>
          </cell>
        </row>
        <row r="1427">
          <cell r="A1427" t="str">
            <v>Advance Salary (Mr.Babu)</v>
          </cell>
          <cell r="C1427">
            <v>1221152</v>
          </cell>
        </row>
        <row r="1428">
          <cell r="A1428" t="str">
            <v>Payroll adjustment a/c</v>
          </cell>
          <cell r="D1428">
            <v>1221152</v>
          </cell>
        </row>
        <row r="1429">
          <cell r="A1429" t="str">
            <v>Provision for Wealth Tax</v>
          </cell>
          <cell r="D1429">
            <v>18700</v>
          </cell>
        </row>
        <row r="1431">
          <cell r="C1431">
            <v>518627024.87000006</v>
          </cell>
          <cell r="D1431">
            <v>518627024.8743999</v>
          </cell>
        </row>
        <row r="1432">
          <cell r="D1432">
            <v>-4.3998360633850098E-3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Pun24May2K"/>
      <sheetName val="CF"/>
      <sheetName val="Inter unit set off"/>
      <sheetName val="BS Schdl- 1 &amp; 2"/>
      <sheetName val="Performance Report"/>
      <sheetName val="Staff Forecast spread"/>
      <sheetName val="Bal.Sheet"/>
      <sheetName val="Master"/>
      <sheetName val="Stores"/>
      <sheetName val="Comp"/>
      <sheetName val="Assumptions"/>
      <sheetName val="test exl"/>
      <sheetName val="Employee Summary"/>
      <sheetName val="Notes"/>
      <sheetName val="Details"/>
      <sheetName val="Balance Sheet &amp; PL"/>
      <sheetName val="p &amp;l stpwise dec03"/>
      <sheetName val="Rates"/>
      <sheetName val="PART_C"/>
      <sheetName val="Legal"/>
      <sheetName val="Dividend"/>
      <sheetName val="T-11"/>
      <sheetName val="_REF"/>
      <sheetName val="june add-del- july 3 bkts4.6.01"/>
      <sheetName val="#REF"/>
      <sheetName val="Leave Status"/>
      <sheetName val="Employee data"/>
      <sheetName val="Bal_Sheet"/>
      <sheetName val="test_exl"/>
      <sheetName val="Employee_Summary"/>
      <sheetName val="Balance_Sheet_&amp;_PL"/>
      <sheetName val="p_&amp;l_stpwise_dec03"/>
      <sheetName val="june_add-del-_july_3_bkts4_6_01"/>
      <sheetName val="Bal_Sheet1"/>
      <sheetName val="test_exl1"/>
      <sheetName val="Employee_Summary1"/>
      <sheetName val="Balance_Sheet_&amp;_PL1"/>
      <sheetName val="p_&amp;l_stpwise_dec031"/>
      <sheetName val="june_add-del-_july_3_bkts4_6_02"/>
      <sheetName val="Leave_Status"/>
      <sheetName val="Employee_data"/>
      <sheetName val="Inter_unit_set_off"/>
      <sheetName val="BS_Schdl-_1_&amp;_2"/>
      <sheetName val="Table 5"/>
      <sheetName val="Sub Fee Rprt VOP CNBC"/>
      <sheetName val="BAL-P&amp;L"/>
      <sheetName val="Other notes"/>
      <sheetName val="BSHEET"/>
      <sheetName val="Trial"/>
      <sheetName val="FORM_16A _ MONTHLY DETAILED _"/>
      <sheetName val="E-7 - Stores &amp; Spares"/>
      <sheetName val="BS"/>
      <sheetName val="syndicate codes"/>
      <sheetName val="NW RTU"/>
      <sheetName val="co lease rental"/>
      <sheetName val="Controls"/>
      <sheetName val="Factor_Sheet"/>
      <sheetName val="m02010003"/>
      <sheetName val="SANKEI FIFO"/>
      <sheetName val="34-Oct'03"/>
      <sheetName val="Territory"/>
      <sheetName val="Scroll Bars and Spinners"/>
      <sheetName val="LEGAL GUJ"/>
      <sheetName val="Analytical addition +"/>
      <sheetName val="1 Analytical Dep gross"/>
      <sheetName val="Extra Sheet"/>
      <sheetName val="Last yr schedule"/>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Assmptions"/>
      <sheetName val="CASHFLOWS-QUATERLY"/>
      <sheetName val="CASHFLOWS-QUATERLY (2)"/>
      <sheetName val="BUSINESS PLAN EX. SUMMARY"/>
      <sheetName val="Top Summary"/>
      <sheetName val="Noida-CF"/>
      <sheetName val="Courtyard-CF"/>
      <sheetName val="Promenade-CF"/>
      <sheetName val="Emporio-CF"/>
      <sheetName val="JALL II-CF"/>
      <sheetName val="Ludhiana II-CF"/>
      <sheetName val="MOI-CF"/>
      <sheetName val="Panipat-CF"/>
      <sheetName val="Kolkata-CF"/>
      <sheetName val="Bhoruka-CF"/>
      <sheetName val="GMC-CF"/>
      <sheetName val="Cochin-CF"/>
      <sheetName val="MICO-CF"/>
      <sheetName val="MRC-CF"/>
      <sheetName val="NTC-CF"/>
      <sheetName val="Baroda-CF"/>
      <sheetName val="Goa-CF"/>
      <sheetName val="CASHFLOWS-monthly"/>
      <sheetName val="CASHFLOWS-YEARLY"/>
      <sheetName val="Model"/>
      <sheetName val="TS-NOIDA"/>
      <sheetName val="TS-Courtyard"/>
      <sheetName val="TS-Promenade"/>
      <sheetName val="TS-Emporio-Oct"/>
      <sheetName val="Annexure - Jall II"/>
      <sheetName val="TS-JAL2"/>
      <sheetName val="TS-Ludh II"/>
      <sheetName val="Annex-MOI"/>
      <sheetName val="TS-MoI-Popular"/>
      <sheetName val="TS-MOI- Premium"/>
      <sheetName val="Annexure - Panipat"/>
      <sheetName val="TS-Panipat"/>
      <sheetName val="TS-Kolkata"/>
      <sheetName val="TS-Bhoruka"/>
      <sheetName val="Annexure -gmc"/>
      <sheetName val="TS-Cochin"/>
      <sheetName val="TS-MICO"/>
      <sheetName val="TS-MRC"/>
      <sheetName val="Annexure - NTC Mumbai"/>
      <sheetName val="TS-Baroda-Oct"/>
      <sheetName val="TS-GOA"/>
      <sheetName val="WORKING-CF"/>
      <sheetName val="June'07 Profitability"/>
      <sheetName val="Sept'07 profit"/>
      <sheetName val="Master Data"/>
      <sheetName val="FSI spread"/>
      <sheetName val="Quarterwise"/>
      <sheetName val="Exec Summary"/>
      <sheetName val="Earlier vs Now"/>
      <sheetName val="Mall of India - 30.69 acres"/>
      <sheetName val="MOI premium"/>
      <sheetName val="Jalandhar II"/>
      <sheetName val="Chandigarh"/>
      <sheetName val="Annexure-Jallandhar"/>
      <sheetName val="Chandigarh fin"/>
      <sheetName val="Sheet3"/>
      <sheetName val="Sheet2"/>
      <sheetName val="Sheet1"/>
      <sheetName val="EMP - JULY"/>
      <sheetName val="EMP - August"/>
      <sheetName val="Table 5"/>
      <sheetName val="Leasehold imp A30"/>
      <sheetName val="KPIs"/>
      <sheetName val="ABP"/>
      <sheetName val="Balance sheet DCCDL Nov 06"/>
      <sheetName val="Lists"/>
      <sheetName val="Sheet1 (2)"/>
      <sheetName val="ridgewood"/>
      <sheetName val="Global_Assmptions"/>
      <sheetName val="CASHFLOWS-QUATERLY_(2)"/>
      <sheetName val="BUSINESS_PLAN_EX__SUMMARY"/>
      <sheetName val="Top_Summary"/>
      <sheetName val="JALL_II-CF"/>
      <sheetName val="Ludhiana_II-CF"/>
      <sheetName val="Annexure_-_Jall_II"/>
      <sheetName val="TS-Ludh_II"/>
      <sheetName val="TS-MOI-_Premium"/>
      <sheetName val="Annexure_-_Panipat"/>
      <sheetName val="Annexure_-gmc"/>
      <sheetName val="Annexure_-_NTC_Mumbai"/>
      <sheetName val="June'07_Profitability"/>
      <sheetName val="Sept'07_profit"/>
      <sheetName val="Master_Data"/>
      <sheetName val="FSI_spread"/>
      <sheetName val="Exec_Summary"/>
      <sheetName val="Earlier_vs_Now"/>
      <sheetName val="Mall_of_India_-_30_69_acres"/>
      <sheetName val="MOI_premium"/>
      <sheetName val="Jalandhar_II"/>
      <sheetName val="Chandigarh_fin"/>
      <sheetName val="EMP_-_JULY"/>
      <sheetName val="EMP_-_August"/>
      <sheetName val="Table_5"/>
      <sheetName val="Leasehold_imp_A30"/>
      <sheetName val="Balance_sheet_DCCDL_Nov_06"/>
      <sheetName val="Sheet1_(2)"/>
      <sheetName val="Detail P&amp;L"/>
      <sheetName val="Assumption Sheet"/>
      <sheetName val="Old IS"/>
      <sheetName val="Introduction"/>
      <sheetName val="Tab_referral"/>
      <sheetName val="Staff Forecast spread"/>
      <sheetName val="tdint"/>
      <sheetName val="Main Sheet"/>
      <sheetName val="Calc_ISC"/>
      <sheetName val="Civil Boq"/>
      <sheetName val="tot_ass_9697"/>
      <sheetName val="BS-mar-06"/>
      <sheetName val="BSHEET"/>
      <sheetName val="cash flows-1.11.2007-73"/>
      <sheetName val="STEEL STRUCTURE"/>
      <sheetName val="Head Count F 8"/>
      <sheetName val="BS Schdl- 1 &amp; 2"/>
      <sheetName val="AR Graphs"/>
      <sheetName val="Controls"/>
    </sheetNames>
    <sheetDataSet>
      <sheetData sheetId="0"/>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PP"/>
      <sheetName val="tables"/>
      <sheetName val="Global Assmptions"/>
      <sheetName val="trial Balance"/>
      <sheetName val="Ref"/>
      <sheetName val="YTD"/>
      <sheetName val="#REF"/>
      <sheetName val="Deletions"/>
      <sheetName val="Revised RPP Format - USA"/>
      <sheetName val="7"/>
      <sheetName val="working "/>
      <sheetName val="Sheet1"/>
      <sheetName val="AN-2K"/>
      <sheetName val="Switch V16"/>
      <sheetName val="Chile Cost Sheet"/>
      <sheetName val="Assumptions"/>
      <sheetName val="trial_Balance"/>
      <sheetName val="Global_Assmptions"/>
      <sheetName val="Summ"/>
      <sheetName val="trial_Balance1"/>
      <sheetName val="Global_Assmptions1"/>
      <sheetName val="trial_Balance2"/>
      <sheetName val="Global_Assmptions2"/>
      <sheetName val="trial_Balance3"/>
      <sheetName val="Global_Assmptions3"/>
      <sheetName val="Summary year Plan"/>
      <sheetName val="Sheet1 (2)"/>
      <sheetName val="analysis-superstructure"/>
      <sheetName val="Pricing Standards"/>
      <sheetName val="Leasehold imp A30"/>
      <sheetName val="VTC"/>
      <sheetName val="CURRENCY"/>
      <sheetName val="DLC lookups"/>
      <sheetName val="PARTY DETAILS"/>
      <sheetName val="100% in prov"/>
      <sheetName val="PF Payable"/>
      <sheetName val="Revised_RPP_Format_-_USA"/>
      <sheetName val="working_"/>
      <sheetName val="Revised_RPP_Format_-_USA1"/>
      <sheetName val="working_1"/>
      <sheetName val="Statement of Profit and loss"/>
      <sheetName val="Activity Codes"/>
      <sheetName val="Toggles"/>
      <sheetName val="Old IS"/>
      <sheetName val="Code Master"/>
      <sheetName val="IOU-factory-9"/>
      <sheetName val="IOU-sales-9"/>
      <sheetName val="Offshore Equipment"/>
      <sheetName val="trial_Balance4"/>
      <sheetName val="Global_Assmptions4"/>
      <sheetName val="Switch_V16"/>
      <sheetName val="Chile_Cost_Sheet"/>
      <sheetName val="Summary_year_Plan"/>
      <sheetName val="Sheet1_(2)"/>
      <sheetName val="Pricing_Standards"/>
      <sheetName val="Leasehold_imp_A30"/>
      <sheetName val="DLC_lookups"/>
    </sheetNames>
    <sheetDataSet>
      <sheetData sheetId="0" refreshError="1"/>
      <sheetData sheetId="1" refreshError="1"/>
      <sheetData sheetId="2" refreshError="1">
        <row r="4">
          <cell r="A4">
            <v>2003</v>
          </cell>
          <cell r="G4">
            <v>37987</v>
          </cell>
          <cell r="J4">
            <v>38016</v>
          </cell>
        </row>
        <row r="5">
          <cell r="A5">
            <v>2004</v>
          </cell>
          <cell r="G5">
            <v>38018</v>
          </cell>
          <cell r="J5">
            <v>38017</v>
          </cell>
        </row>
        <row r="6">
          <cell r="A6">
            <v>2005</v>
          </cell>
          <cell r="G6">
            <v>38047</v>
          </cell>
          <cell r="J6">
            <v>38018</v>
          </cell>
        </row>
        <row r="7">
          <cell r="A7">
            <v>2006</v>
          </cell>
          <cell r="G7">
            <v>38078</v>
          </cell>
          <cell r="J7">
            <v>38019</v>
          </cell>
        </row>
        <row r="8">
          <cell r="G8">
            <v>38108</v>
          </cell>
          <cell r="J8">
            <v>38020</v>
          </cell>
        </row>
        <row r="9">
          <cell r="G9">
            <v>38139</v>
          </cell>
          <cell r="J9">
            <v>38021</v>
          </cell>
        </row>
        <row r="10">
          <cell r="G10">
            <v>38169</v>
          </cell>
          <cell r="J10">
            <v>38022</v>
          </cell>
        </row>
        <row r="11">
          <cell r="G11">
            <v>38200</v>
          </cell>
          <cell r="J11">
            <v>38023</v>
          </cell>
        </row>
        <row r="12">
          <cell r="G12">
            <v>38231</v>
          </cell>
          <cell r="J12">
            <v>38024</v>
          </cell>
        </row>
        <row r="13">
          <cell r="G13">
            <v>38261</v>
          </cell>
          <cell r="J13">
            <v>38025</v>
          </cell>
        </row>
        <row r="14">
          <cell r="G14">
            <v>38292</v>
          </cell>
          <cell r="J14">
            <v>38026</v>
          </cell>
        </row>
        <row r="15">
          <cell r="G15">
            <v>38322</v>
          </cell>
          <cell r="J15">
            <v>38027</v>
          </cell>
        </row>
        <row r="16">
          <cell r="J16">
            <v>38028</v>
          </cell>
        </row>
        <row r="17">
          <cell r="J17">
            <v>38029</v>
          </cell>
        </row>
        <row r="18">
          <cell r="J18">
            <v>38030</v>
          </cell>
        </row>
        <row r="19">
          <cell r="J19">
            <v>38031</v>
          </cell>
        </row>
        <row r="20">
          <cell r="J20">
            <v>38032</v>
          </cell>
        </row>
        <row r="21">
          <cell r="J21">
            <v>38033</v>
          </cell>
        </row>
        <row r="22">
          <cell r="J22">
            <v>38034</v>
          </cell>
        </row>
        <row r="23">
          <cell r="J23">
            <v>38035</v>
          </cell>
        </row>
        <row r="24">
          <cell r="J24">
            <v>38036</v>
          </cell>
        </row>
        <row r="25">
          <cell r="J25">
            <v>38037</v>
          </cell>
        </row>
        <row r="26">
          <cell r="J26">
            <v>38038</v>
          </cell>
        </row>
        <row r="27">
          <cell r="J27">
            <v>38039</v>
          </cell>
        </row>
        <row r="28">
          <cell r="J28">
            <v>38040</v>
          </cell>
        </row>
        <row r="29">
          <cell r="J29">
            <v>38041</v>
          </cell>
        </row>
        <row r="30">
          <cell r="J30">
            <v>38042</v>
          </cell>
        </row>
        <row r="31">
          <cell r="J31">
            <v>38043</v>
          </cell>
        </row>
        <row r="32">
          <cell r="J32">
            <v>38044</v>
          </cell>
        </row>
        <row r="33">
          <cell r="J33">
            <v>38045</v>
          </cell>
        </row>
        <row r="34">
          <cell r="J34">
            <v>38046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a Build 8"/>
      <sheetName val="Budget Vs Actual- Bldg.8"/>
      <sheetName val="Area"/>
      <sheetName val="Interest 30.11.2006 for 337 and"/>
      <sheetName val="infinity "/>
      <sheetName val="Related party new-format"/>
      <sheetName val="working of related party"/>
      <sheetName val="dep 8.2006"/>
      <sheetName val="Building 8"/>
      <sheetName val="IBM"/>
      <sheetName val="dAKSH"/>
      <sheetName val="Budget Vs Actual- Infinity"/>
      <sheetName val="Interest 30.11.06 exp 337 &amp; 343"/>
      <sheetName val="PROVISIONS"/>
      <sheetName val="ACCENTURE"/>
      <sheetName val="cwip 11.2006"/>
      <sheetName val="cash flow"/>
      <sheetName val="Balance sheet DCCDL Nov 06"/>
      <sheetName val="stat C (2)"/>
      <sheetName val="Sheet1"/>
      <sheetName val="Trial Balance"/>
      <sheetName val="Ref"/>
      <sheetName val="CURRENCY"/>
      <sheetName val="Global Assmptions"/>
      <sheetName val="tables"/>
      <sheetName val="hdnSheet"/>
      <sheetName val="corporate green"/>
      <sheetName val="Interest 30.11.06"/>
    </sheetNames>
    <sheetDataSet>
      <sheetData sheetId="0">
        <row r="1">
          <cell r="BN1">
            <v>0</v>
          </cell>
        </row>
      </sheetData>
      <sheetData sheetId="1">
        <row r="1">
          <cell r="BN1">
            <v>0</v>
          </cell>
        </row>
      </sheetData>
      <sheetData sheetId="2">
        <row r="1">
          <cell r="BN1" t="str">
            <v/>
          </cell>
        </row>
      </sheetData>
      <sheetData sheetId="3">
        <row r="1">
          <cell r="BN1">
            <v>0</v>
          </cell>
        </row>
      </sheetData>
      <sheetData sheetId="4">
        <row r="1">
          <cell r="BN1">
            <v>0</v>
          </cell>
        </row>
      </sheetData>
      <sheetData sheetId="5">
        <row r="1">
          <cell r="BN1">
            <v>0</v>
          </cell>
        </row>
      </sheetData>
      <sheetData sheetId="6">
        <row r="1">
          <cell r="BN1">
            <v>0</v>
          </cell>
        </row>
      </sheetData>
      <sheetData sheetId="7">
        <row r="1">
          <cell r="BN1">
            <v>0</v>
          </cell>
        </row>
      </sheetData>
      <sheetData sheetId="8">
        <row r="1">
          <cell r="BN1">
            <v>0</v>
          </cell>
        </row>
      </sheetData>
      <sheetData sheetId="9">
        <row r="1">
          <cell r="BN1">
            <v>0</v>
          </cell>
        </row>
      </sheetData>
      <sheetData sheetId="10">
        <row r="1">
          <cell r="BN1">
            <v>0</v>
          </cell>
        </row>
      </sheetData>
      <sheetData sheetId="11">
        <row r="1">
          <cell r="BN1">
            <v>0</v>
          </cell>
        </row>
      </sheetData>
      <sheetData sheetId="12">
        <row r="1">
          <cell r="BN1">
            <v>0</v>
          </cell>
        </row>
      </sheetData>
      <sheetData sheetId="13">
        <row r="1">
          <cell r="BN1">
            <v>0</v>
          </cell>
        </row>
      </sheetData>
      <sheetData sheetId="14">
        <row r="1">
          <cell r="BN1">
            <v>0</v>
          </cell>
        </row>
      </sheetData>
      <sheetData sheetId="15">
        <row r="1">
          <cell r="BN1">
            <v>0</v>
          </cell>
        </row>
      </sheetData>
      <sheetData sheetId="16">
        <row r="1">
          <cell r="BN1">
            <v>0</v>
          </cell>
        </row>
      </sheetData>
      <sheetData sheetId="17" refreshError="1">
        <row r="1">
          <cell r="BN1">
            <v>0</v>
          </cell>
        </row>
        <row r="5">
          <cell r="BN5">
            <v>0</v>
          </cell>
        </row>
        <row r="6">
          <cell r="BN6">
            <v>0</v>
          </cell>
        </row>
        <row r="7">
          <cell r="BN7" t="str">
            <v>DLF Cyber City Developers Ltd - CONSTRUCTION DIVISION</v>
          </cell>
        </row>
        <row r="8">
          <cell r="BN8">
            <v>0</v>
          </cell>
        </row>
        <row r="9">
          <cell r="BN9" t="str">
            <v>BALANCE SHEET AS AT 30.11.2006</v>
          </cell>
        </row>
        <row r="11">
          <cell r="BN11" t="str">
            <v>PARTICULRS</v>
          </cell>
          <cell r="BO11" t="str">
            <v>SCH.</v>
          </cell>
          <cell r="BP11" t="str">
            <v>AMOUNT</v>
          </cell>
        </row>
        <row r="12">
          <cell r="BO12" t="str">
            <v>NO.</v>
          </cell>
          <cell r="BP12" t="str">
            <v>Division</v>
          </cell>
        </row>
        <row r="14">
          <cell r="BN14" t="str">
            <v xml:space="preserve">SOURCES OF FUNDS </v>
          </cell>
        </row>
        <row r="15">
          <cell r="BN15" t="str">
            <v>Shareholder's Funds</v>
          </cell>
        </row>
        <row r="16">
          <cell r="BN16" t="str">
            <v>Capital Accounts</v>
          </cell>
        </row>
        <row r="17">
          <cell r="BN17" t="str">
            <v>Current Accounts</v>
          </cell>
          <cell r="BO17">
            <v>0</v>
          </cell>
          <cell r="BP17">
            <v>0</v>
          </cell>
        </row>
        <row r="18">
          <cell r="BO18">
            <v>0</v>
          </cell>
        </row>
        <row r="19">
          <cell r="BN19" t="str">
            <v>Profit &amp; Loss A/c</v>
          </cell>
          <cell r="BP19">
            <v>0</v>
          </cell>
        </row>
        <row r="20">
          <cell r="BN20" t="str">
            <v>LOAN FUNDS</v>
          </cell>
          <cell r="BP20">
            <v>0</v>
          </cell>
        </row>
        <row r="21">
          <cell r="BN21" t="str">
            <v>Secured loans</v>
          </cell>
          <cell r="BO21">
            <v>0</v>
          </cell>
          <cell r="BP21">
            <v>0</v>
          </cell>
        </row>
        <row r="22">
          <cell r="BN22" t="str">
            <v>UnSecured loans</v>
          </cell>
          <cell r="BO22">
            <v>0</v>
          </cell>
          <cell r="BP22">
            <v>0</v>
          </cell>
        </row>
        <row r="25">
          <cell r="BP25">
            <v>0</v>
          </cell>
        </row>
        <row r="28">
          <cell r="BN28" t="str">
            <v>APPLICATIONS OF FUNDS</v>
          </cell>
        </row>
        <row r="30">
          <cell r="BN30" t="str">
            <v>FIXED ASSETS :</v>
          </cell>
          <cell r="BO30">
            <v>0</v>
          </cell>
          <cell r="BP30">
            <v>0</v>
          </cell>
        </row>
        <row r="31">
          <cell r="BN31" t="str">
            <v>Less : Depreciation</v>
          </cell>
          <cell r="BP31">
            <v>0</v>
          </cell>
        </row>
        <row r="33">
          <cell r="BN33" t="str">
            <v>Net Block</v>
          </cell>
          <cell r="BP33">
            <v>0</v>
          </cell>
        </row>
        <row r="35">
          <cell r="BN35" t="str">
            <v>CAPITAL WIP</v>
          </cell>
          <cell r="BO35">
            <v>0</v>
          </cell>
          <cell r="BP35">
            <v>0</v>
          </cell>
        </row>
        <row r="36">
          <cell r="BN36" t="str">
            <v>(Including Advances)</v>
          </cell>
        </row>
        <row r="37">
          <cell r="BN37" t="str">
            <v>Current Assets.Loans &amp; Advances</v>
          </cell>
        </row>
        <row r="38">
          <cell r="BN38" t="str">
            <v xml:space="preserve">   Closing Stock</v>
          </cell>
          <cell r="BP38">
            <v>0</v>
          </cell>
        </row>
        <row r="39">
          <cell r="BN39" t="str">
            <v xml:space="preserve">   Stocks wip</v>
          </cell>
        </row>
        <row r="40">
          <cell r="BN40" t="str">
            <v xml:space="preserve">   Sundry Debtors</v>
          </cell>
          <cell r="BO40" t="str">
            <v>8</v>
          </cell>
          <cell r="BP40">
            <v>0</v>
          </cell>
        </row>
        <row r="41">
          <cell r="BN41" t="str">
            <v xml:space="preserve">   Cash &amp; Bank Balances</v>
          </cell>
          <cell r="BO41" t="str">
            <v>9</v>
          </cell>
          <cell r="BP41">
            <v>0</v>
          </cell>
        </row>
        <row r="42">
          <cell r="BN42" t="str">
            <v xml:space="preserve">   Other Current assets</v>
          </cell>
          <cell r="BO42" t="str">
            <v>10</v>
          </cell>
          <cell r="BP42">
            <v>0</v>
          </cell>
        </row>
        <row r="43">
          <cell r="BN43" t="str">
            <v xml:space="preserve">   Loan &amp; advances</v>
          </cell>
          <cell r="BO43" t="str">
            <v>11</v>
          </cell>
          <cell r="BP43">
            <v>0</v>
          </cell>
        </row>
        <row r="44">
          <cell r="BN44" t="str">
            <v xml:space="preserve">   Inter Unit transfer</v>
          </cell>
          <cell r="BO44" t="str">
            <v>11</v>
          </cell>
          <cell r="BP44">
            <v>0</v>
          </cell>
        </row>
        <row r="45">
          <cell r="BN45" t="str">
            <v>Corporate Div</v>
          </cell>
          <cell r="BP45">
            <v>0</v>
          </cell>
        </row>
        <row r="46">
          <cell r="BN46">
            <v>0</v>
          </cell>
          <cell r="BP46">
            <v>0</v>
          </cell>
        </row>
        <row r="47">
          <cell r="BP47">
            <v>0</v>
          </cell>
        </row>
        <row r="48">
          <cell r="BN48">
            <v>0</v>
          </cell>
        </row>
        <row r="49">
          <cell r="BN49" t="str">
            <v>Less :</v>
          </cell>
        </row>
        <row r="50">
          <cell r="BN50" t="str">
            <v>Current Liabilities and Provisions</v>
          </cell>
        </row>
        <row r="51">
          <cell r="BN51" t="str">
            <v xml:space="preserve">   Liabilities</v>
          </cell>
          <cell r="BO51" t="str">
            <v>12</v>
          </cell>
          <cell r="BP51">
            <v>0</v>
          </cell>
        </row>
        <row r="52">
          <cell r="BN52" t="str">
            <v xml:space="preserve">   Provisions</v>
          </cell>
          <cell r="BO52" t="str">
            <v>13</v>
          </cell>
          <cell r="BP52">
            <v>0</v>
          </cell>
        </row>
        <row r="54">
          <cell r="BP54">
            <v>0</v>
          </cell>
        </row>
        <row r="56">
          <cell r="BN56" t="str">
            <v>Net Current Assets</v>
          </cell>
          <cell r="BP56">
            <v>0</v>
          </cell>
        </row>
        <row r="58">
          <cell r="BP58">
            <v>0</v>
          </cell>
        </row>
        <row r="60">
          <cell r="BN60" t="str">
            <v>Notes to Accounts</v>
          </cell>
          <cell r="BO60" t="str">
            <v>21</v>
          </cell>
          <cell r="BP60">
            <v>0</v>
          </cell>
        </row>
        <row r="65">
          <cell r="BP65">
            <v>0</v>
          </cell>
        </row>
        <row r="71">
          <cell r="BN71" t="str">
            <v>DLF Cyber City Developers Ltd - CONSTRUCTION DIVISION</v>
          </cell>
        </row>
        <row r="72">
          <cell r="BN72" t="str">
            <v xml:space="preserve"> PROFIT &amp; LOSS ACCOUNT</v>
          </cell>
        </row>
        <row r="73">
          <cell r="BN73" t="str">
            <v>FOR THE PERIOD FOR THE PERIOD ENDED 30.11.2006</v>
          </cell>
        </row>
        <row r="74">
          <cell r="BN74">
            <v>0</v>
          </cell>
        </row>
        <row r="75">
          <cell r="BN75" t="str">
            <v>PARTICULRS</v>
          </cell>
          <cell r="BO75" t="str">
            <v>SCH.</v>
          </cell>
          <cell r="BP75" t="str">
            <v>AMOUNT</v>
          </cell>
        </row>
        <row r="78">
          <cell r="BO78" t="str">
            <v>NO.</v>
          </cell>
          <cell r="BP78" t="str">
            <v>Division</v>
          </cell>
        </row>
        <row r="81">
          <cell r="BN81" t="str">
            <v>INCOME :</v>
          </cell>
        </row>
        <row r="82">
          <cell r="BN82" t="str">
            <v>Sales and Other Income</v>
          </cell>
          <cell r="BO82" t="str">
            <v>14</v>
          </cell>
          <cell r="BP82">
            <v>0</v>
          </cell>
        </row>
        <row r="83">
          <cell r="BN83" t="str">
            <v>Increase in Stocks</v>
          </cell>
          <cell r="BO83" t="str">
            <v>15</v>
          </cell>
          <cell r="BP83">
            <v>0</v>
          </cell>
        </row>
        <row r="85">
          <cell r="BP85">
            <v>0</v>
          </cell>
        </row>
        <row r="87">
          <cell r="BN87" t="str">
            <v>EXPENDITURE :</v>
          </cell>
        </row>
        <row r="88">
          <cell r="BN88" t="str">
            <v xml:space="preserve">   Purchase and Development Expenses</v>
          </cell>
          <cell r="BO88" t="str">
            <v>16</v>
          </cell>
          <cell r="BP88">
            <v>0</v>
          </cell>
        </row>
        <row r="89">
          <cell r="BN89" t="str">
            <v xml:space="preserve">   Establishment</v>
          </cell>
          <cell r="BO89" t="str">
            <v>17</v>
          </cell>
          <cell r="BP89">
            <v>0</v>
          </cell>
        </row>
        <row r="90">
          <cell r="BN90" t="str">
            <v xml:space="preserve">   Finance Charges</v>
          </cell>
          <cell r="BO90" t="str">
            <v>18</v>
          </cell>
          <cell r="BP90">
            <v>0</v>
          </cell>
        </row>
        <row r="91">
          <cell r="BN91" t="str">
            <v xml:space="preserve">   Other Expenses</v>
          </cell>
          <cell r="BO91" t="str">
            <v>19</v>
          </cell>
          <cell r="BP91">
            <v>0</v>
          </cell>
        </row>
        <row r="92">
          <cell r="BN92" t="str">
            <v xml:space="preserve">   Depreciation</v>
          </cell>
          <cell r="BP92">
            <v>0</v>
          </cell>
        </row>
        <row r="93">
          <cell r="BN93" t="str">
            <v xml:space="preserve">   Loss on sale of fire</v>
          </cell>
          <cell r="BP93">
            <v>0</v>
          </cell>
        </row>
        <row r="96">
          <cell r="BP96">
            <v>0</v>
          </cell>
        </row>
        <row r="98">
          <cell r="BN98" t="str">
            <v>Profit before Tax</v>
          </cell>
          <cell r="BP98">
            <v>0</v>
          </cell>
        </row>
        <row r="99">
          <cell r="BN99" t="str">
            <v>Provision for Tax</v>
          </cell>
        </row>
        <row r="102">
          <cell r="BN102" t="str">
            <v>Profit after Tax</v>
          </cell>
          <cell r="BP102">
            <v>0</v>
          </cell>
        </row>
        <row r="103">
          <cell r="BN103" t="str">
            <v>Balance brough forward</v>
          </cell>
        </row>
        <row r="104">
          <cell r="BN104" t="str">
            <v>Prior Period Expenses (net)</v>
          </cell>
          <cell r="BO104" t="str">
            <v>20</v>
          </cell>
        </row>
        <row r="105">
          <cell r="BN105" t="str">
            <v>Tax - earlier year</v>
          </cell>
        </row>
        <row r="107">
          <cell r="BN107" t="str">
            <v>Investment Allowance Reserve written back</v>
          </cell>
        </row>
        <row r="108">
          <cell r="BN108" t="str">
            <v>back</v>
          </cell>
        </row>
        <row r="110">
          <cell r="BN110" t="str">
            <v>Amount available for Appropriation</v>
          </cell>
          <cell r="BP110">
            <v>0</v>
          </cell>
        </row>
        <row r="112">
          <cell r="BN112" t="str">
            <v>APPROPRIATION :</v>
          </cell>
        </row>
        <row r="113">
          <cell r="BN113" t="str">
            <v>Debenture Redemption Reserve</v>
          </cell>
        </row>
        <row r="114">
          <cell r="BN114" t="str">
            <v>General Reserve</v>
          </cell>
        </row>
        <row r="115">
          <cell r="BN115" t="str">
            <v>Dividend (Subject to Tax deducted</v>
          </cell>
        </row>
        <row r="116">
          <cell r="BN116" t="str">
            <v>at source on equity Shares.</v>
          </cell>
        </row>
        <row r="117">
          <cell r="BN117" t="str">
            <v>Proposed</v>
          </cell>
        </row>
        <row r="118">
          <cell r="BN118" t="str">
            <v>Interim</v>
          </cell>
        </row>
        <row r="120">
          <cell r="BN120" t="str">
            <v>Balance Carried to Balance Sheet</v>
          </cell>
          <cell r="BP120">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Commission-Final"/>
      <sheetName val="Break up"/>
      <sheetName val="AJE"/>
      <sheetName val="Annexure A"/>
      <sheetName val="XREF"/>
      <sheetName val="Tickmarks"/>
      <sheetName val="Enteries"/>
      <sheetName val="Provision by Marketing -Advt"/>
      <sheetName val="Lead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summarywith exindia comparison"/>
      <sheetName val="datalcmar"/>
      <sheetName val="ex-india"/>
      <sheetName val="summary"/>
      <sheetName val="ebtreco"/>
      <sheetName val="DATA_INR"/>
      <sheetName val="Corp_EBTytd"/>
      <sheetName val="Global ytd"/>
      <sheetName val="Corp_Salesytd"/>
      <sheetName val="interco"/>
      <sheetName val="Sheet1"/>
      <sheetName val="Backup of global consolidation "/>
      <sheetName val="#REF"/>
      <sheetName val="Page1"/>
      <sheetName val="summarywith_exindia_comparison"/>
      <sheetName val="Global_ytd"/>
      <sheetName val="Backup_of_global_consolidation_"/>
      <sheetName val="J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D69F7-BD45-4D59-AFB9-A9CB9A3D19E1}">
  <dimension ref="A1:G63"/>
  <sheetViews>
    <sheetView showGridLines="0" zoomScale="61" zoomScaleNormal="80" zoomScaleSheetLayoutView="80" workbookViewId="0">
      <selection activeCell="E12" sqref="E12"/>
    </sheetView>
  </sheetViews>
  <sheetFormatPr defaultColWidth="9.08984375" defaultRowHeight="15.5" x14ac:dyDescent="0.35"/>
  <cols>
    <col min="1" max="1" width="64.6328125" style="50" customWidth="1"/>
    <col min="2" max="2" width="14.1796875" style="50" customWidth="1"/>
    <col min="3" max="3" width="23.36328125" style="50" bestFit="1" customWidth="1"/>
    <col min="4" max="4" width="23.36328125" style="50" customWidth="1"/>
    <col min="5" max="5" width="20" style="50" customWidth="1"/>
    <col min="6" max="6" width="33.08984375" style="50" customWidth="1"/>
    <col min="7" max="7" width="64.6328125" style="50" customWidth="1"/>
    <col min="8" max="16384" width="9.08984375" style="50"/>
  </cols>
  <sheetData>
    <row r="1" spans="1:7" x14ac:dyDescent="0.35">
      <c r="A1" s="48" t="str">
        <f>PL!A1</f>
        <v>Client:</v>
      </c>
      <c r="B1" s="103" t="s">
        <v>187</v>
      </c>
      <c r="C1" s="49"/>
      <c r="E1" s="49"/>
      <c r="F1" s="99" t="s">
        <v>181</v>
      </c>
      <c r="G1" s="100"/>
    </row>
    <row r="2" spans="1:7" x14ac:dyDescent="0.35">
      <c r="A2" s="48" t="s">
        <v>163</v>
      </c>
      <c r="B2" s="48"/>
      <c r="C2" s="49"/>
      <c r="D2" s="52"/>
      <c r="E2" s="49"/>
      <c r="F2" s="101" t="s">
        <v>182</v>
      </c>
      <c r="G2" s="104" t="s">
        <v>186</v>
      </c>
    </row>
    <row r="3" spans="1:7" x14ac:dyDescent="0.35">
      <c r="A3" s="103" t="s">
        <v>175</v>
      </c>
      <c r="B3" s="48"/>
      <c r="C3" s="49"/>
      <c r="D3" s="52"/>
      <c r="E3" s="49"/>
      <c r="F3" s="101" t="s">
        <v>183</v>
      </c>
      <c r="G3" s="104" t="s">
        <v>186</v>
      </c>
    </row>
    <row r="4" spans="1:7" x14ac:dyDescent="0.35">
      <c r="A4" s="48"/>
      <c r="B4" s="48"/>
      <c r="C4" s="49"/>
      <c r="D4" s="52"/>
      <c r="E4" s="49"/>
      <c r="F4" s="101" t="s">
        <v>184</v>
      </c>
      <c r="G4" s="100" t="s">
        <v>185</v>
      </c>
    </row>
    <row r="5" spans="1:7" x14ac:dyDescent="0.35">
      <c r="A5" s="48"/>
      <c r="B5" s="48"/>
      <c r="C5" s="49"/>
      <c r="D5" s="52"/>
      <c r="E5" s="49"/>
      <c r="F5" s="51"/>
      <c r="G5" s="49"/>
    </row>
    <row r="6" spans="1:7" ht="15.75" customHeight="1" x14ac:dyDescent="0.35">
      <c r="A6" s="53" t="s">
        <v>176</v>
      </c>
      <c r="B6" s="53"/>
      <c r="C6" s="54"/>
      <c r="D6" s="54"/>
      <c r="E6" s="54"/>
      <c r="F6" s="54"/>
      <c r="G6" s="54"/>
    </row>
    <row r="7" spans="1:7" ht="16" thickBot="1" x14ac:dyDescent="0.4">
      <c r="A7" s="55"/>
      <c r="B7" s="55"/>
      <c r="C7" s="102" t="s">
        <v>183</v>
      </c>
      <c r="D7" s="102" t="s">
        <v>182</v>
      </c>
      <c r="E7" s="102" t="s">
        <v>184</v>
      </c>
      <c r="F7" s="102" t="s">
        <v>184</v>
      </c>
      <c r="G7" s="79" t="s">
        <v>180</v>
      </c>
    </row>
    <row r="8" spans="1:7" ht="39" customHeight="1" x14ac:dyDescent="0.35">
      <c r="A8" s="86" t="s">
        <v>1</v>
      </c>
      <c r="B8" s="91" t="s">
        <v>179</v>
      </c>
      <c r="C8" s="87" t="s">
        <v>177</v>
      </c>
      <c r="D8" s="88" t="s">
        <v>177</v>
      </c>
      <c r="E8" s="87" t="s">
        <v>164</v>
      </c>
      <c r="F8" s="89" t="s">
        <v>165</v>
      </c>
      <c r="G8" s="90" t="s">
        <v>189</v>
      </c>
    </row>
    <row r="9" spans="1:7" x14ac:dyDescent="0.35">
      <c r="A9" s="56"/>
      <c r="B9" s="92"/>
      <c r="C9" s="57"/>
      <c r="D9" s="58"/>
      <c r="E9" s="57"/>
      <c r="F9" s="59"/>
      <c r="G9" s="60"/>
    </row>
    <row r="10" spans="1:7" x14ac:dyDescent="0.35">
      <c r="A10" s="56"/>
      <c r="B10" s="92"/>
      <c r="C10" s="57"/>
      <c r="D10" s="58"/>
      <c r="E10" s="57"/>
      <c r="F10" s="61"/>
      <c r="G10" s="62"/>
    </row>
    <row r="11" spans="1:7" x14ac:dyDescent="0.35">
      <c r="A11" s="63"/>
      <c r="B11" s="93"/>
      <c r="C11" s="64"/>
      <c r="D11" s="58"/>
      <c r="E11" s="64"/>
      <c r="F11" s="65"/>
      <c r="G11" s="62"/>
    </row>
    <row r="12" spans="1:7" ht="15.75" customHeight="1" x14ac:dyDescent="0.35">
      <c r="A12" s="105" t="s">
        <v>188</v>
      </c>
      <c r="B12" s="106">
        <v>1</v>
      </c>
      <c r="C12" s="58"/>
      <c r="D12" s="58"/>
      <c r="E12" s="58">
        <f>C12-D12</f>
        <v>0</v>
      </c>
      <c r="F12" s="67" t="e">
        <f>E12/D12</f>
        <v>#DIV/0!</v>
      </c>
      <c r="G12" s="62"/>
    </row>
    <row r="13" spans="1:7" x14ac:dyDescent="0.35">
      <c r="A13" s="66"/>
      <c r="B13" s="94"/>
      <c r="C13" s="58"/>
      <c r="D13" s="58"/>
      <c r="E13" s="58">
        <f>C13-D13</f>
        <v>0</v>
      </c>
      <c r="F13" s="67" t="e">
        <f>E13/D13</f>
        <v>#DIV/0!</v>
      </c>
      <c r="G13" s="62"/>
    </row>
    <row r="14" spans="1:7" x14ac:dyDescent="0.35">
      <c r="A14" s="66"/>
      <c r="B14" s="94"/>
      <c r="C14" s="58"/>
      <c r="D14" s="58"/>
      <c r="E14" s="58">
        <f>C14-D14</f>
        <v>0</v>
      </c>
      <c r="F14" s="67" t="e">
        <f t="shared" ref="F14:F16" si="0">E14/D14</f>
        <v>#DIV/0!</v>
      </c>
      <c r="G14" s="62"/>
    </row>
    <row r="15" spans="1:7" x14ac:dyDescent="0.35">
      <c r="A15" s="66"/>
      <c r="B15" s="94"/>
      <c r="C15" s="58"/>
      <c r="D15" s="58"/>
      <c r="E15" s="58">
        <f>C15-D15</f>
        <v>0</v>
      </c>
      <c r="F15" s="67" t="e">
        <f t="shared" si="0"/>
        <v>#DIV/0!</v>
      </c>
      <c r="G15" s="62"/>
    </row>
    <row r="16" spans="1:7" x14ac:dyDescent="0.35">
      <c r="A16" s="66"/>
      <c r="B16" s="94"/>
      <c r="C16" s="58"/>
      <c r="D16" s="58"/>
      <c r="E16" s="58">
        <f>C16-D16</f>
        <v>0</v>
      </c>
      <c r="F16" s="67" t="e">
        <f t="shared" si="0"/>
        <v>#DIV/0!</v>
      </c>
      <c r="G16" s="62"/>
    </row>
    <row r="17" spans="1:7" x14ac:dyDescent="0.35">
      <c r="A17" s="66"/>
      <c r="B17" s="94"/>
      <c r="C17" s="58"/>
      <c r="D17" s="58"/>
      <c r="E17" s="58"/>
      <c r="F17" s="67"/>
      <c r="G17" s="62"/>
    </row>
    <row r="18" spans="1:7" x14ac:dyDescent="0.35">
      <c r="A18" s="68"/>
      <c r="B18" s="95"/>
      <c r="C18" s="58"/>
      <c r="D18" s="58"/>
      <c r="E18" s="58">
        <f t="shared" ref="E18:E22" si="1">C18-D18</f>
        <v>0</v>
      </c>
      <c r="F18" s="67" t="e">
        <f t="shared" ref="F18:F22" si="2">E18/D18</f>
        <v>#DIV/0!</v>
      </c>
      <c r="G18" s="62"/>
    </row>
    <row r="19" spans="1:7" x14ac:dyDescent="0.35">
      <c r="A19" s="68"/>
      <c r="B19" s="95"/>
      <c r="C19" s="58"/>
      <c r="D19" s="58"/>
      <c r="E19" s="58">
        <f t="shared" si="1"/>
        <v>0</v>
      </c>
      <c r="F19" s="67" t="e">
        <f t="shared" si="2"/>
        <v>#DIV/0!</v>
      </c>
      <c r="G19" s="62"/>
    </row>
    <row r="20" spans="1:7" x14ac:dyDescent="0.35">
      <c r="A20" s="66"/>
      <c r="B20" s="94"/>
      <c r="C20" s="58"/>
      <c r="D20" s="58"/>
      <c r="E20" s="58">
        <f>C20-D20</f>
        <v>0</v>
      </c>
      <c r="F20" s="67" t="e">
        <f>E20/D20</f>
        <v>#DIV/0!</v>
      </c>
      <c r="G20" s="62"/>
    </row>
    <row r="21" spans="1:7" x14ac:dyDescent="0.35">
      <c r="A21" s="69"/>
      <c r="B21" s="96"/>
      <c r="C21" s="58"/>
      <c r="D21" s="58"/>
      <c r="E21" s="58">
        <f t="shared" si="1"/>
        <v>0</v>
      </c>
      <c r="F21" s="67" t="e">
        <f t="shared" si="2"/>
        <v>#DIV/0!</v>
      </c>
      <c r="G21" s="62"/>
    </row>
    <row r="22" spans="1:7" x14ac:dyDescent="0.35">
      <c r="A22" s="69"/>
      <c r="B22" s="96"/>
      <c r="C22" s="58"/>
      <c r="D22" s="58"/>
      <c r="E22" s="58">
        <f t="shared" si="1"/>
        <v>0</v>
      </c>
      <c r="F22" s="67" t="e">
        <f t="shared" si="2"/>
        <v>#DIV/0!</v>
      </c>
      <c r="G22" s="62"/>
    </row>
    <row r="23" spans="1:7" x14ac:dyDescent="0.35">
      <c r="A23" s="70"/>
      <c r="B23" s="97"/>
      <c r="C23" s="71">
        <f>SUM(C12:C22)</f>
        <v>0</v>
      </c>
      <c r="D23" s="71">
        <f>SUM(D12:D22)</f>
        <v>0</v>
      </c>
      <c r="E23" s="71">
        <f>SUM(E12:E22)</f>
        <v>0</v>
      </c>
      <c r="F23" s="57"/>
      <c r="G23" s="62"/>
    </row>
    <row r="24" spans="1:7" x14ac:dyDescent="0.35">
      <c r="A24" s="63"/>
      <c r="B24" s="93"/>
      <c r="C24" s="64"/>
      <c r="D24" s="58"/>
      <c r="E24" s="64"/>
      <c r="F24" s="65"/>
      <c r="G24" s="62"/>
    </row>
    <row r="25" spans="1:7" x14ac:dyDescent="0.35">
      <c r="A25" s="69"/>
      <c r="B25" s="96"/>
      <c r="C25" s="58"/>
      <c r="D25" s="58"/>
      <c r="E25" s="58">
        <f>C25-D25</f>
        <v>0</v>
      </c>
      <c r="F25" s="67" t="e">
        <f>E25/D25</f>
        <v>#DIV/0!</v>
      </c>
      <c r="G25" s="62"/>
    </row>
    <row r="26" spans="1:7" x14ac:dyDescent="0.35">
      <c r="A26" s="66"/>
      <c r="B26" s="94"/>
      <c r="C26" s="58"/>
      <c r="D26" s="58"/>
      <c r="E26" s="58"/>
      <c r="F26" s="67"/>
      <c r="G26" s="62"/>
    </row>
    <row r="27" spans="1:7" x14ac:dyDescent="0.35">
      <c r="A27" s="68"/>
      <c r="B27" s="95"/>
      <c r="C27" s="58"/>
      <c r="D27" s="58"/>
      <c r="E27" s="58">
        <f t="shared" ref="E27:E32" si="3">C27-D27</f>
        <v>0</v>
      </c>
      <c r="F27" s="67" t="e">
        <f t="shared" ref="F27:F32" si="4">E27/D27</f>
        <v>#DIV/0!</v>
      </c>
      <c r="G27" s="62"/>
    </row>
    <row r="28" spans="1:7" x14ac:dyDescent="0.35">
      <c r="A28" s="68"/>
      <c r="B28" s="95"/>
      <c r="C28" s="58"/>
      <c r="D28" s="58"/>
      <c r="E28" s="58">
        <f t="shared" si="3"/>
        <v>0</v>
      </c>
      <c r="F28" s="67" t="e">
        <f t="shared" si="4"/>
        <v>#DIV/0!</v>
      </c>
      <c r="G28" s="62"/>
    </row>
    <row r="29" spans="1:7" x14ac:dyDescent="0.35">
      <c r="A29" s="68"/>
      <c r="B29" s="95"/>
      <c r="C29" s="58"/>
      <c r="D29" s="58"/>
      <c r="E29" s="58">
        <f t="shared" si="3"/>
        <v>0</v>
      </c>
      <c r="F29" s="67" t="e">
        <f t="shared" si="4"/>
        <v>#DIV/0!</v>
      </c>
      <c r="G29" s="62"/>
    </row>
    <row r="30" spans="1:7" x14ac:dyDescent="0.35">
      <c r="A30" s="68"/>
      <c r="B30" s="95"/>
      <c r="C30" s="58"/>
      <c r="D30" s="58"/>
      <c r="E30" s="58">
        <f t="shared" si="3"/>
        <v>0</v>
      </c>
      <c r="F30" s="67" t="e">
        <f t="shared" si="4"/>
        <v>#DIV/0!</v>
      </c>
      <c r="G30" s="62"/>
    </row>
    <row r="31" spans="1:7" x14ac:dyDescent="0.35">
      <c r="A31" s="68"/>
      <c r="B31" s="95"/>
      <c r="C31" s="58"/>
      <c r="D31" s="58"/>
      <c r="E31" s="58">
        <f t="shared" si="3"/>
        <v>0</v>
      </c>
      <c r="F31" s="67" t="e">
        <f t="shared" si="4"/>
        <v>#DIV/0!</v>
      </c>
      <c r="G31" s="62"/>
    </row>
    <row r="32" spans="1:7" x14ac:dyDescent="0.35">
      <c r="A32" s="66"/>
      <c r="B32" s="94"/>
      <c r="C32" s="58"/>
      <c r="D32" s="58"/>
      <c r="E32" s="58">
        <f t="shared" si="3"/>
        <v>0</v>
      </c>
      <c r="F32" s="67" t="e">
        <f t="shared" si="4"/>
        <v>#DIV/0!</v>
      </c>
      <c r="G32" s="62"/>
    </row>
    <row r="33" spans="1:7" x14ac:dyDescent="0.35">
      <c r="A33" s="66"/>
      <c r="B33" s="94"/>
      <c r="C33" s="71">
        <f>SUM(C25:C32)</f>
        <v>0</v>
      </c>
      <c r="D33" s="71">
        <f>SUM(D25:D32)</f>
        <v>0</v>
      </c>
      <c r="E33" s="71">
        <f>SUM(E25:E32)</f>
        <v>0</v>
      </c>
      <c r="F33" s="67"/>
      <c r="G33" s="62"/>
    </row>
    <row r="34" spans="1:7" ht="16" thickBot="1" x14ac:dyDescent="0.4">
      <c r="A34" s="63"/>
      <c r="B34" s="93"/>
      <c r="C34" s="72">
        <f>C33+C23</f>
        <v>0</v>
      </c>
      <c r="D34" s="72">
        <f>D33+D23</f>
        <v>0</v>
      </c>
      <c r="E34" s="72"/>
      <c r="F34" s="61"/>
      <c r="G34" s="58"/>
    </row>
    <row r="35" spans="1:7" ht="16" thickTop="1" x14ac:dyDescent="0.35">
      <c r="A35" s="56"/>
      <c r="B35" s="92"/>
      <c r="C35" s="57"/>
      <c r="D35" s="57"/>
      <c r="E35" s="57"/>
      <c r="F35" s="61"/>
      <c r="G35" s="58"/>
    </row>
    <row r="36" spans="1:7" x14ac:dyDescent="0.35">
      <c r="A36" s="56"/>
      <c r="B36" s="92"/>
      <c r="C36" s="57"/>
      <c r="D36" s="58"/>
      <c r="E36" s="57"/>
      <c r="F36" s="61"/>
      <c r="G36" s="58"/>
    </row>
    <row r="37" spans="1:7" x14ac:dyDescent="0.35">
      <c r="A37" s="63"/>
      <c r="B37" s="93"/>
      <c r="C37" s="64"/>
      <c r="D37" s="58"/>
      <c r="E37" s="64"/>
      <c r="F37" s="65"/>
      <c r="G37" s="58"/>
    </row>
    <row r="38" spans="1:7" x14ac:dyDescent="0.35">
      <c r="A38" s="66"/>
      <c r="B38" s="94"/>
      <c r="C38" s="58"/>
      <c r="D38" s="58"/>
      <c r="E38" s="58">
        <f>C38-D38</f>
        <v>0</v>
      </c>
      <c r="F38" s="67" t="e">
        <f>E38/D38</f>
        <v>#DIV/0!</v>
      </c>
      <c r="G38" s="62"/>
    </row>
    <row r="39" spans="1:7" x14ac:dyDescent="0.35">
      <c r="A39" s="66"/>
      <c r="B39" s="94"/>
      <c r="C39" s="58"/>
      <c r="D39" s="58"/>
      <c r="E39" s="73">
        <f>C39-D39</f>
        <v>0</v>
      </c>
      <c r="F39" s="67" t="e">
        <f>E39/D39</f>
        <v>#DIV/0!</v>
      </c>
      <c r="G39" s="62"/>
    </row>
    <row r="40" spans="1:7" x14ac:dyDescent="0.35">
      <c r="A40" s="56"/>
      <c r="B40" s="92"/>
      <c r="C40" s="71">
        <f>SUM(C38:C39)</f>
        <v>0</v>
      </c>
      <c r="D40" s="71">
        <f>SUM(D38:D39)</f>
        <v>0</v>
      </c>
      <c r="E40" s="74">
        <f>SUM(E38:E39)</f>
        <v>0</v>
      </c>
      <c r="F40" s="67"/>
      <c r="G40" s="62"/>
    </row>
    <row r="41" spans="1:7" x14ac:dyDescent="0.35">
      <c r="A41" s="63"/>
      <c r="B41" s="93"/>
      <c r="C41" s="58"/>
      <c r="D41" s="58"/>
      <c r="E41" s="58"/>
      <c r="F41" s="67"/>
      <c r="G41" s="62"/>
    </row>
    <row r="42" spans="1:7" x14ac:dyDescent="0.35">
      <c r="A42" s="63"/>
      <c r="B42" s="93"/>
      <c r="C42" s="58"/>
      <c r="D42" s="58"/>
      <c r="E42" s="64"/>
      <c r="F42" s="65"/>
      <c r="G42" s="62"/>
    </row>
    <row r="43" spans="1:7" x14ac:dyDescent="0.35">
      <c r="A43" s="66"/>
      <c r="B43" s="94"/>
      <c r="C43" s="58"/>
      <c r="D43" s="58"/>
      <c r="E43" s="64"/>
      <c r="F43" s="65"/>
      <c r="G43" s="62"/>
    </row>
    <row r="44" spans="1:7" x14ac:dyDescent="0.35">
      <c r="A44" s="68"/>
      <c r="B44" s="95"/>
      <c r="C44" s="58"/>
      <c r="D44" s="58"/>
      <c r="E44" s="58">
        <f>C44-D44</f>
        <v>0</v>
      </c>
      <c r="F44" s="67" t="e">
        <f>E44/D44</f>
        <v>#DIV/0!</v>
      </c>
      <c r="G44" s="62"/>
    </row>
    <row r="45" spans="1:7" x14ac:dyDescent="0.35">
      <c r="A45" s="68"/>
      <c r="B45" s="95"/>
      <c r="C45" s="58"/>
      <c r="D45" s="58"/>
      <c r="E45" s="58">
        <f>C45-D45</f>
        <v>0</v>
      </c>
      <c r="F45" s="67" t="e">
        <f t="shared" ref="F45" si="5">E45/D45</f>
        <v>#DIV/0!</v>
      </c>
      <c r="G45" s="62"/>
    </row>
    <row r="46" spans="1:7" x14ac:dyDescent="0.35">
      <c r="A46" s="68"/>
      <c r="B46" s="95"/>
      <c r="C46" s="58"/>
      <c r="D46" s="58"/>
      <c r="E46" s="58">
        <f>C46-D46</f>
        <v>0</v>
      </c>
      <c r="F46" s="67" t="e">
        <f>E46/D46</f>
        <v>#DIV/0!</v>
      </c>
      <c r="G46" s="62"/>
    </row>
    <row r="47" spans="1:7" x14ac:dyDescent="0.35">
      <c r="A47" s="68"/>
      <c r="B47" s="95"/>
      <c r="C47" s="58"/>
      <c r="D47" s="58"/>
      <c r="E47" s="58">
        <f>C47-D47</f>
        <v>0</v>
      </c>
      <c r="F47" s="67" t="e">
        <f>E47/D47</f>
        <v>#DIV/0!</v>
      </c>
      <c r="G47" s="62"/>
    </row>
    <row r="48" spans="1:7" x14ac:dyDescent="0.35">
      <c r="A48" s="66"/>
      <c r="B48" s="94"/>
      <c r="C48" s="58"/>
      <c r="D48" s="58"/>
      <c r="E48" s="58">
        <f>C48-D48</f>
        <v>0</v>
      </c>
      <c r="F48" s="67" t="e">
        <f>E48/D48</f>
        <v>#DIV/0!</v>
      </c>
      <c r="G48" s="62"/>
    </row>
    <row r="49" spans="1:7" x14ac:dyDescent="0.35">
      <c r="A49" s="66"/>
      <c r="B49" s="94"/>
      <c r="C49" s="57"/>
      <c r="D49" s="57"/>
      <c r="E49" s="58"/>
      <c r="F49" s="67"/>
      <c r="G49" s="62"/>
    </row>
    <row r="50" spans="1:7" x14ac:dyDescent="0.35">
      <c r="A50" s="63"/>
      <c r="B50" s="93"/>
      <c r="C50" s="58"/>
      <c r="D50" s="58"/>
      <c r="E50" s="64"/>
      <c r="F50" s="65"/>
      <c r="G50" s="62"/>
    </row>
    <row r="51" spans="1:7" x14ac:dyDescent="0.35">
      <c r="A51" s="66"/>
      <c r="B51" s="94"/>
      <c r="C51" s="58"/>
      <c r="D51" s="58"/>
      <c r="E51" s="64"/>
      <c r="F51" s="65"/>
      <c r="G51" s="62"/>
    </row>
    <row r="52" spans="1:7" x14ac:dyDescent="0.35">
      <c r="A52" s="68"/>
      <c r="B52" s="95"/>
      <c r="C52" s="58"/>
      <c r="D52" s="58"/>
      <c r="E52" s="58">
        <f t="shared" ref="E52:E58" si="6">C52-D52</f>
        <v>0</v>
      </c>
      <c r="F52" s="67" t="e">
        <f t="shared" ref="F52:F58" si="7">E52/D52</f>
        <v>#DIV/0!</v>
      </c>
      <c r="G52" s="62"/>
    </row>
    <row r="53" spans="1:7" x14ac:dyDescent="0.35">
      <c r="A53" s="68"/>
      <c r="B53" s="95"/>
      <c r="C53" s="58"/>
      <c r="D53" s="58"/>
      <c r="E53" s="58">
        <f t="shared" si="6"/>
        <v>0</v>
      </c>
      <c r="F53" s="67" t="e">
        <f t="shared" si="7"/>
        <v>#DIV/0!</v>
      </c>
      <c r="G53" s="62"/>
    </row>
    <row r="54" spans="1:7" x14ac:dyDescent="0.35">
      <c r="A54" s="68"/>
      <c r="B54" s="95"/>
      <c r="C54" s="58"/>
      <c r="D54" s="58"/>
      <c r="E54" s="58">
        <f>C54-D54</f>
        <v>0</v>
      </c>
      <c r="F54" s="67" t="e">
        <f>E54/D54</f>
        <v>#DIV/0!</v>
      </c>
      <c r="G54" s="62"/>
    </row>
    <row r="55" spans="1:7" x14ac:dyDescent="0.35">
      <c r="A55" s="68"/>
      <c r="B55" s="95"/>
      <c r="C55" s="58"/>
      <c r="D55" s="58"/>
      <c r="E55" s="58">
        <f t="shared" si="6"/>
        <v>0</v>
      </c>
      <c r="F55" s="67" t="e">
        <f t="shared" si="7"/>
        <v>#DIV/0!</v>
      </c>
      <c r="G55" s="62"/>
    </row>
    <row r="56" spans="1:7" x14ac:dyDescent="0.35">
      <c r="A56" s="66"/>
      <c r="B56" s="94"/>
      <c r="C56" s="58"/>
      <c r="D56" s="58"/>
      <c r="E56" s="58">
        <f t="shared" si="6"/>
        <v>0</v>
      </c>
      <c r="F56" s="67" t="e">
        <f t="shared" si="7"/>
        <v>#DIV/0!</v>
      </c>
      <c r="G56" s="62"/>
    </row>
    <row r="57" spans="1:7" x14ac:dyDescent="0.35">
      <c r="A57" s="69"/>
      <c r="B57" s="96"/>
      <c r="C57" s="58"/>
      <c r="D57" s="58"/>
      <c r="E57" s="58">
        <f t="shared" si="6"/>
        <v>0</v>
      </c>
      <c r="F57" s="67" t="e">
        <f t="shared" si="7"/>
        <v>#DIV/0!</v>
      </c>
      <c r="G57" s="62"/>
    </row>
    <row r="58" spans="1:7" x14ac:dyDescent="0.35">
      <c r="A58" s="69"/>
      <c r="B58" s="96"/>
      <c r="C58" s="58"/>
      <c r="D58" s="58"/>
      <c r="E58" s="58">
        <f t="shared" si="6"/>
        <v>0</v>
      </c>
      <c r="F58" s="67" t="e">
        <f t="shared" si="7"/>
        <v>#DIV/0!</v>
      </c>
      <c r="G58" s="62"/>
    </row>
    <row r="59" spans="1:7" x14ac:dyDescent="0.35">
      <c r="A59" s="56"/>
      <c r="B59" s="92"/>
      <c r="C59" s="71">
        <f>SUM(C44:C58)</f>
        <v>0</v>
      </c>
      <c r="D59" s="71">
        <f>SUM(D44:D58)</f>
        <v>0</v>
      </c>
      <c r="E59" s="71">
        <f>SUM(E44:E58)</f>
        <v>0</v>
      </c>
      <c r="F59" s="61"/>
      <c r="G59" s="62"/>
    </row>
    <row r="60" spans="1:7" ht="16" thickBot="1" x14ac:dyDescent="0.4">
      <c r="A60" s="56"/>
      <c r="B60" s="92"/>
      <c r="C60" s="72">
        <f>C59+C40</f>
        <v>0</v>
      </c>
      <c r="D60" s="72">
        <f>D59+D40</f>
        <v>0</v>
      </c>
      <c r="E60" s="72"/>
      <c r="F60" s="61"/>
      <c r="G60" s="62"/>
    </row>
    <row r="61" spans="1:7" ht="16" thickTop="1" x14ac:dyDescent="0.35">
      <c r="A61" s="56"/>
      <c r="B61" s="92"/>
      <c r="C61" s="57"/>
      <c r="D61" s="57"/>
      <c r="E61" s="57"/>
      <c r="F61" s="61"/>
      <c r="G61" s="62"/>
    </row>
    <row r="62" spans="1:7" ht="16" thickBot="1" x14ac:dyDescent="0.4">
      <c r="A62" s="75"/>
      <c r="B62" s="98"/>
      <c r="C62" s="76"/>
      <c r="D62" s="76"/>
      <c r="E62" s="76"/>
      <c r="F62" s="77"/>
      <c r="G62" s="76"/>
    </row>
    <row r="63" spans="1:7" x14ac:dyDescent="0.35">
      <c r="A63" s="47"/>
      <c r="B63" s="47"/>
      <c r="C63" s="47"/>
      <c r="D63" s="47"/>
      <c r="E63" s="47"/>
      <c r="F63" s="78"/>
      <c r="G63" s="47"/>
    </row>
  </sheetData>
  <printOptions horizontalCentered="1"/>
  <pageMargins left="0.25" right="0.25" top="0.25" bottom="0.25" header="0" footer="0"/>
  <pageSetup paperSize="11" scale="3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showGridLines="0" zoomScale="69" zoomScaleNormal="80" zoomScaleSheetLayoutView="80" workbookViewId="0">
      <selection activeCell="A12" sqref="A12"/>
    </sheetView>
  </sheetViews>
  <sheetFormatPr defaultColWidth="9.08984375" defaultRowHeight="14.5" x14ac:dyDescent="0.35"/>
  <cols>
    <col min="1" max="1" width="51.36328125" style="45" customWidth="1"/>
    <col min="2" max="2" width="21.26953125" style="45" customWidth="1"/>
    <col min="3" max="3" width="34" style="41" customWidth="1"/>
    <col min="4" max="4" width="25.7265625" style="41" customWidth="1"/>
    <col min="5" max="5" width="18.7265625" style="41" customWidth="1"/>
    <col min="6" max="6" width="26.54296875" style="42" customWidth="1"/>
    <col min="7" max="7" width="69.36328125" style="43" customWidth="1"/>
    <col min="8" max="16384" width="9.08984375" style="40"/>
  </cols>
  <sheetData>
    <row r="1" spans="1:7" s="19" customFormat="1" ht="15.5" x14ac:dyDescent="0.35">
      <c r="A1" s="15" t="s">
        <v>171</v>
      </c>
      <c r="B1" s="15"/>
      <c r="C1" s="103" t="s">
        <v>187</v>
      </c>
      <c r="D1" s="16"/>
      <c r="E1" s="16"/>
      <c r="F1" s="99" t="s">
        <v>181</v>
      </c>
      <c r="G1" s="100"/>
    </row>
    <row r="2" spans="1:7" s="19" customFormat="1" x14ac:dyDescent="0.35">
      <c r="A2" s="15" t="s">
        <v>0</v>
      </c>
      <c r="B2" s="15"/>
      <c r="C2" s="16"/>
      <c r="D2" s="16"/>
      <c r="E2" s="16"/>
      <c r="F2" s="101" t="s">
        <v>182</v>
      </c>
      <c r="G2" s="104" t="s">
        <v>186</v>
      </c>
    </row>
    <row r="3" spans="1:7" s="19" customFormat="1" x14ac:dyDescent="0.35">
      <c r="A3" s="15" t="s">
        <v>172</v>
      </c>
      <c r="B3" s="15"/>
      <c r="C3" s="16"/>
      <c r="D3" s="16"/>
      <c r="E3" s="16"/>
      <c r="F3" s="101" t="s">
        <v>183</v>
      </c>
      <c r="G3" s="104" t="s">
        <v>186</v>
      </c>
    </row>
    <row r="4" spans="1:7" s="19" customFormat="1" x14ac:dyDescent="0.35">
      <c r="A4" s="15"/>
      <c r="B4" s="15"/>
      <c r="C4" s="16"/>
      <c r="D4" s="16"/>
      <c r="E4" s="16"/>
      <c r="F4" s="101" t="s">
        <v>184</v>
      </c>
      <c r="G4" s="100" t="s">
        <v>185</v>
      </c>
    </row>
    <row r="5" spans="1:7" s="19" customFormat="1" x14ac:dyDescent="0.35">
      <c r="A5" s="15"/>
      <c r="B5" s="15"/>
      <c r="C5" s="16"/>
      <c r="D5" s="16"/>
      <c r="E5" s="16"/>
      <c r="F5" s="17"/>
      <c r="G5" s="18"/>
    </row>
    <row r="6" spans="1:7" s="19" customFormat="1" x14ac:dyDescent="0.35">
      <c r="A6" s="158" t="s">
        <v>173</v>
      </c>
      <c r="B6" s="158"/>
      <c r="C6" s="158"/>
      <c r="D6" s="158"/>
      <c r="E6" s="158"/>
      <c r="F6" s="158"/>
      <c r="G6" s="158"/>
    </row>
    <row r="7" spans="1:7" s="19" customFormat="1" x14ac:dyDescent="0.35">
      <c r="A7" s="158"/>
      <c r="B7" s="158"/>
      <c r="C7" s="158"/>
      <c r="D7" s="158"/>
      <c r="E7" s="158"/>
      <c r="F7" s="158"/>
      <c r="G7" s="158"/>
    </row>
    <row r="8" spans="1:7" s="19" customFormat="1" ht="16" thickBot="1" x14ac:dyDescent="0.4">
      <c r="C8" s="102" t="s">
        <v>183</v>
      </c>
      <c r="D8" s="102" t="s">
        <v>182</v>
      </c>
      <c r="E8" s="102" t="s">
        <v>184</v>
      </c>
      <c r="F8" s="102" t="s">
        <v>184</v>
      </c>
      <c r="G8" s="79" t="s">
        <v>180</v>
      </c>
    </row>
    <row r="9" spans="1:7" s="19" customFormat="1" ht="45" customHeight="1" x14ac:dyDescent="0.35">
      <c r="A9" s="82" t="s">
        <v>1</v>
      </c>
      <c r="B9" s="91" t="s">
        <v>179</v>
      </c>
      <c r="C9" s="83" t="s">
        <v>174</v>
      </c>
      <c r="D9" s="83" t="s">
        <v>174</v>
      </c>
      <c r="E9" s="84" t="s">
        <v>2</v>
      </c>
      <c r="F9" s="84" t="s">
        <v>3</v>
      </c>
      <c r="G9" s="85" t="s">
        <v>189</v>
      </c>
    </row>
    <row r="10" spans="1:7" s="16" customFormat="1" x14ac:dyDescent="0.35">
      <c r="A10" s="20"/>
      <c r="B10" s="112"/>
      <c r="C10" s="21"/>
      <c r="D10" s="21"/>
      <c r="E10" s="21"/>
      <c r="F10" s="21"/>
      <c r="G10" s="22"/>
    </row>
    <row r="11" spans="1:7" s="19" customFormat="1" x14ac:dyDescent="0.35">
      <c r="A11" s="23"/>
      <c r="B11" s="113"/>
      <c r="C11" s="24"/>
      <c r="D11" s="24"/>
      <c r="E11" s="24"/>
      <c r="F11" s="25"/>
      <c r="G11" s="26"/>
    </row>
    <row r="12" spans="1:7" s="16" customFormat="1" ht="15.5" x14ac:dyDescent="0.35">
      <c r="A12" s="105" t="s">
        <v>195</v>
      </c>
      <c r="B12" s="106"/>
      <c r="C12" s="24"/>
      <c r="D12" s="24"/>
      <c r="E12" s="24"/>
      <c r="F12" s="28" t="e">
        <f>E12/D12</f>
        <v>#DIV/0!</v>
      </c>
      <c r="G12" s="26"/>
    </row>
    <row r="13" spans="1:7" s="16" customFormat="1" x14ac:dyDescent="0.35">
      <c r="A13" s="27"/>
      <c r="B13" s="44"/>
      <c r="C13" s="46"/>
      <c r="D13" s="24"/>
      <c r="E13" s="24"/>
      <c r="F13" s="28" t="e">
        <f>E13/D13</f>
        <v>#DIV/0!</v>
      </c>
      <c r="G13" s="26"/>
    </row>
    <row r="14" spans="1:7" s="16" customFormat="1" x14ac:dyDescent="0.35">
      <c r="A14" s="23"/>
      <c r="B14" s="113"/>
      <c r="C14" s="30"/>
      <c r="D14" s="30"/>
      <c r="E14" s="30"/>
      <c r="F14" s="28"/>
      <c r="G14" s="26"/>
    </row>
    <row r="15" spans="1:7" s="16" customFormat="1" x14ac:dyDescent="0.35">
      <c r="A15" s="27"/>
      <c r="B15" s="44"/>
      <c r="C15" s="24"/>
      <c r="D15" s="24"/>
      <c r="E15" s="24"/>
      <c r="F15" s="28"/>
      <c r="G15" s="26"/>
    </row>
    <row r="16" spans="1:7" s="16" customFormat="1" x14ac:dyDescent="0.35">
      <c r="A16" s="23"/>
      <c r="B16" s="113"/>
      <c r="C16" s="24"/>
      <c r="D16" s="24"/>
      <c r="E16" s="24"/>
      <c r="F16" s="28"/>
      <c r="G16" s="26"/>
    </row>
    <row r="17" spans="1:7" s="16" customFormat="1" x14ac:dyDescent="0.35">
      <c r="A17" s="27"/>
      <c r="B17" s="44"/>
      <c r="C17" s="24"/>
      <c r="D17" s="24"/>
      <c r="E17" s="24"/>
      <c r="F17" s="28" t="e">
        <f t="shared" ref="F17:F22" si="0">E17/D17</f>
        <v>#DIV/0!</v>
      </c>
      <c r="G17" s="159"/>
    </row>
    <row r="18" spans="1:7" s="16" customFormat="1" x14ac:dyDescent="0.35">
      <c r="A18" s="27"/>
      <c r="B18" s="44"/>
      <c r="C18" s="24"/>
      <c r="D18" s="24"/>
      <c r="E18" s="24"/>
      <c r="F18" s="28" t="e">
        <f>E18/D18</f>
        <v>#DIV/0!</v>
      </c>
      <c r="G18" s="159"/>
    </row>
    <row r="19" spans="1:7" s="16" customFormat="1" x14ac:dyDescent="0.35">
      <c r="A19" s="27"/>
      <c r="B19" s="44"/>
      <c r="C19" s="24"/>
      <c r="D19" s="24"/>
      <c r="E19" s="24"/>
      <c r="F19" s="28" t="e">
        <f t="shared" ref="F19:F20" si="1">E19/D19</f>
        <v>#DIV/0!</v>
      </c>
      <c r="G19" s="159"/>
    </row>
    <row r="20" spans="1:7" s="16" customFormat="1" x14ac:dyDescent="0.35">
      <c r="A20" s="27"/>
      <c r="B20" s="44"/>
      <c r="C20" s="24"/>
      <c r="D20" s="24"/>
      <c r="E20" s="24"/>
      <c r="F20" s="28" t="e">
        <f t="shared" si="1"/>
        <v>#DIV/0!</v>
      </c>
      <c r="G20" s="31"/>
    </row>
    <row r="21" spans="1:7" s="16" customFormat="1" x14ac:dyDescent="0.35">
      <c r="A21" s="27"/>
      <c r="B21" s="44"/>
      <c r="C21" s="24"/>
      <c r="D21" s="24"/>
      <c r="E21" s="24"/>
      <c r="F21" s="28" t="e">
        <f t="shared" si="0"/>
        <v>#DIV/0!</v>
      </c>
      <c r="G21" s="26"/>
    </row>
    <row r="22" spans="1:7" s="16" customFormat="1" x14ac:dyDescent="0.35">
      <c r="A22" s="27"/>
      <c r="B22" s="44"/>
      <c r="C22" s="24"/>
      <c r="D22" s="24"/>
      <c r="E22" s="24"/>
      <c r="F22" s="28" t="e">
        <f t="shared" si="0"/>
        <v>#DIV/0!</v>
      </c>
      <c r="G22" s="26"/>
    </row>
    <row r="23" spans="1:7" s="19" customFormat="1" x14ac:dyDescent="0.35">
      <c r="A23" s="27"/>
      <c r="B23" s="44"/>
      <c r="C23" s="24"/>
      <c r="D23" s="24"/>
      <c r="E23" s="24"/>
      <c r="F23" s="28" t="e">
        <f>E23/D23</f>
        <v>#DIV/0!</v>
      </c>
      <c r="G23" s="31"/>
    </row>
    <row r="24" spans="1:7" s="19" customFormat="1" x14ac:dyDescent="0.35">
      <c r="A24" s="23"/>
      <c r="B24" s="113"/>
      <c r="C24" s="30"/>
      <c r="D24" s="30"/>
      <c r="E24" s="30"/>
      <c r="F24" s="32"/>
      <c r="G24" s="26"/>
    </row>
    <row r="25" spans="1:7" s="19" customFormat="1" x14ac:dyDescent="0.35">
      <c r="A25" s="27"/>
      <c r="B25" s="44"/>
      <c r="C25" s="29"/>
      <c r="D25" s="29"/>
      <c r="E25" s="24"/>
      <c r="F25" s="32"/>
      <c r="G25" s="26"/>
    </row>
    <row r="26" spans="1:7" s="19" customFormat="1" x14ac:dyDescent="0.35">
      <c r="A26" s="23"/>
      <c r="B26" s="113"/>
      <c r="C26" s="30"/>
      <c r="D26" s="30"/>
      <c r="E26" s="24"/>
      <c r="F26" s="28"/>
      <c r="G26" s="26"/>
    </row>
    <row r="27" spans="1:7" s="19" customFormat="1" x14ac:dyDescent="0.35">
      <c r="A27" s="23"/>
      <c r="B27" s="113"/>
      <c r="C27" s="30"/>
      <c r="D27" s="30"/>
      <c r="E27" s="30"/>
      <c r="F27" s="32"/>
      <c r="G27" s="26"/>
    </row>
    <row r="28" spans="1:7" s="16" customFormat="1" x14ac:dyDescent="0.35">
      <c r="A28" s="27"/>
      <c r="B28" s="44"/>
      <c r="C28" s="24"/>
      <c r="D28" s="24"/>
      <c r="E28" s="24"/>
      <c r="F28" s="28">
        <v>0</v>
      </c>
      <c r="G28" s="26"/>
    </row>
    <row r="29" spans="1:7" s="16" customFormat="1" x14ac:dyDescent="0.35">
      <c r="A29" s="27"/>
      <c r="B29" s="44"/>
      <c r="C29" s="24"/>
      <c r="D29" s="24"/>
      <c r="E29" s="24"/>
      <c r="F29" s="28">
        <v>0</v>
      </c>
      <c r="G29" s="26"/>
    </row>
    <row r="30" spans="1:7" s="16" customFormat="1" x14ac:dyDescent="0.35">
      <c r="A30" s="27"/>
      <c r="B30" s="44"/>
      <c r="C30" s="24"/>
      <c r="D30" s="24"/>
      <c r="E30" s="24"/>
      <c r="F30" s="28"/>
      <c r="G30" s="26"/>
    </row>
    <row r="31" spans="1:7" s="16" customFormat="1" x14ac:dyDescent="0.35">
      <c r="A31" s="27"/>
      <c r="B31" s="44"/>
      <c r="C31" s="24"/>
      <c r="D31" s="24"/>
      <c r="E31" s="24"/>
      <c r="F31" s="28"/>
      <c r="G31" s="26"/>
    </row>
    <row r="32" spans="1:7" s="16" customFormat="1" x14ac:dyDescent="0.35">
      <c r="A32" s="27"/>
      <c r="B32" s="44"/>
      <c r="C32" s="24"/>
      <c r="D32" s="24"/>
      <c r="E32" s="24"/>
      <c r="F32" s="28"/>
      <c r="G32" s="26"/>
    </row>
    <row r="33" spans="1:7" s="37" customFormat="1" ht="15" thickBot="1" x14ac:dyDescent="0.4">
      <c r="A33" s="33"/>
      <c r="B33" s="114"/>
      <c r="C33" s="34"/>
      <c r="D33" s="34"/>
      <c r="E33" s="34"/>
      <c r="F33" s="35"/>
      <c r="G33" s="36"/>
    </row>
    <row r="34" spans="1:7" s="19" customFormat="1" x14ac:dyDescent="0.35">
      <c r="A34" s="38"/>
      <c r="B34" s="38"/>
      <c r="C34" s="39"/>
      <c r="D34" s="39"/>
      <c r="E34" s="16"/>
      <c r="F34" s="17"/>
      <c r="G34" s="18"/>
    </row>
  </sheetData>
  <mergeCells count="2">
    <mergeCell ref="A6:G7"/>
    <mergeCell ref="G17:G19"/>
  </mergeCells>
  <printOptions horizontalCentered="1"/>
  <pageMargins left="0.25" right="0.25" top="0.25" bottom="0.25" header="0" footer="0"/>
  <pageSetup paperSize="11" scale="3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election activeCell="A7" sqref="A7"/>
    </sheetView>
  </sheetViews>
  <sheetFormatPr defaultRowHeight="14.5" x14ac:dyDescent="0.35"/>
  <sheetData>
    <row r="1" spans="1:1" x14ac:dyDescent="0.35">
      <c r="A1" t="s">
        <v>155</v>
      </c>
    </row>
    <row r="2" spans="1:1" x14ac:dyDescent="0.35">
      <c r="A2" t="s">
        <v>156</v>
      </c>
    </row>
    <row r="3" spans="1:1" x14ac:dyDescent="0.35">
      <c r="A3" t="s">
        <v>157</v>
      </c>
    </row>
    <row r="4" spans="1:1" x14ac:dyDescent="0.35">
      <c r="A4" t="s">
        <v>158</v>
      </c>
    </row>
    <row r="5" spans="1:1" x14ac:dyDescent="0.35">
      <c r="A5" t="s">
        <v>159</v>
      </c>
    </row>
    <row r="6" spans="1:1" x14ac:dyDescent="0.35">
      <c r="A6" t="s">
        <v>160</v>
      </c>
    </row>
    <row r="7" spans="1:1" x14ac:dyDescent="0.35">
      <c r="A7" t="s">
        <v>161</v>
      </c>
    </row>
    <row r="8" spans="1:1" x14ac:dyDescent="0.35">
      <c r="A8" t="s">
        <v>162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98F2B-8F9D-4F23-A6BD-D9BE1E74BA3C}">
  <dimension ref="A1:I31"/>
  <sheetViews>
    <sheetView showGridLines="0" topLeftCell="A6" workbookViewId="0">
      <selection activeCell="B14" sqref="B14"/>
    </sheetView>
  </sheetViews>
  <sheetFormatPr defaultRowHeight="14.5" x14ac:dyDescent="0.35"/>
  <cols>
    <col min="2" max="2" width="36.453125" customWidth="1"/>
    <col min="3" max="3" width="18.81640625" customWidth="1"/>
    <col min="4" max="4" width="27.08984375" customWidth="1"/>
    <col min="5" max="5" width="12.81640625" customWidth="1"/>
    <col min="6" max="6" width="16.7265625" customWidth="1"/>
    <col min="7" max="7" width="16.81640625" customWidth="1"/>
    <col min="9" max="9" width="41.6328125" bestFit="1" customWidth="1"/>
  </cols>
  <sheetData>
    <row r="1" spans="1:9" ht="15.5" x14ac:dyDescent="0.35">
      <c r="A1" s="48" t="str">
        <f>PL!A1</f>
        <v>Client:</v>
      </c>
      <c r="H1" s="107" t="s">
        <v>190</v>
      </c>
      <c r="I1" s="108"/>
    </row>
    <row r="2" spans="1:9" ht="15.5" x14ac:dyDescent="0.35">
      <c r="A2" s="48" t="s">
        <v>196</v>
      </c>
      <c r="H2" s="109" t="s">
        <v>182</v>
      </c>
      <c r="I2" s="104" t="s">
        <v>186</v>
      </c>
    </row>
    <row r="3" spans="1:9" x14ac:dyDescent="0.35">
      <c r="H3" s="109" t="s">
        <v>183</v>
      </c>
      <c r="I3" s="104" t="s">
        <v>186</v>
      </c>
    </row>
    <row r="4" spans="1:9" x14ac:dyDescent="0.35">
      <c r="H4" s="109" t="s">
        <v>191</v>
      </c>
      <c r="I4" s="110" t="s">
        <v>192</v>
      </c>
    </row>
    <row r="5" spans="1:9" x14ac:dyDescent="0.35">
      <c r="H5" s="109" t="s">
        <v>184</v>
      </c>
      <c r="I5" s="110" t="s">
        <v>185</v>
      </c>
    </row>
    <row r="6" spans="1:9" x14ac:dyDescent="0.35">
      <c r="H6" s="111" t="s">
        <v>193</v>
      </c>
      <c r="I6" s="108" t="s">
        <v>194</v>
      </c>
    </row>
    <row r="8" spans="1:9" x14ac:dyDescent="0.35">
      <c r="B8" s="117" t="s">
        <v>208</v>
      </c>
      <c r="C8" s="119" t="s">
        <v>182</v>
      </c>
      <c r="D8" s="119" t="s">
        <v>183</v>
      </c>
      <c r="E8" s="119" t="s">
        <v>184</v>
      </c>
      <c r="F8" s="119" t="s">
        <v>184</v>
      </c>
    </row>
    <row r="9" spans="1:9" x14ac:dyDescent="0.35">
      <c r="B9" s="115" t="s">
        <v>1</v>
      </c>
      <c r="C9" s="116" t="s">
        <v>207</v>
      </c>
      <c r="D9" s="116" t="s">
        <v>207</v>
      </c>
      <c r="E9" s="115" t="s">
        <v>197</v>
      </c>
      <c r="F9" s="115" t="s">
        <v>165</v>
      </c>
      <c r="G9" s="115" t="s">
        <v>189</v>
      </c>
    </row>
    <row r="10" spans="1:9" x14ac:dyDescent="0.35">
      <c r="B10" s="120"/>
      <c r="C10" s="124"/>
      <c r="D10" s="124"/>
      <c r="E10" s="126"/>
      <c r="F10" s="127"/>
      <c r="G10" s="128"/>
    </row>
    <row r="11" spans="1:9" x14ac:dyDescent="0.35">
      <c r="B11" s="120" t="s">
        <v>209</v>
      </c>
      <c r="C11" s="129"/>
      <c r="D11" s="129"/>
      <c r="E11" s="130"/>
      <c r="F11" s="121"/>
      <c r="G11" s="131"/>
    </row>
    <row r="12" spans="1:9" x14ac:dyDescent="0.35">
      <c r="B12" s="120" t="s">
        <v>210</v>
      </c>
      <c r="C12" s="129"/>
      <c r="D12" s="129"/>
      <c r="E12" s="130"/>
      <c r="F12" s="121"/>
      <c r="G12" s="131"/>
    </row>
    <row r="13" spans="1:9" x14ac:dyDescent="0.35">
      <c r="B13" s="120"/>
      <c r="C13" s="132"/>
      <c r="D13" s="132"/>
      <c r="E13" s="133"/>
      <c r="F13" s="134"/>
      <c r="G13" s="135"/>
    </row>
    <row r="14" spans="1:9" ht="15" thickBot="1" x14ac:dyDescent="0.4">
      <c r="B14" s="125" t="s">
        <v>4</v>
      </c>
      <c r="C14" s="123"/>
      <c r="D14" s="123"/>
      <c r="E14" s="122"/>
      <c r="F14" s="122"/>
      <c r="G14" s="122"/>
    </row>
    <row r="15" spans="1:9" ht="15" thickTop="1" x14ac:dyDescent="0.35"/>
    <row r="16" spans="1:9" x14ac:dyDescent="0.35">
      <c r="B16" s="117" t="s">
        <v>211</v>
      </c>
      <c r="C16" s="119" t="s">
        <v>182</v>
      </c>
      <c r="D16" s="119" t="s">
        <v>183</v>
      </c>
      <c r="E16" s="119" t="s">
        <v>184</v>
      </c>
      <c r="F16" s="119" t="s">
        <v>184</v>
      </c>
    </row>
    <row r="17" spans="2:7" x14ac:dyDescent="0.35">
      <c r="B17" s="115" t="s">
        <v>1</v>
      </c>
      <c r="C17" s="116" t="s">
        <v>207</v>
      </c>
      <c r="D17" s="116" t="s">
        <v>207</v>
      </c>
      <c r="E17" s="115" t="s">
        <v>197</v>
      </c>
      <c r="F17" s="115" t="s">
        <v>165</v>
      </c>
      <c r="G17" s="115" t="s">
        <v>189</v>
      </c>
    </row>
    <row r="18" spans="2:7" x14ac:dyDescent="0.35">
      <c r="B18" s="120"/>
      <c r="C18" s="124"/>
      <c r="D18" s="124"/>
      <c r="E18" s="126"/>
      <c r="F18" s="127"/>
      <c r="G18" s="128"/>
    </row>
    <row r="19" spans="2:7" x14ac:dyDescent="0.35">
      <c r="B19" s="120" t="s">
        <v>209</v>
      </c>
      <c r="C19" s="129"/>
      <c r="D19" s="129"/>
      <c r="E19" s="130"/>
      <c r="F19" s="121"/>
      <c r="G19" s="131"/>
    </row>
    <row r="20" spans="2:7" x14ac:dyDescent="0.35">
      <c r="B20" s="120" t="s">
        <v>210</v>
      </c>
      <c r="C20" s="129"/>
      <c r="D20" s="129"/>
      <c r="E20" s="130"/>
      <c r="F20" s="121"/>
      <c r="G20" s="131"/>
    </row>
    <row r="21" spans="2:7" x14ac:dyDescent="0.35">
      <c r="B21" s="120"/>
      <c r="C21" s="132"/>
      <c r="D21" s="132"/>
      <c r="E21" s="133"/>
      <c r="F21" s="134"/>
      <c r="G21" s="135"/>
    </row>
    <row r="22" spans="2:7" ht="15" thickBot="1" x14ac:dyDescent="0.4">
      <c r="B22" s="125" t="s">
        <v>4</v>
      </c>
      <c r="C22" s="123"/>
      <c r="D22" s="123"/>
      <c r="E22" s="122"/>
      <c r="F22" s="122"/>
      <c r="G22" s="122"/>
    </row>
    <row r="23" spans="2:7" ht="15" thickTop="1" x14ac:dyDescent="0.35"/>
    <row r="24" spans="2:7" x14ac:dyDescent="0.35">
      <c r="B24" s="117" t="s">
        <v>212</v>
      </c>
      <c r="C24" s="119" t="s">
        <v>182</v>
      </c>
      <c r="D24" s="119" t="s">
        <v>183</v>
      </c>
      <c r="E24" s="119" t="s">
        <v>184</v>
      </c>
      <c r="F24" s="119" t="s">
        <v>184</v>
      </c>
    </row>
    <row r="25" spans="2:7" x14ac:dyDescent="0.35">
      <c r="B25" s="115" t="s">
        <v>1</v>
      </c>
      <c r="C25" s="116" t="s">
        <v>207</v>
      </c>
      <c r="D25" s="116" t="s">
        <v>207</v>
      </c>
      <c r="E25" s="115" t="s">
        <v>197</v>
      </c>
      <c r="F25" s="115" t="s">
        <v>165</v>
      </c>
      <c r="G25" s="115" t="s">
        <v>189</v>
      </c>
    </row>
    <row r="26" spans="2:7" x14ac:dyDescent="0.35">
      <c r="B26" s="120"/>
      <c r="C26" s="124"/>
      <c r="D26" s="124"/>
      <c r="E26" s="126"/>
      <c r="F26" s="127"/>
      <c r="G26" s="128"/>
    </row>
    <row r="27" spans="2:7" x14ac:dyDescent="0.35">
      <c r="B27" s="120" t="s">
        <v>209</v>
      </c>
      <c r="C27" s="129"/>
      <c r="D27" s="129"/>
      <c r="E27" s="130"/>
      <c r="F27" s="121"/>
      <c r="G27" s="131"/>
    </row>
    <row r="28" spans="2:7" x14ac:dyDescent="0.35">
      <c r="B28" s="120" t="s">
        <v>210</v>
      </c>
      <c r="C28" s="129"/>
      <c r="D28" s="129"/>
      <c r="E28" s="130"/>
      <c r="F28" s="121"/>
      <c r="G28" s="131"/>
    </row>
    <row r="29" spans="2:7" x14ac:dyDescent="0.35">
      <c r="B29" s="120"/>
      <c r="C29" s="132"/>
      <c r="D29" s="132"/>
      <c r="E29" s="133"/>
      <c r="F29" s="134"/>
      <c r="G29" s="135"/>
    </row>
    <row r="30" spans="2:7" ht="15" thickBot="1" x14ac:dyDescent="0.4">
      <c r="B30" s="125" t="s">
        <v>4</v>
      </c>
      <c r="C30" s="123"/>
      <c r="D30" s="123"/>
      <c r="E30" s="122"/>
      <c r="F30" s="122"/>
      <c r="G30" s="122"/>
    </row>
    <row r="31" spans="2:7" ht="15" thickTop="1"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FA46D-2B03-47C1-A0AA-60942693207B}">
  <dimension ref="A1:I7"/>
  <sheetViews>
    <sheetView showGridLines="0" workbookViewId="0">
      <selection activeCell="C11" sqref="C11:D11"/>
    </sheetView>
  </sheetViews>
  <sheetFormatPr defaultRowHeight="14.5" x14ac:dyDescent="0.35"/>
  <cols>
    <col min="1" max="1" width="29.08984375" bestFit="1" customWidth="1"/>
    <col min="8" max="8" width="7.453125" bestFit="1" customWidth="1"/>
    <col min="9" max="9" width="41.6328125" bestFit="1" customWidth="1"/>
  </cols>
  <sheetData>
    <row r="1" spans="1:9" ht="15.5" x14ac:dyDescent="0.35">
      <c r="A1" s="48" t="str">
        <f>PL!A1</f>
        <v>Client:</v>
      </c>
      <c r="H1" s="107" t="s">
        <v>190</v>
      </c>
      <c r="I1" s="108"/>
    </row>
    <row r="2" spans="1:9" ht="15.5" x14ac:dyDescent="0.35">
      <c r="A2" s="48" t="s">
        <v>196</v>
      </c>
      <c r="H2" s="109" t="s">
        <v>182</v>
      </c>
      <c r="I2" s="104" t="s">
        <v>186</v>
      </c>
    </row>
    <row r="3" spans="1:9" x14ac:dyDescent="0.35">
      <c r="H3" s="109" t="s">
        <v>183</v>
      </c>
      <c r="I3" s="104" t="s">
        <v>186</v>
      </c>
    </row>
    <row r="4" spans="1:9" x14ac:dyDescent="0.35">
      <c r="H4" s="109" t="s">
        <v>191</v>
      </c>
      <c r="I4" s="110" t="s">
        <v>192</v>
      </c>
    </row>
    <row r="5" spans="1:9" x14ac:dyDescent="0.35">
      <c r="H5" s="109" t="s">
        <v>184</v>
      </c>
      <c r="I5" s="110" t="s">
        <v>185</v>
      </c>
    </row>
    <row r="6" spans="1:9" x14ac:dyDescent="0.35">
      <c r="H6" s="111" t="s">
        <v>193</v>
      </c>
      <c r="I6" s="108" t="s">
        <v>194</v>
      </c>
    </row>
    <row r="7" spans="1:9" x14ac:dyDescent="0.35">
      <c r="H7" s="111"/>
      <c r="I7" s="10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16B89-0FC4-4D77-BDDE-94F90572EB8C}">
  <dimension ref="A1:K28"/>
  <sheetViews>
    <sheetView showGridLines="0" zoomScale="86" zoomScaleNormal="86" workbookViewId="0">
      <selection activeCell="B7" sqref="B7"/>
    </sheetView>
  </sheetViews>
  <sheetFormatPr defaultRowHeight="14.5" x14ac:dyDescent="0.35"/>
  <cols>
    <col min="1" max="1" width="12" customWidth="1"/>
    <col min="2" max="2" width="31.36328125" customWidth="1"/>
    <col min="3" max="3" width="26.1796875" customWidth="1"/>
    <col min="4" max="4" width="26" customWidth="1"/>
    <col min="5" max="5" width="19.08984375" customWidth="1"/>
    <col min="6" max="6" width="24.453125" customWidth="1"/>
    <col min="7" max="7" width="22.7265625" customWidth="1"/>
    <col min="9" max="9" width="42.1796875" bestFit="1" customWidth="1"/>
  </cols>
  <sheetData>
    <row r="1" spans="1:9" ht="15.5" x14ac:dyDescent="0.35">
      <c r="A1" s="48" t="str">
        <f>PL!A1</f>
        <v>Client:</v>
      </c>
      <c r="H1" s="107" t="s">
        <v>190</v>
      </c>
      <c r="I1" s="108"/>
    </row>
    <row r="2" spans="1:9" ht="15.5" x14ac:dyDescent="0.35">
      <c r="A2" s="48" t="s">
        <v>196</v>
      </c>
      <c r="H2" s="109" t="s">
        <v>182</v>
      </c>
      <c r="I2" s="104" t="s">
        <v>186</v>
      </c>
    </row>
    <row r="3" spans="1:9" x14ac:dyDescent="0.35">
      <c r="H3" s="109" t="s">
        <v>183</v>
      </c>
      <c r="I3" s="104" t="s">
        <v>186</v>
      </c>
    </row>
    <row r="4" spans="1:9" x14ac:dyDescent="0.35">
      <c r="H4" s="109" t="s">
        <v>191</v>
      </c>
      <c r="I4" s="110" t="s">
        <v>192</v>
      </c>
    </row>
    <row r="5" spans="1:9" x14ac:dyDescent="0.35">
      <c r="H5" s="109" t="s">
        <v>184</v>
      </c>
      <c r="I5" s="110" t="s">
        <v>185</v>
      </c>
    </row>
    <row r="6" spans="1:9" x14ac:dyDescent="0.35">
      <c r="H6" s="111" t="s">
        <v>193</v>
      </c>
      <c r="I6" s="108" t="s">
        <v>194</v>
      </c>
    </row>
    <row r="7" spans="1:9" x14ac:dyDescent="0.35">
      <c r="H7" s="111"/>
      <c r="I7" s="108"/>
    </row>
    <row r="8" spans="1:9" x14ac:dyDescent="0.35">
      <c r="B8" s="117" t="s">
        <v>198</v>
      </c>
      <c r="C8" s="119" t="s">
        <v>182</v>
      </c>
      <c r="D8" s="119" t="s">
        <v>183</v>
      </c>
      <c r="E8" s="119" t="s">
        <v>184</v>
      </c>
      <c r="F8" s="119" t="s">
        <v>184</v>
      </c>
      <c r="H8" s="111"/>
      <c r="I8" s="108"/>
    </row>
    <row r="9" spans="1:9" x14ac:dyDescent="0.35">
      <c r="B9" s="115" t="s">
        <v>1</v>
      </c>
      <c r="C9" s="116" t="s">
        <v>207</v>
      </c>
      <c r="D9" s="116" t="s">
        <v>207</v>
      </c>
      <c r="E9" s="115" t="s">
        <v>197</v>
      </c>
      <c r="F9" s="115" t="s">
        <v>165</v>
      </c>
      <c r="G9" s="115" t="s">
        <v>189</v>
      </c>
    </row>
    <row r="10" spans="1:9" x14ac:dyDescent="0.35">
      <c r="B10" s="120"/>
      <c r="C10" s="124"/>
      <c r="D10" s="124"/>
      <c r="E10" s="126"/>
      <c r="F10" s="127"/>
      <c r="G10" s="128"/>
    </row>
    <row r="11" spans="1:9" x14ac:dyDescent="0.35">
      <c r="B11" s="120" t="s">
        <v>199</v>
      </c>
      <c r="C11" s="129"/>
      <c r="D11" s="129"/>
      <c r="E11" s="130"/>
      <c r="F11" s="121"/>
      <c r="G11" s="131"/>
    </row>
    <row r="12" spans="1:9" x14ac:dyDescent="0.35">
      <c r="B12" s="120" t="s">
        <v>166</v>
      </c>
      <c r="C12" s="129"/>
      <c r="D12" s="129"/>
      <c r="E12" s="130"/>
      <c r="F12" s="121"/>
      <c r="G12" s="131"/>
    </row>
    <row r="13" spans="1:9" x14ac:dyDescent="0.35">
      <c r="B13" s="120" t="s">
        <v>200</v>
      </c>
      <c r="C13" s="129"/>
      <c r="D13" s="129"/>
      <c r="E13" s="130"/>
      <c r="F13" s="121"/>
      <c r="G13" s="131"/>
    </row>
    <row r="14" spans="1:9" x14ac:dyDescent="0.35">
      <c r="B14" s="120" t="s">
        <v>201</v>
      </c>
      <c r="C14" s="129"/>
      <c r="D14" s="129"/>
      <c r="E14" s="130"/>
      <c r="F14" s="121"/>
      <c r="G14" s="131"/>
    </row>
    <row r="15" spans="1:9" x14ac:dyDescent="0.35">
      <c r="B15" s="120"/>
      <c r="C15" s="132"/>
      <c r="D15" s="132"/>
      <c r="E15" s="133"/>
      <c r="F15" s="134"/>
      <c r="G15" s="135"/>
    </row>
    <row r="16" spans="1:9" ht="15" thickBot="1" x14ac:dyDescent="0.4">
      <c r="B16" s="125" t="s">
        <v>4</v>
      </c>
      <c r="C16" s="123"/>
      <c r="D16" s="123"/>
      <c r="E16" s="122"/>
      <c r="F16" s="122"/>
      <c r="G16" s="122"/>
    </row>
    <row r="17" spans="2:11" ht="15" thickTop="1" x14ac:dyDescent="0.35"/>
    <row r="18" spans="2:11" x14ac:dyDescent="0.35">
      <c r="B18" s="118" t="s">
        <v>167</v>
      </c>
      <c r="C18" s="119" t="s">
        <v>182</v>
      </c>
      <c r="D18" s="119" t="s">
        <v>183</v>
      </c>
      <c r="E18" s="119" t="s">
        <v>184</v>
      </c>
      <c r="F18" s="119" t="s">
        <v>184</v>
      </c>
    </row>
    <row r="19" spans="2:11" x14ac:dyDescent="0.35">
      <c r="B19" s="115" t="s">
        <v>1</v>
      </c>
      <c r="C19" s="116" t="s">
        <v>207</v>
      </c>
      <c r="D19" s="116" t="s">
        <v>207</v>
      </c>
      <c r="E19" s="115" t="s">
        <v>197</v>
      </c>
      <c r="F19" s="115" t="s">
        <v>165</v>
      </c>
      <c r="G19" s="115" t="s">
        <v>189</v>
      </c>
    </row>
    <row r="20" spans="2:11" x14ac:dyDescent="0.35">
      <c r="B20" s="142"/>
      <c r="C20" s="124"/>
      <c r="D20" s="124"/>
      <c r="E20" s="126"/>
      <c r="F20" s="127"/>
      <c r="G20" s="128"/>
    </row>
    <row r="21" spans="2:11" x14ac:dyDescent="0.35">
      <c r="B21" s="145" t="s">
        <v>202</v>
      </c>
      <c r="C21" s="143"/>
      <c r="D21" s="144"/>
      <c r="E21" s="143"/>
      <c r="F21" s="143"/>
      <c r="G21" s="143"/>
      <c r="H21" s="136"/>
      <c r="I21" s="137"/>
      <c r="J21" s="137"/>
      <c r="K21" s="138"/>
    </row>
    <row r="22" spans="2:11" x14ac:dyDescent="0.35">
      <c r="B22" s="146" t="s">
        <v>203</v>
      </c>
      <c r="C22" s="144"/>
      <c r="D22" s="144"/>
      <c r="E22" s="143"/>
      <c r="F22" s="143"/>
      <c r="G22" s="143"/>
      <c r="H22" s="136"/>
      <c r="I22" s="137"/>
      <c r="J22" s="137"/>
      <c r="K22" s="138"/>
    </row>
    <row r="23" spans="2:11" x14ac:dyDescent="0.35">
      <c r="B23" s="147"/>
      <c r="C23" s="144"/>
      <c r="D23" s="144"/>
      <c r="E23" s="143"/>
      <c r="F23" s="143"/>
      <c r="G23" s="149"/>
      <c r="H23" s="139"/>
      <c r="I23" s="137"/>
      <c r="J23" s="137"/>
      <c r="K23" s="138"/>
    </row>
    <row r="24" spans="2:11" x14ac:dyDescent="0.35">
      <c r="B24" s="144" t="s">
        <v>204</v>
      </c>
      <c r="C24" s="143"/>
      <c r="D24" s="144"/>
      <c r="E24" s="143"/>
      <c r="F24" s="143"/>
      <c r="G24" s="143"/>
      <c r="H24" s="136"/>
      <c r="I24" s="137"/>
      <c r="J24" s="137"/>
      <c r="K24" s="138"/>
    </row>
    <row r="25" spans="2:11" x14ac:dyDescent="0.35">
      <c r="B25" s="148" t="s">
        <v>206</v>
      </c>
      <c r="C25" s="144"/>
      <c r="D25" s="144"/>
      <c r="E25" s="143"/>
      <c r="F25" s="143"/>
      <c r="G25" s="143"/>
      <c r="H25" s="136"/>
      <c r="I25" s="137"/>
      <c r="J25" s="139"/>
      <c r="K25" s="140"/>
    </row>
    <row r="26" spans="2:11" x14ac:dyDescent="0.35">
      <c r="B26" s="143" t="s">
        <v>205</v>
      </c>
      <c r="C26" s="143"/>
      <c r="D26" s="143"/>
      <c r="E26" s="143"/>
      <c r="F26" s="143"/>
      <c r="G26" s="143"/>
      <c r="H26" s="136"/>
      <c r="I26" s="137"/>
      <c r="J26" s="139"/>
      <c r="K26" s="141"/>
    </row>
    <row r="27" spans="2:11" ht="15" thickBot="1" x14ac:dyDescent="0.4">
      <c r="B27" s="125" t="s">
        <v>4</v>
      </c>
      <c r="C27" s="123"/>
      <c r="D27" s="123"/>
      <c r="E27" s="122"/>
      <c r="F27" s="122"/>
      <c r="G27" s="122"/>
    </row>
    <row r="28" spans="2:11" ht="15" thickTop="1" x14ac:dyDescent="0.35"/>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244D5-D8A4-4D11-B05E-57C4A8D653A5}">
  <dimension ref="A1:I25"/>
  <sheetViews>
    <sheetView showGridLines="0" topLeftCell="A5" workbookViewId="0">
      <selection activeCell="B11" sqref="B11"/>
    </sheetView>
  </sheetViews>
  <sheetFormatPr defaultRowHeight="14.5" x14ac:dyDescent="0.35"/>
  <cols>
    <col min="2" max="2" width="54.81640625" bestFit="1" customWidth="1"/>
    <col min="3" max="3" width="27.81640625" customWidth="1"/>
    <col min="4" max="4" width="18" customWidth="1"/>
    <col min="5" max="5" width="17.90625" customWidth="1"/>
    <col min="6" max="6" width="11.7265625" customWidth="1"/>
    <col min="9" max="9" width="41.6328125" bestFit="1" customWidth="1"/>
  </cols>
  <sheetData>
    <row r="1" spans="1:9" ht="15.5" x14ac:dyDescent="0.35">
      <c r="A1" s="48" t="str">
        <f>PL!A1</f>
        <v>Client:</v>
      </c>
      <c r="H1" s="107" t="s">
        <v>190</v>
      </c>
      <c r="I1" s="108"/>
    </row>
    <row r="2" spans="1:9" ht="15.5" x14ac:dyDescent="0.35">
      <c r="A2" s="48" t="s">
        <v>196</v>
      </c>
      <c r="H2" s="109" t="s">
        <v>182</v>
      </c>
      <c r="I2" s="104" t="s">
        <v>186</v>
      </c>
    </row>
    <row r="3" spans="1:9" x14ac:dyDescent="0.35">
      <c r="H3" s="109" t="s">
        <v>183</v>
      </c>
      <c r="I3" s="104" t="s">
        <v>186</v>
      </c>
    </row>
    <row r="4" spans="1:9" x14ac:dyDescent="0.35">
      <c r="H4" s="109" t="s">
        <v>191</v>
      </c>
      <c r="I4" s="110" t="s">
        <v>192</v>
      </c>
    </row>
    <row r="5" spans="1:9" x14ac:dyDescent="0.35">
      <c r="H5" s="109" t="s">
        <v>184</v>
      </c>
      <c r="I5" s="110" t="s">
        <v>185</v>
      </c>
    </row>
    <row r="6" spans="1:9" x14ac:dyDescent="0.35">
      <c r="H6" s="111" t="s">
        <v>193</v>
      </c>
      <c r="I6" s="108" t="s">
        <v>194</v>
      </c>
    </row>
    <row r="7" spans="1:9" x14ac:dyDescent="0.35">
      <c r="H7" s="111"/>
      <c r="I7" s="108"/>
    </row>
    <row r="11" spans="1:9" x14ac:dyDescent="0.35">
      <c r="B11" s="117" t="s">
        <v>234</v>
      </c>
      <c r="C11" s="119" t="s">
        <v>182</v>
      </c>
      <c r="D11" s="119" t="s">
        <v>183</v>
      </c>
      <c r="E11" s="119" t="s">
        <v>184</v>
      </c>
      <c r="F11" s="119" t="s">
        <v>184</v>
      </c>
    </row>
    <row r="12" spans="1:9" x14ac:dyDescent="0.35">
      <c r="B12" s="115" t="s">
        <v>1</v>
      </c>
      <c r="C12" s="116" t="s">
        <v>207</v>
      </c>
      <c r="D12" s="116" t="s">
        <v>207</v>
      </c>
      <c r="E12" s="115" t="s">
        <v>197</v>
      </c>
      <c r="F12" s="115" t="s">
        <v>165</v>
      </c>
      <c r="G12" s="115" t="s">
        <v>189</v>
      </c>
    </row>
    <row r="13" spans="1:9" x14ac:dyDescent="0.35">
      <c r="B13" s="120"/>
      <c r="C13" s="124"/>
      <c r="D13" s="124"/>
      <c r="E13" s="126"/>
      <c r="F13" s="127"/>
      <c r="G13" s="128"/>
    </row>
    <row r="14" spans="1:9" x14ac:dyDescent="0.35">
      <c r="B14" s="160" t="s">
        <v>235</v>
      </c>
      <c r="C14" s="129">
        <v>83032</v>
      </c>
      <c r="D14" s="130">
        <v>0</v>
      </c>
      <c r="E14" s="1">
        <f>C14-D14</f>
        <v>83032</v>
      </c>
      <c r="F14" s="161" t="e">
        <f>E14/D14</f>
        <v>#DIV/0!</v>
      </c>
      <c r="G14" s="131"/>
    </row>
    <row r="15" spans="1:9" x14ac:dyDescent="0.35">
      <c r="B15" s="160" t="s">
        <v>236</v>
      </c>
      <c r="C15" s="129">
        <v>0</v>
      </c>
      <c r="D15" s="130">
        <v>0</v>
      </c>
      <c r="E15" s="1">
        <f t="shared" ref="E15:E22" si="0">C15-D15</f>
        <v>0</v>
      </c>
      <c r="F15" s="161" t="e">
        <f t="shared" ref="F15:F22" si="1">E15/D15</f>
        <v>#DIV/0!</v>
      </c>
      <c r="G15" s="131"/>
    </row>
    <row r="16" spans="1:9" x14ac:dyDescent="0.35">
      <c r="B16" s="160" t="s">
        <v>237</v>
      </c>
      <c r="C16" s="129">
        <v>0</v>
      </c>
      <c r="D16" s="130">
        <v>0</v>
      </c>
      <c r="E16" s="1">
        <f t="shared" si="0"/>
        <v>0</v>
      </c>
      <c r="F16" s="161" t="e">
        <f t="shared" si="1"/>
        <v>#DIV/0!</v>
      </c>
      <c r="G16" s="131"/>
    </row>
    <row r="17" spans="2:7" x14ac:dyDescent="0.35">
      <c r="B17" s="160" t="s">
        <v>238</v>
      </c>
      <c r="C17" s="129">
        <v>0</v>
      </c>
      <c r="D17" s="130">
        <v>0</v>
      </c>
      <c r="E17" s="1">
        <f t="shared" si="0"/>
        <v>0</v>
      </c>
      <c r="F17" s="161" t="e">
        <f t="shared" si="1"/>
        <v>#DIV/0!</v>
      </c>
      <c r="G17" s="131"/>
    </row>
    <row r="18" spans="2:7" x14ac:dyDescent="0.35">
      <c r="B18" s="160" t="s">
        <v>239</v>
      </c>
      <c r="C18" s="129">
        <v>217627</v>
      </c>
      <c r="D18" s="130">
        <v>188323</v>
      </c>
      <c r="E18" s="1">
        <f t="shared" si="0"/>
        <v>29304</v>
      </c>
      <c r="F18" s="161">
        <f t="shared" si="1"/>
        <v>0.15560499779633927</v>
      </c>
      <c r="G18" s="131"/>
    </row>
    <row r="19" spans="2:7" x14ac:dyDescent="0.35">
      <c r="B19" s="160" t="s">
        <v>240</v>
      </c>
      <c r="C19" s="129">
        <v>15602768</v>
      </c>
      <c r="D19" s="130">
        <v>15754938</v>
      </c>
      <c r="E19" s="1">
        <f t="shared" si="0"/>
        <v>-152170</v>
      </c>
      <c r="F19" s="161">
        <f t="shared" si="1"/>
        <v>-9.6585591133395762E-3</v>
      </c>
      <c r="G19" s="131"/>
    </row>
    <row r="20" spans="2:7" x14ac:dyDescent="0.35">
      <c r="B20" s="160" t="s">
        <v>241</v>
      </c>
      <c r="C20" s="129">
        <v>0</v>
      </c>
      <c r="D20" s="130">
        <v>128810</v>
      </c>
      <c r="E20" s="1">
        <f t="shared" si="0"/>
        <v>-128810</v>
      </c>
      <c r="F20" s="161">
        <f t="shared" si="1"/>
        <v>-1</v>
      </c>
      <c r="G20" s="131"/>
    </row>
    <row r="21" spans="2:7" x14ac:dyDescent="0.35">
      <c r="B21" s="160" t="s">
        <v>242</v>
      </c>
      <c r="C21" s="129">
        <v>0</v>
      </c>
      <c r="D21" s="130">
        <v>0</v>
      </c>
      <c r="E21" s="1">
        <f t="shared" si="0"/>
        <v>0</v>
      </c>
      <c r="F21" s="161" t="e">
        <f t="shared" si="1"/>
        <v>#DIV/0!</v>
      </c>
      <c r="G21" s="131"/>
    </row>
    <row r="22" spans="2:7" x14ac:dyDescent="0.35">
      <c r="B22" s="160" t="s">
        <v>243</v>
      </c>
      <c r="C22" s="129">
        <v>0</v>
      </c>
      <c r="D22" s="130">
        <v>20393931</v>
      </c>
      <c r="E22" s="1">
        <f t="shared" si="0"/>
        <v>-20393931</v>
      </c>
      <c r="F22" s="161">
        <f t="shared" si="1"/>
        <v>-1</v>
      </c>
      <c r="G22" s="131"/>
    </row>
    <row r="23" spans="2:7" x14ac:dyDescent="0.35">
      <c r="B23" s="120"/>
      <c r="C23" s="129"/>
      <c r="D23" s="129"/>
      <c r="E23" s="130"/>
      <c r="F23" s="121"/>
      <c r="G23" s="131"/>
    </row>
    <row r="24" spans="2:7" ht="15" thickBot="1" x14ac:dyDescent="0.4">
      <c r="B24" s="125" t="s">
        <v>4</v>
      </c>
      <c r="C24" s="123">
        <f>SUM(C14:C22)</f>
        <v>15903427</v>
      </c>
      <c r="D24" s="123">
        <f t="shared" ref="D24:E24" si="2">SUM(D14:D22)</f>
        <v>36466002</v>
      </c>
      <c r="E24" s="123">
        <f t="shared" si="2"/>
        <v>-20562575</v>
      </c>
      <c r="F24" s="122"/>
      <c r="G24" s="122"/>
    </row>
    <row r="25" spans="2:7" ht="15" thickTop="1"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250A4-CA57-4F71-953A-F78EFB2E6BAC}">
  <dimension ref="B1:H189"/>
  <sheetViews>
    <sheetView showGridLines="0" tabSelected="1" zoomScale="61" zoomScaleNormal="100" zoomScaleSheetLayoutView="80" workbookViewId="0">
      <selection activeCell="C14" sqref="C14"/>
    </sheetView>
  </sheetViews>
  <sheetFormatPr defaultColWidth="9.08984375" defaultRowHeight="15.5" zeroHeight="1" x14ac:dyDescent="0.35"/>
  <cols>
    <col min="1" max="1" width="3" style="80" bestFit="1" customWidth="1"/>
    <col min="2" max="2" width="54.36328125" style="80" customWidth="1"/>
    <col min="3" max="3" width="60" style="80" customWidth="1"/>
    <col min="4" max="4" width="21.90625" style="80" customWidth="1"/>
    <col min="5" max="5" width="26.08984375" style="80" customWidth="1"/>
    <col min="6" max="6" width="17.08984375" style="80" customWidth="1"/>
    <col min="7" max="7" width="26.26953125" style="80" customWidth="1"/>
    <col min="8" max="8" width="19.7265625" style="80" customWidth="1"/>
    <col min="9" max="9" width="41.7265625" style="80" bestFit="1" customWidth="1"/>
    <col min="10" max="13" width="27.36328125" style="80" customWidth="1"/>
    <col min="14" max="16384" width="9.08984375" style="80"/>
  </cols>
  <sheetData>
    <row r="1" spans="2:8" x14ac:dyDescent="0.35">
      <c r="B1" s="48" t="str">
        <f>BS!A1</f>
        <v>Client:</v>
      </c>
    </row>
    <row r="2" spans="2:8" x14ac:dyDescent="0.35">
      <c r="B2" s="48" t="s">
        <v>168</v>
      </c>
    </row>
    <row r="3" spans="2:8" x14ac:dyDescent="0.35">
      <c r="B3" s="48" t="s">
        <v>178</v>
      </c>
    </row>
    <row r="4" spans="2:8" x14ac:dyDescent="0.35"/>
    <row r="5" spans="2:8" x14ac:dyDescent="0.35">
      <c r="B5" s="80" t="s">
        <v>169</v>
      </c>
      <c r="H5" s="81"/>
    </row>
    <row r="6" spans="2:8" x14ac:dyDescent="0.35"/>
    <row r="7" spans="2:8" x14ac:dyDescent="0.35">
      <c r="B7" s="150" t="s">
        <v>213</v>
      </c>
      <c r="C7" s="150" t="s">
        <v>214</v>
      </c>
      <c r="D7" s="150" t="s">
        <v>215</v>
      </c>
      <c r="E7" s="150" t="s">
        <v>216</v>
      </c>
      <c r="F7" s="150" t="s">
        <v>217</v>
      </c>
      <c r="G7" s="150" t="s">
        <v>218</v>
      </c>
    </row>
    <row r="8" spans="2:8" ht="26" customHeight="1" x14ac:dyDescent="0.35">
      <c r="B8" s="151" t="s">
        <v>219</v>
      </c>
      <c r="C8" s="152" t="s">
        <v>220</v>
      </c>
      <c r="D8" s="153"/>
      <c r="E8" s="153"/>
      <c r="F8" s="154">
        <f t="shared" ref="F8:F15" si="0">IFERROR((D8-E8)/E8,0)</f>
        <v>0</v>
      </c>
      <c r="G8" s="155"/>
    </row>
    <row r="9" spans="2:8" ht="28.5" customHeight="1" x14ac:dyDescent="0.35">
      <c r="B9" s="151" t="s">
        <v>170</v>
      </c>
      <c r="C9" s="152" t="s">
        <v>221</v>
      </c>
      <c r="D9" s="153"/>
      <c r="E9" s="153"/>
      <c r="F9" s="154">
        <f t="shared" si="0"/>
        <v>0</v>
      </c>
      <c r="G9" s="155"/>
    </row>
    <row r="10" spans="2:8" ht="30.5" customHeight="1" x14ac:dyDescent="0.35">
      <c r="B10" s="151" t="s">
        <v>222</v>
      </c>
      <c r="C10" s="152" t="s">
        <v>223</v>
      </c>
      <c r="D10" s="156"/>
      <c r="E10" s="156"/>
      <c r="F10" s="154">
        <f t="shared" si="0"/>
        <v>0</v>
      </c>
      <c r="G10" s="155"/>
    </row>
    <row r="11" spans="2:8" ht="27" customHeight="1" x14ac:dyDescent="0.35">
      <c r="B11" s="151" t="s">
        <v>224</v>
      </c>
      <c r="C11" s="152" t="s">
        <v>225</v>
      </c>
      <c r="D11" s="153"/>
      <c r="E11" s="153"/>
      <c r="F11" s="154">
        <f t="shared" si="0"/>
        <v>0</v>
      </c>
      <c r="G11" s="155"/>
    </row>
    <row r="12" spans="2:8" ht="28.5" customHeight="1" x14ac:dyDescent="0.35">
      <c r="B12" s="151" t="s">
        <v>226</v>
      </c>
      <c r="C12" s="152" t="s">
        <v>227</v>
      </c>
      <c r="D12" s="154"/>
      <c r="E12" s="154"/>
      <c r="F12" s="154">
        <f t="shared" si="0"/>
        <v>0</v>
      </c>
      <c r="G12" s="155"/>
    </row>
    <row r="13" spans="2:8" ht="27" customHeight="1" x14ac:dyDescent="0.35">
      <c r="B13" s="151" t="s">
        <v>228</v>
      </c>
      <c r="C13" s="152" t="s">
        <v>229</v>
      </c>
      <c r="D13" s="154"/>
      <c r="E13" s="157"/>
      <c r="F13" s="154">
        <f t="shared" si="0"/>
        <v>0</v>
      </c>
      <c r="G13" s="155"/>
    </row>
    <row r="14" spans="2:8" ht="27.5" customHeight="1" x14ac:dyDescent="0.35">
      <c r="B14" s="151" t="s">
        <v>230</v>
      </c>
      <c r="C14" s="152" t="s">
        <v>231</v>
      </c>
      <c r="D14" s="154"/>
      <c r="E14" s="154"/>
      <c r="F14" s="154">
        <f t="shared" si="0"/>
        <v>0</v>
      </c>
      <c r="G14" s="155"/>
    </row>
    <row r="15" spans="2:8" ht="26" customHeight="1" x14ac:dyDescent="0.35">
      <c r="B15" s="151" t="s">
        <v>232</v>
      </c>
      <c r="C15" s="152" t="s">
        <v>233</v>
      </c>
      <c r="D15" s="156"/>
      <c r="E15" s="156"/>
      <c r="F15" s="154">
        <f t="shared" si="0"/>
        <v>0</v>
      </c>
      <c r="G15" s="155"/>
    </row>
    <row r="16" spans="2:8"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1" x14ac:dyDescent="0.35"/>
    <row r="32" x14ac:dyDescent="0.35"/>
    <row r="33" x14ac:dyDescent="0.35"/>
    <row r="34" x14ac:dyDescent="0.35"/>
    <row r="35" x14ac:dyDescent="0.35"/>
    <row r="45" x14ac:dyDescent="0.35"/>
    <row r="47" x14ac:dyDescent="0.35"/>
    <row r="48" x14ac:dyDescent="0.35"/>
    <row r="49" x14ac:dyDescent="0.35"/>
    <row r="50" x14ac:dyDescent="0.35"/>
    <row r="51" x14ac:dyDescent="0.35"/>
    <row r="62" x14ac:dyDescent="0.35"/>
    <row r="64" x14ac:dyDescent="0.35"/>
    <row r="65" x14ac:dyDescent="0.35"/>
    <row r="66" x14ac:dyDescent="0.35"/>
    <row r="67" x14ac:dyDescent="0.35"/>
    <row r="78" x14ac:dyDescent="0.35"/>
    <row r="93" x14ac:dyDescent="0.35"/>
    <row r="104" x14ac:dyDescent="0.35"/>
    <row r="105" x14ac:dyDescent="0.35"/>
    <row r="106" x14ac:dyDescent="0.35"/>
    <row r="107" x14ac:dyDescent="0.35"/>
    <row r="108" x14ac:dyDescent="0.35"/>
    <row r="109" x14ac:dyDescent="0.35"/>
    <row r="110" x14ac:dyDescent="0.35"/>
    <row r="111" x14ac:dyDescent="0.35"/>
    <row r="112" x14ac:dyDescent="0.35"/>
    <row r="113" x14ac:dyDescent="0.35"/>
    <row r="114" x14ac:dyDescent="0.35"/>
    <row r="115" x14ac:dyDescent="0.35"/>
    <row r="116" x14ac:dyDescent="0.35"/>
    <row r="117" x14ac:dyDescent="0.35"/>
    <row r="118" x14ac:dyDescent="0.35"/>
    <row r="119" x14ac:dyDescent="0.35"/>
    <row r="120" x14ac:dyDescent="0.35"/>
    <row r="121" x14ac:dyDescent="0.35"/>
    <row r="122" x14ac:dyDescent="0.35"/>
    <row r="123" x14ac:dyDescent="0.35"/>
    <row r="124" x14ac:dyDescent="0.35"/>
    <row r="125" x14ac:dyDescent="0.35"/>
    <row r="126" x14ac:dyDescent="0.35"/>
    <row r="127" x14ac:dyDescent="0.35"/>
    <row r="128" x14ac:dyDescent="0.35"/>
    <row r="129" x14ac:dyDescent="0.35"/>
    <row r="130" x14ac:dyDescent="0.35"/>
    <row r="131" x14ac:dyDescent="0.35"/>
    <row r="132" x14ac:dyDescent="0.35"/>
    <row r="133" x14ac:dyDescent="0.35"/>
    <row r="134" x14ac:dyDescent="0.35"/>
    <row r="135" x14ac:dyDescent="0.35"/>
    <row r="136" x14ac:dyDescent="0.35"/>
    <row r="137" x14ac:dyDescent="0.35"/>
    <row r="138" x14ac:dyDescent="0.35"/>
    <row r="139" x14ac:dyDescent="0.35"/>
    <row r="140" x14ac:dyDescent="0.35"/>
    <row r="141" x14ac:dyDescent="0.35"/>
    <row r="142" x14ac:dyDescent="0.35"/>
    <row r="143" x14ac:dyDescent="0.35"/>
    <row r="144" x14ac:dyDescent="0.35"/>
    <row r="145" x14ac:dyDescent="0.35"/>
    <row r="146" x14ac:dyDescent="0.35"/>
    <row r="147" x14ac:dyDescent="0.35"/>
    <row r="148" x14ac:dyDescent="0.35"/>
    <row r="149" x14ac:dyDescent="0.35"/>
    <row r="150" x14ac:dyDescent="0.35"/>
    <row r="151" x14ac:dyDescent="0.35"/>
    <row r="152" x14ac:dyDescent="0.35"/>
    <row r="153" x14ac:dyDescent="0.35"/>
    <row r="154" x14ac:dyDescent="0.35"/>
    <row r="155" x14ac:dyDescent="0.35"/>
    <row r="156" x14ac:dyDescent="0.35"/>
    <row r="157" x14ac:dyDescent="0.35"/>
    <row r="158" x14ac:dyDescent="0.35"/>
    <row r="159" x14ac:dyDescent="0.35"/>
    <row r="160" x14ac:dyDescent="0.35"/>
    <row r="161" x14ac:dyDescent="0.35"/>
    <row r="162" x14ac:dyDescent="0.35"/>
    <row r="163" x14ac:dyDescent="0.35"/>
    <row r="164" x14ac:dyDescent="0.35"/>
    <row r="165" x14ac:dyDescent="0.35"/>
    <row r="166" x14ac:dyDescent="0.35"/>
    <row r="167" x14ac:dyDescent="0.35"/>
    <row r="168" x14ac:dyDescent="0.35"/>
    <row r="169" x14ac:dyDescent="0.35"/>
    <row r="170" x14ac:dyDescent="0.35"/>
    <row r="171" x14ac:dyDescent="0.35"/>
    <row r="172" x14ac:dyDescent="0.35"/>
    <row r="173" x14ac:dyDescent="0.35"/>
    <row r="174" x14ac:dyDescent="0.35"/>
    <row r="175" x14ac:dyDescent="0.35"/>
    <row r="176" x14ac:dyDescent="0.35"/>
    <row r="177" x14ac:dyDescent="0.35"/>
    <row r="178" x14ac:dyDescent="0.35"/>
    <row r="179" x14ac:dyDescent="0.35"/>
    <row r="180" x14ac:dyDescent="0.35"/>
    <row r="181" x14ac:dyDescent="0.35"/>
    <row r="182" x14ac:dyDescent="0.35"/>
    <row r="183" x14ac:dyDescent="0.35"/>
    <row r="184" x14ac:dyDescent="0.35"/>
    <row r="185" x14ac:dyDescent="0.35"/>
    <row r="186" x14ac:dyDescent="0.35"/>
    <row r="187" x14ac:dyDescent="0.35"/>
    <row r="188" x14ac:dyDescent="0.35"/>
    <row r="189" x14ac:dyDescent="0.35"/>
  </sheetData>
  <pageMargins left="0.7" right="0.7" top="0.75" bottom="0.75" header="0.3" footer="0.3"/>
  <pageSetup scale="6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D222"/>
  <sheetViews>
    <sheetView workbookViewId="0">
      <selection activeCell="A201" sqref="A201"/>
    </sheetView>
  </sheetViews>
  <sheetFormatPr defaultRowHeight="14.5" x14ac:dyDescent="0.35"/>
  <cols>
    <col min="2" max="2" width="27.26953125" bestFit="1" customWidth="1"/>
    <col min="3" max="3" width="80.08984375" bestFit="1" customWidth="1"/>
    <col min="4" max="4" width="25" bestFit="1" customWidth="1"/>
    <col min="5" max="5" width="29.7265625" bestFit="1" customWidth="1"/>
    <col min="7" max="7" width="18.7265625" bestFit="1" customWidth="1"/>
  </cols>
  <sheetData>
    <row r="3" spans="2:4" x14ac:dyDescent="0.35">
      <c r="B3" t="e">
        <f>#REF!</f>
        <v>#REF!</v>
      </c>
      <c r="C3" t="s">
        <v>125</v>
      </c>
      <c r="D3" t="s">
        <v>128</v>
      </c>
    </row>
    <row r="222" spans="2:2" ht="362.5" x14ac:dyDescent="0.35">
      <c r="B222" s="14" t="s">
        <v>129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T206"/>
  <sheetViews>
    <sheetView topLeftCell="A192" workbookViewId="0">
      <selection activeCell="A7" sqref="A7"/>
    </sheetView>
  </sheetViews>
  <sheetFormatPr defaultRowHeight="14.5" x14ac:dyDescent="0.35"/>
  <cols>
    <col min="2" max="2" width="41" bestFit="1" customWidth="1"/>
    <col min="3" max="3" width="16.81640625" bestFit="1" customWidth="1"/>
    <col min="4" max="4" width="15.26953125" bestFit="1" customWidth="1"/>
    <col min="5" max="5" width="15.26953125" customWidth="1"/>
    <col min="6" max="9" width="14.26953125" bestFit="1" customWidth="1"/>
    <col min="10" max="18" width="14.26953125" customWidth="1"/>
    <col min="19" max="20" width="14.26953125" bestFit="1" customWidth="1"/>
  </cols>
  <sheetData>
    <row r="2" spans="1:20" x14ac:dyDescent="0.35">
      <c r="C2" s="8" t="s">
        <v>124</v>
      </c>
      <c r="D2" s="8" t="s">
        <v>75</v>
      </c>
      <c r="E2" s="8" t="s">
        <v>126</v>
      </c>
      <c r="F2" s="8" t="s">
        <v>74</v>
      </c>
    </row>
    <row r="3" spans="1:20" x14ac:dyDescent="0.35">
      <c r="B3" t="s">
        <v>120</v>
      </c>
      <c r="C3" s="2"/>
      <c r="D3" s="2">
        <v>294926479.88999999</v>
      </c>
      <c r="E3" s="2"/>
      <c r="F3" s="2"/>
    </row>
    <row r="4" spans="1:20" x14ac:dyDescent="0.35">
      <c r="B4" t="s">
        <v>121</v>
      </c>
      <c r="C4" s="2"/>
      <c r="D4" s="2">
        <v>18700567.070000008</v>
      </c>
      <c r="E4" s="2"/>
      <c r="F4" s="2"/>
    </row>
    <row r="5" spans="1:20" x14ac:dyDescent="0.35">
      <c r="B5" t="s">
        <v>122</v>
      </c>
      <c r="C5" s="2"/>
      <c r="D5" s="2">
        <v>2155618</v>
      </c>
      <c r="E5" s="2"/>
      <c r="F5" s="2"/>
    </row>
    <row r="6" spans="1:20" s="4" customFormat="1" x14ac:dyDescent="0.35">
      <c r="C6" s="5">
        <f>SUM(C3:C5)</f>
        <v>0</v>
      </c>
      <c r="D6" s="5">
        <f>SUM(D3:D5)</f>
        <v>315782664.95999998</v>
      </c>
      <c r="E6" s="5">
        <f t="shared" ref="E6" si="0">SUM(E3:E5)</f>
        <v>0</v>
      </c>
      <c r="F6" s="5">
        <f>SUM(F3:F5)</f>
        <v>0</v>
      </c>
    </row>
    <row r="8" spans="1:20" x14ac:dyDescent="0.35">
      <c r="A8" t="s">
        <v>9</v>
      </c>
      <c r="B8" t="s">
        <v>6</v>
      </c>
      <c r="C8" s="2">
        <v>1300000000</v>
      </c>
      <c r="D8" s="2">
        <v>1900000000</v>
      </c>
      <c r="E8" s="2">
        <v>0</v>
      </c>
      <c r="F8" s="2">
        <v>245000000</v>
      </c>
      <c r="G8" s="1"/>
      <c r="H8" s="1"/>
      <c r="I8" s="1"/>
      <c r="J8" s="1"/>
      <c r="K8" s="1"/>
      <c r="L8" s="1"/>
      <c r="M8" s="1"/>
      <c r="N8" s="1"/>
      <c r="O8" s="1"/>
      <c r="P8" s="1"/>
      <c r="Q8" s="1"/>
      <c r="R8" s="1"/>
      <c r="S8" s="1"/>
      <c r="T8" s="1"/>
    </row>
    <row r="9" spans="1:20" x14ac:dyDescent="0.35">
      <c r="A9" t="s">
        <v>9</v>
      </c>
      <c r="B9" t="s">
        <v>5</v>
      </c>
      <c r="C9" s="2">
        <v>200000000</v>
      </c>
      <c r="D9" s="2">
        <v>200000000</v>
      </c>
      <c r="E9" s="2">
        <v>200000000</v>
      </c>
      <c r="F9" s="2">
        <v>200000000</v>
      </c>
      <c r="G9" s="1"/>
      <c r="H9" s="1"/>
      <c r="I9" s="1"/>
      <c r="J9" s="1"/>
      <c r="K9" s="1"/>
      <c r="L9" s="1"/>
      <c r="M9" s="1"/>
      <c r="N9" s="1"/>
      <c r="O9" s="1"/>
      <c r="P9" s="1"/>
      <c r="Q9" s="1"/>
      <c r="R9" s="1"/>
      <c r="S9" s="1"/>
      <c r="T9" s="1"/>
    </row>
    <row r="10" spans="1:20" x14ac:dyDescent="0.35">
      <c r="A10" t="s">
        <v>9</v>
      </c>
      <c r="B10" t="s">
        <v>127</v>
      </c>
      <c r="C10" s="2">
        <v>400000000</v>
      </c>
      <c r="D10" s="2">
        <v>0</v>
      </c>
      <c r="E10" s="2">
        <v>0</v>
      </c>
      <c r="F10" s="2">
        <v>0</v>
      </c>
      <c r="G10" s="1"/>
      <c r="H10" s="1"/>
      <c r="I10" s="1"/>
      <c r="J10" s="1"/>
      <c r="K10" s="1"/>
      <c r="L10" s="1"/>
      <c r="M10" s="1"/>
      <c r="N10" s="1"/>
      <c r="O10" s="1"/>
      <c r="P10" s="1"/>
      <c r="Q10" s="1"/>
      <c r="R10" s="1"/>
      <c r="S10" s="1"/>
      <c r="T10" s="1"/>
    </row>
    <row r="11" spans="1:20" s="4" customFormat="1" x14ac:dyDescent="0.35">
      <c r="C11" s="5">
        <f>SUM(C8:C10)</f>
        <v>1900000000</v>
      </c>
      <c r="D11" s="5">
        <f t="shared" ref="D11:F11" si="1">SUM(D8:D10)</f>
        <v>2100000000</v>
      </c>
      <c r="E11" s="5">
        <f t="shared" si="1"/>
        <v>200000000</v>
      </c>
      <c r="F11" s="5">
        <f t="shared" si="1"/>
        <v>445000000</v>
      </c>
    </row>
    <row r="12" spans="1:20" x14ac:dyDescent="0.35">
      <c r="C12" s="1"/>
    </row>
    <row r="13" spans="1:20" x14ac:dyDescent="0.35">
      <c r="A13" t="s">
        <v>8</v>
      </c>
      <c r="B13" t="s">
        <v>5</v>
      </c>
      <c r="C13" s="2"/>
      <c r="D13" s="2"/>
      <c r="E13" s="2"/>
      <c r="F13" s="2"/>
    </row>
    <row r="14" spans="1:20" x14ac:dyDescent="0.35">
      <c r="A14" t="s">
        <v>8</v>
      </c>
      <c r="B14" t="s">
        <v>6</v>
      </c>
      <c r="C14" s="2"/>
      <c r="D14" s="2"/>
      <c r="E14" s="2"/>
      <c r="F14" s="2"/>
    </row>
    <row r="15" spans="1:20" x14ac:dyDescent="0.35">
      <c r="A15" t="s">
        <v>8</v>
      </c>
      <c r="C15" s="2">
        <f>SUM(C13:C14)</f>
        <v>0</v>
      </c>
      <c r="D15" s="2"/>
      <c r="E15" s="2">
        <f>SUM(E13:E14)</f>
        <v>0</v>
      </c>
      <c r="F15" s="2"/>
    </row>
    <row r="16" spans="1:20" x14ac:dyDescent="0.35">
      <c r="A16" t="s">
        <v>8</v>
      </c>
      <c r="B16" t="s">
        <v>7</v>
      </c>
      <c r="C16" s="2"/>
      <c r="D16" s="2"/>
      <c r="E16" s="2"/>
      <c r="F16" s="2"/>
    </row>
    <row r="17" spans="2:6" x14ac:dyDescent="0.35">
      <c r="C17" s="2"/>
      <c r="D17" s="2"/>
      <c r="E17" s="2"/>
      <c r="F17" s="2"/>
    </row>
    <row r="18" spans="2:6" x14ac:dyDescent="0.35">
      <c r="C18" s="2"/>
      <c r="D18" s="2"/>
      <c r="E18" s="2"/>
      <c r="F18" s="2"/>
    </row>
    <row r="19" spans="2:6" x14ac:dyDescent="0.35">
      <c r="B19" t="s">
        <v>10</v>
      </c>
      <c r="C19" s="2">
        <v>4620513308.3900003</v>
      </c>
      <c r="D19" s="2"/>
      <c r="E19" s="2">
        <v>4541574925.0597591</v>
      </c>
      <c r="F19" s="2"/>
    </row>
    <row r="20" spans="2:6" x14ac:dyDescent="0.35">
      <c r="B20" t="s">
        <v>11</v>
      </c>
      <c r="C20" s="2">
        <v>829678574.73000002</v>
      </c>
      <c r="D20" s="2"/>
      <c r="E20" s="2">
        <v>210563622.74000001</v>
      </c>
      <c r="F20" s="2"/>
    </row>
    <row r="21" spans="2:6" x14ac:dyDescent="0.35">
      <c r="B21" t="s">
        <v>123</v>
      </c>
      <c r="C21" s="2">
        <v>121652858.87649193</v>
      </c>
      <c r="D21" s="2"/>
      <c r="E21" s="2">
        <v>85437100.866733477</v>
      </c>
      <c r="F21" s="2"/>
    </row>
    <row r="22" spans="2:6" x14ac:dyDescent="0.35">
      <c r="C22" s="2">
        <f>SUM(C19:C21)</f>
        <v>5571844741.9964924</v>
      </c>
      <c r="D22" s="2"/>
      <c r="E22" s="2">
        <f>SUM(E19:E21)</f>
        <v>4837575648.6664925</v>
      </c>
      <c r="F22" s="2"/>
    </row>
    <row r="23" spans="2:6" x14ac:dyDescent="0.35">
      <c r="C23" s="2"/>
      <c r="D23" s="2"/>
      <c r="E23" s="2"/>
      <c r="F23" s="2"/>
    </row>
    <row r="24" spans="2:6" x14ac:dyDescent="0.35">
      <c r="C24" s="2"/>
      <c r="D24" s="2"/>
      <c r="E24" s="2"/>
      <c r="F24" s="2"/>
    </row>
    <row r="25" spans="2:6" x14ac:dyDescent="0.35">
      <c r="B25" t="s">
        <v>12</v>
      </c>
      <c r="C25" s="2">
        <v>27847516</v>
      </c>
      <c r="D25" s="2"/>
      <c r="E25" s="2">
        <v>44092943</v>
      </c>
      <c r="F25" s="2"/>
    </row>
    <row r="26" spans="2:6" x14ac:dyDescent="0.35">
      <c r="B26" t="s">
        <v>16</v>
      </c>
      <c r="C26" s="2">
        <v>902002</v>
      </c>
      <c r="D26" s="2"/>
      <c r="E26" s="2">
        <v>1538047</v>
      </c>
      <c r="F26" s="2"/>
    </row>
    <row r="27" spans="2:6" x14ac:dyDescent="0.35">
      <c r="B27" t="s">
        <v>17</v>
      </c>
      <c r="C27" s="2">
        <v>251623</v>
      </c>
      <c r="D27" s="2"/>
      <c r="E27" s="2">
        <v>245095</v>
      </c>
      <c r="F27" s="2"/>
    </row>
    <row r="28" spans="2:6" s="4" customFormat="1" x14ac:dyDescent="0.35">
      <c r="C28" s="3">
        <f>SUM(C25:C27)</f>
        <v>29001141</v>
      </c>
      <c r="D28" s="3"/>
      <c r="E28" s="3">
        <f>SUM(E25:E27)</f>
        <v>45876085</v>
      </c>
      <c r="F28" s="3"/>
    </row>
    <row r="29" spans="2:6" x14ac:dyDescent="0.35">
      <c r="B29" t="s">
        <v>13</v>
      </c>
      <c r="C29" s="2">
        <v>369447.64</v>
      </c>
      <c r="D29" s="2"/>
      <c r="E29" s="2">
        <v>628464.84</v>
      </c>
      <c r="F29" s="2"/>
    </row>
    <row r="30" spans="2:6" x14ac:dyDescent="0.35">
      <c r="B30" t="s">
        <v>14</v>
      </c>
      <c r="C30" s="2">
        <v>7301670.5599999996</v>
      </c>
      <c r="D30" s="2"/>
      <c r="E30" s="2">
        <v>8151665.8099999996</v>
      </c>
      <c r="F30" s="2"/>
    </row>
    <row r="31" spans="2:6" x14ac:dyDescent="0.35">
      <c r="B31" t="s">
        <v>15</v>
      </c>
      <c r="C31" s="2">
        <v>4482133.45</v>
      </c>
      <c r="D31" s="2"/>
      <c r="E31" s="2">
        <v>7837067.4799999995</v>
      </c>
      <c r="F31" s="2"/>
    </row>
    <row r="32" spans="2:6" s="4" customFormat="1" x14ac:dyDescent="0.35">
      <c r="C32" s="3">
        <f>SUM(C29:C31)</f>
        <v>12153251.649999999</v>
      </c>
      <c r="D32" s="3"/>
      <c r="E32" s="3">
        <f>SUM(E29:E31)</f>
        <v>16617198.129999999</v>
      </c>
      <c r="F32" s="3"/>
    </row>
    <row r="33" spans="2:20" x14ac:dyDescent="0.35">
      <c r="C33" s="2"/>
      <c r="D33" s="2"/>
      <c r="E33" s="2"/>
      <c r="F33" s="2"/>
    </row>
    <row r="34" spans="2:20" x14ac:dyDescent="0.35">
      <c r="C34" s="2">
        <f>SUM(C35:C39)</f>
        <v>9987221.1099999994</v>
      </c>
      <c r="D34" s="2"/>
      <c r="E34" s="2">
        <f>SUM(E35:E39)</f>
        <v>55095897.380000003</v>
      </c>
      <c r="F34" s="2"/>
    </row>
    <row r="35" spans="2:20" x14ac:dyDescent="0.35">
      <c r="B35" t="s">
        <v>33</v>
      </c>
      <c r="C35" s="2">
        <f>C44+C43</f>
        <v>0</v>
      </c>
      <c r="D35" s="2"/>
      <c r="E35" s="2">
        <f>E44+E43</f>
        <v>2885108.33</v>
      </c>
      <c r="F35" s="2"/>
    </row>
    <row r="36" spans="2:20" x14ac:dyDescent="0.35">
      <c r="B36" t="s">
        <v>34</v>
      </c>
      <c r="C36" s="2">
        <f>C46+C45+C49+C47+C48</f>
        <v>4386895.24</v>
      </c>
      <c r="D36" s="2"/>
      <c r="E36" s="2">
        <f>E46+E45+E49+E47+E48</f>
        <v>41981508.75</v>
      </c>
      <c r="F36" s="2"/>
    </row>
    <row r="37" spans="2:20" x14ac:dyDescent="0.35">
      <c r="B37" t="s">
        <v>31</v>
      </c>
      <c r="C37" s="2">
        <f>C42+C41</f>
        <v>2912395</v>
      </c>
      <c r="D37" s="2"/>
      <c r="E37" s="2">
        <f>E42+E41</f>
        <v>4230088.9800000004</v>
      </c>
      <c r="F37" s="2"/>
    </row>
    <row r="38" spans="2:20" x14ac:dyDescent="0.35">
      <c r="B38" t="s">
        <v>32</v>
      </c>
      <c r="C38" s="2">
        <f>C53+C52+C51+C50</f>
        <v>2687930.87</v>
      </c>
      <c r="D38" s="2"/>
      <c r="E38" s="2">
        <f>E53+E52+E51+E50</f>
        <v>5999191.3200000003</v>
      </c>
      <c r="F38" s="2"/>
    </row>
    <row r="39" spans="2:20" x14ac:dyDescent="0.35">
      <c r="C39" s="2"/>
      <c r="D39" s="2"/>
      <c r="E39" s="2"/>
      <c r="F39" s="2"/>
    </row>
    <row r="40" spans="2:20" x14ac:dyDescent="0.35">
      <c r="C40" s="2"/>
      <c r="D40" s="2"/>
      <c r="E40" s="2"/>
      <c r="F40" s="2"/>
    </row>
    <row r="41" spans="2:20" x14ac:dyDescent="0.35">
      <c r="B41" t="s">
        <v>18</v>
      </c>
      <c r="C41" s="7">
        <v>0</v>
      </c>
      <c r="D41" s="7"/>
      <c r="E41" s="7">
        <v>239064</v>
      </c>
      <c r="F41" s="2"/>
      <c r="G41" s="2"/>
      <c r="H41" s="2"/>
      <c r="I41" s="2"/>
      <c r="J41" s="2"/>
      <c r="K41" s="2"/>
      <c r="L41" s="2"/>
      <c r="M41" s="2"/>
      <c r="N41" s="2"/>
      <c r="O41" s="2"/>
      <c r="P41" s="2"/>
      <c r="Q41" s="2"/>
      <c r="R41" s="2"/>
      <c r="S41" s="2"/>
      <c r="T41" s="2"/>
    </row>
    <row r="42" spans="2:20" x14ac:dyDescent="0.35">
      <c r="B42" t="s">
        <v>19</v>
      </c>
      <c r="C42" s="7">
        <v>2912395</v>
      </c>
      <c r="D42" s="7"/>
      <c r="E42" s="7">
        <v>3991024.98</v>
      </c>
      <c r="F42" s="2"/>
      <c r="G42" s="2"/>
      <c r="H42" s="2"/>
      <c r="I42" s="2"/>
      <c r="J42" s="2"/>
      <c r="K42" s="2"/>
      <c r="L42" s="2"/>
      <c r="M42" s="2"/>
      <c r="N42" s="2"/>
      <c r="O42" s="2"/>
      <c r="P42" s="2"/>
      <c r="Q42" s="2"/>
      <c r="R42" s="2"/>
      <c r="S42" s="2"/>
      <c r="T42" s="2"/>
    </row>
    <row r="43" spans="2:20" x14ac:dyDescent="0.35">
      <c r="B43" t="s">
        <v>20</v>
      </c>
      <c r="C43" s="7">
        <v>0</v>
      </c>
      <c r="D43" s="7"/>
      <c r="E43" s="7">
        <v>723922</v>
      </c>
      <c r="F43" s="2"/>
      <c r="G43" s="2"/>
      <c r="H43" s="2"/>
      <c r="I43" s="2"/>
      <c r="J43" s="2"/>
      <c r="K43" s="2"/>
      <c r="L43" s="2"/>
      <c r="M43" s="2"/>
      <c r="N43" s="2"/>
      <c r="O43" s="2"/>
      <c r="P43" s="2"/>
      <c r="Q43" s="2"/>
      <c r="R43" s="2"/>
      <c r="S43" s="2"/>
      <c r="T43" s="2"/>
    </row>
    <row r="44" spans="2:20" x14ac:dyDescent="0.35">
      <c r="B44" t="s">
        <v>21</v>
      </c>
      <c r="C44" s="7">
        <v>0</v>
      </c>
      <c r="D44" s="7"/>
      <c r="E44" s="7">
        <v>2161186.33</v>
      </c>
      <c r="F44" s="2"/>
      <c r="G44" s="2"/>
      <c r="H44" s="2"/>
      <c r="I44" s="2"/>
      <c r="J44" s="2"/>
      <c r="K44" s="2"/>
      <c r="L44" s="2"/>
      <c r="M44" s="2"/>
      <c r="N44" s="2"/>
      <c r="O44" s="2"/>
      <c r="P44" s="2"/>
      <c r="Q44" s="2"/>
      <c r="R44" s="2"/>
      <c r="S44" s="2"/>
      <c r="T44" s="2"/>
    </row>
    <row r="45" spans="2:20" x14ac:dyDescent="0.35">
      <c r="B45" t="s">
        <v>22</v>
      </c>
      <c r="C45" s="7">
        <v>285041.65000000002</v>
      </c>
      <c r="D45" s="7"/>
      <c r="E45" s="7">
        <v>13407572.07</v>
      </c>
      <c r="F45" s="2"/>
      <c r="G45" s="2"/>
      <c r="H45" s="2"/>
      <c r="I45" s="2"/>
      <c r="J45" s="2"/>
      <c r="K45" s="2"/>
      <c r="L45" s="2"/>
      <c r="M45" s="2"/>
      <c r="N45" s="2"/>
      <c r="O45" s="2"/>
      <c r="P45" s="2"/>
      <c r="Q45" s="2"/>
      <c r="R45" s="2"/>
      <c r="S45" s="2"/>
      <c r="T45" s="2"/>
    </row>
    <row r="46" spans="2:20" x14ac:dyDescent="0.35">
      <c r="B46" t="s">
        <v>23</v>
      </c>
      <c r="C46" s="7">
        <v>1290028</v>
      </c>
      <c r="D46" s="7"/>
      <c r="E46" s="7">
        <v>9000370.5</v>
      </c>
      <c r="F46" s="2"/>
      <c r="G46" s="2"/>
      <c r="H46" s="2"/>
      <c r="I46" s="2"/>
      <c r="J46" s="2"/>
      <c r="K46" s="2"/>
      <c r="L46" s="2"/>
      <c r="M46" s="2"/>
      <c r="N46" s="2"/>
      <c r="O46" s="2"/>
      <c r="P46" s="2"/>
      <c r="Q46" s="2"/>
      <c r="R46" s="2"/>
      <c r="S46" s="2"/>
      <c r="T46" s="2"/>
    </row>
    <row r="47" spans="2:20" x14ac:dyDescent="0.35">
      <c r="B47" t="s">
        <v>24</v>
      </c>
      <c r="C47" s="7">
        <v>794999.52</v>
      </c>
      <c r="D47" s="7"/>
      <c r="E47" s="7">
        <v>11330556.640000001</v>
      </c>
      <c r="F47" s="2"/>
      <c r="G47" s="2"/>
      <c r="H47" s="2"/>
      <c r="I47" s="2"/>
      <c r="J47" s="2"/>
      <c r="K47" s="2"/>
      <c r="L47" s="2"/>
      <c r="M47" s="2"/>
      <c r="N47" s="2"/>
      <c r="O47" s="2"/>
      <c r="P47" s="2"/>
      <c r="Q47" s="2"/>
      <c r="R47" s="2"/>
      <c r="S47" s="2"/>
      <c r="T47" s="2"/>
    </row>
    <row r="48" spans="2:20" x14ac:dyDescent="0.35">
      <c r="B48" t="s">
        <v>25</v>
      </c>
      <c r="C48" s="7">
        <v>1598409.88</v>
      </c>
      <c r="D48" s="7"/>
      <c r="E48" s="7">
        <v>7203478.0899999999</v>
      </c>
      <c r="F48" s="2"/>
      <c r="G48" s="2"/>
      <c r="H48" s="2"/>
      <c r="I48" s="2"/>
      <c r="J48" s="2"/>
      <c r="K48" s="2"/>
      <c r="L48" s="2"/>
      <c r="M48" s="2"/>
      <c r="N48" s="2"/>
      <c r="O48" s="2"/>
      <c r="P48" s="2"/>
      <c r="Q48" s="2"/>
      <c r="R48" s="2"/>
      <c r="S48" s="2"/>
      <c r="T48" s="2"/>
    </row>
    <row r="49" spans="2:20" x14ac:dyDescent="0.35">
      <c r="B49" t="s">
        <v>26</v>
      </c>
      <c r="C49" s="7">
        <v>418416.19000000006</v>
      </c>
      <c r="D49" s="7"/>
      <c r="E49" s="7">
        <v>1039531.45</v>
      </c>
      <c r="F49" s="2"/>
      <c r="G49" s="2"/>
      <c r="H49" s="2"/>
      <c r="I49" s="2"/>
      <c r="J49" s="2"/>
      <c r="K49" s="2"/>
      <c r="L49" s="2"/>
      <c r="M49" s="2"/>
      <c r="N49" s="2"/>
      <c r="O49" s="2"/>
      <c r="P49" s="2"/>
      <c r="Q49" s="2"/>
      <c r="R49" s="2"/>
      <c r="S49" s="2"/>
      <c r="T49" s="2"/>
    </row>
    <row r="50" spans="2:20" x14ac:dyDescent="0.35">
      <c r="B50" t="s">
        <v>27</v>
      </c>
      <c r="C50" s="7">
        <v>0</v>
      </c>
      <c r="D50" s="7"/>
      <c r="E50" s="7">
        <v>21335</v>
      </c>
      <c r="F50" s="2"/>
      <c r="G50" s="2"/>
      <c r="H50" s="2"/>
      <c r="I50" s="2"/>
      <c r="J50" s="2"/>
      <c r="K50" s="2"/>
      <c r="L50" s="2"/>
      <c r="M50" s="2"/>
      <c r="N50" s="2"/>
      <c r="O50" s="2"/>
      <c r="P50" s="2"/>
      <c r="Q50" s="2"/>
      <c r="R50" s="2"/>
      <c r="S50" s="2"/>
      <c r="T50" s="2"/>
    </row>
    <row r="51" spans="2:20" x14ac:dyDescent="0.35">
      <c r="B51" t="s">
        <v>28</v>
      </c>
      <c r="C51" s="7">
        <v>604753.42000000004</v>
      </c>
      <c r="D51" s="7"/>
      <c r="E51" s="7">
        <v>1840763</v>
      </c>
      <c r="F51" s="2"/>
      <c r="G51" s="2"/>
      <c r="H51" s="2"/>
      <c r="I51" s="2"/>
      <c r="J51" s="2"/>
      <c r="K51" s="2"/>
      <c r="L51" s="2"/>
      <c r="M51" s="2"/>
      <c r="N51" s="2"/>
      <c r="O51" s="2"/>
      <c r="P51" s="2"/>
      <c r="Q51" s="2"/>
      <c r="R51" s="2"/>
      <c r="S51" s="2"/>
      <c r="T51" s="2"/>
    </row>
    <row r="52" spans="2:20" x14ac:dyDescent="0.35">
      <c r="B52" t="s">
        <v>29</v>
      </c>
      <c r="C52" s="7">
        <v>462547</v>
      </c>
      <c r="D52" s="7"/>
      <c r="E52" s="7">
        <v>1151267</v>
      </c>
      <c r="F52" s="2"/>
      <c r="G52" s="2"/>
      <c r="H52" s="2"/>
      <c r="I52" s="2"/>
      <c r="J52" s="2"/>
      <c r="K52" s="2"/>
      <c r="L52" s="2"/>
      <c r="M52" s="2"/>
      <c r="N52" s="2"/>
      <c r="O52" s="2"/>
      <c r="P52" s="2"/>
      <c r="Q52" s="2"/>
      <c r="R52" s="2"/>
      <c r="S52" s="2"/>
      <c r="T52" s="2"/>
    </row>
    <row r="53" spans="2:20" x14ac:dyDescent="0.35">
      <c r="B53" t="s">
        <v>30</v>
      </c>
      <c r="C53" s="7">
        <v>1620630.45</v>
      </c>
      <c r="D53" s="7"/>
      <c r="E53" s="7">
        <v>2985826.32</v>
      </c>
      <c r="F53" s="2"/>
      <c r="G53" s="2"/>
      <c r="H53" s="2"/>
      <c r="I53" s="2"/>
      <c r="J53" s="2"/>
      <c r="K53" s="2"/>
      <c r="L53" s="2"/>
      <c r="M53" s="2"/>
      <c r="N53" s="2"/>
      <c r="O53" s="2"/>
      <c r="P53" s="2"/>
      <c r="Q53" s="2"/>
      <c r="R53" s="2"/>
      <c r="S53" s="2"/>
      <c r="T53" s="2"/>
    </row>
    <row r="54" spans="2:20" s="4" customFormat="1" x14ac:dyDescent="0.35">
      <c r="C54" s="3">
        <f>SUM(C41:C53)</f>
        <v>9987221.1099999994</v>
      </c>
      <c r="D54" s="3"/>
      <c r="E54" s="6">
        <f>SUM(E41:E53)</f>
        <v>55095897.380000003</v>
      </c>
      <c r="F54" s="3"/>
      <c r="G54" s="3"/>
      <c r="H54" s="3"/>
      <c r="I54" s="3"/>
      <c r="J54" s="3"/>
      <c r="K54" s="3"/>
      <c r="L54" s="3"/>
      <c r="M54" s="3"/>
      <c r="N54" s="3"/>
      <c r="O54" s="3"/>
      <c r="P54" s="3"/>
      <c r="Q54" s="3"/>
      <c r="R54" s="3"/>
      <c r="S54" s="3"/>
      <c r="T54" s="3"/>
    </row>
    <row r="55" spans="2:20" s="4" customFormat="1" x14ac:dyDescent="0.35">
      <c r="C55" s="3"/>
      <c r="D55" s="3"/>
      <c r="E55" s="6"/>
      <c r="F55" s="3"/>
      <c r="G55" s="3"/>
      <c r="H55" s="3"/>
      <c r="I55" s="3"/>
      <c r="J55" s="3"/>
      <c r="K55" s="3"/>
      <c r="L55" s="3"/>
      <c r="M55" s="3"/>
      <c r="N55" s="3"/>
      <c r="O55" s="3"/>
      <c r="P55" s="3"/>
      <c r="Q55" s="3"/>
      <c r="R55" s="3"/>
      <c r="S55" s="3"/>
      <c r="T55" s="3"/>
    </row>
    <row r="56" spans="2:20" s="4" customFormat="1" x14ac:dyDescent="0.35">
      <c r="B56" s="4" t="s">
        <v>51</v>
      </c>
      <c r="C56" s="3">
        <f>SUM(C63:C65)</f>
        <v>13100233.83</v>
      </c>
      <c r="D56" s="3"/>
      <c r="E56" s="3">
        <f>SUM(E63:E65)</f>
        <v>10896758.459999999</v>
      </c>
      <c r="F56" s="3"/>
      <c r="G56" s="3"/>
      <c r="H56" s="3"/>
      <c r="I56" s="3"/>
      <c r="J56" s="3"/>
      <c r="K56" s="3"/>
      <c r="L56" s="3"/>
      <c r="M56" s="3"/>
      <c r="N56" s="3"/>
      <c r="O56" s="3"/>
      <c r="P56" s="3"/>
      <c r="Q56" s="3"/>
      <c r="R56" s="3"/>
      <c r="S56" s="3"/>
      <c r="T56" s="3"/>
    </row>
    <row r="57" spans="2:20" s="4" customFormat="1" x14ac:dyDescent="0.35">
      <c r="B57" s="4" t="s">
        <v>52</v>
      </c>
      <c r="C57" s="3">
        <f>SUM(C66:C74)+C61</f>
        <v>65905043.570000008</v>
      </c>
      <c r="D57" s="3"/>
      <c r="E57" s="3">
        <f>SUM(E66:E74)+E61</f>
        <v>167705643.84</v>
      </c>
      <c r="F57" s="3"/>
      <c r="G57" s="3"/>
      <c r="H57" s="3"/>
      <c r="I57" s="3"/>
      <c r="J57" s="3"/>
      <c r="K57" s="3"/>
      <c r="L57" s="3"/>
      <c r="M57" s="3"/>
      <c r="N57" s="3"/>
      <c r="O57" s="3"/>
      <c r="P57" s="3"/>
      <c r="Q57" s="3"/>
      <c r="R57" s="3"/>
      <c r="S57" s="3"/>
      <c r="T57" s="3"/>
    </row>
    <row r="58" spans="2:20" s="4" customFormat="1" x14ac:dyDescent="0.35">
      <c r="B58" s="4" t="s">
        <v>53</v>
      </c>
      <c r="C58" s="3">
        <f>SUM(C75:C77)+C62</f>
        <v>26581356.190000001</v>
      </c>
      <c r="D58" s="3"/>
      <c r="E58" s="3">
        <f>SUM(E75:E77)+E62</f>
        <v>46149214</v>
      </c>
      <c r="F58" s="3"/>
      <c r="G58" s="3"/>
      <c r="H58" s="3"/>
      <c r="I58" s="3"/>
      <c r="J58" s="3"/>
      <c r="K58" s="3"/>
      <c r="L58" s="3"/>
      <c r="M58" s="3"/>
      <c r="N58" s="3"/>
      <c r="O58" s="3"/>
      <c r="P58" s="3"/>
      <c r="Q58" s="3"/>
      <c r="R58" s="3"/>
      <c r="S58" s="3"/>
      <c r="T58" s="3"/>
    </row>
    <row r="59" spans="2:20" x14ac:dyDescent="0.35">
      <c r="C59" s="2"/>
      <c r="D59" s="2"/>
      <c r="E59" s="7"/>
      <c r="F59" s="2"/>
      <c r="G59" s="2"/>
      <c r="H59" s="2"/>
      <c r="I59" s="2"/>
      <c r="J59" s="2"/>
      <c r="K59" s="2"/>
      <c r="L59" s="2"/>
      <c r="M59" s="2"/>
      <c r="N59" s="2"/>
      <c r="O59" s="2"/>
      <c r="P59" s="2"/>
      <c r="Q59" s="2"/>
      <c r="R59" s="2"/>
      <c r="S59" s="2"/>
      <c r="T59" s="2"/>
    </row>
    <row r="61" spans="2:20" x14ac:dyDescent="0.35">
      <c r="B61" t="s">
        <v>76</v>
      </c>
      <c r="C61" s="2">
        <v>0</v>
      </c>
      <c r="D61" s="2"/>
      <c r="E61" s="2">
        <v>93131.5</v>
      </c>
    </row>
    <row r="62" spans="2:20" x14ac:dyDescent="0.35">
      <c r="B62" t="s">
        <v>35</v>
      </c>
      <c r="C62" s="2">
        <v>12633358.5</v>
      </c>
      <c r="D62" s="2"/>
      <c r="E62" s="2">
        <v>22722190.119999997</v>
      </c>
    </row>
    <row r="63" spans="2:20" x14ac:dyDescent="0.35">
      <c r="B63" t="s">
        <v>36</v>
      </c>
      <c r="C63" s="2">
        <v>4147557.39</v>
      </c>
      <c r="D63" s="2"/>
      <c r="E63" s="2">
        <v>1630793.59</v>
      </c>
    </row>
    <row r="64" spans="2:20" x14ac:dyDescent="0.35">
      <c r="B64" t="s">
        <v>37</v>
      </c>
      <c r="C64" s="2">
        <v>8356359.5</v>
      </c>
      <c r="D64" s="2"/>
      <c r="E64" s="2">
        <v>5660676.7999999998</v>
      </c>
    </row>
    <row r="65" spans="2:5" x14ac:dyDescent="0.35">
      <c r="B65" t="s">
        <v>38</v>
      </c>
      <c r="C65" s="2">
        <v>596316.93999999994</v>
      </c>
      <c r="D65" s="2"/>
      <c r="E65" s="2">
        <v>3605288.07</v>
      </c>
    </row>
    <row r="66" spans="2:5" x14ac:dyDescent="0.35">
      <c r="B66" t="s">
        <v>39</v>
      </c>
      <c r="C66" s="2">
        <v>214600</v>
      </c>
      <c r="D66" s="2"/>
      <c r="E66" s="2">
        <v>1643452</v>
      </c>
    </row>
    <row r="67" spans="2:5" x14ac:dyDescent="0.35">
      <c r="B67" t="s">
        <v>40</v>
      </c>
      <c r="C67" s="2">
        <v>2836136.87</v>
      </c>
      <c r="D67" s="2"/>
      <c r="E67" s="2">
        <v>10186958.710000001</v>
      </c>
    </row>
    <row r="68" spans="2:5" x14ac:dyDescent="0.35">
      <c r="B68" t="s">
        <v>41</v>
      </c>
      <c r="C68" s="2">
        <v>189243.62</v>
      </c>
      <c r="D68" s="2"/>
      <c r="E68" s="2">
        <v>552188.46</v>
      </c>
    </row>
    <row r="69" spans="2:5" x14ac:dyDescent="0.35">
      <c r="B69" t="s">
        <v>42</v>
      </c>
      <c r="C69" s="2">
        <v>532431.53</v>
      </c>
      <c r="D69" s="2"/>
      <c r="E69" s="2">
        <v>2790742.01</v>
      </c>
    </row>
    <row r="70" spans="2:5" x14ac:dyDescent="0.35">
      <c r="B70" t="s">
        <v>43</v>
      </c>
      <c r="C70" s="2">
        <v>467680</v>
      </c>
      <c r="D70" s="2"/>
      <c r="E70" s="2">
        <v>399799</v>
      </c>
    </row>
    <row r="71" spans="2:5" x14ac:dyDescent="0.35">
      <c r="B71" t="s">
        <v>44</v>
      </c>
      <c r="C71" s="2">
        <v>47414670.270000003</v>
      </c>
      <c r="D71" s="2"/>
      <c r="E71" s="2">
        <v>112542890.75</v>
      </c>
    </row>
    <row r="72" spans="2:5" x14ac:dyDescent="0.35">
      <c r="B72" t="s">
        <v>45</v>
      </c>
      <c r="C72" s="2">
        <v>648303.21</v>
      </c>
      <c r="D72" s="2"/>
      <c r="E72" s="2">
        <v>664492.6</v>
      </c>
    </row>
    <row r="73" spans="2:5" x14ac:dyDescent="0.35">
      <c r="B73" t="s">
        <v>46</v>
      </c>
      <c r="C73" s="2">
        <v>13385978.07</v>
      </c>
      <c r="D73" s="2"/>
      <c r="E73" s="2">
        <v>38527428.810000002</v>
      </c>
    </row>
    <row r="74" spans="2:5" x14ac:dyDescent="0.35">
      <c r="B74" t="s">
        <v>47</v>
      </c>
      <c r="C74" s="2">
        <v>216000</v>
      </c>
      <c r="D74" s="2"/>
      <c r="E74" s="2">
        <v>304560</v>
      </c>
    </row>
    <row r="75" spans="2:5" x14ac:dyDescent="0.35">
      <c r="B75" t="s">
        <v>48</v>
      </c>
      <c r="C75" s="2">
        <v>12442342.550000001</v>
      </c>
      <c r="D75" s="2"/>
      <c r="E75" s="2">
        <v>19924830.309999999</v>
      </c>
    </row>
    <row r="76" spans="2:5" x14ac:dyDescent="0.35">
      <c r="B76" t="s">
        <v>49</v>
      </c>
      <c r="C76" s="2">
        <v>449467.6</v>
      </c>
      <c r="D76" s="2"/>
      <c r="E76" s="2">
        <v>524718.78</v>
      </c>
    </row>
    <row r="77" spans="2:5" x14ac:dyDescent="0.35">
      <c r="B77" t="s">
        <v>50</v>
      </c>
      <c r="C77" s="2">
        <v>1056187.54</v>
      </c>
      <c r="D77" s="2"/>
      <c r="E77" s="2">
        <v>2977474.79</v>
      </c>
    </row>
    <row r="78" spans="2:5" x14ac:dyDescent="0.35">
      <c r="C78" s="1"/>
    </row>
    <row r="79" spans="2:5" x14ac:dyDescent="0.35">
      <c r="B79" t="s">
        <v>57</v>
      </c>
    </row>
    <row r="81" spans="2:5" ht="15" thickBot="1" x14ac:dyDescent="0.4"/>
    <row r="82" spans="2:5" ht="16" thickBot="1" x14ac:dyDescent="0.4">
      <c r="B82" s="9" t="s">
        <v>60</v>
      </c>
      <c r="C82" s="10">
        <f>59.29</f>
        <v>59.29</v>
      </c>
      <c r="D82">
        <v>56.2</v>
      </c>
    </row>
    <row r="83" spans="2:5" ht="16" thickBot="1" x14ac:dyDescent="0.4">
      <c r="B83" s="11" t="s">
        <v>61</v>
      </c>
      <c r="C83" s="12">
        <f>59.3</f>
        <v>59.3</v>
      </c>
      <c r="D83">
        <v>57.93</v>
      </c>
    </row>
    <row r="84" spans="2:5" ht="16" thickBot="1" x14ac:dyDescent="0.4">
      <c r="B84" s="11" t="s">
        <v>59</v>
      </c>
      <c r="C84" s="12">
        <f>62.03</f>
        <v>62.03</v>
      </c>
      <c r="D84">
        <f>62.98</f>
        <v>62.98</v>
      </c>
    </row>
    <row r="85" spans="2:5" ht="16" thickBot="1" x14ac:dyDescent="0.4">
      <c r="B85" s="11" t="s">
        <v>58</v>
      </c>
      <c r="C85" s="12">
        <f>71.98</f>
        <v>71.98</v>
      </c>
      <c r="D85">
        <f>61.11</f>
        <v>61.11</v>
      </c>
    </row>
    <row r="86" spans="2:5" x14ac:dyDescent="0.35">
      <c r="C86">
        <f>AVERAGE(C82:C85)</f>
        <v>63.150000000000006</v>
      </c>
      <c r="D86">
        <f>AVERAGE(D82:D85)</f>
        <v>59.554999999999993</v>
      </c>
    </row>
    <row r="88" spans="2:5" x14ac:dyDescent="0.35">
      <c r="B88" t="s">
        <v>62</v>
      </c>
    </row>
    <row r="89" spans="2:5" x14ac:dyDescent="0.35">
      <c r="B89" t="s">
        <v>63</v>
      </c>
    </row>
    <row r="90" spans="2:5" x14ac:dyDescent="0.35">
      <c r="B90" t="s">
        <v>64</v>
      </c>
    </row>
    <row r="91" spans="2:5" x14ac:dyDescent="0.35">
      <c r="B91" t="s">
        <v>65</v>
      </c>
    </row>
    <row r="92" spans="2:5" x14ac:dyDescent="0.35">
      <c r="B92" t="s">
        <v>66</v>
      </c>
    </row>
    <row r="93" spans="2:5" x14ac:dyDescent="0.35">
      <c r="C93">
        <f>SUM(C89:C92)</f>
        <v>0</v>
      </c>
      <c r="E93">
        <f>SUM(E89:E92)</f>
        <v>0</v>
      </c>
    </row>
    <row r="98" spans="2:6" x14ac:dyDescent="0.35">
      <c r="C98">
        <f>SUM(C95:C97)</f>
        <v>0</v>
      </c>
      <c r="E98">
        <f>E93</f>
        <v>0</v>
      </c>
    </row>
    <row r="101" spans="2:6" x14ac:dyDescent="0.35">
      <c r="B101" t="s">
        <v>70</v>
      </c>
      <c r="C101" s="2"/>
      <c r="D101" s="2"/>
      <c r="E101" s="2"/>
      <c r="F101" s="1">
        <f>C101-E101</f>
        <v>0</v>
      </c>
    </row>
    <row r="102" spans="2:6" x14ac:dyDescent="0.35">
      <c r="B102" t="s">
        <v>71</v>
      </c>
      <c r="C102" s="2"/>
      <c r="D102" s="2"/>
      <c r="E102" s="2"/>
      <c r="F102" s="1">
        <f t="shared" ref="F102:F104" si="2">C102-E102</f>
        <v>0</v>
      </c>
    </row>
    <row r="103" spans="2:6" x14ac:dyDescent="0.35">
      <c r="B103" t="s">
        <v>72</v>
      </c>
      <c r="C103" s="2"/>
      <c r="D103" s="2"/>
      <c r="E103" s="2"/>
      <c r="F103" s="1">
        <f t="shared" si="2"/>
        <v>0</v>
      </c>
    </row>
    <row r="104" spans="2:6" x14ac:dyDescent="0.35">
      <c r="B104" t="s">
        <v>73</v>
      </c>
      <c r="C104" s="2"/>
      <c r="D104" s="2"/>
      <c r="E104" s="2"/>
      <c r="F104" s="1">
        <f t="shared" si="2"/>
        <v>0</v>
      </c>
    </row>
    <row r="105" spans="2:6" x14ac:dyDescent="0.35">
      <c r="C105" s="2">
        <f>SUM(C101:C104)</f>
        <v>0</v>
      </c>
      <c r="D105" s="2"/>
      <c r="E105" s="2">
        <f>SUM(E101:E104)</f>
        <v>0</v>
      </c>
    </row>
    <row r="106" spans="2:6" x14ac:dyDescent="0.35">
      <c r="C106" s="2" t="e">
        <f>PL!#REF!</f>
        <v>#REF!</v>
      </c>
      <c r="D106" s="2"/>
      <c r="E106" s="2" t="e">
        <f>PL!#REF!</f>
        <v>#REF!</v>
      </c>
    </row>
    <row r="107" spans="2:6" x14ac:dyDescent="0.35">
      <c r="C107" s="2" t="e">
        <f>C105-C106</f>
        <v>#REF!</v>
      </c>
      <c r="D107" s="2"/>
      <c r="E107" s="2" t="e">
        <f>E105-E106</f>
        <v>#REF!</v>
      </c>
    </row>
    <row r="108" spans="2:6" x14ac:dyDescent="0.35">
      <c r="C108" s="1">
        <f>C103</f>
        <v>0</v>
      </c>
    </row>
    <row r="109" spans="2:6" x14ac:dyDescent="0.35">
      <c r="C109" t="e">
        <f>C103/C105</f>
        <v>#DIV/0!</v>
      </c>
    </row>
    <row r="112" spans="2:6" x14ac:dyDescent="0.35">
      <c r="B112" t="s">
        <v>54</v>
      </c>
      <c r="C112" s="1">
        <f>(SUM(C117:C124))</f>
        <v>11260632.57</v>
      </c>
      <c r="E112" s="1">
        <f>(SUM(E117:E124))</f>
        <v>30877362.340000004</v>
      </c>
    </row>
    <row r="113" spans="2:6" x14ac:dyDescent="0.35">
      <c r="B113" t="s">
        <v>55</v>
      </c>
      <c r="C113" s="1">
        <f>(SUM(C128:C131))</f>
        <v>16512114</v>
      </c>
      <c r="E113" s="1">
        <f>(SUM(E128:E131))</f>
        <v>25601223.200000003</v>
      </c>
    </row>
    <row r="114" spans="2:6" x14ac:dyDescent="0.35">
      <c r="B114" t="s">
        <v>56</v>
      </c>
      <c r="C114" s="1">
        <f>(SUM(C125:C127))</f>
        <v>3670000</v>
      </c>
      <c r="E114" s="1">
        <f>(SUM(E125:E127))</f>
        <v>15448500</v>
      </c>
    </row>
    <row r="117" spans="2:6" x14ac:dyDescent="0.35">
      <c r="B117" t="s">
        <v>77</v>
      </c>
      <c r="C117" s="2">
        <v>12429093.029999999</v>
      </c>
      <c r="D117" s="2"/>
      <c r="E117" s="7">
        <v>26256504.699999999</v>
      </c>
      <c r="F117" s="2"/>
    </row>
    <row r="118" spans="2:6" x14ac:dyDescent="0.35">
      <c r="B118" t="s">
        <v>78</v>
      </c>
      <c r="C118" s="2">
        <v>670587.5</v>
      </c>
      <c r="D118" s="2"/>
      <c r="E118" s="7">
        <v>1852147.6400000001</v>
      </c>
      <c r="F118" s="2"/>
    </row>
    <row r="119" spans="2:6" x14ac:dyDescent="0.35">
      <c r="B119" t="s">
        <v>79</v>
      </c>
      <c r="C119" s="2">
        <v>433880</v>
      </c>
      <c r="D119" s="2"/>
      <c r="E119" s="7">
        <v>74592</v>
      </c>
      <c r="F119" s="2"/>
    </row>
    <row r="120" spans="2:6" x14ac:dyDescent="0.35">
      <c r="B120" t="s">
        <v>80</v>
      </c>
      <c r="C120" s="2">
        <v>-3118936</v>
      </c>
      <c r="D120" s="2"/>
      <c r="E120" s="7">
        <v>6587307</v>
      </c>
      <c r="F120" s="2"/>
    </row>
    <row r="121" spans="2:6" x14ac:dyDescent="0.35">
      <c r="B121" t="s">
        <v>81</v>
      </c>
      <c r="C121" s="2">
        <v>4223754.79</v>
      </c>
      <c r="D121" s="2"/>
      <c r="E121" s="7">
        <v>0</v>
      </c>
      <c r="F121" s="2"/>
    </row>
    <row r="122" spans="2:6" x14ac:dyDescent="0.35">
      <c r="B122" t="s">
        <v>82</v>
      </c>
      <c r="C122" s="2">
        <v>217587</v>
      </c>
      <c r="D122" s="2"/>
      <c r="E122" s="7">
        <v>840000</v>
      </c>
      <c r="F122" s="2"/>
    </row>
    <row r="123" spans="2:6" x14ac:dyDescent="0.35">
      <c r="B123" t="s">
        <v>83</v>
      </c>
      <c r="C123" s="2">
        <v>-1311631.75</v>
      </c>
      <c r="D123" s="2"/>
      <c r="E123" s="7">
        <v>0</v>
      </c>
      <c r="F123" s="2"/>
    </row>
    <row r="124" spans="2:6" x14ac:dyDescent="0.35">
      <c r="B124" t="s">
        <v>84</v>
      </c>
      <c r="C124" s="2">
        <v>-2283702</v>
      </c>
      <c r="D124" s="2"/>
      <c r="E124" s="7">
        <v>-4733189</v>
      </c>
      <c r="F124" s="2"/>
    </row>
    <row r="125" spans="2:6" x14ac:dyDescent="0.35">
      <c r="B125" t="s">
        <v>85</v>
      </c>
      <c r="C125" s="2">
        <v>3564000</v>
      </c>
      <c r="D125" s="2"/>
      <c r="E125" s="7">
        <v>5706000</v>
      </c>
      <c r="F125" s="2"/>
    </row>
    <row r="126" spans="2:6" x14ac:dyDescent="0.35">
      <c r="B126" t="s">
        <v>86</v>
      </c>
      <c r="C126" s="2">
        <v>0</v>
      </c>
      <c r="D126" s="2"/>
      <c r="E126" s="7">
        <v>8078500</v>
      </c>
      <c r="F126" s="2"/>
    </row>
    <row r="127" spans="2:6" x14ac:dyDescent="0.35">
      <c r="B127" t="s">
        <v>87</v>
      </c>
      <c r="C127" s="2">
        <v>106000</v>
      </c>
      <c r="D127" s="2"/>
      <c r="E127" s="7">
        <v>1664000</v>
      </c>
      <c r="F127" s="2"/>
    </row>
    <row r="128" spans="2:6" x14ac:dyDescent="0.35">
      <c r="B128" t="s">
        <v>55</v>
      </c>
      <c r="C128" s="2">
        <v>6057000.29</v>
      </c>
      <c r="D128" s="2"/>
      <c r="E128" s="7">
        <v>23802000</v>
      </c>
      <c r="F128" s="2"/>
    </row>
    <row r="129" spans="2:6" x14ac:dyDescent="0.35">
      <c r="B129" t="s">
        <v>88</v>
      </c>
      <c r="C129" s="2">
        <v>0</v>
      </c>
      <c r="D129" s="2"/>
      <c r="E129" s="7">
        <v>0</v>
      </c>
      <c r="F129" s="2"/>
    </row>
    <row r="130" spans="2:6" x14ac:dyDescent="0.35">
      <c r="B130" t="s">
        <v>89</v>
      </c>
      <c r="C130" s="2">
        <v>16512114</v>
      </c>
      <c r="D130" s="2"/>
      <c r="E130" s="7">
        <v>25601223.199999999</v>
      </c>
      <c r="F130" s="2"/>
    </row>
    <row r="131" spans="2:6" x14ac:dyDescent="0.35">
      <c r="B131" t="s">
        <v>90</v>
      </c>
      <c r="C131" s="2">
        <v>-6057000.29</v>
      </c>
      <c r="D131" s="2"/>
      <c r="E131" s="7">
        <v>-23802000</v>
      </c>
      <c r="F131" s="2"/>
    </row>
    <row r="132" spans="2:6" x14ac:dyDescent="0.35">
      <c r="C132" s="2">
        <f>SUM(C117:C131)</f>
        <v>31442746.57</v>
      </c>
      <c r="D132" s="2"/>
      <c r="E132" s="2">
        <f>SUM(E117:E131)</f>
        <v>71927085.540000007</v>
      </c>
      <c r="F132" s="2"/>
    </row>
    <row r="133" spans="2:6" x14ac:dyDescent="0.35">
      <c r="C133" s="2"/>
      <c r="D133" s="2"/>
      <c r="E133" s="2"/>
      <c r="F133" s="2"/>
    </row>
    <row r="134" spans="2:6" x14ac:dyDescent="0.35">
      <c r="C134" s="2"/>
      <c r="D134" s="2"/>
      <c r="E134" s="2"/>
      <c r="F134" s="2"/>
    </row>
    <row r="135" spans="2:6" x14ac:dyDescent="0.35">
      <c r="B135" t="s">
        <v>69</v>
      </c>
      <c r="C135" s="2">
        <f>(C142+C149+C147+C148+C150+C151+C152+C153+C155+C154+C156+C157+C159+C161+C165+C141)</f>
        <v>17275991.810000002</v>
      </c>
      <c r="D135" s="2"/>
      <c r="E135" s="2">
        <f>(E142+E149+E147+E148+E150+E151+E152+E153+E155+E154+E156+E157+E159+E161+E165+E141)</f>
        <v>25313924.789999995</v>
      </c>
      <c r="F135" s="2"/>
    </row>
    <row r="136" spans="2:6" x14ac:dyDescent="0.35">
      <c r="B136" t="s">
        <v>67</v>
      </c>
      <c r="C136" s="2">
        <f>(C144+C145+C146)</f>
        <v>3883209</v>
      </c>
      <c r="D136" s="2"/>
      <c r="E136" s="2">
        <f>(E144+E145+E146)</f>
        <v>5029529.38</v>
      </c>
      <c r="F136" s="2"/>
    </row>
    <row r="137" spans="2:6" x14ac:dyDescent="0.35">
      <c r="B137" t="s">
        <v>68</v>
      </c>
      <c r="C137" s="2">
        <f>(C139+C143+C158+C160+C166+C167+C140+C162+C163+C164)</f>
        <v>4306857.1500000004</v>
      </c>
      <c r="D137" s="2"/>
      <c r="E137" s="2">
        <f>(E139+E143+E158+E160+E166+E167+E140+E162+E163+E164)</f>
        <v>8495430.75</v>
      </c>
      <c r="F137" s="2"/>
    </row>
    <row r="138" spans="2:6" x14ac:dyDescent="0.35">
      <c r="C138" s="2"/>
      <c r="D138" s="2"/>
      <c r="E138" s="2"/>
      <c r="F138" s="2"/>
    </row>
    <row r="139" spans="2:6" x14ac:dyDescent="0.35">
      <c r="B139" t="s">
        <v>91</v>
      </c>
      <c r="C139" s="2">
        <v>133966.17000000001</v>
      </c>
      <c r="D139" s="2"/>
      <c r="E139" s="7">
        <v>1409277.13</v>
      </c>
      <c r="F139" s="2"/>
    </row>
    <row r="140" spans="2:6" x14ac:dyDescent="0.35">
      <c r="B140" t="s">
        <v>92</v>
      </c>
      <c r="C140" s="2">
        <v>0</v>
      </c>
      <c r="D140" s="2"/>
      <c r="E140" s="7">
        <v>0</v>
      </c>
      <c r="F140" s="2"/>
    </row>
    <row r="141" spans="2:6" x14ac:dyDescent="0.35">
      <c r="B141" t="s">
        <v>93</v>
      </c>
      <c r="C141" s="2">
        <v>46714</v>
      </c>
      <c r="D141" s="2"/>
      <c r="E141" s="7">
        <v>152658</v>
      </c>
      <c r="F141" s="2"/>
    </row>
    <row r="142" spans="2:6" x14ac:dyDescent="0.35">
      <c r="B142" t="s">
        <v>94</v>
      </c>
      <c r="C142" s="2">
        <v>38665</v>
      </c>
      <c r="D142" s="2"/>
      <c r="E142" s="7">
        <v>22195</v>
      </c>
      <c r="F142" s="2"/>
    </row>
    <row r="143" spans="2:6" x14ac:dyDescent="0.35">
      <c r="B143" t="s">
        <v>95</v>
      </c>
      <c r="C143" s="2">
        <v>277441.28999999998</v>
      </c>
      <c r="D143" s="2"/>
      <c r="E143" s="7">
        <v>1103935.92</v>
      </c>
      <c r="F143" s="2"/>
    </row>
    <row r="144" spans="2:6" x14ac:dyDescent="0.35">
      <c r="B144" t="s">
        <v>96</v>
      </c>
      <c r="C144" s="2">
        <v>510226</v>
      </c>
      <c r="D144" s="2"/>
      <c r="E144" s="7">
        <v>1556160</v>
      </c>
      <c r="F144" s="2"/>
    </row>
    <row r="145" spans="2:6" x14ac:dyDescent="0.35">
      <c r="B145" t="s">
        <v>97</v>
      </c>
      <c r="C145" s="2">
        <v>3155424</v>
      </c>
      <c r="D145" s="2"/>
      <c r="E145" s="7">
        <v>3238628.38</v>
      </c>
      <c r="F145" s="2"/>
    </row>
    <row r="146" spans="2:6" x14ac:dyDescent="0.35">
      <c r="B146" t="s">
        <v>98</v>
      </c>
      <c r="C146" s="2">
        <v>217559</v>
      </c>
      <c r="D146" s="2"/>
      <c r="E146" s="7">
        <v>234741</v>
      </c>
      <c r="F146" s="2"/>
    </row>
    <row r="147" spans="2:6" x14ac:dyDescent="0.35">
      <c r="B147" t="s">
        <v>99</v>
      </c>
      <c r="C147" s="2">
        <v>667472.73</v>
      </c>
      <c r="D147" s="2"/>
      <c r="E147" s="7">
        <v>2471995.4699999997</v>
      </c>
      <c r="F147" s="2"/>
    </row>
    <row r="148" spans="2:6" x14ac:dyDescent="0.35">
      <c r="B148" t="s">
        <v>100</v>
      </c>
      <c r="C148" s="2">
        <v>16167</v>
      </c>
      <c r="D148" s="2"/>
      <c r="E148" s="7">
        <v>406390.33</v>
      </c>
      <c r="F148" s="2"/>
    </row>
    <row r="149" spans="2:6" x14ac:dyDescent="0.35">
      <c r="B149" t="s">
        <v>101</v>
      </c>
      <c r="C149" s="2">
        <v>8834967.3900000006</v>
      </c>
      <c r="D149" s="2"/>
      <c r="E149" s="7">
        <v>10121453.670000002</v>
      </c>
      <c r="F149" s="2"/>
    </row>
    <row r="150" spans="2:6" x14ac:dyDescent="0.35">
      <c r="B150" t="s">
        <v>102</v>
      </c>
      <c r="C150" s="2">
        <v>135433</v>
      </c>
      <c r="D150" s="2"/>
      <c r="E150" s="7">
        <v>239083.65</v>
      </c>
      <c r="F150" s="2"/>
    </row>
    <row r="151" spans="2:6" x14ac:dyDescent="0.35">
      <c r="B151" t="s">
        <v>103</v>
      </c>
      <c r="C151" s="2">
        <v>0</v>
      </c>
      <c r="D151" s="2"/>
      <c r="E151" s="7">
        <v>8020.2</v>
      </c>
      <c r="F151" s="2"/>
    </row>
    <row r="152" spans="2:6" x14ac:dyDescent="0.35">
      <c r="B152" t="s">
        <v>104</v>
      </c>
      <c r="C152" s="2">
        <v>65148.2</v>
      </c>
      <c r="D152" s="2"/>
      <c r="E152" s="7">
        <v>54964.12</v>
      </c>
      <c r="F152" s="2"/>
    </row>
    <row r="153" spans="2:6" x14ac:dyDescent="0.35">
      <c r="B153" t="s">
        <v>105</v>
      </c>
      <c r="C153" s="2">
        <v>7592</v>
      </c>
      <c r="D153" s="2"/>
      <c r="E153" s="7">
        <v>73871.070000000007</v>
      </c>
      <c r="F153" s="2"/>
    </row>
    <row r="154" spans="2:6" x14ac:dyDescent="0.35">
      <c r="B154" t="s">
        <v>106</v>
      </c>
      <c r="C154" s="2">
        <v>0</v>
      </c>
      <c r="D154" s="2"/>
      <c r="E154" s="7">
        <v>0</v>
      </c>
      <c r="F154" s="2"/>
    </row>
    <row r="155" spans="2:6" x14ac:dyDescent="0.35">
      <c r="B155" t="s">
        <v>107</v>
      </c>
      <c r="C155" s="2">
        <v>57507</v>
      </c>
      <c r="D155" s="2"/>
      <c r="E155" s="7">
        <v>60270.12</v>
      </c>
      <c r="F155" s="2"/>
    </row>
    <row r="156" spans="2:6" x14ac:dyDescent="0.35">
      <c r="B156" t="s">
        <v>108</v>
      </c>
      <c r="C156" s="2">
        <v>256355.84</v>
      </c>
      <c r="D156" s="2"/>
      <c r="E156" s="7">
        <v>523078.24</v>
      </c>
      <c r="F156" s="2"/>
    </row>
    <row r="157" spans="2:6" x14ac:dyDescent="0.35">
      <c r="B157" t="s">
        <v>109</v>
      </c>
      <c r="C157" s="2">
        <v>4389774</v>
      </c>
      <c r="D157" s="2"/>
      <c r="E157" s="7">
        <v>7633447</v>
      </c>
      <c r="F157" s="2"/>
    </row>
    <row r="158" spans="2:6" x14ac:dyDescent="0.35">
      <c r="B158" t="s">
        <v>110</v>
      </c>
      <c r="C158" s="2">
        <v>2425030.09</v>
      </c>
      <c r="D158" s="2"/>
      <c r="E158" s="7">
        <v>4141889.26</v>
      </c>
      <c r="F158" s="2"/>
    </row>
    <row r="159" spans="2:6" x14ac:dyDescent="0.35">
      <c r="B159" t="s">
        <v>111</v>
      </c>
      <c r="C159" s="2">
        <v>1685648.22</v>
      </c>
      <c r="D159" s="2"/>
      <c r="E159" s="7">
        <v>1632024.81</v>
      </c>
      <c r="F159" s="2"/>
    </row>
    <row r="160" spans="2:6" x14ac:dyDescent="0.35">
      <c r="B160" t="s">
        <v>112</v>
      </c>
      <c r="C160" s="2">
        <v>79630.600000000006</v>
      </c>
      <c r="D160" s="2"/>
      <c r="E160" s="7">
        <v>99975.44</v>
      </c>
      <c r="F160" s="2"/>
    </row>
    <row r="161" spans="2:6" x14ac:dyDescent="0.35">
      <c r="B161" t="s">
        <v>113</v>
      </c>
      <c r="C161" s="2">
        <v>80711.14</v>
      </c>
      <c r="D161" s="2"/>
      <c r="E161" s="7">
        <v>168082.39</v>
      </c>
      <c r="F161" s="2"/>
    </row>
    <row r="162" spans="2:6" x14ac:dyDescent="0.35">
      <c r="B162" t="s">
        <v>114</v>
      </c>
      <c r="C162" s="7">
        <v>0</v>
      </c>
      <c r="D162" s="2"/>
      <c r="E162" s="7">
        <v>0</v>
      </c>
      <c r="F162" s="2"/>
    </row>
    <row r="163" spans="2:6" x14ac:dyDescent="0.35">
      <c r="B163" t="s">
        <v>115</v>
      </c>
      <c r="C163" s="7">
        <v>0</v>
      </c>
      <c r="D163" s="2"/>
      <c r="E163" s="7">
        <v>0</v>
      </c>
      <c r="F163" s="2"/>
    </row>
    <row r="164" spans="2:6" x14ac:dyDescent="0.35">
      <c r="B164" t="s">
        <v>116</v>
      </c>
      <c r="C164" s="7">
        <v>0</v>
      </c>
      <c r="D164" s="2"/>
      <c r="E164" s="7">
        <v>0</v>
      </c>
      <c r="F164" s="2"/>
    </row>
    <row r="165" spans="2:6" x14ac:dyDescent="0.35">
      <c r="B165" t="s">
        <v>117</v>
      </c>
      <c r="C165" s="2">
        <v>993836.29</v>
      </c>
      <c r="D165" s="2"/>
      <c r="E165" s="7">
        <v>1746390.72</v>
      </c>
      <c r="F165" s="2"/>
    </row>
    <row r="166" spans="2:6" x14ac:dyDescent="0.35">
      <c r="B166" t="s">
        <v>118</v>
      </c>
      <c r="C166" s="2">
        <v>1000000</v>
      </c>
      <c r="D166" s="2"/>
      <c r="E166" s="7">
        <v>467000</v>
      </c>
      <c r="F166" s="2"/>
    </row>
    <row r="167" spans="2:6" x14ac:dyDescent="0.35">
      <c r="B167" t="s">
        <v>119</v>
      </c>
      <c r="C167" s="2">
        <v>390789</v>
      </c>
      <c r="D167" s="2"/>
      <c r="E167" s="7">
        <v>1273353</v>
      </c>
      <c r="F167" s="2"/>
    </row>
    <row r="168" spans="2:6" x14ac:dyDescent="0.35">
      <c r="C168" s="7">
        <f>SUM(C139:C167)</f>
        <v>25466057.959999997</v>
      </c>
      <c r="D168" s="2"/>
      <c r="E168" s="7">
        <f>SUM(E139:E167)</f>
        <v>38838884.919999994</v>
      </c>
      <c r="F168" s="2"/>
    </row>
    <row r="169" spans="2:6" x14ac:dyDescent="0.35">
      <c r="C169" s="2"/>
      <c r="D169" s="2"/>
      <c r="E169" s="2"/>
      <c r="F169" s="2"/>
    </row>
    <row r="170" spans="2:6" x14ac:dyDescent="0.35">
      <c r="C170" s="2">
        <f>C57</f>
        <v>65905043.570000008</v>
      </c>
      <c r="D170" s="2"/>
      <c r="E170" s="2">
        <f t="shared" ref="E170" si="3">E57</f>
        <v>167705643.84</v>
      </c>
      <c r="F170" s="2"/>
    </row>
    <row r="171" spans="2:6" x14ac:dyDescent="0.35">
      <c r="C171" s="2"/>
      <c r="D171" s="2"/>
      <c r="E171" s="2"/>
      <c r="F171" s="2"/>
    </row>
    <row r="172" spans="2:6" x14ac:dyDescent="0.35">
      <c r="C172" s="2">
        <f>C70+C71</f>
        <v>47882350.270000003</v>
      </c>
      <c r="D172" s="2"/>
      <c r="E172" s="2">
        <f>E70+E71</f>
        <v>112942689.75</v>
      </c>
      <c r="F172" s="2"/>
    </row>
    <row r="173" spans="2:6" x14ac:dyDescent="0.35">
      <c r="C173" s="2">
        <f>C170+C171-C172</f>
        <v>18022693.300000004</v>
      </c>
      <c r="D173" s="2"/>
      <c r="E173" s="2">
        <f>E170+E171-E172</f>
        <v>54762954.090000004</v>
      </c>
      <c r="F173" s="2"/>
    </row>
    <row r="174" spans="2:6" x14ac:dyDescent="0.35">
      <c r="C174" s="2"/>
      <c r="D174" s="2"/>
      <c r="E174" s="2"/>
      <c r="F174" s="2"/>
    </row>
    <row r="175" spans="2:6" x14ac:dyDescent="0.35">
      <c r="C175" s="2" t="e">
        <f>#REF!</f>
        <v>#REF!</v>
      </c>
      <c r="D175" s="2"/>
      <c r="E175" s="2" t="e">
        <f>#REF!</f>
        <v>#REF!</v>
      </c>
      <c r="F175" s="2"/>
    </row>
    <row r="176" spans="2:6" x14ac:dyDescent="0.35">
      <c r="C176" s="2"/>
      <c r="D176" s="2"/>
      <c r="E176" s="2"/>
      <c r="F176" s="2"/>
    </row>
    <row r="177" spans="1:20" x14ac:dyDescent="0.35">
      <c r="C177" s="13" t="e">
        <f>C173/C175</f>
        <v>#REF!</v>
      </c>
      <c r="D177" s="13"/>
      <c r="E177" s="13" t="e">
        <f>E173/E175</f>
        <v>#REF!</v>
      </c>
      <c r="F177" s="2"/>
    </row>
    <row r="178" spans="1:20" x14ac:dyDescent="0.35">
      <c r="C178" s="2"/>
      <c r="D178" s="2"/>
      <c r="E178" s="2"/>
      <c r="F178" s="2"/>
    </row>
    <row r="179" spans="1:20" x14ac:dyDescent="0.35">
      <c r="A179">
        <v>4010029</v>
      </c>
      <c r="B179" t="s">
        <v>130</v>
      </c>
      <c r="C179" s="2" t="s">
        <v>131</v>
      </c>
      <c r="D179" s="2">
        <v>21971175.010000002</v>
      </c>
      <c r="E179" s="2">
        <v>12881108.98</v>
      </c>
      <c r="F179" s="2">
        <v>7516130.9300000006</v>
      </c>
      <c r="G179">
        <v>23695107.210000005</v>
      </c>
      <c r="H179">
        <v>18136112.93</v>
      </c>
    </row>
    <row r="180" spans="1:20" x14ac:dyDescent="0.35">
      <c r="A180">
        <v>4010030</v>
      </c>
      <c r="B180" t="s">
        <v>132</v>
      </c>
      <c r="C180" s="2" t="s">
        <v>133</v>
      </c>
      <c r="D180" s="2">
        <v>823783.24</v>
      </c>
      <c r="E180" s="2">
        <v>619620.51</v>
      </c>
      <c r="F180" s="2">
        <v>389815.81</v>
      </c>
      <c r="G180">
        <v>1115814.8</v>
      </c>
      <c r="H180">
        <v>772195.57000000007</v>
      </c>
    </row>
    <row r="181" spans="1:20" x14ac:dyDescent="0.35">
      <c r="A181">
        <v>4010031</v>
      </c>
      <c r="B181" t="s">
        <v>134</v>
      </c>
      <c r="C181" s="2" t="s">
        <v>133</v>
      </c>
      <c r="D181" s="2">
        <v>17299992.139999997</v>
      </c>
      <c r="E181" s="2">
        <v>10040062.98</v>
      </c>
      <c r="F181" s="2">
        <v>5902218.1000000006</v>
      </c>
      <c r="G181">
        <v>27090998.43</v>
      </c>
      <c r="H181">
        <v>19399280.920000002</v>
      </c>
    </row>
    <row r="182" spans="1:20" x14ac:dyDescent="0.35">
      <c r="A182">
        <v>4010032</v>
      </c>
      <c r="B182" t="s">
        <v>135</v>
      </c>
      <c r="C182" s="2" t="s">
        <v>136</v>
      </c>
      <c r="D182" s="2">
        <v>8766749.2699999996</v>
      </c>
      <c r="E182" s="2">
        <v>5831437.7300000004</v>
      </c>
      <c r="F182" s="2">
        <v>3869221.34</v>
      </c>
      <c r="G182">
        <v>16052967.02</v>
      </c>
      <c r="H182">
        <v>10706899.969999999</v>
      </c>
    </row>
    <row r="183" spans="1:20" x14ac:dyDescent="0.35">
      <c r="A183">
        <v>4010033</v>
      </c>
      <c r="B183" t="s">
        <v>137</v>
      </c>
      <c r="C183" s="2" t="s">
        <v>136</v>
      </c>
      <c r="D183" s="2">
        <v>14895743</v>
      </c>
      <c r="E183" s="2">
        <v>9959285</v>
      </c>
      <c r="F183" s="2">
        <v>5062267</v>
      </c>
      <c r="G183">
        <v>18241836</v>
      </c>
      <c r="H183">
        <v>12224613</v>
      </c>
    </row>
    <row r="184" spans="1:20" x14ac:dyDescent="0.35">
      <c r="A184">
        <v>4010034</v>
      </c>
      <c r="B184" t="s">
        <v>138</v>
      </c>
      <c r="C184" s="2" t="s">
        <v>131</v>
      </c>
      <c r="D184" s="2">
        <v>34389.370000000003</v>
      </c>
      <c r="E184" s="2">
        <v>26632.320000000003</v>
      </c>
      <c r="F184" s="2">
        <v>18716.34</v>
      </c>
      <c r="G184">
        <v>600048.06999999995</v>
      </c>
      <c r="H184">
        <v>467190.24</v>
      </c>
    </row>
    <row r="185" spans="1:20" x14ac:dyDescent="0.35">
      <c r="A185">
        <v>4010035</v>
      </c>
      <c r="B185" t="s">
        <v>139</v>
      </c>
      <c r="C185" s="2" t="s">
        <v>133</v>
      </c>
      <c r="D185" s="2">
        <v>2812.3900000000003</v>
      </c>
      <c r="E185" s="2">
        <v>2368.3200000000002</v>
      </c>
      <c r="F185" s="2">
        <v>0</v>
      </c>
      <c r="G185">
        <v>45532</v>
      </c>
      <c r="H185">
        <v>45532</v>
      </c>
    </row>
    <row r="186" spans="1:20" x14ac:dyDescent="0.35">
      <c r="A186">
        <v>4010036</v>
      </c>
      <c r="B186" t="s">
        <v>140</v>
      </c>
      <c r="C186" s="2" t="s">
        <v>133</v>
      </c>
      <c r="D186" s="2">
        <v>22611.190000000002</v>
      </c>
      <c r="E186" s="2">
        <v>4042.75</v>
      </c>
      <c r="F186" s="2">
        <v>752.14</v>
      </c>
      <c r="G186">
        <v>248333.63000000003</v>
      </c>
      <c r="H186">
        <v>223708.02000000002</v>
      </c>
    </row>
    <row r="187" spans="1:20" x14ac:dyDescent="0.35">
      <c r="A187">
        <v>4010037</v>
      </c>
      <c r="B187" t="s">
        <v>141</v>
      </c>
      <c r="C187" s="2" t="s">
        <v>136</v>
      </c>
      <c r="D187" s="2">
        <v>0</v>
      </c>
      <c r="E187" s="2">
        <v>0</v>
      </c>
      <c r="F187" s="2">
        <v>0</v>
      </c>
      <c r="G187">
        <v>17912.080000000002</v>
      </c>
      <c r="H187">
        <v>17912.080000000002</v>
      </c>
    </row>
    <row r="188" spans="1:20" x14ac:dyDescent="0.35">
      <c r="A188">
        <v>4010038</v>
      </c>
      <c r="B188" t="s">
        <v>142</v>
      </c>
      <c r="C188" s="2" t="s">
        <v>136</v>
      </c>
      <c r="D188" s="2">
        <v>0</v>
      </c>
      <c r="E188" s="2">
        <v>0</v>
      </c>
      <c r="F188" s="2">
        <v>0</v>
      </c>
      <c r="G188">
        <v>0</v>
      </c>
      <c r="H188">
        <v>0</v>
      </c>
    </row>
    <row r="189" spans="1:20" x14ac:dyDescent="0.35">
      <c r="A189">
        <v>4010039</v>
      </c>
      <c r="B189" t="s">
        <v>143</v>
      </c>
      <c r="C189" s="2" t="s">
        <v>144</v>
      </c>
      <c r="D189" s="2">
        <v>10569979.530000001</v>
      </c>
      <c r="E189" s="2">
        <v>7796931.25</v>
      </c>
      <c r="F189" s="2">
        <v>5652324.3300000001</v>
      </c>
      <c r="G189">
        <v>58134642.400000006</v>
      </c>
      <c r="H189">
        <v>47061742.510000005</v>
      </c>
    </row>
    <row r="190" spans="1:20" x14ac:dyDescent="0.35">
      <c r="C190" s="2"/>
      <c r="D190" s="2">
        <f>SUM(D179:D189)</f>
        <v>74387235.139999986</v>
      </c>
      <c r="E190" s="2">
        <f>SUM(E179:E189)</f>
        <v>47161489.840000004</v>
      </c>
      <c r="F190" s="2">
        <f>SUM(F179:F189)</f>
        <v>28411445.990000002</v>
      </c>
      <c r="G190" s="2">
        <f>SUM(G179:G189)</f>
        <v>145243191.63999999</v>
      </c>
      <c r="H190" s="2">
        <f>SUM(H179:H189)</f>
        <v>109055187.24000001</v>
      </c>
      <c r="I190" s="2"/>
      <c r="J190" s="2"/>
      <c r="K190" s="2"/>
      <c r="L190" s="2"/>
      <c r="M190" s="2"/>
      <c r="N190" s="2"/>
      <c r="O190" s="2"/>
      <c r="P190" s="2"/>
      <c r="Q190" s="2"/>
      <c r="R190" s="2"/>
      <c r="S190" s="2"/>
      <c r="T190" s="2"/>
    </row>
    <row r="191" spans="1:20" x14ac:dyDescent="0.35">
      <c r="C191" s="2"/>
      <c r="D191" s="2"/>
      <c r="E191" s="2"/>
      <c r="F191" s="2"/>
    </row>
    <row r="192" spans="1:20" x14ac:dyDescent="0.35">
      <c r="C192" s="2"/>
      <c r="D192" s="2"/>
      <c r="E192" s="2"/>
      <c r="F192" s="2"/>
    </row>
    <row r="193" spans="1:8" x14ac:dyDescent="0.35">
      <c r="B193" t="s">
        <v>131</v>
      </c>
      <c r="C193" s="2"/>
      <c r="D193" s="2">
        <f>D179+D184</f>
        <v>22005564.380000003</v>
      </c>
      <c r="E193" s="2">
        <f>E179+E184</f>
        <v>12907741.300000001</v>
      </c>
      <c r="F193" s="2">
        <f>F179+F184</f>
        <v>7534847.2700000005</v>
      </c>
      <c r="G193" s="2">
        <f>G179+G184</f>
        <v>24295155.280000005</v>
      </c>
      <c r="H193" s="2">
        <f>H179+H184</f>
        <v>18603303.169999998</v>
      </c>
    </row>
    <row r="194" spans="1:8" x14ac:dyDescent="0.35">
      <c r="B194" t="s">
        <v>145</v>
      </c>
      <c r="C194" s="2"/>
      <c r="D194" s="2">
        <f>D182+D183+D187+D188</f>
        <v>23662492.27</v>
      </c>
      <c r="E194" s="2">
        <f>E182+E183+E187+E188</f>
        <v>15790722.73</v>
      </c>
      <c r="F194" s="2">
        <f>F182+F183+F187+F188</f>
        <v>8931488.3399999999</v>
      </c>
      <c r="G194" s="2">
        <f>G182+G183+G187+G188</f>
        <v>34312715.099999994</v>
      </c>
      <c r="H194" s="2">
        <f>H182+H183+H187+H188</f>
        <v>22949425.049999997</v>
      </c>
    </row>
    <row r="195" spans="1:8" x14ac:dyDescent="0.35">
      <c r="B195" t="s">
        <v>146</v>
      </c>
      <c r="C195" s="2"/>
      <c r="D195" s="2">
        <f>D180+D181+D185+D186</f>
        <v>18149198.959999997</v>
      </c>
      <c r="E195" s="2">
        <f>E180+E181+E185+E186</f>
        <v>10666094.560000001</v>
      </c>
      <c r="F195" s="2">
        <f>F180+F181+F185+F186</f>
        <v>6292786.0499999998</v>
      </c>
      <c r="G195" s="2">
        <f>G180+G181+G185+G186</f>
        <v>28500678.859999999</v>
      </c>
      <c r="H195" s="2">
        <f>H180+H181+H185+H186</f>
        <v>20440716.510000002</v>
      </c>
    </row>
    <row r="196" spans="1:8" x14ac:dyDescent="0.35">
      <c r="B196" t="s">
        <v>143</v>
      </c>
      <c r="C196" s="2"/>
      <c r="D196" s="2">
        <f>D189</f>
        <v>10569979.530000001</v>
      </c>
      <c r="E196" s="2">
        <f t="shared" ref="E196:H196" si="4">E189</f>
        <v>7796931.25</v>
      </c>
      <c r="F196" s="2">
        <f t="shared" si="4"/>
        <v>5652324.3300000001</v>
      </c>
      <c r="G196" s="2">
        <f t="shared" si="4"/>
        <v>58134642.400000006</v>
      </c>
      <c r="H196" s="2">
        <f t="shared" si="4"/>
        <v>47061742.510000005</v>
      </c>
    </row>
    <row r="197" spans="1:8" x14ac:dyDescent="0.35">
      <c r="C197" s="2"/>
      <c r="D197" s="2">
        <f>SUM(D193:D196)</f>
        <v>74387235.140000001</v>
      </c>
      <c r="E197" s="2">
        <f t="shared" ref="E197:H197" si="5">SUM(E193:E196)</f>
        <v>47161489.840000004</v>
      </c>
      <c r="F197" s="2">
        <f t="shared" si="5"/>
        <v>28411445.990000002</v>
      </c>
      <c r="G197" s="2">
        <f t="shared" si="5"/>
        <v>145243191.63999999</v>
      </c>
      <c r="H197" s="2">
        <f t="shared" si="5"/>
        <v>109055187.24000001</v>
      </c>
    </row>
    <row r="198" spans="1:8" x14ac:dyDescent="0.35">
      <c r="C198" s="2"/>
      <c r="D198" s="2">
        <f>D190-D197</f>
        <v>0</v>
      </c>
      <c r="E198" s="2">
        <f>E190-E197</f>
        <v>0</v>
      </c>
      <c r="F198" s="2">
        <f>F190-F197</f>
        <v>0</v>
      </c>
      <c r="G198" s="2">
        <f>G190-G197</f>
        <v>0</v>
      </c>
      <c r="H198" s="2">
        <f>H190-H197</f>
        <v>0</v>
      </c>
    </row>
    <row r="199" spans="1:8" x14ac:dyDescent="0.35">
      <c r="C199" s="2"/>
      <c r="D199" s="2"/>
      <c r="E199" s="2"/>
      <c r="F199" s="2"/>
      <c r="G199" s="2"/>
      <c r="H199" s="2"/>
    </row>
    <row r="200" spans="1:8" x14ac:dyDescent="0.35">
      <c r="C200" s="2"/>
      <c r="D200" s="2"/>
      <c r="E200" s="2"/>
      <c r="F200" s="2"/>
      <c r="G200" s="2"/>
      <c r="H200" s="2"/>
    </row>
    <row r="201" spans="1:8" x14ac:dyDescent="0.35">
      <c r="C201" s="2" t="s">
        <v>147</v>
      </c>
      <c r="D201" s="2" t="s">
        <v>148</v>
      </c>
      <c r="E201" s="2" t="s">
        <v>149</v>
      </c>
      <c r="F201" s="2" t="s">
        <v>150</v>
      </c>
      <c r="G201" s="2" t="s">
        <v>151</v>
      </c>
      <c r="H201" s="2" t="s">
        <v>152</v>
      </c>
    </row>
    <row r="202" spans="1:8" x14ac:dyDescent="0.35">
      <c r="A202">
        <v>4000066</v>
      </c>
      <c r="B202" t="s">
        <v>153</v>
      </c>
      <c r="C202" s="2">
        <v>49108932.040000007</v>
      </c>
      <c r="D202" s="2">
        <v>38841486.660000004</v>
      </c>
      <c r="E202" s="2">
        <f>C202-D202</f>
        <v>10267445.380000003</v>
      </c>
      <c r="F202" s="2">
        <v>34787400.229999997</v>
      </c>
      <c r="G202" s="2">
        <v>14238487.690000001</v>
      </c>
      <c r="H202" s="2">
        <f>F202-G202</f>
        <v>20548912.539999995</v>
      </c>
    </row>
    <row r="203" spans="1:8" x14ac:dyDescent="0.35">
      <c r="A203">
        <v>4000149</v>
      </c>
      <c r="B203" t="s">
        <v>154</v>
      </c>
      <c r="C203" s="2">
        <v>97981.759999999995</v>
      </c>
      <c r="D203" s="2">
        <v>60669.11</v>
      </c>
      <c r="E203" s="2">
        <f>C203-D203</f>
        <v>37312.649999999994</v>
      </c>
      <c r="F203" s="2">
        <v>298415.19</v>
      </c>
      <c r="G203" s="2">
        <v>183107.11</v>
      </c>
      <c r="H203" s="2">
        <f>F203-G203</f>
        <v>115308.08000000002</v>
      </c>
    </row>
    <row r="204" spans="1:8" x14ac:dyDescent="0.35">
      <c r="C204" s="2">
        <f t="shared" ref="C204:D204" si="6">SUM(C202:C203)</f>
        <v>49206913.800000004</v>
      </c>
      <c r="D204" s="2">
        <f t="shared" si="6"/>
        <v>38902155.770000003</v>
      </c>
      <c r="E204" s="2">
        <f>SUM(E202:E203)</f>
        <v>10304758.030000003</v>
      </c>
      <c r="F204" s="2">
        <f t="shared" ref="F204:H204" si="7">SUM(F202:F203)</f>
        <v>35085815.419999994</v>
      </c>
      <c r="G204" s="2">
        <f t="shared" si="7"/>
        <v>14421594.800000001</v>
      </c>
      <c r="H204" s="2">
        <f t="shared" si="7"/>
        <v>20664220.619999994</v>
      </c>
    </row>
    <row r="205" spans="1:8" x14ac:dyDescent="0.35">
      <c r="C205" s="2"/>
      <c r="D205" s="2"/>
      <c r="E205" s="2"/>
      <c r="F205" s="2"/>
    </row>
    <row r="206" spans="1:8" x14ac:dyDescent="0.35">
      <c r="C206" s="2"/>
      <c r="D206" s="2"/>
      <c r="E206" s="2"/>
      <c r="F20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BS</vt:lpstr>
      <vt:lpstr>PL</vt:lpstr>
      <vt:lpstr>Sheet3</vt:lpstr>
      <vt:lpstr>3-4</vt:lpstr>
      <vt:lpstr>10-17</vt:lpstr>
      <vt:lpstr>5-9</vt:lpstr>
      <vt:lpstr>18-26</vt:lpstr>
      <vt:lpstr>Ratio analysis</vt:lpstr>
      <vt:lpstr>Sheet1</vt:lpstr>
      <vt:lpstr>Sheet2</vt:lpstr>
      <vt:lpstr>BS!Print_Area</vt:lpstr>
      <vt:lpstr>PL!Print_Area</vt:lpstr>
      <vt:lpstr>'Ratio analysis'!Print_Area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2026-05-29T07:59:12Z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2026-05-22T13:55:51Z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69ef6778-128c-4124-b8e5-f64dc6c9dcee</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