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BS ANALYSIS" sheetId="2" state="visible" r:id="rId2"/>
    <sheet xmlns:r="http://schemas.openxmlformats.org/officeDocument/2006/relationships" name="P&amp;L ANALYSIS" sheetId="3" state="visible" r:id="rId3"/>
    <sheet xmlns:r="http://schemas.openxmlformats.org/officeDocument/2006/relationships" name="RATIOS &amp; RELATION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VISUAL ANALYTICS" sheetId="6" state="visible" r:id="rId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Garamond"/>
      <b val="1"/>
      <color rgb="00FFFFFF"/>
      <sz val="14"/>
    </font>
    <font>
      <name val="Garamond"/>
      <color rgb="00000000"/>
      <sz val="12"/>
    </font>
    <font>
      <name val="Garamond"/>
      <i val="1"/>
      <color rgb="007F7F7F"/>
      <sz val="10"/>
    </font>
    <font>
      <name val="Garamond"/>
      <b val="1"/>
      <color rgb="00000000"/>
      <sz val="12"/>
    </font>
    <font>
      <name val="Accountant"/>
      <color rgb="00FF0000"/>
      <sz val="9"/>
    </font>
    <font>
      <name val="Garamond"/>
      <b val="1"/>
      <color rgb="00FFFFFF"/>
      <sz val="12"/>
    </font>
    <font>
      <name val="Garamond"/>
      <color rgb="00EF4444"/>
      <sz val="12"/>
    </font>
    <font>
      <name val="Garamond"/>
      <color rgb="0022C55E"/>
      <sz val="12"/>
    </font>
    <font>
      <name val="Garamond"/>
      <b val="1"/>
      <color rgb="00EF4444"/>
      <sz val="12"/>
    </font>
    <font>
      <name val="Garamond"/>
      <b val="1"/>
      <color rgb="0022C55E"/>
      <sz val="12"/>
    </font>
  </fonts>
  <fills count="5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F3F4F6"/>
        <bgColor rgb="00F3F4F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164" fontId="7" fillId="4" borderId="1" pivotButton="0" quotePrefix="0" xfId="0"/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4" fontId="8" fillId="4" borderId="1" pivotButton="0" quotePrefix="0" xfId="0"/>
    <xf numFmtId="0" fontId="4" fillId="4" borderId="1" pivotButton="0" quotePrefix="0" xfId="0"/>
    <xf numFmtId="4" fontId="4" fillId="4" borderId="1" pivotButton="0" quotePrefix="0" xfId="0"/>
    <xf numFmtId="164" fontId="9" fillId="4" borderId="1" pivotButton="0" quotePrefix="0" xfId="0"/>
    <xf numFmtId="164" fontId="7" fillId="0" borderId="1" pivotButton="0" quotePrefix="0" xfId="0"/>
    <xf numFmtId="164" fontId="10" fillId="4" borderId="1" pivotButton="0" quotePrefix="0" xfId="0"/>
    <xf numFmtId="164" fontId="10" fillId="3" borderId="1" pivotButton="0" quotePrefix="0" xfId="0"/>
    <xf numFmtId="164" fontId="8" fillId="0" borderId="1" pivotButton="0" quotePrefix="0" xfId="0"/>
    <xf numFmtId="164" fontId="2" fillId="4" borderId="1" pivotButton="0" quotePrefix="0" xfId="0"/>
    <xf numFmtId="0" fontId="6" fillId="2" borderId="1" pivotButton="0" quotePrefix="0" xfId="0"/>
    <xf numFmtId="0" fontId="4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4762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47625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476250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476250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47625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476250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" customWidth="1" min="8" max="8"/>
  </cols>
  <sheetData>
    <row r="2" ht="35" customHeight="1">
      <c r="B2" s="1" t="inlineStr">
        <is>
          <t>WCC</t>
        </is>
      </c>
    </row>
    <row r="4" ht="35" customHeight="1">
      <c r="B4" s="1" t="inlineStr">
        <is>
          <t>Trial Balance Analysis</t>
        </is>
      </c>
    </row>
    <row r="6" ht="24" customHeight="1">
      <c r="B6" s="2" t="inlineStr">
        <is>
          <t>Client: Eviden IT</t>
        </is>
      </c>
      <c r="C6" s="3" t="n"/>
      <c r="D6" s="3" t="n"/>
      <c r="E6" s="3" t="n"/>
      <c r="F6" s="3" t="n"/>
      <c r="G6" s="3" t="n"/>
    </row>
    <row r="8" ht="24" customHeight="1">
      <c r="B8" s="2" t="inlineStr">
        <is>
          <t>Analysis Date: June 10, 2026</t>
        </is>
      </c>
      <c r="C8" s="3" t="n"/>
      <c r="D8" s="3" t="n"/>
      <c r="E8" s="3" t="n"/>
      <c r="F8" s="3" t="n"/>
      <c r="G8" s="3" t="n"/>
    </row>
    <row r="11" ht="35" customHeight="1">
      <c r="B11" s="1" t="inlineStr">
        <is>
          <t>Analysis Summary</t>
        </is>
      </c>
    </row>
    <row r="13" ht="24" customHeight="1">
      <c r="B13" s="4" t="inlineStr">
        <is>
          <t xml:space="preserve">  • Balance Sheet Analysis</t>
        </is>
      </c>
      <c r="C13" s="3" t="n"/>
      <c r="D13" s="3" t="n"/>
      <c r="E13" s="3" t="n"/>
      <c r="F13" s="3" t="n"/>
      <c r="G13" s="3" t="n"/>
    </row>
    <row r="14" ht="24" customHeight="1">
      <c r="B14" s="4" t="inlineStr">
        <is>
          <t xml:space="preserve">  • Profit and Loss Analysis</t>
        </is>
      </c>
      <c r="C14" s="3" t="n"/>
      <c r="D14" s="3" t="n"/>
      <c r="E14" s="3" t="n"/>
      <c r="F14" s="3" t="n"/>
      <c r="G14" s="3" t="n"/>
    </row>
    <row r="15" ht="24" customHeight="1">
      <c r="B15" s="4" t="inlineStr">
        <is>
          <t xml:space="preserve">  • Ratio and Relations Analysis</t>
        </is>
      </c>
      <c r="C15" s="3" t="n"/>
      <c r="D15" s="3" t="n"/>
      <c r="E15" s="3" t="n"/>
      <c r="F15" s="3" t="n"/>
      <c r="G15" s="3" t="n"/>
    </row>
    <row r="16" ht="24" customHeight="1">
      <c r="B16" s="4" t="inlineStr">
        <is>
          <t xml:space="preserve">  • Visual Analytics and Charts</t>
        </is>
      </c>
      <c r="C16" s="3" t="n"/>
      <c r="D16" s="3" t="n"/>
      <c r="E16" s="3" t="n"/>
      <c r="F16" s="3" t="n"/>
      <c r="G16" s="3" t="n"/>
    </row>
    <row r="17" ht="24" customHeight="1">
      <c r="B17" s="4" t="inlineStr">
        <is>
          <t xml:space="preserve">  • Year-over-Year Comparisons</t>
        </is>
      </c>
      <c r="C17" s="3" t="n"/>
      <c r="D17" s="3" t="n"/>
      <c r="E17" s="3" t="n"/>
      <c r="F17" s="3" t="n"/>
      <c r="G17" s="3" t="n"/>
    </row>
    <row r="18" ht="24" customHeight="1">
      <c r="B18" s="4" t="inlineStr">
        <is>
          <t xml:space="preserve">  • Data Validation Checks</t>
        </is>
      </c>
      <c r="C18" s="3" t="n"/>
      <c r="D18" s="3" t="n"/>
      <c r="E18" s="3" t="n"/>
      <c r="F18" s="3" t="n"/>
      <c r="G18" s="3" t="n"/>
    </row>
    <row r="21" ht="20" customHeight="1">
      <c r="B21" s="5" t="inlineStr">
        <is>
          <t>Confidential - For Internal Use Only</t>
        </is>
      </c>
    </row>
  </sheetData>
  <mergeCells count="12">
    <mergeCell ref="B2:G2"/>
    <mergeCell ref="B16:G16"/>
    <mergeCell ref="B14:G14"/>
    <mergeCell ref="B17:G17"/>
    <mergeCell ref="B8:G8"/>
    <mergeCell ref="B4:G4"/>
    <mergeCell ref="B18:G18"/>
    <mergeCell ref="B13:G13"/>
    <mergeCell ref="B21:G21"/>
    <mergeCell ref="B15:G15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Eviden IT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Balance Sheet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As at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14:32:21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As at
31 March 2025</t>
        </is>
      </c>
      <c r="D8" s="10" t="inlineStr">
        <is>
          <t>As at
31 March 2024</t>
        </is>
      </c>
      <c r="E8" s="10" t="inlineStr">
        <is>
          <t>Variance
(Absolute)</t>
        </is>
      </c>
      <c r="F8" s="10" t="inlineStr">
        <is>
          <t>Variance %</t>
        </is>
      </c>
      <c r="G8" s="10" t="inlineStr">
        <is>
          <t>Remarks</t>
        </is>
      </c>
    </row>
    <row r="9">
      <c r="A9" s="11" t="inlineStr">
        <is>
          <t>ASSETS</t>
        </is>
      </c>
      <c r="B9" s="11" t="inlineStr"/>
      <c r="C9" s="12" t="n">
        <v>0</v>
      </c>
      <c r="D9" s="12" t="n">
        <v>0</v>
      </c>
      <c r="E9" s="12">
        <f>C9-D9</f>
        <v/>
      </c>
      <c r="F9" s="13">
        <f>IF(D9=0, "", (C9-D9)/ABS(D9))</f>
        <v/>
      </c>
      <c r="G9" s="11" t="inlineStr"/>
    </row>
    <row r="10">
      <c r="A10" s="11" t="inlineStr">
        <is>
          <t>Non current assets</t>
        </is>
      </c>
      <c r="B10" s="11" t="inlineStr"/>
      <c r="C10" s="12" t="n">
        <v>0</v>
      </c>
      <c r="D10" s="12" t="n">
        <v>0</v>
      </c>
      <c r="E10" s="12">
        <f>C10-D10</f>
        <v/>
      </c>
      <c r="F10" s="13">
        <f>IF(D10=0, "", (C10-D10)/ABS(D10))</f>
        <v/>
      </c>
      <c r="G10" s="11" t="inlineStr"/>
    </row>
    <row r="11">
      <c r="A11" s="14" t="inlineStr">
        <is>
          <t>Property and equipment</t>
        </is>
      </c>
      <c r="B11" s="14" t="inlineStr">
        <is>
          <t>3a</t>
        </is>
      </c>
      <c r="C11" s="15" t="n">
        <v>0</v>
      </c>
      <c r="D11" s="15" t="n">
        <v>0</v>
      </c>
      <c r="E11" s="15">
        <f>C11-D11</f>
        <v/>
      </c>
      <c r="F11" s="16">
        <f>IF(D11=0, "", (C11-D11)/ABS(D11))</f>
        <v/>
      </c>
      <c r="G11" s="14" t="inlineStr"/>
    </row>
    <row r="12">
      <c r="A12" s="17" t="inlineStr">
        <is>
          <t>Intangible assets</t>
        </is>
      </c>
      <c r="B12" s="17" t="inlineStr">
        <is>
          <t>3b</t>
        </is>
      </c>
      <c r="C12" s="18" t="n">
        <v>0</v>
      </c>
      <c r="D12" s="18" t="n">
        <v>0</v>
      </c>
      <c r="E12" s="18">
        <f>C12-D12</f>
        <v/>
      </c>
      <c r="F12" s="19">
        <f>IF(D12=0, "", (C12-D12)/ABS(D12))</f>
        <v/>
      </c>
      <c r="G12" s="17" t="inlineStr"/>
    </row>
    <row r="13">
      <c r="A13" s="14" t="inlineStr">
        <is>
          <t>Right of use assets</t>
        </is>
      </c>
      <c r="B13" s="14" t="inlineStr">
        <is>
          <t>11</t>
        </is>
      </c>
      <c r="C13" s="15" t="n">
        <v>0</v>
      </c>
      <c r="D13" s="15" t="n">
        <v>0</v>
      </c>
      <c r="E13" s="15">
        <f>C13-D13</f>
        <v/>
      </c>
      <c r="F13" s="16">
        <f>IF(D13=0, "", (C13-D13)/ABS(D13))</f>
        <v/>
      </c>
      <c r="G13" s="14" t="inlineStr"/>
    </row>
    <row r="14">
      <c r="A14" s="17" t="inlineStr">
        <is>
          <t>Financial assets</t>
        </is>
      </c>
      <c r="B14" s="17" t="inlineStr"/>
      <c r="C14" s="18" t="n">
        <v>0</v>
      </c>
      <c r="D14" s="18" t="n">
        <v>0</v>
      </c>
      <c r="E14" s="18">
        <f>C14-D14</f>
        <v/>
      </c>
      <c r="F14" s="19">
        <f>IF(D14=0, "", (C14-D14)/ABS(D14))</f>
        <v/>
      </c>
      <c r="G14" s="17" t="inlineStr"/>
    </row>
    <row r="15">
      <c r="A15" s="14" t="inlineStr">
        <is>
          <t>Other financial assets</t>
        </is>
      </c>
      <c r="B15" s="14" t="inlineStr">
        <is>
          <t>4</t>
        </is>
      </c>
      <c r="C15" s="15" t="n">
        <v>0</v>
      </c>
      <c r="D15" s="15" t="n">
        <v>0</v>
      </c>
      <c r="E15" s="15">
        <f>C15-D15</f>
        <v/>
      </c>
      <c r="F15" s="20">
        <f>IF(D15=0, "", (C15-D15)/ABS(D15))</f>
        <v/>
      </c>
      <c r="G15" s="14" t="inlineStr"/>
    </row>
    <row r="16">
      <c r="A16" s="17" t="inlineStr">
        <is>
          <t>Employee benefit obligations</t>
        </is>
      </c>
      <c r="B16" s="17" t="inlineStr">
        <is>
          <t>12</t>
        </is>
      </c>
      <c r="C16" s="18" t="n">
        <v>0</v>
      </c>
      <c r="D16" s="18" t="n">
        <v>0</v>
      </c>
      <c r="E16" s="18">
        <f>C16-D16</f>
        <v/>
      </c>
      <c r="F16" s="19">
        <f>IF(D16=0, "", (C16-D16)/ABS(D16))</f>
        <v/>
      </c>
      <c r="G16" s="17" t="inlineStr"/>
    </row>
    <row r="17">
      <c r="A17" s="14" t="inlineStr">
        <is>
          <t>Deferred tax assets (net)</t>
        </is>
      </c>
      <c r="B17" s="14" t="inlineStr">
        <is>
          <t>5</t>
        </is>
      </c>
      <c r="C17" s="15" t="n">
        <v>0</v>
      </c>
      <c r="D17" s="15" t="n">
        <v>0</v>
      </c>
      <c r="E17" s="15">
        <f>C17-D17</f>
        <v/>
      </c>
      <c r="F17" s="20">
        <f>IF(D17=0, "", (C17-D17)/ABS(D17))</f>
        <v/>
      </c>
      <c r="G17" s="14" t="inlineStr"/>
    </row>
    <row r="18">
      <c r="A18" s="14" t="inlineStr">
        <is>
          <t>Income tax assets (net)</t>
        </is>
      </c>
      <c r="B18" s="14" t="inlineStr">
        <is>
          <t>6</t>
        </is>
      </c>
      <c r="C18" s="15" t="n">
        <v>0</v>
      </c>
      <c r="D18" s="15" t="n">
        <v>0</v>
      </c>
      <c r="E18" s="15">
        <f>C18-D18</f>
        <v/>
      </c>
      <c r="F18" s="20">
        <f>IF(D18=0, "", (C18-D18)/ABS(D18))</f>
        <v/>
      </c>
      <c r="G18" s="14" t="inlineStr"/>
    </row>
    <row r="19">
      <c r="A19" s="14" t="inlineStr">
        <is>
          <t>Other non-current assets</t>
        </is>
      </c>
      <c r="B19" s="14" t="inlineStr">
        <is>
          <t>7</t>
        </is>
      </c>
      <c r="C19" s="15" t="n">
        <v>0.01</v>
      </c>
      <c r="D19" s="15" t="n">
        <v>0.02</v>
      </c>
      <c r="E19" s="15">
        <f>C19-D19</f>
        <v/>
      </c>
      <c r="F19" s="16">
        <f>IF(D19=0, "", (C19-D19)/ABS(D19))</f>
        <v/>
      </c>
      <c r="G19" s="14" t="inlineStr"/>
    </row>
    <row r="20">
      <c r="A20" s="21" t="inlineStr">
        <is>
          <t>Total non-current assets</t>
        </is>
      </c>
      <c r="B20" s="21" t="inlineStr"/>
      <c r="C20" s="22" t="n">
        <v>0.02</v>
      </c>
      <c r="D20" s="22" t="n">
        <v>0.03</v>
      </c>
      <c r="E20" s="22">
        <f>C20-D20</f>
        <v/>
      </c>
      <c r="F20" s="23">
        <f>IF(D20=0, "", (C20-D20)/ABS(D20))</f>
        <v/>
      </c>
      <c r="G20" s="21" t="inlineStr"/>
    </row>
    <row r="21">
      <c r="A21" s="11" t="inlineStr">
        <is>
          <t>Current assets</t>
        </is>
      </c>
      <c r="B21" s="11" t="inlineStr"/>
      <c r="C21" s="12" t="n">
        <v>0</v>
      </c>
      <c r="D21" s="12" t="n">
        <v>0</v>
      </c>
      <c r="E21" s="12">
        <f>C21-D21</f>
        <v/>
      </c>
      <c r="F21" s="13">
        <f>IF(D21=0, "", (C21-D21)/ABS(D21))</f>
        <v/>
      </c>
      <c r="G21" s="11" t="inlineStr"/>
    </row>
    <row r="22">
      <c r="A22" s="17" t="inlineStr">
        <is>
          <t>Financial assets</t>
        </is>
      </c>
      <c r="B22" s="17" t="inlineStr"/>
      <c r="C22" s="18" t="n">
        <v>0</v>
      </c>
      <c r="D22" s="18" t="n">
        <v>0</v>
      </c>
      <c r="E22" s="18">
        <f>C22-D22</f>
        <v/>
      </c>
      <c r="F22" s="19">
        <f>IF(D22=0, "", (C22-D22)/ABS(D22))</f>
        <v/>
      </c>
      <c r="G22" s="17" t="inlineStr"/>
    </row>
    <row r="23">
      <c r="A23" s="14" t="inlineStr">
        <is>
          <t>Trade receivables</t>
        </is>
      </c>
      <c r="B23" s="14" t="inlineStr">
        <is>
          <t>8</t>
        </is>
      </c>
      <c r="C23" s="15" t="n">
        <v>0.05</v>
      </c>
      <c r="D23" s="15" t="n">
        <v>0.04</v>
      </c>
      <c r="E23" s="15">
        <f>C23-D23</f>
        <v/>
      </c>
      <c r="F23" s="20">
        <f>IF(D23=0, "", (C23-D23)/ABS(D23))</f>
        <v/>
      </c>
      <c r="G23" s="14" t="inlineStr"/>
    </row>
    <row r="24">
      <c r="A24" s="14" t="inlineStr">
        <is>
          <t>Cash and cash equivalents</t>
        </is>
      </c>
      <c r="B24" s="14" t="inlineStr">
        <is>
          <t>9</t>
        </is>
      </c>
      <c r="C24" s="15" t="n">
        <v>0</v>
      </c>
      <c r="D24" s="15" t="n">
        <v>0.01</v>
      </c>
      <c r="E24" s="15">
        <f>C24-D24</f>
        <v/>
      </c>
      <c r="F24" s="16">
        <f>IF(D24=0, "", (C24-D24)/ABS(D24))</f>
        <v/>
      </c>
      <c r="G24" s="14" t="inlineStr"/>
    </row>
    <row r="25">
      <c r="A25" s="14" t="inlineStr">
        <is>
          <t>Other financial assets</t>
        </is>
      </c>
      <c r="B25" s="14" t="inlineStr">
        <is>
          <t>4</t>
        </is>
      </c>
      <c r="C25" s="15" t="n">
        <v>0.01</v>
      </c>
      <c r="D25" s="15" t="n">
        <v>0</v>
      </c>
      <c r="E25" s="15">
        <f>C25-D25</f>
        <v/>
      </c>
      <c r="F25" s="20">
        <f>IF(D25=0, "", (C25-D25)/ABS(D25))</f>
        <v/>
      </c>
      <c r="G25" s="14" t="inlineStr"/>
    </row>
    <row r="26">
      <c r="A26" s="17" t="inlineStr">
        <is>
          <t>Other current assets</t>
        </is>
      </c>
      <c r="B26" s="17" t="inlineStr">
        <is>
          <t>7</t>
        </is>
      </c>
      <c r="C26" s="18" t="n">
        <v>0</v>
      </c>
      <c r="D26" s="18" t="n">
        <v>0</v>
      </c>
      <c r="E26" s="18">
        <f>C26-D26</f>
        <v/>
      </c>
      <c r="F26" s="24">
        <f>IF(D26=0, "", (C26-D26)/ABS(D26))</f>
        <v/>
      </c>
      <c r="G26" s="17" t="inlineStr"/>
    </row>
    <row r="27">
      <c r="A27" s="21" t="inlineStr">
        <is>
          <t>Total current assets</t>
        </is>
      </c>
      <c r="B27" s="21" t="inlineStr"/>
      <c r="C27" s="22" t="n">
        <v>0.06</v>
      </c>
      <c r="D27" s="22" t="n">
        <v>0.05</v>
      </c>
      <c r="E27" s="22">
        <f>C27-D27</f>
        <v/>
      </c>
      <c r="F27" s="25">
        <f>IF(D27=0, "", (C27-D27)/ABS(D27))</f>
        <v/>
      </c>
      <c r="G27" s="21" t="inlineStr"/>
    </row>
    <row r="28">
      <c r="A28" s="17" t="inlineStr">
        <is>
          <t>Assets held for sale only</t>
        </is>
      </c>
      <c r="B28" s="17" t="inlineStr"/>
      <c r="C28" s="18" t="n">
        <v>0</v>
      </c>
      <c r="D28" s="18" t="n">
        <v>0</v>
      </c>
      <c r="E28" s="18">
        <f>C28-D28</f>
        <v/>
      </c>
      <c r="F28" s="19">
        <f>IF(D28=0, "", (C28-D28)/ABS(D28))</f>
        <v/>
      </c>
      <c r="G28" s="17" t="inlineStr"/>
    </row>
    <row r="29">
      <c r="A29" s="11" t="inlineStr">
        <is>
          <t>Total assets</t>
        </is>
      </c>
      <c r="B29" s="11" t="inlineStr"/>
      <c r="C29" s="12" t="n">
        <v>0.08</v>
      </c>
      <c r="D29" s="12" t="n">
        <v>0.08</v>
      </c>
      <c r="E29" s="12">
        <f>C29-D29</f>
        <v/>
      </c>
      <c r="F29" s="26">
        <f>IF(D29=0, "", (C29-D29)/ABS(D29))</f>
        <v/>
      </c>
      <c r="G29" s="11" t="inlineStr"/>
    </row>
    <row r="30">
      <c r="A30" s="11" t="inlineStr">
        <is>
          <t>EQUITY AND LIABILITIES</t>
        </is>
      </c>
      <c r="B30" s="11" t="inlineStr"/>
      <c r="C30" s="12" t="n">
        <v>0</v>
      </c>
      <c r="D30" s="12" t="n">
        <v>0</v>
      </c>
      <c r="E30" s="12">
        <f>C30-D30</f>
        <v/>
      </c>
      <c r="F30" s="13">
        <f>IF(D30=0, "", (C30-D30)/ABS(D30))</f>
        <v/>
      </c>
      <c r="G30" s="11" t="inlineStr"/>
    </row>
    <row r="31">
      <c r="A31" s="11" t="inlineStr">
        <is>
          <t>Equity</t>
        </is>
      </c>
      <c r="B31" s="11" t="inlineStr"/>
      <c r="C31" s="12" t="n">
        <v>0</v>
      </c>
      <c r="D31" s="12" t="n">
        <v>0</v>
      </c>
      <c r="E31" s="12">
        <f>C31-D31</f>
        <v/>
      </c>
      <c r="F31" s="13">
        <f>IF(D31=0, "", (C31-D31)/ABS(D31))</f>
        <v/>
      </c>
      <c r="G31" s="11" t="inlineStr"/>
    </row>
    <row r="32">
      <c r="A32" s="17" t="inlineStr">
        <is>
          <t>Equity share capital</t>
        </is>
      </c>
      <c r="B32" s="17" t="inlineStr">
        <is>
          <t>10</t>
        </is>
      </c>
      <c r="C32" s="18" t="n">
        <v>0</v>
      </c>
      <c r="D32" s="18" t="n">
        <v>0</v>
      </c>
      <c r="E32" s="18">
        <f>C32-D32</f>
        <v/>
      </c>
      <c r="F32" s="19">
        <f>IF(D32=0, "", (C32-D32)/ABS(D32))</f>
        <v/>
      </c>
      <c r="G32" s="17" t="inlineStr"/>
    </row>
    <row r="33">
      <c r="A33" s="14" t="inlineStr">
        <is>
          <t>Other equity</t>
        </is>
      </c>
      <c r="B33" s="14" t="inlineStr"/>
      <c r="C33" s="15" t="n">
        <v>0.07000000000000001</v>
      </c>
      <c r="D33" s="15" t="n">
        <v>0.06</v>
      </c>
      <c r="E33" s="15">
        <f>C33-D33</f>
        <v/>
      </c>
      <c r="F33" s="20">
        <f>IF(D33=0, "", (C33-D33)/ABS(D33))</f>
        <v/>
      </c>
      <c r="G33" s="14" t="inlineStr"/>
    </row>
    <row r="34">
      <c r="A34" s="21" t="inlineStr">
        <is>
          <t>Total equity</t>
        </is>
      </c>
      <c r="B34" s="21" t="inlineStr"/>
      <c r="C34" s="22" t="n">
        <v>0.07000000000000001</v>
      </c>
      <c r="D34" s="22" t="n">
        <v>0.06</v>
      </c>
      <c r="E34" s="22">
        <f>C34-D34</f>
        <v/>
      </c>
      <c r="F34" s="25">
        <f>IF(D34=0, "", (C34-D34)/ABS(D34))</f>
        <v/>
      </c>
      <c r="G34" s="21" t="inlineStr"/>
    </row>
    <row r="35">
      <c r="A35" s="11" t="inlineStr">
        <is>
          <t>Liabilities</t>
        </is>
      </c>
      <c r="B35" s="11" t="inlineStr"/>
      <c r="C35" s="12" t="n">
        <v>0</v>
      </c>
      <c r="D35" s="12" t="n">
        <v>0</v>
      </c>
      <c r="E35" s="12">
        <f>C35-D35</f>
        <v/>
      </c>
      <c r="F35" s="13">
        <f>IF(D35=0, "", (C35-D35)/ABS(D35))</f>
        <v/>
      </c>
      <c r="G35" s="11" t="inlineStr"/>
    </row>
    <row r="36">
      <c r="A36" s="11" t="inlineStr">
        <is>
          <t>Non current liabilities</t>
        </is>
      </c>
      <c r="B36" s="11" t="inlineStr"/>
      <c r="C36" s="12" t="n">
        <v>0</v>
      </c>
      <c r="D36" s="12" t="n">
        <v>0</v>
      </c>
      <c r="E36" s="12">
        <f>C36-D36</f>
        <v/>
      </c>
      <c r="F36" s="13">
        <f>IF(D36=0, "", (C36-D36)/ABS(D36))</f>
        <v/>
      </c>
      <c r="G36" s="11" t="inlineStr"/>
    </row>
    <row r="37">
      <c r="A37" s="17" t="inlineStr">
        <is>
          <t>Financial liabilities</t>
        </is>
      </c>
      <c r="B37" s="17" t="inlineStr"/>
      <c r="C37" s="18" t="n">
        <v>0</v>
      </c>
      <c r="D37" s="18" t="n">
        <v>0</v>
      </c>
      <c r="E37" s="18">
        <f>C37-D37</f>
        <v/>
      </c>
      <c r="F37" s="19">
        <f>IF(D37=0, "", (C37-D37)/ABS(D37))</f>
        <v/>
      </c>
      <c r="G37" s="17" t="inlineStr"/>
    </row>
    <row r="38">
      <c r="A38" s="14" t="inlineStr">
        <is>
          <t>Lease Liabilities</t>
        </is>
      </c>
      <c r="B38" s="14" t="inlineStr">
        <is>
          <t>11</t>
        </is>
      </c>
      <c r="C38" s="15" t="n">
        <v>0</v>
      </c>
      <c r="D38" s="15" t="n">
        <v>0</v>
      </c>
      <c r="E38" s="15">
        <f>C38-D38</f>
        <v/>
      </c>
      <c r="F38" s="16">
        <f>IF(D38=0, "", (C38-D38)/ABS(D38))</f>
        <v/>
      </c>
      <c r="G38" s="14" t="inlineStr"/>
    </row>
    <row r="39">
      <c r="A39" s="17" t="inlineStr">
        <is>
          <t>Employee benefit obligations</t>
        </is>
      </c>
      <c r="B39" s="17" t="inlineStr">
        <is>
          <t>12</t>
        </is>
      </c>
      <c r="C39" s="18" t="n">
        <v>0</v>
      </c>
      <c r="D39" s="18" t="n">
        <v>0</v>
      </c>
      <c r="E39" s="18">
        <f>C39-D39</f>
        <v/>
      </c>
      <c r="F39" s="19">
        <f>IF(D39=0, "", (C39-D39)/ABS(D39))</f>
        <v/>
      </c>
      <c r="G39" s="17" t="inlineStr"/>
    </row>
    <row r="40">
      <c r="A40" s="17" t="inlineStr">
        <is>
          <t>Other non-current liabilities</t>
        </is>
      </c>
      <c r="B40" s="17" t="inlineStr"/>
      <c r="C40" s="18" t="n">
        <v>0</v>
      </c>
      <c r="D40" s="18" t="n">
        <v>0</v>
      </c>
      <c r="E40" s="18">
        <f>C40-D40</f>
        <v/>
      </c>
      <c r="F40" s="19">
        <f>IF(D40=0, "", (C40-D40)/ABS(D40))</f>
        <v/>
      </c>
      <c r="G40" s="17" t="inlineStr"/>
    </row>
    <row r="41">
      <c r="A41" s="17" t="inlineStr">
        <is>
          <t>Deferred  tax liabilities</t>
        </is>
      </c>
      <c r="B41" s="17" t="inlineStr">
        <is>
          <t>5</t>
        </is>
      </c>
      <c r="C41" s="18" t="n">
        <v>0</v>
      </c>
      <c r="D41" s="18" t="n">
        <v>0</v>
      </c>
      <c r="E41" s="18">
        <f>C41-D41</f>
        <v/>
      </c>
      <c r="F41" s="19">
        <f>IF(D41=0, "", (C41-D41)/ABS(D41))</f>
        <v/>
      </c>
      <c r="G41" s="17" t="inlineStr"/>
    </row>
    <row r="42">
      <c r="A42" s="17" t="inlineStr">
        <is>
          <t>Other non-current liabilities</t>
        </is>
      </c>
      <c r="B42" s="17" t="inlineStr">
        <is>
          <t>14</t>
        </is>
      </c>
      <c r="C42" s="18" t="n">
        <v>0</v>
      </c>
      <c r="D42" s="18" t="n">
        <v>0</v>
      </c>
      <c r="E42" s="18">
        <f>C42-D42</f>
        <v/>
      </c>
      <c r="F42" s="19">
        <f>IF(D42=0, "", (C42-D42)/ABS(D42))</f>
        <v/>
      </c>
      <c r="G42" s="17" t="inlineStr"/>
    </row>
    <row r="43">
      <c r="A43" s="21" t="inlineStr">
        <is>
          <t>Total non-current liabilities</t>
        </is>
      </c>
      <c r="B43" s="21" t="inlineStr"/>
      <c r="C43" s="22" t="n">
        <v>0</v>
      </c>
      <c r="D43" s="22" t="n">
        <v>0</v>
      </c>
      <c r="E43" s="22">
        <f>C43-D43</f>
        <v/>
      </c>
      <c r="F43" s="23">
        <f>IF(D43=0, "", (C43-D43)/ABS(D43))</f>
        <v/>
      </c>
      <c r="G43" s="21" t="inlineStr"/>
    </row>
    <row r="44">
      <c r="A44" s="11" t="inlineStr">
        <is>
          <t>Current liabilities</t>
        </is>
      </c>
      <c r="B44" s="11" t="inlineStr"/>
      <c r="C44" s="12" t="n">
        <v>0</v>
      </c>
      <c r="D44" s="12" t="n">
        <v>0</v>
      </c>
      <c r="E44" s="12">
        <f>C44-D44</f>
        <v/>
      </c>
      <c r="F44" s="13">
        <f>IF(D44=0, "", (C44-D44)/ABS(D44))</f>
        <v/>
      </c>
      <c r="G44" s="11" t="inlineStr"/>
    </row>
    <row r="45">
      <c r="A45" s="17" t="inlineStr">
        <is>
          <t>Financial liabilities</t>
        </is>
      </c>
      <c r="B45" s="17" t="inlineStr"/>
      <c r="C45" s="18" t="n">
        <v>0</v>
      </c>
      <c r="D45" s="18" t="n">
        <v>0</v>
      </c>
      <c r="E45" s="18">
        <f>C45-D45</f>
        <v/>
      </c>
      <c r="F45" s="19">
        <f>IF(D45=0, "", (C45-D45)/ABS(D45))</f>
        <v/>
      </c>
      <c r="G45" s="17" t="inlineStr"/>
    </row>
    <row r="46">
      <c r="A46" s="14" t="inlineStr">
        <is>
          <t>Lease Liabilities</t>
        </is>
      </c>
      <c r="B46" s="14" t="inlineStr">
        <is>
          <t>11</t>
        </is>
      </c>
      <c r="C46" s="15" t="n">
        <v>0</v>
      </c>
      <c r="D46" s="15" t="n">
        <v>0</v>
      </c>
      <c r="E46" s="15">
        <f>C46-D46</f>
        <v/>
      </c>
      <c r="F46" s="20">
        <f>IF(D46=0, "", (C46-D46)/ABS(D46))</f>
        <v/>
      </c>
      <c r="G46" s="14" t="inlineStr"/>
    </row>
    <row r="47">
      <c r="A47" s="17" t="inlineStr">
        <is>
          <t>Trade payables</t>
        </is>
      </c>
      <c r="B47" s="17" t="inlineStr">
        <is>
          <t>15</t>
        </is>
      </c>
      <c r="C47" s="18" t="n">
        <v>0</v>
      </c>
      <c r="D47" s="18" t="n">
        <v>0</v>
      </c>
      <c r="E47" s="18">
        <f>C47-D47</f>
        <v/>
      </c>
      <c r="F47" s="19">
        <f>IF(D47=0, "", (C47-D47)/ABS(D47))</f>
        <v/>
      </c>
      <c r="G47" s="17" t="inlineStr"/>
    </row>
    <row r="48">
      <c r="A48" s="17" t="inlineStr">
        <is>
          <t>Total outstanding dues of micro and small enterprises</t>
        </is>
      </c>
      <c r="B48" s="17" t="inlineStr"/>
      <c r="C48" s="18" t="n">
        <v>0</v>
      </c>
      <c r="D48" s="18" t="n">
        <v>0</v>
      </c>
      <c r="E48" s="18">
        <f>C48-D48</f>
        <v/>
      </c>
      <c r="F48" s="19">
        <f>IF(D48=0, "", (C48-D48)/ABS(D48))</f>
        <v/>
      </c>
      <c r="G48" s="17" t="inlineStr"/>
    </row>
    <row r="49">
      <c r="A49" s="14" t="inlineStr">
        <is>
          <t>Total outstanding dues of other than micro and small enterprises</t>
        </is>
      </c>
      <c r="B49" s="14" t="inlineStr"/>
      <c r="C49" s="15" t="n">
        <v>0</v>
      </c>
      <c r="D49" s="15" t="n">
        <v>0.01</v>
      </c>
      <c r="E49" s="15">
        <f>C49-D49</f>
        <v/>
      </c>
      <c r="F49" s="16">
        <f>IF(D49=0, "", (C49-D49)/ABS(D49))</f>
        <v/>
      </c>
      <c r="G49" s="14" t="inlineStr"/>
    </row>
    <row r="50">
      <c r="A50" s="14" t="inlineStr">
        <is>
          <t>Other financial liabilities</t>
        </is>
      </c>
      <c r="B50" s="14" t="inlineStr">
        <is>
          <t>13</t>
        </is>
      </c>
      <c r="C50" s="15" t="n">
        <v>0</v>
      </c>
      <c r="D50" s="15" t="n">
        <v>0</v>
      </c>
      <c r="E50" s="15">
        <f>C50-D50</f>
        <v/>
      </c>
      <c r="F50" s="16">
        <f>IF(D50=0, "", (C50-D50)/ABS(D50))</f>
        <v/>
      </c>
      <c r="G50" s="14" t="inlineStr"/>
    </row>
    <row r="51">
      <c r="A51" s="17" t="inlineStr">
        <is>
          <t>Employee benefit obligations</t>
        </is>
      </c>
      <c r="B51" s="17" t="inlineStr">
        <is>
          <t>12</t>
        </is>
      </c>
      <c r="C51" s="18" t="n">
        <v>0</v>
      </c>
      <c r="D51" s="18" t="n">
        <v>0</v>
      </c>
      <c r="E51" s="18">
        <f>C51-D51</f>
        <v/>
      </c>
      <c r="F51" s="27">
        <f>IF(D51=0, "", (C51-D51)/ABS(D51))</f>
        <v/>
      </c>
      <c r="G51" s="17" t="inlineStr"/>
    </row>
    <row r="52">
      <c r="A52" s="14" t="inlineStr">
        <is>
          <t>Other current liabilities</t>
        </is>
      </c>
      <c r="B52" s="14" t="inlineStr">
        <is>
          <t>14</t>
        </is>
      </c>
      <c r="C52" s="15" t="n">
        <v>0</v>
      </c>
      <c r="D52" s="15" t="n">
        <v>0</v>
      </c>
      <c r="E52" s="15">
        <f>C52-D52</f>
        <v/>
      </c>
      <c r="F52" s="16">
        <f>IF(D52=0, "", (C52-D52)/ABS(D52))</f>
        <v/>
      </c>
      <c r="G52" s="14" t="inlineStr"/>
    </row>
    <row r="53">
      <c r="A53" s="17" t="inlineStr">
        <is>
          <t>Income tax liability (net)</t>
        </is>
      </c>
      <c r="B53" s="17" t="inlineStr">
        <is>
          <t>6</t>
        </is>
      </c>
      <c r="C53" s="18" t="n">
        <v>0</v>
      </c>
      <c r="D53" s="18" t="n">
        <v>0</v>
      </c>
      <c r="E53" s="18">
        <f>C53-D53</f>
        <v/>
      </c>
      <c r="F53" s="19">
        <f>IF(D53=0, "", (C53-D53)/ABS(D53))</f>
        <v/>
      </c>
      <c r="G53" s="17" t="inlineStr"/>
    </row>
    <row r="54">
      <c r="A54" s="21" t="inlineStr">
        <is>
          <t>Total current liabilities</t>
        </is>
      </c>
      <c r="B54" s="21" t="inlineStr"/>
      <c r="C54" s="22" t="n">
        <v>0.01</v>
      </c>
      <c r="D54" s="22" t="n">
        <v>0.01</v>
      </c>
      <c r="E54" s="22">
        <f>C54-D54</f>
        <v/>
      </c>
      <c r="F54" s="23">
        <f>IF(D54=0, "", (C54-D54)/ABS(D54))</f>
        <v/>
      </c>
      <c r="G54" s="21" t="inlineStr"/>
    </row>
    <row r="55">
      <c r="A55" s="17" t="inlineStr">
        <is>
          <t>Liabilities directly assosciated with the asset held for sale</t>
        </is>
      </c>
      <c r="B55" s="17" t="inlineStr"/>
      <c r="C55" s="18" t="n">
        <v>0</v>
      </c>
      <c r="D55" s="18" t="n">
        <v>0</v>
      </c>
      <c r="E55" s="18">
        <f>C55-D55</f>
        <v/>
      </c>
      <c r="F55" s="19">
        <f>IF(D55=0, "", (C55-D55)/ABS(D55))</f>
        <v/>
      </c>
      <c r="G55" s="17" t="inlineStr"/>
    </row>
    <row r="56">
      <c r="A56" s="11" t="inlineStr">
        <is>
          <t>Total equity and liabilities</t>
        </is>
      </c>
      <c r="B56" s="11" t="inlineStr"/>
      <c r="C56" s="12" t="n">
        <v>0.08</v>
      </c>
      <c r="D56" s="12" t="n">
        <v>0.08</v>
      </c>
      <c r="E56" s="12">
        <f>C56-D56</f>
        <v/>
      </c>
      <c r="F56" s="26">
        <f>IF(D56=0, "", (C56-D56)/ABS(D56))</f>
        <v/>
      </c>
      <c r="G56" s="11" t="inlineStr"/>
    </row>
    <row r="57">
      <c r="A57" s="14" t="inlineStr"/>
      <c r="B57" s="14" t="inlineStr"/>
      <c r="C57" s="15" t="n">
        <v>-0</v>
      </c>
      <c r="D57" s="15" t="n">
        <v>-0</v>
      </c>
      <c r="E57" s="15">
        <f>C57-D57</f>
        <v/>
      </c>
      <c r="F57" s="16">
        <f>IF(D57=0, "", (C57-D57)/ABS(D57))</f>
        <v/>
      </c>
      <c r="G57" s="14" t="inlineStr"/>
    </row>
    <row r="58">
      <c r="A58" s="17" t="inlineStr">
        <is>
          <t>Summary of material accounting policies</t>
        </is>
      </c>
      <c r="B58" s="17" t="inlineStr">
        <is>
          <t>2</t>
        </is>
      </c>
      <c r="C58" s="18" t="n">
        <v>0</v>
      </c>
      <c r="D58" s="18" t="n">
        <v>0</v>
      </c>
      <c r="E58" s="18">
        <f>C58-D58</f>
        <v/>
      </c>
      <c r="F58" s="19">
        <f>IF(D58=0, "", (C58-D58)/ABS(D58))</f>
        <v/>
      </c>
      <c r="G58" s="17" t="inlineStr"/>
    </row>
    <row r="59">
      <c r="A59" s="14" t="inlineStr"/>
      <c r="B59" s="14" t="inlineStr"/>
      <c r="C59" s="15" t="n">
        <v>-0</v>
      </c>
      <c r="D59" s="15" t="n">
        <v>-0</v>
      </c>
      <c r="E59" s="15">
        <f>C59-D59</f>
        <v/>
      </c>
      <c r="F59" s="16">
        <f>IF(D59=0, "", (C59-D59)/ABS(D59))</f>
        <v/>
      </c>
      <c r="G59" s="14" t="inlineStr"/>
    </row>
    <row r="60">
      <c r="A60" s="14" t="inlineStr">
        <is>
          <t>The accompanying notes form an integral part of the financial statements</t>
        </is>
      </c>
      <c r="B60" s="14" t="inlineStr"/>
      <c r="C60" s="15" t="n">
        <v>0</v>
      </c>
      <c r="D60" s="15" t="n">
        <v>0</v>
      </c>
      <c r="E60" s="15">
        <f>C60-D60</f>
        <v/>
      </c>
      <c r="F60" s="20">
        <f>IF(D60=0, "", (C60-D60)/ABS(D60))</f>
        <v/>
      </c>
      <c r="G60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6" customWidth="1" min="5" max="5"/>
    <col width="12" customWidth="1" min="6" max="6"/>
    <col width="45" customWidth="1" min="7" max="7"/>
  </cols>
  <sheetData>
    <row r="1">
      <c r="A1" s="6" t="inlineStr">
        <is>
          <t>Firm Name:</t>
        </is>
      </c>
      <c r="C1" s="7" t="inlineStr">
        <is>
          <t>WCC</t>
        </is>
      </c>
      <c r="F1" s="8" t="inlineStr">
        <is>
          <t>Legends</t>
        </is>
      </c>
    </row>
    <row r="2">
      <c r="A2" s="6" t="inlineStr">
        <is>
          <t>Client Name:</t>
        </is>
      </c>
      <c r="C2" s="7" t="inlineStr">
        <is>
          <t>Eviden IT</t>
        </is>
      </c>
      <c r="F2" s="8" t="inlineStr">
        <is>
          <t>a</t>
        </is>
      </c>
      <c r="G2" s="7" t="inlineStr">
        <is>
          <t>Traced to Financials for the year ended 31 March 2024</t>
        </is>
      </c>
    </row>
    <row r="3">
      <c r="A3" s="6" t="inlineStr">
        <is>
          <t>Analysis of Statement of Profit and Loss</t>
        </is>
      </c>
      <c r="F3" s="8" t="inlineStr">
        <is>
          <t>b</t>
        </is>
      </c>
      <c r="G3" s="7" t="inlineStr">
        <is>
          <t>Traced to Financials for the year ended 31 March 2025</t>
        </is>
      </c>
    </row>
    <row r="4">
      <c r="A4" s="7" t="inlineStr">
        <is>
          <t>For the Year ended 31 March 2025 vs 31 March 2024</t>
        </is>
      </c>
      <c r="F4" s="8" t="inlineStr">
        <is>
          <t>e</t>
        </is>
      </c>
      <c r="G4" s="7" t="inlineStr">
        <is>
          <t>Recomputed</t>
        </is>
      </c>
    </row>
    <row r="5">
      <c r="A5" s="7" t="inlineStr">
        <is>
          <t>(Rs. In Actuals)</t>
        </is>
      </c>
      <c r="C5" s="7" t="inlineStr">
        <is>
          <t>Generated on: 10 June 2026, 14:32:21</t>
        </is>
      </c>
    </row>
    <row r="6">
      <c r="A6" s="7" t="inlineStr">
        <is>
          <t>Scope: All variances above TE and (+/-) 10% have been selected for analysis</t>
        </is>
      </c>
    </row>
    <row r="7">
      <c r="C7" s="9" t="inlineStr">
        <is>
          <t>b</t>
        </is>
      </c>
      <c r="D7" s="9" t="inlineStr">
        <is>
          <t>a</t>
        </is>
      </c>
      <c r="E7" s="9" t="inlineStr">
        <is>
          <t>e</t>
        </is>
      </c>
      <c r="F7" s="9" t="inlineStr">
        <is>
          <t>e</t>
        </is>
      </c>
    </row>
    <row r="8">
      <c r="A8" s="10" t="inlineStr">
        <is>
          <t>Particulars</t>
        </is>
      </c>
      <c r="B8" s="10" t="inlineStr">
        <is>
          <t>Note number</t>
        </is>
      </c>
      <c r="C8" s="10" t="inlineStr">
        <is>
          <t>For the Year ended
31 March 2025</t>
        </is>
      </c>
      <c r="D8" s="10" t="inlineStr">
        <is>
          <t>For the Year ended
31 March 2024</t>
        </is>
      </c>
      <c r="E8" s="10" t="inlineStr">
        <is>
          <t>Absolute Variance</t>
        </is>
      </c>
      <c r="F8" s="10" t="inlineStr">
        <is>
          <t>Variance 
%</t>
        </is>
      </c>
      <c r="G8" s="10" t="inlineStr">
        <is>
          <t>Remarks</t>
        </is>
      </c>
    </row>
    <row r="9">
      <c r="A9" s="14" t="inlineStr">
        <is>
          <t>Revenue from operations</t>
        </is>
      </c>
      <c r="B9" s="14" t="inlineStr">
        <is>
          <t>16</t>
        </is>
      </c>
      <c r="C9" s="15" t="n">
        <v>0.03</v>
      </c>
      <c r="D9" s="15" t="n">
        <v>0.05</v>
      </c>
      <c r="E9" s="15">
        <f>C9-D9</f>
        <v/>
      </c>
      <c r="F9" s="16">
        <f>IF(D9=0, "", (C9-D9)/ABS(D9))</f>
        <v/>
      </c>
      <c r="G9" s="14" t="inlineStr"/>
    </row>
    <row r="10">
      <c r="A10" s="14" t="inlineStr">
        <is>
          <t>Other income</t>
        </is>
      </c>
      <c r="B10" s="14" t="inlineStr">
        <is>
          <t>17</t>
        </is>
      </c>
      <c r="C10" s="15" t="n">
        <v>0</v>
      </c>
      <c r="D10" s="15" t="n">
        <v>0.01</v>
      </c>
      <c r="E10" s="15">
        <f>C10-D10</f>
        <v/>
      </c>
      <c r="F10" s="16">
        <f>IF(D10=0, "", (C10-D10)/ABS(D10))</f>
        <v/>
      </c>
      <c r="G10" s="14" t="inlineStr"/>
    </row>
    <row r="11">
      <c r="A11" s="21" t="inlineStr">
        <is>
          <t>Total income</t>
        </is>
      </c>
      <c r="B11" s="21" t="inlineStr"/>
      <c r="C11" s="22" t="n">
        <v>0.04</v>
      </c>
      <c r="D11" s="22" t="n">
        <v>0.05</v>
      </c>
      <c r="E11" s="22">
        <f>C11-D11</f>
        <v/>
      </c>
      <c r="F11" s="23">
        <f>IF(D11=0, "", (C11-D11)/ABS(D11))</f>
        <v/>
      </c>
      <c r="G11" s="21" t="inlineStr"/>
    </row>
    <row r="12">
      <c r="A12" s="11" t="inlineStr">
        <is>
          <t>Expenses</t>
        </is>
      </c>
      <c r="B12" s="11" t="inlineStr"/>
      <c r="C12" s="12" t="n">
        <v>0</v>
      </c>
      <c r="D12" s="12" t="n">
        <v>0</v>
      </c>
      <c r="E12" s="12">
        <f>C12-D12</f>
        <v/>
      </c>
      <c r="F12" s="13">
        <f>IF(D12=0, "", (C12-D12)/ABS(D12))</f>
        <v/>
      </c>
      <c r="G12" s="11" t="inlineStr"/>
    </row>
    <row r="13">
      <c r="A13" s="14" t="inlineStr">
        <is>
          <t>Employee benefits expense</t>
        </is>
      </c>
      <c r="B13" s="14" t="inlineStr">
        <is>
          <t>18</t>
        </is>
      </c>
      <c r="C13" s="15" t="n">
        <v>0.02</v>
      </c>
      <c r="D13" s="15" t="n">
        <v>0.02</v>
      </c>
      <c r="E13" s="15">
        <f>C13-D13</f>
        <v/>
      </c>
      <c r="F13" s="16">
        <f>IF(D13=0, "", (C13-D13)/ABS(D13))</f>
        <v/>
      </c>
      <c r="G13" s="14" t="inlineStr"/>
    </row>
    <row r="14">
      <c r="A14" s="14" t="inlineStr">
        <is>
          <t>Depreciation, amortization and impairment</t>
        </is>
      </c>
      <c r="B14" s="14" t="inlineStr">
        <is>
          <t>3</t>
        </is>
      </c>
      <c r="C14" s="15" t="n">
        <v>0</v>
      </c>
      <c r="D14" s="15" t="n">
        <v>0</v>
      </c>
      <c r="E14" s="15">
        <f>C14-D14</f>
        <v/>
      </c>
      <c r="F14" s="16">
        <f>IF(D14=0, "", (C14-D14)/ABS(D14))</f>
        <v/>
      </c>
      <c r="G14" s="14" t="inlineStr"/>
    </row>
    <row r="15">
      <c r="A15" s="14" t="inlineStr">
        <is>
          <t>Finance cost</t>
        </is>
      </c>
      <c r="B15" s="14" t="inlineStr">
        <is>
          <t>20</t>
        </is>
      </c>
      <c r="C15" s="15" t="n">
        <v>0</v>
      </c>
      <c r="D15" s="15" t="n">
        <v>0</v>
      </c>
      <c r="E15" s="15">
        <f>C15-D15</f>
        <v/>
      </c>
      <c r="F15" s="16">
        <f>IF(D15=0, "", (C15-D15)/ABS(D15))</f>
        <v/>
      </c>
      <c r="G15" s="14" t="inlineStr"/>
    </row>
    <row r="16">
      <c r="A16" s="14" t="inlineStr">
        <is>
          <t>Other expenses</t>
        </is>
      </c>
      <c r="B16" s="14" t="inlineStr">
        <is>
          <t>21</t>
        </is>
      </c>
      <c r="C16" s="15" t="n">
        <v>0.01</v>
      </c>
      <c r="D16" s="15" t="n">
        <v>0.02</v>
      </c>
      <c r="E16" s="15">
        <f>C16-D16</f>
        <v/>
      </c>
      <c r="F16" s="16">
        <f>IF(D16=0, "", (C16-D16)/ABS(D16))</f>
        <v/>
      </c>
      <c r="G16" s="14" t="inlineStr"/>
    </row>
    <row r="17">
      <c r="A17" s="21" t="inlineStr">
        <is>
          <t>Total expenses</t>
        </is>
      </c>
      <c r="B17" s="21" t="inlineStr"/>
      <c r="C17" s="22" t="n">
        <v>0.03</v>
      </c>
      <c r="D17" s="22" t="n">
        <v>0.05</v>
      </c>
      <c r="E17" s="22">
        <f>C17-D17</f>
        <v/>
      </c>
      <c r="F17" s="23">
        <f>IF(D17=0, "", (C17-D17)/ABS(D17))</f>
        <v/>
      </c>
      <c r="G17" s="21" t="inlineStr"/>
    </row>
    <row r="18">
      <c r="A18" s="21" t="inlineStr">
        <is>
          <t>Profit / (Loss) before exceptional and extraordinary items and tax</t>
        </is>
      </c>
      <c r="B18" s="21" t="inlineStr"/>
      <c r="C18" s="22" t="n">
        <v>0.01</v>
      </c>
      <c r="D18" s="22" t="n">
        <v>0.01</v>
      </c>
      <c r="E18" s="22">
        <f>C18-D18</f>
        <v/>
      </c>
      <c r="F18" s="23">
        <f>IF(D18=0, "", (C18-D18)/ABS(D18))</f>
        <v/>
      </c>
      <c r="G18" s="21" t="inlineStr"/>
    </row>
    <row r="19">
      <c r="A19" s="17" t="inlineStr">
        <is>
          <t>Exceptional item</t>
        </is>
      </c>
      <c r="B19" s="17" t="inlineStr"/>
      <c r="C19" s="18" t="n">
        <v>0</v>
      </c>
      <c r="D19" s="18" t="n">
        <v>0</v>
      </c>
      <c r="E19" s="18">
        <f>C19-D19</f>
        <v/>
      </c>
      <c r="F19" s="19">
        <f>IF(D19=0, "", (C19-D19)/ABS(D19))</f>
        <v/>
      </c>
      <c r="G19" s="17" t="inlineStr"/>
    </row>
    <row r="20">
      <c r="A20" s="21" t="inlineStr">
        <is>
          <t>Profit for the year before tax</t>
        </is>
      </c>
      <c r="B20" s="21" t="inlineStr"/>
      <c r="C20" s="22" t="n">
        <v>0.01</v>
      </c>
      <c r="D20" s="22" t="n">
        <v>0.01</v>
      </c>
      <c r="E20" s="22">
        <f>C20-D20</f>
        <v/>
      </c>
      <c r="F20" s="23">
        <f>IF(D20=0, "", (C20-D20)/ABS(D20))</f>
        <v/>
      </c>
      <c r="G20" s="21" t="inlineStr"/>
    </row>
    <row r="21">
      <c r="A21" s="11" t="inlineStr">
        <is>
          <t>Tax expenses</t>
        </is>
      </c>
      <c r="B21" s="11" t="inlineStr"/>
      <c r="C21" s="12" t="n">
        <v>0</v>
      </c>
      <c r="D21" s="12" t="n">
        <v>0</v>
      </c>
      <c r="E21" s="12">
        <f>C21-D21</f>
        <v/>
      </c>
      <c r="F21" s="13">
        <f>IF(D21=0, "", (C21-D21)/ABS(D21))</f>
        <v/>
      </c>
      <c r="G21" s="11" t="inlineStr"/>
    </row>
    <row r="22">
      <c r="A22" s="14" t="inlineStr">
        <is>
          <t>Current tax</t>
        </is>
      </c>
      <c r="B22" s="14" t="inlineStr">
        <is>
          <t>6</t>
        </is>
      </c>
      <c r="C22" s="15" t="n">
        <v>0</v>
      </c>
      <c r="D22" s="15" t="n">
        <v>0.01</v>
      </c>
      <c r="E22" s="15">
        <f>C22-D22</f>
        <v/>
      </c>
      <c r="F22" s="16">
        <f>IF(D22=0, "", (C22-D22)/ABS(D22))</f>
        <v/>
      </c>
      <c r="G22" s="14" t="inlineStr"/>
    </row>
    <row r="23">
      <c r="A23" s="17" t="inlineStr">
        <is>
          <t>Taxes for earlier years</t>
        </is>
      </c>
      <c r="B23" s="17" t="inlineStr"/>
      <c r="C23" s="18" t="n">
        <v>0</v>
      </c>
      <c r="D23" s="18" t="n">
        <v>0</v>
      </c>
      <c r="E23" s="18">
        <f>C23-D23</f>
        <v/>
      </c>
      <c r="F23" s="19">
        <f>IF(D23=0, "", (C23-D23)/ABS(D23))</f>
        <v/>
      </c>
      <c r="G23" s="17" t="inlineStr"/>
    </row>
    <row r="24">
      <c r="A24" s="14" t="inlineStr">
        <is>
          <t>Taxes for earlier years</t>
        </is>
      </c>
      <c r="B24" s="14" t="inlineStr"/>
      <c r="C24" s="15" t="n">
        <v>-0</v>
      </c>
      <c r="D24" s="15" t="n">
        <v>0</v>
      </c>
      <c r="E24" s="15">
        <f>C24-D24</f>
        <v/>
      </c>
      <c r="F24" s="28">
        <f>IF(D24=0, "", (C24-D24)/ABS(D24))</f>
        <v/>
      </c>
      <c r="G24" s="14" t="inlineStr"/>
    </row>
    <row r="25">
      <c r="A25" s="14" t="inlineStr">
        <is>
          <t>Deferred tax charge/ (credit)</t>
        </is>
      </c>
      <c r="B25" s="14" t="inlineStr">
        <is>
          <t>6</t>
        </is>
      </c>
      <c r="C25" s="15" t="n">
        <v>-0</v>
      </c>
      <c r="D25" s="15" t="n">
        <v>0.01</v>
      </c>
      <c r="E25" s="15">
        <f>C25-D25</f>
        <v/>
      </c>
      <c r="F25" s="16">
        <f>IF(D25=0, "", (C25-D25)/ABS(D25))</f>
        <v/>
      </c>
      <c r="G25" s="14" t="inlineStr"/>
    </row>
    <row r="26">
      <c r="A26" s="21" t="inlineStr">
        <is>
          <t>Total tax expenses</t>
        </is>
      </c>
      <c r="B26" s="21" t="inlineStr"/>
      <c r="C26" s="22" t="n">
        <v>-0</v>
      </c>
      <c r="D26" s="22" t="n">
        <v>0.02</v>
      </c>
      <c r="E26" s="22">
        <f>C26-D26</f>
        <v/>
      </c>
      <c r="F26" s="23">
        <f>IF(D26=0, "", (C26-D26)/ABS(D26))</f>
        <v/>
      </c>
      <c r="G26" s="21" t="inlineStr"/>
    </row>
    <row r="27">
      <c r="A27" s="21" t="inlineStr">
        <is>
          <t>Profit/(Loss) after tax (A)</t>
        </is>
      </c>
      <c r="B27" s="21" t="inlineStr"/>
      <c r="C27" s="22" t="n">
        <v>0.01</v>
      </c>
      <c r="D27" s="22" t="n">
        <v>-0.01</v>
      </c>
      <c r="E27" s="22">
        <f>C27-D27</f>
        <v/>
      </c>
      <c r="F27" s="25">
        <f>IF(D27=0, "", (C27-D27)/ABS(D27))</f>
        <v/>
      </c>
      <c r="G27" s="21" t="inlineStr"/>
    </row>
    <row r="28">
      <c r="A28" s="11" t="inlineStr">
        <is>
          <t>Other comprehensive income not to be reclassified to profit or loss in subsequent periods:</t>
        </is>
      </c>
      <c r="B28" s="11" t="inlineStr"/>
      <c r="C28" s="12" t="n">
        <v>0</v>
      </c>
      <c r="D28" s="12" t="n">
        <v>0</v>
      </c>
      <c r="E28" s="12">
        <f>C28-D28</f>
        <v/>
      </c>
      <c r="F28" s="13">
        <f>IF(D28=0, "", (C28-D28)/ABS(D28))</f>
        <v/>
      </c>
      <c r="G28" s="11" t="inlineStr"/>
    </row>
    <row r="29">
      <c r="A29" s="14" t="inlineStr">
        <is>
          <t>- Remeasurements of post-employment benefit obligation liability</t>
        </is>
      </c>
      <c r="B29" s="14" t="inlineStr"/>
      <c r="C29" s="15" t="n">
        <v>-0</v>
      </c>
      <c r="D29" s="15" t="n">
        <v>0</v>
      </c>
      <c r="E29" s="15">
        <f>C29-D29</f>
        <v/>
      </c>
      <c r="F29" s="16">
        <f>IF(D29=0, "", (C29-D29)/ABS(D29))</f>
        <v/>
      </c>
      <c r="G29" s="14" t="inlineStr"/>
    </row>
    <row r="30">
      <c r="A30" s="14" t="inlineStr">
        <is>
          <t>-  Income tax effect</t>
        </is>
      </c>
      <c r="B30" s="14" t="inlineStr"/>
      <c r="C30" s="15" t="n">
        <v>0</v>
      </c>
      <c r="D30" s="15" t="n">
        <v>-0</v>
      </c>
      <c r="E30" s="15">
        <f>C30-D30</f>
        <v/>
      </c>
      <c r="F30" s="20">
        <f>IF(D30=0, "", (C30-D30)/ABS(D30))</f>
        <v/>
      </c>
      <c r="G30" s="14" t="inlineStr"/>
    </row>
    <row r="31">
      <c r="A31" s="21" t="inlineStr">
        <is>
          <t>Other comprehensive income/ (loss) for the year, net of tax  (B)</t>
        </is>
      </c>
      <c r="B31" s="21" t="inlineStr"/>
      <c r="C31" s="22" t="n">
        <v>-0</v>
      </c>
      <c r="D31" s="22" t="n">
        <v>0</v>
      </c>
      <c r="E31" s="22">
        <f>C31-D31</f>
        <v/>
      </c>
      <c r="F31" s="23">
        <f>IF(D31=0, "", (C31-D31)/ABS(D31))</f>
        <v/>
      </c>
      <c r="G31" s="21" t="inlineStr"/>
    </row>
    <row r="32">
      <c r="A32" s="21" t="inlineStr">
        <is>
          <t>Total comprehensive Income/(loss) for the year, net of tax (A+B)</t>
        </is>
      </c>
      <c r="B32" s="21" t="inlineStr"/>
      <c r="C32" s="22" t="n">
        <v>0.01</v>
      </c>
      <c r="D32" s="22" t="n">
        <v>-0.01</v>
      </c>
      <c r="E32" s="22">
        <f>C32-D32</f>
        <v/>
      </c>
      <c r="F32" s="25">
        <f>IF(D32=0, "", (C32-D32)/ABS(D32))</f>
        <v/>
      </c>
      <c r="G32" s="21" t="inlineStr"/>
    </row>
    <row r="33">
      <c r="A33" s="17" t="inlineStr">
        <is>
          <t>Basis earnings per equity share (₹)</t>
        </is>
      </c>
      <c r="B33" s="17" t="inlineStr">
        <is>
          <t>28</t>
        </is>
      </c>
      <c r="C33" s="18" t="n">
        <v>0</v>
      </c>
      <c r="D33" s="18" t="n">
        <v>0</v>
      </c>
      <c r="E33" s="18">
        <f>C33-D33</f>
        <v/>
      </c>
      <c r="F33" s="19">
        <f>IF(D33=0, "", (C33-D33)/ABS(D33))</f>
        <v/>
      </c>
      <c r="G33" s="17" t="inlineStr"/>
    </row>
    <row r="34">
      <c r="A34" s="17" t="inlineStr">
        <is>
          <t>Diluted earning per equity share (₹)</t>
        </is>
      </c>
      <c r="B34" s="17" t="inlineStr"/>
      <c r="C34" s="18" t="n">
        <v>0</v>
      </c>
      <c r="D34" s="18" t="n">
        <v>0</v>
      </c>
      <c r="E34" s="18">
        <f>C34-D34</f>
        <v/>
      </c>
      <c r="F34" s="19">
        <f>IF(D34=0, "", (C34-D34)/ABS(D34))</f>
        <v/>
      </c>
      <c r="G34" s="17" t="inlineStr"/>
    </row>
    <row r="35">
      <c r="A35" s="17" t="inlineStr">
        <is>
          <t>(Face value of ₹ 10 each) considered for working diluted EPS</t>
        </is>
      </c>
      <c r="B35" s="17" t="inlineStr"/>
      <c r="C35" s="18" t="n">
        <v>0</v>
      </c>
      <c r="D35" s="18" t="n">
        <v>0</v>
      </c>
      <c r="E35" s="18">
        <f>C35-D35</f>
        <v/>
      </c>
      <c r="F35" s="19">
        <f>IF(D35=0, "", (C35-D35)/ABS(D35))</f>
        <v/>
      </c>
      <c r="G35" s="17" t="inlineStr"/>
    </row>
    <row r="36">
      <c r="A36" s="17" t="inlineStr">
        <is>
          <t>Summary of material accounting policies</t>
        </is>
      </c>
      <c r="B36" s="17" t="inlineStr">
        <is>
          <t>2</t>
        </is>
      </c>
      <c r="C36" s="18" t="n">
        <v>0</v>
      </c>
      <c r="D36" s="18" t="n">
        <v>0</v>
      </c>
      <c r="E36" s="18">
        <f>C36-D36</f>
        <v/>
      </c>
      <c r="F36" s="19">
        <f>IF(D36=0, "", (C36-D36)/ABS(D36))</f>
        <v/>
      </c>
      <c r="G36" s="17" t="inlineStr"/>
    </row>
    <row r="37">
      <c r="A37" s="17" t="inlineStr">
        <is>
          <t>The accompanying notes form an integral part of the financial statements</t>
        </is>
      </c>
      <c r="B37" s="17" t="inlineStr"/>
      <c r="C37" s="18" t="n">
        <v>0</v>
      </c>
      <c r="D37" s="18" t="n">
        <v>0</v>
      </c>
      <c r="E37" s="18">
        <f>C37-D37</f>
        <v/>
      </c>
      <c r="F37" s="19">
        <f>IF(D37=0, "", (C37-D37)/ABS(D37))</f>
        <v/>
      </c>
      <c r="G37" s="17" t="inlineStr"/>
    </row>
    <row r="38">
      <c r="A38" s="17" t="inlineStr">
        <is>
          <t>As per our report of even date attached.</t>
        </is>
      </c>
      <c r="B38" s="17" t="inlineStr"/>
      <c r="C38" s="18" t="n">
        <v>0</v>
      </c>
      <c r="D38" s="18" t="n">
        <v>0</v>
      </c>
      <c r="E38" s="18">
        <f>C38-D38</f>
        <v/>
      </c>
      <c r="F38" s="19">
        <f>IF(D38=0, "", (C38-D38)/ABS(D38))</f>
        <v/>
      </c>
      <c r="G38" s="17" t="inlineStr"/>
    </row>
    <row r="39">
      <c r="A39" s="11" t="inlineStr">
        <is>
          <t>For Walker Chandiok &amp; Co LLP</t>
        </is>
      </c>
      <c r="B39" s="11" t="inlineStr">
        <is>
          <t>For and on behalf of the Board of Directors of</t>
        </is>
      </c>
      <c r="C39" s="12" t="n">
        <v>0</v>
      </c>
      <c r="D39" s="12" t="n">
        <v>0</v>
      </c>
      <c r="E39" s="12">
        <f>C39-D39</f>
        <v/>
      </c>
      <c r="F39" s="13">
        <f>IF(D39=0, "", (C39-D39)/ABS(D39))</f>
        <v/>
      </c>
      <c r="G39" s="11" t="inlineStr"/>
    </row>
    <row r="40">
      <c r="A40" s="17" t="inlineStr">
        <is>
          <t>Chartered Accountants</t>
        </is>
      </c>
      <c r="B40" s="17" t="inlineStr"/>
      <c r="C40" s="18" t="n">
        <v>0</v>
      </c>
      <c r="D40" s="18" t="n">
        <v>0</v>
      </c>
      <c r="E40" s="18">
        <f>C40-D40</f>
        <v/>
      </c>
      <c r="F40" s="19">
        <f>IF(D40=0, "", (C40-D40)/ABS(D40))</f>
        <v/>
      </c>
      <c r="G40" s="17" t="inlineStr"/>
    </row>
    <row r="41">
      <c r="A41" s="17" t="inlineStr">
        <is>
          <t>Firm's Registration No: 001076N/N500013</t>
        </is>
      </c>
      <c r="B41" s="17" t="inlineStr"/>
      <c r="C41" s="18" t="n">
        <v>0</v>
      </c>
      <c r="D41" s="18" t="n">
        <v>0</v>
      </c>
      <c r="E41" s="18">
        <f>C41-D41</f>
        <v/>
      </c>
      <c r="F41" s="19">
        <f>IF(D41=0, "", (C41-D41)/ABS(D41))</f>
        <v/>
      </c>
      <c r="G41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5" customWidth="1" min="3" max="3"/>
    <col width="16" customWidth="1" min="4" max="4"/>
    <col width="16" customWidth="1" min="5" max="5"/>
    <col width="14" customWidth="1" min="6" max="6"/>
    <col width="45" customWidth="1" min="7" max="7"/>
  </cols>
  <sheetData>
    <row r="1">
      <c r="B1" s="6" t="inlineStr">
        <is>
          <t>Firm:</t>
        </is>
      </c>
      <c r="C1" s="7" t="inlineStr">
        <is>
          <t>WCC</t>
        </is>
      </c>
    </row>
    <row r="2">
      <c r="B2" s="6" t="inlineStr">
        <is>
          <t>Client:</t>
        </is>
      </c>
      <c r="C2" s="7" t="inlineStr">
        <is>
          <t>Eviden IT</t>
        </is>
      </c>
    </row>
    <row r="3">
      <c r="B3" s="6" t="inlineStr">
        <is>
          <t>Ratio Analysis</t>
        </is>
      </c>
    </row>
    <row r="4">
      <c r="B4" s="7" t="inlineStr">
        <is>
          <t>As at 31 March 2025 vs 31 March 2024</t>
        </is>
      </c>
      <c r="D4" s="7" t="inlineStr">
        <is>
          <t>Generated on: 10 June 2026, 14:32:21</t>
        </is>
      </c>
    </row>
    <row r="5">
      <c r="B5" s="7" t="inlineStr">
        <is>
          <t>Scope: Percentage variance of +/- 10% have been selected for analysis</t>
        </is>
      </c>
    </row>
    <row r="7">
      <c r="A7" s="10" t="inlineStr"/>
      <c r="B7" s="10" t="inlineStr">
        <is>
          <t>KEY METRIC</t>
        </is>
      </c>
      <c r="C7" s="10" t="inlineStr">
        <is>
          <t>FORMULA</t>
        </is>
      </c>
      <c r="D7" s="10" t="inlineStr">
        <is>
          <t>2025-26 (CY)</t>
        </is>
      </c>
      <c r="E7" s="10" t="inlineStr">
        <is>
          <t>2024-25 (PY)</t>
        </is>
      </c>
      <c r="F7" s="10" t="inlineStr">
        <is>
          <t>CHANGE (%)</t>
        </is>
      </c>
      <c r="G7" s="10" t="inlineStr">
        <is>
          <t>REMARKS</t>
        </is>
      </c>
    </row>
    <row r="8">
      <c r="A8" s="14" t="n"/>
      <c r="B8" s="21" t="inlineStr">
        <is>
          <t>Debt Equity Ratio</t>
        </is>
      </c>
      <c r="C8" s="14" t="inlineStr">
        <is>
          <t>(Long-Term Borrowings + Short-Term Borrowings) / Total Equity</t>
        </is>
      </c>
      <c r="D8" s="15" t="n">
        <v>0.0931</v>
      </c>
      <c r="E8" s="15" t="n">
        <v>0.1361</v>
      </c>
      <c r="F8" s="16" t="n">
        <v>-0.3159</v>
      </c>
      <c r="G8" s="14" t="n"/>
    </row>
    <row r="9">
      <c r="A9" s="14" t="n"/>
      <c r="B9" s="21" t="inlineStr">
        <is>
          <t>Current Ratio</t>
        </is>
      </c>
      <c r="C9" s="14" t="inlineStr">
        <is>
          <t>Current Assets / Current Liabilities</t>
        </is>
      </c>
      <c r="D9" s="15" t="n">
        <v>8.2058</v>
      </c>
      <c r="E9" s="15" t="n">
        <v>4.5653</v>
      </c>
      <c r="F9" s="20" t="n">
        <v>0.7974</v>
      </c>
      <c r="G9" s="14" t="n"/>
    </row>
    <row r="10">
      <c r="A10" s="14" t="n"/>
      <c r="B10" s="21" t="inlineStr">
        <is>
          <t>GCA Days</t>
        </is>
      </c>
      <c r="C10" s="14" t="inlineStr">
        <is>
          <t>(Total Current Assets / Total Revenue) × 365</t>
        </is>
      </c>
      <c r="D10" s="15" t="n">
        <v>609.7499</v>
      </c>
      <c r="E10" s="15" t="n">
        <v>355.0167</v>
      </c>
      <c r="F10" s="20" t="n">
        <v>0.7175</v>
      </c>
      <c r="G10" s="14" t="n"/>
    </row>
    <row r="11">
      <c r="A11" s="14" t="n"/>
      <c r="B11" s="21" t="inlineStr">
        <is>
          <t>Total Outside Liab. vs Total Equity</t>
        </is>
      </c>
      <c r="C11" s="14" t="inlineStr">
        <is>
          <t>(Total Current Liabilities + Total Non-Current Liabilities) / Total Equity</t>
        </is>
      </c>
      <c r="D11" s="15" t="n">
        <v>0.1316</v>
      </c>
      <c r="E11" s="15" t="n">
        <v>0.231</v>
      </c>
      <c r="F11" s="16" t="n">
        <v>-0.4301</v>
      </c>
      <c r="G11" s="14" t="n"/>
    </row>
    <row r="12">
      <c r="A12" s="14" t="n"/>
      <c r="B12" s="21" t="inlineStr">
        <is>
          <t>Net Profit Ratio</t>
        </is>
      </c>
      <c r="C12" s="14" t="inlineStr">
        <is>
          <t>Net Profit After Tax / Revenue from Operations × 100</t>
        </is>
      </c>
      <c r="D12" s="15" t="n">
        <v>23.8242</v>
      </c>
      <c r="E12" s="15" t="n">
        <v>-21.3338</v>
      </c>
      <c r="F12" s="20" t="n">
        <v>2.1167</v>
      </c>
      <c r="G12" s="14" t="n"/>
    </row>
    <row r="13">
      <c r="A13" s="14" t="n"/>
      <c r="B13" s="21" t="inlineStr">
        <is>
          <t>Return on Equity (ROE)</t>
        </is>
      </c>
      <c r="C13" s="14" t="inlineStr">
        <is>
          <t>Profit Before Tax / Average Total Equity × 100</t>
        </is>
      </c>
      <c r="D13" s="15" t="n">
        <v>10.4663</v>
      </c>
      <c r="E13" s="15" t="n">
        <v>13.8326</v>
      </c>
      <c r="F13" s="16" t="n">
        <v>-0.2434</v>
      </c>
      <c r="G13" s="14" t="n"/>
    </row>
    <row r="14">
      <c r="A14" s="14" t="n"/>
      <c r="B14" s="21" t="inlineStr">
        <is>
          <t>Return on Capital Employed (ROCE)</t>
        </is>
      </c>
      <c r="C14" s="14" t="inlineStr">
        <is>
          <t>(PBT + Finance Cost) / (Total Equity + LTB + STB) × 100</t>
        </is>
      </c>
      <c r="D14" s="15" t="n">
        <v>9.5311</v>
      </c>
      <c r="E14" s="15" t="n">
        <v>13.8198</v>
      </c>
      <c r="F14" s="16" t="n">
        <v>-0.3103</v>
      </c>
      <c r="G14" s="14" t="n"/>
    </row>
    <row r="15">
      <c r="A15" s="14" t="n"/>
      <c r="B15" s="21" t="inlineStr">
        <is>
          <t>Debtor Turnover Ratio</t>
        </is>
      </c>
      <c r="C15" s="14" t="inlineStr">
        <is>
          <t>Revenue from Operations / Average Trade Receivables</t>
        </is>
      </c>
      <c r="D15" s="15" t="n">
        <v>0.7368</v>
      </c>
      <c r="E15" s="15" t="n">
        <v>1.23</v>
      </c>
      <c r="F15" s="16" t="n">
        <v>-0.401</v>
      </c>
      <c r="G15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B1" s="6" t="inlineStr">
        <is>
          <t>Key Metrics Dashboard</t>
        </is>
      </c>
    </row>
    <row r="2">
      <c r="B2" s="6" t="inlineStr">
        <is>
          <t>Firm: WCC</t>
        </is>
      </c>
    </row>
    <row r="3">
      <c r="B3" s="6" t="inlineStr">
        <is>
          <t>Client: Eviden IT — FY 2025</t>
        </is>
      </c>
    </row>
    <row r="4">
      <c r="B4" s="7" t="inlineStr">
        <is>
          <t>(Rs. in Actuals)</t>
        </is>
      </c>
      <c r="D4" s="7" t="inlineStr">
        <is>
          <t>Generated on: 10 June 2026, 14:32:21</t>
        </is>
      </c>
    </row>
    <row r="6">
      <c r="A6" s="29" t="inlineStr"/>
      <c r="B6" s="29" t="inlineStr">
        <is>
          <t>Metric</t>
        </is>
      </c>
      <c r="C6" s="29" t="inlineStr">
        <is>
          <t>CY (2025)</t>
        </is>
      </c>
      <c r="D6" s="29" t="inlineStr">
        <is>
          <t>PY (2024)</t>
        </is>
      </c>
      <c r="E6" s="29" t="inlineStr">
        <is>
          <t>Variance</t>
        </is>
      </c>
    </row>
    <row r="7">
      <c r="A7" s="3" t="n"/>
      <c r="B7" s="30" t="inlineStr">
        <is>
          <t>Total Revenue</t>
        </is>
      </c>
      <c r="C7" s="31" t="n">
        <v>0.04</v>
      </c>
      <c r="D7" s="31" t="n">
        <v>0.05</v>
      </c>
      <c r="E7" s="31">
        <f>C7-D7</f>
        <v/>
      </c>
    </row>
    <row r="8">
      <c r="A8" s="3" t="n"/>
      <c r="B8" s="30" t="inlineStr">
        <is>
          <t>Total Expenses</t>
        </is>
      </c>
      <c r="C8" s="31" t="n">
        <v>0.03</v>
      </c>
      <c r="D8" s="31" t="n">
        <v>0.05</v>
      </c>
      <c r="E8" s="31">
        <f>C8-D8</f>
        <v/>
      </c>
    </row>
    <row r="9">
      <c r="A9" s="3" t="n"/>
      <c r="B9" s="30" t="inlineStr">
        <is>
          <t>Profit Before Tax</t>
        </is>
      </c>
      <c r="C9" s="31" t="n">
        <v>0</v>
      </c>
      <c r="D9" s="31" t="n">
        <v>0</v>
      </c>
      <c r="E9" s="31">
        <f>C9-D9</f>
        <v/>
      </c>
    </row>
    <row r="10">
      <c r="A10" s="3" t="n"/>
      <c r="B10" s="30" t="inlineStr">
        <is>
          <t>Total Assets</t>
        </is>
      </c>
      <c r="C10" s="31" t="n">
        <v>0.08</v>
      </c>
      <c r="D10" s="31" t="n">
        <v>0.08</v>
      </c>
      <c r="E10" s="31">
        <f>C10-D10</f>
        <v/>
      </c>
    </row>
    <row r="11">
      <c r="A11" s="3" t="n"/>
      <c r="B11" s="30" t="inlineStr">
        <is>
          <t>Total Equity</t>
        </is>
      </c>
      <c r="C11" s="31" t="n">
        <v>0.07000000000000001</v>
      </c>
      <c r="D11" s="31" t="n">
        <v>0.06</v>
      </c>
      <c r="E11" s="31">
        <f>C11-D11</f>
        <v/>
      </c>
    </row>
    <row r="12">
      <c r="A12" s="3" t="n"/>
      <c r="B12" s="30" t="inlineStr">
        <is>
          <t>Total Current Assets</t>
        </is>
      </c>
      <c r="C12" s="31" t="n">
        <v>0.06</v>
      </c>
      <c r="D12" s="31" t="n">
        <v>0.05</v>
      </c>
      <c r="E12" s="31">
        <f>C12-D12</f>
        <v/>
      </c>
    </row>
    <row r="13">
      <c r="A13" s="3" t="n"/>
      <c r="B13" s="30" t="inlineStr">
        <is>
          <t>Total Current Liabilities</t>
        </is>
      </c>
      <c r="C13" s="31" t="n">
        <v>0.01</v>
      </c>
      <c r="D13" s="31" t="n">
        <v>0.01</v>
      </c>
      <c r="E13" s="31">
        <f>C13-D13</f>
        <v/>
      </c>
    </row>
    <row r="16">
      <c r="B16" s="6" t="inlineStr">
        <is>
          <t>Key Ratios</t>
        </is>
      </c>
    </row>
    <row r="17">
      <c r="A17" s="29" t="inlineStr"/>
      <c r="B17" s="29" t="inlineStr">
        <is>
          <t>Ratio</t>
        </is>
      </c>
      <c r="C17" s="29" t="inlineStr">
        <is>
          <t>CY</t>
        </is>
      </c>
      <c r="D17" s="29" t="inlineStr">
        <is>
          <t>PY</t>
        </is>
      </c>
      <c r="E17" s="29" t="inlineStr">
        <is>
          <t>Change %</t>
        </is>
      </c>
    </row>
    <row r="18">
      <c r="A18" s="3" t="n"/>
      <c r="B18" s="17" t="inlineStr">
        <is>
          <t>Debt Equity Ratio</t>
        </is>
      </c>
      <c r="C18" s="31" t="n">
        <v>0.0931</v>
      </c>
      <c r="D18" s="31" t="n">
        <v>0.1361</v>
      </c>
      <c r="E18" s="32" t="n">
        <v>-0.3159</v>
      </c>
    </row>
    <row r="19">
      <c r="A19" s="3" t="n"/>
      <c r="B19" s="17" t="inlineStr">
        <is>
          <t>Current Ratio</t>
        </is>
      </c>
      <c r="C19" s="31" t="n">
        <v>8.2058</v>
      </c>
      <c r="D19" s="31" t="n">
        <v>4.5653</v>
      </c>
      <c r="E19" s="32" t="n">
        <v>0.7974</v>
      </c>
    </row>
    <row r="20">
      <c r="A20" s="3" t="n"/>
      <c r="B20" s="17" t="inlineStr">
        <is>
          <t>GCA Days</t>
        </is>
      </c>
      <c r="C20" s="31" t="n">
        <v>609.7499</v>
      </c>
      <c r="D20" s="31" t="n">
        <v>355.0167</v>
      </c>
      <c r="E20" s="32" t="n">
        <v>0.7175</v>
      </c>
    </row>
    <row r="21">
      <c r="A21" s="3" t="n"/>
      <c r="B21" s="17" t="inlineStr">
        <is>
          <t>Total Outside Liab. vs Total Equity</t>
        </is>
      </c>
      <c r="C21" s="31" t="n">
        <v>0.1316</v>
      </c>
      <c r="D21" s="31" t="n">
        <v>0.231</v>
      </c>
      <c r="E21" s="32" t="n">
        <v>-0.4301</v>
      </c>
    </row>
    <row r="22">
      <c r="A22" s="3" t="n"/>
      <c r="B22" s="17" t="inlineStr">
        <is>
          <t>Net Profit Ratio</t>
        </is>
      </c>
      <c r="C22" s="31" t="n">
        <v>23.8242</v>
      </c>
      <c r="D22" s="31" t="n">
        <v>-21.3338</v>
      </c>
      <c r="E22" s="32" t="n">
        <v>2.1167</v>
      </c>
    </row>
    <row r="23">
      <c r="A23" s="3" t="n"/>
      <c r="B23" s="17" t="inlineStr">
        <is>
          <t>Return on Equity (ROE)</t>
        </is>
      </c>
      <c r="C23" s="31" t="n">
        <v>10.4663</v>
      </c>
      <c r="D23" s="31" t="n">
        <v>13.8326</v>
      </c>
      <c r="E23" s="32" t="n">
        <v>-0.2434</v>
      </c>
    </row>
    <row r="24">
      <c r="A24" s="3" t="n"/>
      <c r="B24" s="17" t="inlineStr">
        <is>
          <t>Return on Capital Employed (ROCE)</t>
        </is>
      </c>
      <c r="C24" s="31" t="n">
        <v>9.5311</v>
      </c>
      <c r="D24" s="31" t="n">
        <v>13.8198</v>
      </c>
      <c r="E24" s="32" t="n">
        <v>-0.3103</v>
      </c>
    </row>
    <row r="25">
      <c r="A25" s="3" t="n"/>
      <c r="B25" s="17" t="inlineStr">
        <is>
          <t>Debtor Turnover Ratio</t>
        </is>
      </c>
      <c r="C25" s="31" t="n">
        <v>0.7368</v>
      </c>
      <c r="D25" s="31" t="n">
        <v>1.23</v>
      </c>
      <c r="E25" s="32" t="n">
        <v>-0.401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6" t="inlineStr">
        <is>
          <t>Visual Analytics Dashboard</t>
        </is>
      </c>
    </row>
    <row r="3">
      <c r="B3" s="6" t="inlineStr">
        <is>
          <t>Firm: WCC</t>
        </is>
      </c>
    </row>
    <row r="4">
      <c r="B4" s="6" t="inlineStr">
        <is>
          <t>Client: Eviden IT — FY 2025</t>
        </is>
      </c>
    </row>
    <row r="5">
      <c r="B5" s="7" t="inlineStr">
        <is>
          <t>Amounts in: Rs. Actuals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2026-06-10T09:02:21Z</dcterms:created>
  <dcterms:modified xmlns:dcterms="http://purl.org/dc/terms/" xmlns:xsi="http://www.w3.org/2001/XMLSchema-instance" xsi:type="dcterms:W3CDTF">2026-06-10T09:02:21Z</dcterms:modified>
</cp:coreProperties>
</file>