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PAGE" sheetId="1" state="visible" r:id="rId1"/>
    <sheet xmlns:r="http://schemas.openxmlformats.org/officeDocument/2006/relationships" name="BS ANALYSIS" sheetId="2" state="visible" r:id="rId2"/>
    <sheet xmlns:r="http://schemas.openxmlformats.org/officeDocument/2006/relationships" name="P&amp;L ANALYSIS" sheetId="3" state="visible" r:id="rId3"/>
    <sheet xmlns:r="http://schemas.openxmlformats.org/officeDocument/2006/relationships" name="Notes 3-4" sheetId="4" state="visible" r:id="rId4"/>
    <sheet xmlns:r="http://schemas.openxmlformats.org/officeDocument/2006/relationships" name="Notes 5-9" sheetId="5" state="visible" r:id="rId5"/>
    <sheet xmlns:r="http://schemas.openxmlformats.org/officeDocument/2006/relationships" name="Notes 10-17" sheetId="6" state="visible" r:id="rId6"/>
    <sheet xmlns:r="http://schemas.openxmlformats.org/officeDocument/2006/relationships" name="Notes 18-26" sheetId="7" state="visible" r:id="rId7"/>
    <sheet xmlns:r="http://schemas.openxmlformats.org/officeDocument/2006/relationships" name="RATIOS &amp; RELATIONS" sheetId="8" state="visible" r:id="rId8"/>
    <sheet xmlns:r="http://schemas.openxmlformats.org/officeDocument/2006/relationships" name="Dashboard" sheetId="9" state="visible" r:id="rId9"/>
    <sheet xmlns:r="http://schemas.openxmlformats.org/officeDocument/2006/relationships" name="VISUAL ANALYTICS" sheetId="10" state="visible" r:id="rId10"/>
  </sheets>
  <definedNames/>
  <calcPr calcId="124519" calcMode="auto" fullCalcOnLoad="1"/>
</workbook>
</file>

<file path=xl/styles.xml><?xml version="1.0" encoding="utf-8"?>
<styleSheet xmlns="http://schemas.openxmlformats.org/spreadsheetml/2006/main">
  <numFmts count="1">
    <numFmt numFmtId="164" formatCode="0.0%"/>
  </numFmts>
  <fonts count="11">
    <font>
      <name val="Calibri"/>
      <family val="2"/>
      <color theme="1"/>
      <sz val="11"/>
      <scheme val="minor"/>
    </font>
    <font>
      <name val="Garamond"/>
      <b val="1"/>
      <color rgb="00FFFFFF"/>
      <sz val="14"/>
    </font>
    <font>
      <name val="Garamond"/>
      <color rgb="00000000"/>
      <sz val="12"/>
    </font>
    <font>
      <name val="Garamond"/>
      <i val="1"/>
      <color rgb="007F7F7F"/>
      <sz val="10"/>
    </font>
    <font>
      <name val="Garamond"/>
      <b val="1"/>
      <color rgb="00000000"/>
      <sz val="12"/>
    </font>
    <font>
      <name val="Accountant"/>
      <color rgb="00FF0000"/>
      <sz val="9"/>
    </font>
    <font>
      <name val="Garamond"/>
      <b val="1"/>
      <color rgb="00FFFFFF"/>
      <sz val="12"/>
    </font>
    <font>
      <name val="Garamond"/>
      <color rgb="00EF4444"/>
      <sz val="12"/>
    </font>
    <font>
      <name val="Garamond"/>
      <b val="1"/>
      <color rgb="00EF4444"/>
      <sz val="12"/>
    </font>
    <font>
      <name val="Garamond"/>
      <color rgb="0022C55E"/>
      <sz val="12"/>
    </font>
    <font>
      <name val="Garamond"/>
      <b val="1"/>
      <color rgb="0022C55E"/>
      <sz val="12"/>
    </font>
  </fonts>
  <fills count="5">
    <fill>
      <patternFill/>
    </fill>
    <fill>
      <patternFill patternType="gray125"/>
    </fill>
    <fill>
      <patternFill patternType="solid">
        <fgColor rgb="007030A0"/>
        <bgColor rgb="007030A0"/>
      </patternFill>
    </fill>
    <fill>
      <patternFill patternType="solid">
        <fgColor rgb="00F3F4F6"/>
        <bgColor rgb="00F3F4F6"/>
      </patternFill>
    </fill>
    <fill>
      <patternFill patternType="solid">
        <fgColor rgb="00FFF2CC"/>
        <bgColor rgb="00FFF2CC"/>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4">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center" vertical="center" wrapText="1"/>
    </xf>
    <xf numFmtId="0" fontId="0" fillId="0" borderId="1"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center" vertical="center" wrapText="1"/>
    </xf>
    <xf numFmtId="0" fontId="4" fillId="0" borderId="0" pivotButton="0" quotePrefix="0" xfId="0"/>
    <xf numFmtId="0" fontId="2" fillId="0" borderId="0" pivotButton="0" quotePrefix="0" xfId="0"/>
    <xf numFmtId="0" fontId="5" fillId="0" borderId="0" pivotButton="0" quotePrefix="0" xfId="0"/>
    <xf numFmtId="0" fontId="5" fillId="0" borderId="0" applyAlignment="1" pivotButton="0" quotePrefix="0" xfId="0">
      <alignment horizontal="center" vertical="center" wrapText="1"/>
    </xf>
    <xf numFmtId="0" fontId="6" fillId="2" borderId="1" applyAlignment="1" pivotButton="0" quotePrefix="0" xfId="0">
      <alignment horizontal="center" vertical="center" wrapText="1"/>
    </xf>
    <xf numFmtId="0" fontId="4" fillId="3" borderId="1" pivotButton="0" quotePrefix="0" xfId="0"/>
    <xf numFmtId="4" fontId="4" fillId="3" borderId="1" pivotButton="0" quotePrefix="0" xfId="0"/>
    <xf numFmtId="164" fontId="4" fillId="3" borderId="1" pivotButton="0" quotePrefix="0" xfId="0"/>
    <xf numFmtId="0" fontId="2" fillId="0" borderId="1" pivotButton="0" quotePrefix="0" xfId="0"/>
    <xf numFmtId="4" fontId="2" fillId="0" borderId="1" pivotButton="0" quotePrefix="0" xfId="0"/>
    <xf numFmtId="164" fontId="2" fillId="0" borderId="1" pivotButton="0" quotePrefix="0" xfId="0"/>
    <xf numFmtId="0" fontId="2" fillId="4" borderId="1" pivotButton="0" quotePrefix="0" xfId="0"/>
    <xf numFmtId="4" fontId="2" fillId="4" borderId="1" pivotButton="0" quotePrefix="0" xfId="0"/>
    <xf numFmtId="164" fontId="7" fillId="4" borderId="1" pivotButton="0" quotePrefix="0" xfId="0"/>
    <xf numFmtId="0" fontId="4" fillId="4" borderId="1" pivotButton="0" quotePrefix="0" xfId="0"/>
    <xf numFmtId="4" fontId="4" fillId="4" borderId="1" pivotButton="0" quotePrefix="0" xfId="0"/>
    <xf numFmtId="164" fontId="8" fillId="4" borderId="1" pivotButton="0" quotePrefix="0" xfId="0"/>
    <xf numFmtId="164" fontId="9" fillId="4" borderId="1" pivotButton="0" quotePrefix="0" xfId="0"/>
    <xf numFmtId="164" fontId="7" fillId="0" borderId="1" pivotButton="0" quotePrefix="0" xfId="0"/>
    <xf numFmtId="164" fontId="10" fillId="3" borderId="1" pivotButton="0" quotePrefix="0" xfId="0"/>
    <xf numFmtId="164" fontId="2" fillId="4" borderId="1" pivotButton="0" quotePrefix="0" xfId="0"/>
    <xf numFmtId="164" fontId="10" fillId="4" borderId="1" pivotButton="0" quotePrefix="0" xfId="0"/>
    <xf numFmtId="164" fontId="9" fillId="0" borderId="1" pivotButton="0" quotePrefix="0" xfId="0"/>
    <xf numFmtId="164" fontId="8" fillId="3" borderId="1" pivotButton="0" quotePrefix="0" xfId="0"/>
    <xf numFmtId="0" fontId="6" fillId="2" borderId="1" pivotButton="0" quotePrefix="0" xfId="0"/>
    <xf numFmtId="0" fontId="4" fillId="0" borderId="1" pivotButton="0" quotePrefix="0" xfId="0"/>
    <xf numFmtId="4" fontId="0" fillId="0" borderId="1" pivotButton="0" quotePrefix="0" xfId="0"/>
    <xf numFmtId="16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s>
</file>

<file path=xl/drawings/drawing1.xml><?xml version="1.0" encoding="utf-8"?>
<wsDr xmlns="http://schemas.openxmlformats.org/drawingml/2006/spreadsheetDrawing">
  <oneCellAnchor>
    <from>
      <col>1</col>
      <colOff>0</colOff>
      <row>6</row>
      <rowOff>0</rowOff>
    </from>
    <ext cx="4762500" cy="3333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8</col>
      <colOff>0</colOff>
      <row>6</row>
      <rowOff>0</rowOff>
    </from>
    <ext cx="4762500" cy="3333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28</row>
      <rowOff>0</rowOff>
    </from>
    <ext cx="4762500" cy="33337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8</col>
      <colOff>0</colOff>
      <row>28</row>
      <rowOff>0</rowOff>
    </from>
    <ext cx="4762500" cy="33337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50</row>
      <rowOff>0</rowOff>
    </from>
    <ext cx="4762500" cy="33337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8</col>
      <colOff>0</colOff>
      <row>50</row>
      <rowOff>0</rowOff>
    </from>
    <ext cx="4762500" cy="33337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2:G21"/>
  <sheetViews>
    <sheetView showGridLines="1" workbookViewId="0">
      <selection activeCell="A1" sqref="A1"/>
    </sheetView>
  </sheetViews>
  <sheetFormatPr baseColWidth="8" defaultRowHeight="15"/>
  <cols>
    <col width="4" customWidth="1" min="1" max="1"/>
    <col width="16" customWidth="1" min="2" max="2"/>
    <col width="16" customWidth="1" min="3" max="3"/>
    <col width="16" customWidth="1" min="4" max="4"/>
    <col width="16" customWidth="1" min="5" max="5"/>
    <col width="16" customWidth="1" min="6" max="6"/>
    <col width="16" customWidth="1" min="7" max="7"/>
    <col width="4" customWidth="1" min="8" max="8"/>
  </cols>
  <sheetData>
    <row r="2" ht="35" customHeight="1">
      <c r="B2" s="1" t="inlineStr">
        <is>
          <t>W</t>
        </is>
      </c>
    </row>
    <row r="4" ht="35" customHeight="1">
      <c r="B4" s="1" t="inlineStr">
        <is>
          <t>Final Analytical Report</t>
        </is>
      </c>
    </row>
    <row r="6" ht="24" customHeight="1">
      <c r="B6" s="2" t="inlineStr">
        <is>
          <t>Client: SSIPL</t>
        </is>
      </c>
      <c r="C6" s="3" t="n"/>
      <c r="D6" s="3" t="n"/>
      <c r="E6" s="3" t="n"/>
      <c r="F6" s="3" t="n"/>
      <c r="G6" s="3" t="n"/>
    </row>
    <row r="8" ht="24" customHeight="1">
      <c r="B8" s="2" t="inlineStr">
        <is>
          <t>Analysis Date: June 11, 2026</t>
        </is>
      </c>
      <c r="C8" s="3" t="n"/>
      <c r="D8" s="3" t="n"/>
      <c r="E8" s="3" t="n"/>
      <c r="F8" s="3" t="n"/>
      <c r="G8" s="3" t="n"/>
    </row>
    <row r="11" ht="35" customHeight="1">
      <c r="B11" s="1" t="inlineStr">
        <is>
          <t>Analysis Summary</t>
        </is>
      </c>
    </row>
    <row r="13" ht="24" customHeight="1">
      <c r="B13" s="4" t="inlineStr">
        <is>
          <t xml:space="preserve">  • Balance Sheet Analysis</t>
        </is>
      </c>
      <c r="C13" s="3" t="n"/>
      <c r="D13" s="3" t="n"/>
      <c r="E13" s="3" t="n"/>
      <c r="F13" s="3" t="n"/>
      <c r="G13" s="3" t="n"/>
    </row>
    <row r="14" ht="24" customHeight="1">
      <c r="B14" s="4" t="inlineStr">
        <is>
          <t xml:space="preserve">  • Profit and Loss Analysis</t>
        </is>
      </c>
      <c r="C14" s="3" t="n"/>
      <c r="D14" s="3" t="n"/>
      <c r="E14" s="3" t="n"/>
      <c r="F14" s="3" t="n"/>
      <c r="G14" s="3" t="n"/>
    </row>
    <row r="15" ht="24" customHeight="1">
      <c r="B15" s="4" t="inlineStr">
        <is>
          <t xml:space="preserve">  • Ratio and Relations Analysis</t>
        </is>
      </c>
      <c r="C15" s="3" t="n"/>
      <c r="D15" s="3" t="n"/>
      <c r="E15" s="3" t="n"/>
      <c r="F15" s="3" t="n"/>
      <c r="G15" s="3" t="n"/>
    </row>
    <row r="16" ht="24" customHeight="1">
      <c r="B16" s="4" t="inlineStr">
        <is>
          <t xml:space="preserve">  • Visual Analytics and Charts</t>
        </is>
      </c>
      <c r="C16" s="3" t="n"/>
      <c r="D16" s="3" t="n"/>
      <c r="E16" s="3" t="n"/>
      <c r="F16" s="3" t="n"/>
      <c r="G16" s="3" t="n"/>
    </row>
    <row r="17" ht="24" customHeight="1">
      <c r="B17" s="4" t="inlineStr">
        <is>
          <t xml:space="preserve">  • Year-over-Year Comparisons</t>
        </is>
      </c>
      <c r="C17" s="3" t="n"/>
      <c r="D17" s="3" t="n"/>
      <c r="E17" s="3" t="n"/>
      <c r="F17" s="3" t="n"/>
      <c r="G17" s="3" t="n"/>
    </row>
    <row r="18" ht="24" customHeight="1">
      <c r="B18" s="4" t="inlineStr">
        <is>
          <t xml:space="preserve">  • Data Validation Checks</t>
        </is>
      </c>
      <c r="C18" s="3" t="n"/>
      <c r="D18" s="3" t="n"/>
      <c r="E18" s="3" t="n"/>
      <c r="F18" s="3" t="n"/>
      <c r="G18" s="3" t="n"/>
    </row>
    <row r="21" ht="20" customHeight="1">
      <c r="B21" s="5" t="inlineStr">
        <is>
          <t>Confidential - For Internal Use Only</t>
        </is>
      </c>
    </row>
  </sheetData>
  <mergeCells count="12">
    <mergeCell ref="B2:G2"/>
    <mergeCell ref="B16:G16"/>
    <mergeCell ref="B14:G14"/>
    <mergeCell ref="B17:G17"/>
    <mergeCell ref="B8:G8"/>
    <mergeCell ref="B4:G4"/>
    <mergeCell ref="B18:G18"/>
    <mergeCell ref="B13:G13"/>
    <mergeCell ref="B21:G21"/>
    <mergeCell ref="B15:G15"/>
    <mergeCell ref="B11:G11"/>
    <mergeCell ref="B6:G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9"/>
  <sheetViews>
    <sheetView workbookViewId="0">
      <pane ySplit="8" topLeftCell="A9" activePane="bottomLeft" state="frozen"/>
      <selection pane="bottomLeft" activeCell="A1" sqref="A1"/>
    </sheetView>
  </sheetViews>
  <sheetFormatPr baseColWidth="8" defaultRowHeight="15"/>
  <cols>
    <col width="40" customWidth="1" min="1" max="1"/>
    <col width="12" customWidth="1" min="2" max="2"/>
    <col width="16" customWidth="1" min="3" max="3"/>
    <col width="16" customWidth="1" min="4" max="4"/>
    <col width="16" customWidth="1" min="5" max="5"/>
    <col width="12" customWidth="1" min="6" max="6"/>
    <col width="45" customWidth="1" min="7" max="7"/>
  </cols>
  <sheetData>
    <row r="1">
      <c r="A1" s="6" t="inlineStr">
        <is>
          <t>Firm Name:</t>
        </is>
      </c>
      <c r="C1" s="7" t="inlineStr">
        <is>
          <t>W</t>
        </is>
      </c>
      <c r="F1" s="8" t="inlineStr">
        <is>
          <t>Legends</t>
        </is>
      </c>
    </row>
    <row r="2">
      <c r="A2" s="6" t="inlineStr">
        <is>
          <t>Client Name:</t>
        </is>
      </c>
      <c r="C2" s="7" t="inlineStr">
        <is>
          <t>SSIPL</t>
        </is>
      </c>
      <c r="F2" s="8" t="inlineStr">
        <is>
          <t>a</t>
        </is>
      </c>
      <c r="G2" s="7" t="inlineStr">
        <is>
          <t>Traced to Financials for the year ended 31 March 2024</t>
        </is>
      </c>
    </row>
    <row r="3">
      <c r="A3" s="6" t="inlineStr">
        <is>
          <t>Analysis of Balance Sheet</t>
        </is>
      </c>
      <c r="F3" s="8" t="inlineStr">
        <is>
          <t>b</t>
        </is>
      </c>
      <c r="G3" s="7" t="inlineStr">
        <is>
          <t>Traced to Financials for the year ended 31 March 2025</t>
        </is>
      </c>
    </row>
    <row r="4">
      <c r="A4" s="7" t="inlineStr">
        <is>
          <t>As at 31 March 2025 vs 31 March 2024</t>
        </is>
      </c>
      <c r="F4" s="8" t="inlineStr">
        <is>
          <t>e</t>
        </is>
      </c>
      <c r="G4" s="7" t="inlineStr">
        <is>
          <t>Recomputed</t>
        </is>
      </c>
    </row>
    <row r="5">
      <c r="A5" s="7" t="inlineStr">
        <is>
          <t>(Rs. In Actuals)</t>
        </is>
      </c>
    </row>
    <row r="6">
      <c r="A6" s="7" t="inlineStr">
        <is>
          <t>Scope: All variances above TE and (+/-) 10% have been selected for analysis</t>
        </is>
      </c>
    </row>
    <row r="7">
      <c r="C7" s="9" t="inlineStr">
        <is>
          <t>b</t>
        </is>
      </c>
      <c r="D7" s="9" t="inlineStr">
        <is>
          <t>a</t>
        </is>
      </c>
      <c r="E7" s="9" t="inlineStr">
        <is>
          <t>e</t>
        </is>
      </c>
      <c r="F7" s="9" t="inlineStr">
        <is>
          <t>e</t>
        </is>
      </c>
    </row>
    <row r="8">
      <c r="A8" s="10" t="inlineStr">
        <is>
          <t>Particulars</t>
        </is>
      </c>
      <c r="B8" s="10" t="inlineStr">
        <is>
          <t>Note number</t>
        </is>
      </c>
      <c r="C8" s="10" t="inlineStr">
        <is>
          <t>As at
31 March 2025</t>
        </is>
      </c>
      <c r="D8" s="10" t="inlineStr">
        <is>
          <t>As at
31 March 2024</t>
        </is>
      </c>
      <c r="E8" s="10" t="inlineStr">
        <is>
          <t>Variance
(Absolute)</t>
        </is>
      </c>
      <c r="F8" s="10" t="inlineStr">
        <is>
          <t>Variance %</t>
        </is>
      </c>
      <c r="G8" s="10" t="inlineStr">
        <is>
          <t>Remarks</t>
        </is>
      </c>
    </row>
    <row r="9">
      <c r="A9" s="11" t="inlineStr">
        <is>
          <t>Assets</t>
        </is>
      </c>
      <c r="B9" s="11" t="inlineStr"/>
      <c r="C9" s="12" t="inlineStr">
        <is>
          <t>-</t>
        </is>
      </c>
      <c r="D9" s="12" t="inlineStr">
        <is>
          <t>-</t>
        </is>
      </c>
      <c r="E9" s="12">
        <f>IF(AND(NOT(ISNUMBER(C9)), NOT(ISNUMBER(D9))), "-", IF(ISNUMBER(C9), C9, 0) - IF(ISNUMBER(D9), D9, 0))</f>
        <v/>
      </c>
      <c r="F9" s="13">
        <f>IF(OR(NOT(ISNUMBER(D9)), D9=0), "-", (IF(ISNUMBER(C9), C9, 0) - D9)/ABS(D9))</f>
        <v/>
      </c>
      <c r="G9" s="11" t="inlineStr"/>
    </row>
    <row r="10">
      <c r="A10" s="11" t="inlineStr">
        <is>
          <t>Non current assets</t>
        </is>
      </c>
      <c r="B10" s="11" t="inlineStr"/>
      <c r="C10" s="12" t="inlineStr">
        <is>
          <t>-</t>
        </is>
      </c>
      <c r="D10" s="12" t="inlineStr">
        <is>
          <t>-</t>
        </is>
      </c>
      <c r="E10" s="12">
        <f>IF(AND(NOT(ISNUMBER(C10)), NOT(ISNUMBER(D10))), "-", IF(ISNUMBER(C10), C10, 0) - IF(ISNUMBER(D10), D10, 0))</f>
        <v/>
      </c>
      <c r="F10" s="13">
        <f>IF(OR(NOT(ISNUMBER(D10)), D10=0), "-", (IF(ISNUMBER(C10), C10, 0) - D10)/ABS(D10))</f>
        <v/>
      </c>
      <c r="G10" s="11" t="inlineStr"/>
    </row>
    <row r="11">
      <c r="A11" s="14" t="inlineStr">
        <is>
          <t>Property and equipment</t>
        </is>
      </c>
      <c r="B11" s="14" t="inlineStr">
        <is>
          <t>3</t>
        </is>
      </c>
      <c r="C11" s="15" t="inlineStr">
        <is>
          <t>-</t>
        </is>
      </c>
      <c r="D11" s="15" t="inlineStr">
        <is>
          <t>-</t>
        </is>
      </c>
      <c r="E11" s="15">
        <f>IF(AND(NOT(ISNUMBER(C11)), NOT(ISNUMBER(D11))), "-", IF(ISNUMBER(C11), C11, 0) - IF(ISNUMBER(D11), D11, 0))</f>
        <v/>
      </c>
      <c r="F11" s="16">
        <f>IF(OR(NOT(ISNUMBER(D11)), D11=0), "-", (IF(ISNUMBER(C11), C11, 0) - D11)/ABS(D11))</f>
        <v/>
      </c>
      <c r="G11" s="14" t="inlineStr"/>
    </row>
    <row r="12">
      <c r="A12" s="14" t="inlineStr">
        <is>
          <t>Capital work-in-progress</t>
        </is>
      </c>
      <c r="B12" s="14" t="inlineStr">
        <is>
          <t>3</t>
        </is>
      </c>
      <c r="C12" s="15" t="inlineStr">
        <is>
          <t>-</t>
        </is>
      </c>
      <c r="D12" s="15" t="inlineStr">
        <is>
          <t>-</t>
        </is>
      </c>
      <c r="E12" s="15">
        <f>IF(AND(NOT(ISNUMBER(C12)), NOT(ISNUMBER(D12))), "-", IF(ISNUMBER(C12), C12, 0) - IF(ISNUMBER(D12), D12, 0))</f>
        <v/>
      </c>
      <c r="F12" s="16">
        <f>IF(OR(NOT(ISNUMBER(D12)), D12=0), "-", (IF(ISNUMBER(C12), C12, 0) - D12)/ABS(D12))</f>
        <v/>
      </c>
      <c r="G12" s="14" t="inlineStr"/>
    </row>
    <row r="13">
      <c r="A13" s="14" t="inlineStr">
        <is>
          <t>Intangible assets</t>
        </is>
      </c>
      <c r="B13" s="14" t="inlineStr">
        <is>
          <t>3</t>
        </is>
      </c>
      <c r="C13" s="15" t="inlineStr">
        <is>
          <t>-</t>
        </is>
      </c>
      <c r="D13" s="15" t="inlineStr">
        <is>
          <t>-</t>
        </is>
      </c>
      <c r="E13" s="15">
        <f>IF(AND(NOT(ISNUMBER(C13)), NOT(ISNUMBER(D13))), "-", IF(ISNUMBER(C13), C13, 0) - IF(ISNUMBER(D13), D13, 0))</f>
        <v/>
      </c>
      <c r="F13" s="16">
        <f>IF(OR(NOT(ISNUMBER(D13)), D13=0), "-", (IF(ISNUMBER(C13), C13, 0) - D13)/ABS(D13))</f>
        <v/>
      </c>
      <c r="G13" s="14" t="inlineStr"/>
    </row>
    <row r="14">
      <c r="A14" s="17" t="inlineStr">
        <is>
          <t>Right-of-use asset</t>
        </is>
      </c>
      <c r="B14" s="17" t="inlineStr">
        <is>
          <t>3A</t>
        </is>
      </c>
      <c r="C14" s="18" t="n">
        <v>32.19</v>
      </c>
      <c r="D14" s="18" t="n">
        <v>62.58</v>
      </c>
      <c r="E14" s="18">
        <f>IF(AND(NOT(ISNUMBER(C14)), NOT(ISNUMBER(D14))), "-", IF(ISNUMBER(C14), C14, 0) - IF(ISNUMBER(D14), D14, 0))</f>
        <v/>
      </c>
      <c r="F14" s="19">
        <f>IF(OR(NOT(ISNUMBER(D14)), D14=0), "-", (IF(ISNUMBER(C14), C14, 0) - D14)/ABS(D14))</f>
        <v/>
      </c>
      <c r="G14" s="17" t="inlineStr"/>
    </row>
    <row r="15">
      <c r="A15" s="14" t="inlineStr">
        <is>
          <t>Financial assets</t>
        </is>
      </c>
      <c r="B15" s="14" t="inlineStr"/>
      <c r="C15" s="15" t="inlineStr">
        <is>
          <t>-</t>
        </is>
      </c>
      <c r="D15" s="15" t="inlineStr">
        <is>
          <t>-</t>
        </is>
      </c>
      <c r="E15" s="15">
        <f>IF(AND(NOT(ISNUMBER(C15)), NOT(ISNUMBER(D15))), "-", IF(ISNUMBER(C15), C15, 0) - IF(ISNUMBER(D15), D15, 0))</f>
        <v/>
      </c>
      <c r="F15" s="16">
        <f>IF(OR(NOT(ISNUMBER(D15)), D15=0), "-", (IF(ISNUMBER(C15), C15, 0) - D15)/ABS(D15))</f>
        <v/>
      </c>
      <c r="G15" s="14" t="inlineStr"/>
    </row>
    <row r="16">
      <c r="A16" s="14" t="inlineStr">
        <is>
          <t>Investments</t>
        </is>
      </c>
      <c r="B16" s="14" t="inlineStr"/>
      <c r="C16" s="15" t="inlineStr">
        <is>
          <t>-</t>
        </is>
      </c>
      <c r="D16" s="15" t="inlineStr">
        <is>
          <t>-</t>
        </is>
      </c>
      <c r="E16" s="15">
        <f>IF(AND(NOT(ISNUMBER(C16)), NOT(ISNUMBER(D16))), "-", IF(ISNUMBER(C16), C16, 0) - IF(ISNUMBER(D16), D16, 0))</f>
        <v/>
      </c>
      <c r="F16" s="16">
        <f>IF(OR(NOT(ISNUMBER(D16)), D16=0), "-", (IF(ISNUMBER(C16), C16, 0) - D16)/ABS(D16))</f>
        <v/>
      </c>
      <c r="G16" s="14" t="inlineStr"/>
    </row>
    <row r="17">
      <c r="A17" s="14" t="inlineStr">
        <is>
          <t>Loans</t>
        </is>
      </c>
      <c r="B17" s="14" t="inlineStr"/>
      <c r="C17" s="15" t="inlineStr">
        <is>
          <t>-</t>
        </is>
      </c>
      <c r="D17" s="15" t="inlineStr">
        <is>
          <t>-</t>
        </is>
      </c>
      <c r="E17" s="15">
        <f>IF(AND(NOT(ISNUMBER(C17)), NOT(ISNUMBER(D17))), "-", IF(ISNUMBER(C17), C17, 0) - IF(ISNUMBER(D17), D17, 0))</f>
        <v/>
      </c>
      <c r="F17" s="16">
        <f>IF(OR(NOT(ISNUMBER(D17)), D17=0), "-", (IF(ISNUMBER(C17), C17, 0) - D17)/ABS(D17))</f>
        <v/>
      </c>
      <c r="G17" s="14" t="inlineStr"/>
    </row>
    <row r="18">
      <c r="A18" s="17" t="inlineStr">
        <is>
          <t>Other financial assets</t>
        </is>
      </c>
      <c r="B18" s="17" t="inlineStr">
        <is>
          <t>4</t>
        </is>
      </c>
      <c r="C18" s="18" t="inlineStr">
        <is>
          <t>-</t>
        </is>
      </c>
      <c r="D18" s="18" t="n">
        <v>26.03</v>
      </c>
      <c r="E18" s="18">
        <f>IF(AND(NOT(ISNUMBER(C18)), NOT(ISNUMBER(D18))), "-", IF(ISNUMBER(C18), C18, 0) - IF(ISNUMBER(D18), D18, 0))</f>
        <v/>
      </c>
      <c r="F18" s="19">
        <f>IF(OR(NOT(ISNUMBER(D18)), D18=0), "-", (IF(ISNUMBER(C18), C18, 0) - D18)/ABS(D18))</f>
        <v/>
      </c>
      <c r="G18" s="17" t="inlineStr"/>
    </row>
    <row r="19">
      <c r="A19" s="17" t="inlineStr">
        <is>
          <t>Deferred tax assets (net)</t>
        </is>
      </c>
      <c r="B19" s="17" t="inlineStr">
        <is>
          <t>14</t>
        </is>
      </c>
      <c r="C19" s="18" t="n">
        <v>33.29</v>
      </c>
      <c r="D19" s="18" t="n">
        <v>67.68000000000001</v>
      </c>
      <c r="E19" s="18">
        <f>IF(AND(NOT(ISNUMBER(C19)), NOT(ISNUMBER(D19))), "-", IF(ISNUMBER(C19), C19, 0) - IF(ISNUMBER(D19), D19, 0))</f>
        <v/>
      </c>
      <c r="F19" s="19">
        <f>IF(OR(NOT(ISNUMBER(D19)), D19=0), "-", (IF(ISNUMBER(C19), C19, 0) - D19)/ABS(D19))</f>
        <v/>
      </c>
      <c r="G19" s="17" t="inlineStr"/>
    </row>
    <row r="20">
      <c r="A20" s="14" t="inlineStr">
        <is>
          <t>Other non-current assets</t>
        </is>
      </c>
      <c r="B20" s="14" t="inlineStr">
        <is>
          <t>5</t>
        </is>
      </c>
      <c r="C20" s="15" t="n">
        <v>113.03</v>
      </c>
      <c r="D20" s="15" t="n">
        <v>113.03</v>
      </c>
      <c r="E20" s="15">
        <f>IF(AND(NOT(ISNUMBER(C20)), NOT(ISNUMBER(D20))), "-", IF(ISNUMBER(C20), C20, 0) - IF(ISNUMBER(D20), D20, 0))</f>
        <v/>
      </c>
      <c r="F20" s="16">
        <f>IF(OR(NOT(ISNUMBER(D20)), D20=0), "-", (IF(ISNUMBER(C20), C20, 0) - D20)/ABS(D20))</f>
        <v/>
      </c>
      <c r="G20" s="14" t="inlineStr"/>
    </row>
    <row r="21">
      <c r="A21" s="17" t="inlineStr">
        <is>
          <t>Income tax assets (net)</t>
        </is>
      </c>
      <c r="B21" s="17" t="inlineStr">
        <is>
          <t>25</t>
        </is>
      </c>
      <c r="C21" s="18" t="n">
        <v>-8.4</v>
      </c>
      <c r="D21" s="18" t="n">
        <v>406.68</v>
      </c>
      <c r="E21" s="18">
        <f>IF(AND(NOT(ISNUMBER(C21)), NOT(ISNUMBER(D21))), "-", IF(ISNUMBER(C21), C21, 0) - IF(ISNUMBER(D21), D21, 0))</f>
        <v/>
      </c>
      <c r="F21" s="19">
        <f>IF(OR(NOT(ISNUMBER(D21)), D21=0), "-", (IF(ISNUMBER(C21), C21, 0) - D21)/ABS(D21))</f>
        <v/>
      </c>
      <c r="G21" s="17" t="inlineStr"/>
    </row>
    <row r="22">
      <c r="A22" s="20" t="inlineStr">
        <is>
          <t>Total non-current assets</t>
        </is>
      </c>
      <c r="B22" s="20" t="inlineStr"/>
      <c r="C22" s="21" t="n">
        <v>170.11</v>
      </c>
      <c r="D22" s="21" t="n">
        <v>676</v>
      </c>
      <c r="E22" s="21">
        <f>IF(AND(NOT(ISNUMBER(C22)), NOT(ISNUMBER(D22))), "-", IF(ISNUMBER(C22), C22, 0) - IF(ISNUMBER(D22), D22, 0))</f>
        <v/>
      </c>
      <c r="F22" s="22">
        <f>IF(OR(NOT(ISNUMBER(D22)), D22=0), "-", (IF(ISNUMBER(C22), C22, 0) - D22)/ABS(D22))</f>
        <v/>
      </c>
      <c r="G22" s="20" t="inlineStr"/>
    </row>
    <row r="23">
      <c r="A23" s="11" t="inlineStr">
        <is>
          <t>Current assets</t>
        </is>
      </c>
      <c r="B23" s="11" t="inlineStr"/>
      <c r="C23" s="12" t="inlineStr">
        <is>
          <t>-</t>
        </is>
      </c>
      <c r="D23" s="12" t="inlineStr">
        <is>
          <t>-</t>
        </is>
      </c>
      <c r="E23" s="12">
        <f>IF(AND(NOT(ISNUMBER(C23)), NOT(ISNUMBER(D23))), "-", IF(ISNUMBER(C23), C23, 0) - IF(ISNUMBER(D23), D23, 0))</f>
        <v/>
      </c>
      <c r="F23" s="13">
        <f>IF(OR(NOT(ISNUMBER(D23)), D23=0), "-", (IF(ISNUMBER(C23), C23, 0) - D23)/ABS(D23))</f>
        <v/>
      </c>
      <c r="G23" s="11" t="inlineStr"/>
    </row>
    <row r="24">
      <c r="A24" s="14" t="inlineStr">
        <is>
          <t>Financial assets</t>
        </is>
      </c>
      <c r="B24" s="14" t="inlineStr"/>
      <c r="C24" s="15" t="inlineStr">
        <is>
          <t>-</t>
        </is>
      </c>
      <c r="D24" s="15" t="inlineStr">
        <is>
          <t>-</t>
        </is>
      </c>
      <c r="E24" s="15">
        <f>IF(AND(NOT(ISNUMBER(C24)), NOT(ISNUMBER(D24))), "-", IF(ISNUMBER(C24), C24, 0) - IF(ISNUMBER(D24), D24, 0))</f>
        <v/>
      </c>
      <c r="F24" s="16">
        <f>IF(OR(NOT(ISNUMBER(D24)), D24=0), "-", (IF(ISNUMBER(C24), C24, 0) - D24)/ABS(D24))</f>
        <v/>
      </c>
      <c r="G24" s="14" t="inlineStr"/>
    </row>
    <row r="25">
      <c r="A25" s="14" t="inlineStr">
        <is>
          <t>Investments</t>
        </is>
      </c>
      <c r="B25" s="14" t="inlineStr">
        <is>
          <t>6</t>
        </is>
      </c>
      <c r="C25" s="15" t="inlineStr">
        <is>
          <t>-</t>
        </is>
      </c>
      <c r="D25" s="15" t="inlineStr">
        <is>
          <t>-</t>
        </is>
      </c>
      <c r="E25" s="15">
        <f>IF(AND(NOT(ISNUMBER(C25)), NOT(ISNUMBER(D25))), "-", IF(ISNUMBER(C25), C25, 0) - IF(ISNUMBER(D25), D25, 0))</f>
        <v/>
      </c>
      <c r="F25" s="16">
        <f>IF(OR(NOT(ISNUMBER(D25)), D25=0), "-", (IF(ISNUMBER(C25), C25, 0) - D25)/ABS(D25))</f>
        <v/>
      </c>
      <c r="G25" s="14" t="inlineStr"/>
    </row>
    <row r="26">
      <c r="A26" s="17" t="inlineStr">
        <is>
          <t>Trade receivables</t>
        </is>
      </c>
      <c r="B26" s="17" t="inlineStr">
        <is>
          <t>6</t>
        </is>
      </c>
      <c r="C26" s="18" t="n">
        <v>86.06999999999999</v>
      </c>
      <c r="D26" s="18" t="n">
        <v>20.12</v>
      </c>
      <c r="E26" s="18">
        <f>IF(AND(NOT(ISNUMBER(C26)), NOT(ISNUMBER(D26))), "-", IF(ISNUMBER(C26), C26, 0) - IF(ISNUMBER(D26), D26, 0))</f>
        <v/>
      </c>
      <c r="F26" s="23">
        <f>IF(OR(NOT(ISNUMBER(D26)), D26=0), "-", (IF(ISNUMBER(C26), C26, 0) - D26)/ABS(D26))</f>
        <v/>
      </c>
      <c r="G26" s="17" t="inlineStr"/>
    </row>
    <row r="27">
      <c r="A27" s="14" t="inlineStr">
        <is>
          <t>Cash and cash equivalents</t>
        </is>
      </c>
      <c r="B27" s="14" t="inlineStr">
        <is>
          <t>7</t>
        </is>
      </c>
      <c r="C27" s="15" t="n">
        <v>2436.6</v>
      </c>
      <c r="D27" s="15" t="n">
        <v>2438.05</v>
      </c>
      <c r="E27" s="15">
        <f>IF(AND(NOT(ISNUMBER(C27)), NOT(ISNUMBER(D27))), "-", IF(ISNUMBER(C27), C27, 0) - IF(ISNUMBER(D27), D27, 0))</f>
        <v/>
      </c>
      <c r="F27" s="24">
        <f>IF(OR(NOT(ISNUMBER(D27)), D27=0), "-", (IF(ISNUMBER(C27), C27, 0) - D27)/ABS(D27))</f>
        <v/>
      </c>
      <c r="G27" s="14" t="inlineStr"/>
    </row>
    <row r="28">
      <c r="A28" s="14" t="inlineStr">
        <is>
          <t>Bank balances</t>
        </is>
      </c>
      <c r="B28" s="14" t="inlineStr"/>
      <c r="C28" s="15" t="inlineStr">
        <is>
          <t>-</t>
        </is>
      </c>
      <c r="D28" s="15" t="inlineStr">
        <is>
          <t>-</t>
        </is>
      </c>
      <c r="E28" s="15">
        <f>IF(AND(NOT(ISNUMBER(C28)), NOT(ISNUMBER(D28))), "-", IF(ISNUMBER(C28), C28, 0) - IF(ISNUMBER(D28), D28, 0))</f>
        <v/>
      </c>
      <c r="F28" s="16">
        <f>IF(OR(NOT(ISNUMBER(D28)), D28=0), "-", (IF(ISNUMBER(C28), C28, 0) - D28)/ABS(D28))</f>
        <v/>
      </c>
      <c r="G28" s="14" t="inlineStr"/>
    </row>
    <row r="29">
      <c r="A29" s="14" t="inlineStr">
        <is>
          <t>Loans</t>
        </is>
      </c>
      <c r="B29" s="14" t="inlineStr"/>
      <c r="C29" s="15" t="inlineStr">
        <is>
          <t>-</t>
        </is>
      </c>
      <c r="D29" s="15" t="inlineStr">
        <is>
          <t>-</t>
        </is>
      </c>
      <c r="E29" s="15">
        <f>IF(AND(NOT(ISNUMBER(C29)), NOT(ISNUMBER(D29))), "-", IF(ISNUMBER(C29), C29, 0) - IF(ISNUMBER(D29), D29, 0))</f>
        <v/>
      </c>
      <c r="F29" s="16">
        <f>IF(OR(NOT(ISNUMBER(D29)), D29=0), "-", (IF(ISNUMBER(C29), C29, 0) - D29)/ABS(D29))</f>
        <v/>
      </c>
      <c r="G29" s="14" t="inlineStr"/>
    </row>
    <row r="30">
      <c r="A30" s="17" t="inlineStr">
        <is>
          <t>Other financial assets</t>
        </is>
      </c>
      <c r="B30" s="17" t="inlineStr">
        <is>
          <t>8</t>
        </is>
      </c>
      <c r="C30" s="18" t="n">
        <v>55.26</v>
      </c>
      <c r="D30" s="18" t="n">
        <v>26.79</v>
      </c>
      <c r="E30" s="18">
        <f>IF(AND(NOT(ISNUMBER(C30)), NOT(ISNUMBER(D30))), "-", IF(ISNUMBER(C30), C30, 0) - IF(ISNUMBER(D30), D30, 0))</f>
        <v/>
      </c>
      <c r="F30" s="23">
        <f>IF(OR(NOT(ISNUMBER(D30)), D30=0), "-", (IF(ISNUMBER(C30), C30, 0) - D30)/ABS(D30))</f>
        <v/>
      </c>
      <c r="G30" s="17" t="inlineStr"/>
    </row>
    <row r="31">
      <c r="A31" s="17" t="inlineStr">
        <is>
          <t>Other current assets</t>
        </is>
      </c>
      <c r="B31" s="17" t="inlineStr">
        <is>
          <t>9</t>
        </is>
      </c>
      <c r="C31" s="18" t="n">
        <v>5.07</v>
      </c>
      <c r="D31" s="18" t="n">
        <v>3.45</v>
      </c>
      <c r="E31" s="18">
        <f>IF(AND(NOT(ISNUMBER(C31)), NOT(ISNUMBER(D31))), "-", IF(ISNUMBER(C31), C31, 0) - IF(ISNUMBER(D31), D31, 0))</f>
        <v/>
      </c>
      <c r="F31" s="23">
        <f>IF(OR(NOT(ISNUMBER(D31)), D31=0), "-", (IF(ISNUMBER(C31), C31, 0) - D31)/ABS(D31))</f>
        <v/>
      </c>
      <c r="G31" s="17" t="inlineStr"/>
    </row>
    <row r="32">
      <c r="A32" s="14" t="inlineStr">
        <is>
          <t>Income tax assets (net)</t>
        </is>
      </c>
      <c r="B32" s="14" t="inlineStr">
        <is>
          <t>25</t>
        </is>
      </c>
      <c r="C32" s="15" t="inlineStr">
        <is>
          <t>-</t>
        </is>
      </c>
      <c r="D32" s="15" t="inlineStr">
        <is>
          <t>-</t>
        </is>
      </c>
      <c r="E32" s="15">
        <f>IF(AND(NOT(ISNUMBER(C32)), NOT(ISNUMBER(D32))), "-", IF(ISNUMBER(C32), C32, 0) - IF(ISNUMBER(D32), D32, 0))</f>
        <v/>
      </c>
      <c r="F32" s="16">
        <f>IF(OR(NOT(ISNUMBER(D32)), D32=0), "-", (IF(ISNUMBER(C32), C32, 0) - D32)/ABS(D32))</f>
        <v/>
      </c>
      <c r="G32" s="14" t="inlineStr"/>
    </row>
    <row r="33">
      <c r="A33" s="11" t="inlineStr">
        <is>
          <t>Total current assets</t>
        </is>
      </c>
      <c r="B33" s="11" t="inlineStr"/>
      <c r="C33" s="12" t="n">
        <v>2583</v>
      </c>
      <c r="D33" s="12" t="n">
        <v>2488.42</v>
      </c>
      <c r="E33" s="12">
        <f>IF(AND(NOT(ISNUMBER(C33)), NOT(ISNUMBER(D33))), "-", IF(ISNUMBER(C33), C33, 0) - IF(ISNUMBER(D33), D33, 0))</f>
        <v/>
      </c>
      <c r="F33" s="25">
        <f>IF(OR(NOT(ISNUMBER(D33)), D33=0), "-", (IF(ISNUMBER(C33), C33, 0) - D33)/ABS(D33))</f>
        <v/>
      </c>
      <c r="G33" s="11" t="inlineStr"/>
    </row>
    <row r="34">
      <c r="A34" s="20" t="inlineStr">
        <is>
          <t>Total assets</t>
        </is>
      </c>
      <c r="B34" s="20" t="inlineStr"/>
      <c r="C34" s="21" t="n">
        <v>2753.11</v>
      </c>
      <c r="D34" s="21" t="n">
        <v>3164.42</v>
      </c>
      <c r="E34" s="21">
        <f>IF(AND(NOT(ISNUMBER(C34)), NOT(ISNUMBER(D34))), "-", IF(ISNUMBER(C34), C34, 0) - IF(ISNUMBER(D34), D34, 0))</f>
        <v/>
      </c>
      <c r="F34" s="22">
        <f>IF(OR(NOT(ISNUMBER(D34)), D34=0), "-", (IF(ISNUMBER(C34), C34, 0) - D34)/ABS(D34))</f>
        <v/>
      </c>
      <c r="G34" s="20" t="inlineStr"/>
    </row>
    <row r="35">
      <c r="A35" s="11" t="inlineStr">
        <is>
          <t>Equity and Liabilities</t>
        </is>
      </c>
      <c r="B35" s="11" t="inlineStr"/>
      <c r="C35" s="12" t="inlineStr">
        <is>
          <t>-</t>
        </is>
      </c>
      <c r="D35" s="12" t="inlineStr">
        <is>
          <t>-</t>
        </is>
      </c>
      <c r="E35" s="12">
        <f>IF(AND(NOT(ISNUMBER(C35)), NOT(ISNUMBER(D35))), "-", IF(ISNUMBER(C35), C35, 0) - IF(ISNUMBER(D35), D35, 0))</f>
        <v/>
      </c>
      <c r="F35" s="13">
        <f>IF(OR(NOT(ISNUMBER(D35)), D35=0), "-", (IF(ISNUMBER(C35), C35, 0) - D35)/ABS(D35))</f>
        <v/>
      </c>
      <c r="G35" s="11" t="inlineStr"/>
    </row>
    <row r="36">
      <c r="A36" s="11" t="inlineStr">
        <is>
          <t>Equity</t>
        </is>
      </c>
      <c r="B36" s="11" t="inlineStr"/>
      <c r="C36" s="12" t="inlineStr">
        <is>
          <t>-</t>
        </is>
      </c>
      <c r="D36" s="12" t="inlineStr">
        <is>
          <t>-</t>
        </is>
      </c>
      <c r="E36" s="12">
        <f>IF(AND(NOT(ISNUMBER(C36)), NOT(ISNUMBER(D36))), "-", IF(ISNUMBER(C36), C36, 0) - IF(ISNUMBER(D36), D36, 0))</f>
        <v/>
      </c>
      <c r="F36" s="13">
        <f>IF(OR(NOT(ISNUMBER(D36)), D36=0), "-", (IF(ISNUMBER(C36), C36, 0) - D36)/ABS(D36))</f>
        <v/>
      </c>
      <c r="G36" s="11" t="inlineStr"/>
    </row>
    <row r="37">
      <c r="A37" s="14" t="inlineStr">
        <is>
          <t>Share capital</t>
        </is>
      </c>
      <c r="B37" s="14" t="inlineStr">
        <is>
          <t>10</t>
        </is>
      </c>
      <c r="C37" s="15" t="n">
        <v>1</v>
      </c>
      <c r="D37" s="15" t="n">
        <v>1</v>
      </c>
      <c r="E37" s="15">
        <f>IF(AND(NOT(ISNUMBER(C37)), NOT(ISNUMBER(D37))), "-", IF(ISNUMBER(C37), C37, 0) - IF(ISNUMBER(D37), D37, 0))</f>
        <v/>
      </c>
      <c r="F37" s="16">
        <f>IF(OR(NOT(ISNUMBER(D37)), D37=0), "-", (IF(ISNUMBER(C37), C37, 0) - D37)/ABS(D37))</f>
        <v/>
      </c>
      <c r="G37" s="14" t="inlineStr"/>
    </row>
    <row r="38">
      <c r="A38" s="17" t="inlineStr">
        <is>
          <t>Other equity</t>
        </is>
      </c>
      <c r="B38" s="17" t="inlineStr"/>
      <c r="C38" s="18" t="n">
        <v>170.23</v>
      </c>
      <c r="D38" s="18" t="n">
        <v>660.78</v>
      </c>
      <c r="E38" s="18">
        <f>IF(AND(NOT(ISNUMBER(C38)), NOT(ISNUMBER(D38))), "-", IF(ISNUMBER(C38), C38, 0) - IF(ISNUMBER(D38), D38, 0))</f>
        <v/>
      </c>
      <c r="F38" s="19">
        <f>IF(OR(NOT(ISNUMBER(D38)), D38=0), "-", (IF(ISNUMBER(C38), C38, 0) - D38)/ABS(D38))</f>
        <v/>
      </c>
      <c r="G38" s="17" t="inlineStr"/>
    </row>
    <row r="39">
      <c r="A39" s="20" t="inlineStr">
        <is>
          <t>Total equity</t>
        </is>
      </c>
      <c r="B39" s="20" t="inlineStr"/>
      <c r="C39" s="21" t="n">
        <v>171.23</v>
      </c>
      <c r="D39" s="21" t="n">
        <v>661.78</v>
      </c>
      <c r="E39" s="21">
        <f>IF(AND(NOT(ISNUMBER(C39)), NOT(ISNUMBER(D39))), "-", IF(ISNUMBER(C39), C39, 0) - IF(ISNUMBER(D39), D39, 0))</f>
        <v/>
      </c>
      <c r="F39" s="22">
        <f>IF(OR(NOT(ISNUMBER(D39)), D39=0), "-", (IF(ISNUMBER(C39), C39, 0) - D39)/ABS(D39))</f>
        <v/>
      </c>
      <c r="G39" s="20" t="inlineStr"/>
    </row>
    <row r="40">
      <c r="A40" s="11" t="inlineStr">
        <is>
          <t>Liabilities</t>
        </is>
      </c>
      <c r="B40" s="11" t="inlineStr"/>
      <c r="C40" s="12" t="inlineStr">
        <is>
          <t>-</t>
        </is>
      </c>
      <c r="D40" s="12" t="inlineStr">
        <is>
          <t>-</t>
        </is>
      </c>
      <c r="E40" s="12">
        <f>IF(AND(NOT(ISNUMBER(C40)), NOT(ISNUMBER(D40))), "-", IF(ISNUMBER(C40), C40, 0) - IF(ISNUMBER(D40), D40, 0))</f>
        <v/>
      </c>
      <c r="F40" s="13">
        <f>IF(OR(NOT(ISNUMBER(D40)), D40=0), "-", (IF(ISNUMBER(C40), C40, 0) - D40)/ABS(D40))</f>
        <v/>
      </c>
      <c r="G40" s="11" t="inlineStr"/>
    </row>
    <row r="41">
      <c r="A41" s="11" t="inlineStr">
        <is>
          <t>Non current liabilities</t>
        </is>
      </c>
      <c r="B41" s="11" t="inlineStr"/>
      <c r="C41" s="12" t="inlineStr">
        <is>
          <t>-</t>
        </is>
      </c>
      <c r="D41" s="12" t="inlineStr">
        <is>
          <t>-</t>
        </is>
      </c>
      <c r="E41" s="12">
        <f>IF(AND(NOT(ISNUMBER(C41)), NOT(ISNUMBER(D41))), "-", IF(ISNUMBER(C41), C41, 0) - IF(ISNUMBER(D41), D41, 0))</f>
        <v/>
      </c>
      <c r="F41" s="13">
        <f>IF(OR(NOT(ISNUMBER(D41)), D41=0), "-", (IF(ISNUMBER(C41), C41, 0) - D41)/ABS(D41))</f>
        <v/>
      </c>
      <c r="G41" s="11" t="inlineStr"/>
    </row>
    <row r="42">
      <c r="A42" s="14" t="inlineStr">
        <is>
          <t>Financial liabilities</t>
        </is>
      </c>
      <c r="B42" s="14" t="inlineStr"/>
      <c r="C42" s="15" t="inlineStr">
        <is>
          <t>-</t>
        </is>
      </c>
      <c r="D42" s="15" t="inlineStr">
        <is>
          <t>-</t>
        </is>
      </c>
      <c r="E42" s="15">
        <f>IF(AND(NOT(ISNUMBER(C42)), NOT(ISNUMBER(D42))), "-", IF(ISNUMBER(C42), C42, 0) - IF(ISNUMBER(D42), D42, 0))</f>
        <v/>
      </c>
      <c r="F42" s="16">
        <f>IF(OR(NOT(ISNUMBER(D42)), D42=0), "-", (IF(ISNUMBER(C42), C42, 0) - D42)/ABS(D42))</f>
        <v/>
      </c>
      <c r="G42" s="14" t="inlineStr"/>
    </row>
    <row r="43">
      <c r="A43" s="17" t="inlineStr">
        <is>
          <t>Preference shares</t>
        </is>
      </c>
      <c r="B43" s="17" t="inlineStr">
        <is>
          <t>11</t>
        </is>
      </c>
      <c r="C43" s="18" t="inlineStr">
        <is>
          <t>-</t>
        </is>
      </c>
      <c r="D43" s="18" t="n">
        <v>2353.25</v>
      </c>
      <c r="E43" s="18">
        <f>IF(AND(NOT(ISNUMBER(C43)), NOT(ISNUMBER(D43))), "-", IF(ISNUMBER(C43), C43, 0) - IF(ISNUMBER(D43), D43, 0))</f>
        <v/>
      </c>
      <c r="F43" s="19">
        <f>IF(OR(NOT(ISNUMBER(D43)), D43=0), "-", (IF(ISNUMBER(C43), C43, 0) - D43)/ABS(D43))</f>
        <v/>
      </c>
      <c r="G43" s="17" t="inlineStr"/>
    </row>
    <row r="44">
      <c r="A44" s="17" t="inlineStr">
        <is>
          <t>Lease liabilities</t>
        </is>
      </c>
      <c r="B44" s="17" t="inlineStr">
        <is>
          <t>12</t>
        </is>
      </c>
      <c r="C44" s="18" t="inlineStr">
        <is>
          <t>-</t>
        </is>
      </c>
      <c r="D44" s="18" t="n">
        <v>38.75</v>
      </c>
      <c r="E44" s="18">
        <f>IF(AND(NOT(ISNUMBER(C44)), NOT(ISNUMBER(D44))), "-", IF(ISNUMBER(C44), C44, 0) - IF(ISNUMBER(D44), D44, 0))</f>
        <v/>
      </c>
      <c r="F44" s="19">
        <f>IF(OR(NOT(ISNUMBER(D44)), D44=0), "-", (IF(ISNUMBER(C44), C44, 0) - D44)/ABS(D44))</f>
        <v/>
      </c>
      <c r="G44" s="17" t="inlineStr"/>
    </row>
    <row r="45">
      <c r="A45" s="17" t="inlineStr">
        <is>
          <t>Employee benefit obligations</t>
        </is>
      </c>
      <c r="B45" s="17" t="inlineStr">
        <is>
          <t>13</t>
        </is>
      </c>
      <c r="C45" s="18" t="n">
        <v>12.22</v>
      </c>
      <c r="D45" s="18" t="n">
        <v>14.84</v>
      </c>
      <c r="E45" s="18">
        <f>IF(AND(NOT(ISNUMBER(C45)), NOT(ISNUMBER(D45))), "-", IF(ISNUMBER(C45), C45, 0) - IF(ISNUMBER(D45), D45, 0))</f>
        <v/>
      </c>
      <c r="F45" s="19">
        <f>IF(OR(NOT(ISNUMBER(D45)), D45=0), "-", (IF(ISNUMBER(C45), C45, 0) - D45)/ABS(D45))</f>
        <v/>
      </c>
      <c r="G45" s="17" t="inlineStr"/>
    </row>
    <row r="46">
      <c r="A46" s="14" t="inlineStr">
        <is>
          <t>Deferred tax liabilites (net)</t>
        </is>
      </c>
      <c r="B46" s="14" t="inlineStr">
        <is>
          <t>14</t>
        </is>
      </c>
      <c r="C46" s="15" t="inlineStr">
        <is>
          <t>-</t>
        </is>
      </c>
      <c r="D46" s="15" t="inlineStr">
        <is>
          <t>-</t>
        </is>
      </c>
      <c r="E46" s="15">
        <f>IF(AND(NOT(ISNUMBER(C46)), NOT(ISNUMBER(D46))), "-", IF(ISNUMBER(C46), C46, 0) - IF(ISNUMBER(D46), D46, 0))</f>
        <v/>
      </c>
      <c r="F46" s="16">
        <f>IF(OR(NOT(ISNUMBER(D46)), D46=0), "-", (IF(ISNUMBER(C46), C46, 0) - D46)/ABS(D46))</f>
        <v/>
      </c>
      <c r="G46" s="14" t="inlineStr"/>
    </row>
    <row r="47">
      <c r="A47" s="14" t="inlineStr">
        <is>
          <t>Other non-current liabilities</t>
        </is>
      </c>
      <c r="B47" s="14" t="inlineStr">
        <is>
          <t>15</t>
        </is>
      </c>
      <c r="C47" s="15" t="inlineStr">
        <is>
          <t>-</t>
        </is>
      </c>
      <c r="D47" s="15" t="inlineStr">
        <is>
          <t>-</t>
        </is>
      </c>
      <c r="E47" s="15">
        <f>IF(AND(NOT(ISNUMBER(C47)), NOT(ISNUMBER(D47))), "-", IF(ISNUMBER(C47), C47, 0) - IF(ISNUMBER(D47), D47, 0))</f>
        <v/>
      </c>
      <c r="F47" s="16">
        <f>IF(OR(NOT(ISNUMBER(D47)), D47=0), "-", (IF(ISNUMBER(C47), C47, 0) - D47)/ABS(D47))</f>
        <v/>
      </c>
      <c r="G47" s="14" t="inlineStr"/>
    </row>
    <row r="48">
      <c r="A48" s="20" t="inlineStr">
        <is>
          <t>Total non-current liabilities</t>
        </is>
      </c>
      <c r="B48" s="20" t="inlineStr"/>
      <c r="C48" s="21" t="n">
        <v>12.22</v>
      </c>
      <c r="D48" s="21" t="n">
        <v>2406.85</v>
      </c>
      <c r="E48" s="21">
        <f>IF(AND(NOT(ISNUMBER(C48)), NOT(ISNUMBER(D48))), "-", IF(ISNUMBER(C48), C48, 0) - IF(ISNUMBER(D48), D48, 0))</f>
        <v/>
      </c>
      <c r="F48" s="22">
        <f>IF(OR(NOT(ISNUMBER(D48)), D48=0), "-", (IF(ISNUMBER(C48), C48, 0) - D48)/ABS(D48))</f>
        <v/>
      </c>
      <c r="G48" s="20" t="inlineStr"/>
    </row>
    <row r="49">
      <c r="A49" s="11" t="inlineStr">
        <is>
          <t>Current liabilities</t>
        </is>
      </c>
      <c r="B49" s="11" t="inlineStr"/>
      <c r="C49" s="12" t="inlineStr">
        <is>
          <t>-</t>
        </is>
      </c>
      <c r="D49" s="12" t="inlineStr">
        <is>
          <t>-</t>
        </is>
      </c>
      <c r="E49" s="12">
        <f>IF(AND(NOT(ISNUMBER(C49)), NOT(ISNUMBER(D49))), "-", IF(ISNUMBER(C49), C49, 0) - IF(ISNUMBER(D49), D49, 0))</f>
        <v/>
      </c>
      <c r="F49" s="13">
        <f>IF(OR(NOT(ISNUMBER(D49)), D49=0), "-", (IF(ISNUMBER(C49), C49, 0) - D49)/ABS(D49))</f>
        <v/>
      </c>
      <c r="G49" s="11" t="inlineStr"/>
    </row>
    <row r="50">
      <c r="A50" s="14" t="inlineStr">
        <is>
          <t>Financial liabilities</t>
        </is>
      </c>
      <c r="B50" s="14" t="inlineStr"/>
      <c r="C50" s="15" t="inlineStr">
        <is>
          <t>-</t>
        </is>
      </c>
      <c r="D50" s="15" t="inlineStr">
        <is>
          <t>-</t>
        </is>
      </c>
      <c r="E50" s="15">
        <f>IF(AND(NOT(ISNUMBER(C50)), NOT(ISNUMBER(D50))), "-", IF(ISNUMBER(C50), C50, 0) - IF(ISNUMBER(D50), D50, 0))</f>
        <v/>
      </c>
      <c r="F50" s="16">
        <f>IF(OR(NOT(ISNUMBER(D50)), D50=0), "-", (IF(ISNUMBER(C50), C50, 0) - D50)/ABS(D50))</f>
        <v/>
      </c>
      <c r="G50" s="14" t="inlineStr"/>
    </row>
    <row r="51">
      <c r="A51" s="17" t="inlineStr">
        <is>
          <t>Preference shares</t>
        </is>
      </c>
      <c r="B51" s="17" t="inlineStr">
        <is>
          <t>11</t>
        </is>
      </c>
      <c r="C51" s="18" t="n">
        <v>2466.81</v>
      </c>
      <c r="D51" s="18" t="inlineStr">
        <is>
          <t>-</t>
        </is>
      </c>
      <c r="E51" s="18">
        <f>IF(AND(NOT(ISNUMBER(C51)), NOT(ISNUMBER(D51))), "-", IF(ISNUMBER(C51), C51, 0) - IF(ISNUMBER(D51), D51, 0))</f>
        <v/>
      </c>
      <c r="F51" s="26">
        <f>IF(OR(NOT(ISNUMBER(D51)), D51=0), "-", (IF(ISNUMBER(C51), C51, 0) - D51)/ABS(D51))</f>
        <v/>
      </c>
      <c r="G51" s="17" t="inlineStr"/>
    </row>
    <row r="52">
      <c r="A52" s="14" t="inlineStr">
        <is>
          <t>Trade payables</t>
        </is>
      </c>
      <c r="B52" s="14" t="inlineStr">
        <is>
          <t>15</t>
        </is>
      </c>
      <c r="C52" s="15" t="inlineStr">
        <is>
          <t>-</t>
        </is>
      </c>
      <c r="D52" s="15" t="inlineStr">
        <is>
          <t>-</t>
        </is>
      </c>
      <c r="E52" s="15">
        <f>IF(AND(NOT(ISNUMBER(C52)), NOT(ISNUMBER(D52))), "-", IF(ISNUMBER(C52), C52, 0) - IF(ISNUMBER(D52), D52, 0))</f>
        <v/>
      </c>
      <c r="F52" s="16">
        <f>IF(OR(NOT(ISNUMBER(D52)), D52=0), "-", (IF(ISNUMBER(C52), C52, 0) - D52)/ABS(D52))</f>
        <v/>
      </c>
      <c r="G52" s="14" t="inlineStr"/>
    </row>
    <row r="53">
      <c r="A53" s="14" t="inlineStr">
        <is>
          <t>Total outstanding dues to creditors micro and small enterprises</t>
        </is>
      </c>
      <c r="B53" s="14" t="inlineStr"/>
      <c r="C53" s="15" t="inlineStr">
        <is>
          <t>-</t>
        </is>
      </c>
      <c r="D53" s="15" t="inlineStr">
        <is>
          <t>-</t>
        </is>
      </c>
      <c r="E53" s="15">
        <f>IF(AND(NOT(ISNUMBER(C53)), NOT(ISNUMBER(D53))), "-", IF(ISNUMBER(C53), C53, 0) - IF(ISNUMBER(D53), D53, 0))</f>
        <v/>
      </c>
      <c r="F53" s="16">
        <f>IF(OR(NOT(ISNUMBER(D53)), D53=0), "-", (IF(ISNUMBER(C53), C53, 0) - D53)/ABS(D53))</f>
        <v/>
      </c>
      <c r="G53" s="14" t="inlineStr"/>
    </row>
    <row r="54">
      <c r="A54" s="17" t="inlineStr">
        <is>
          <t>Total outstanding dues to creditors other than micro and small enterprises</t>
        </is>
      </c>
      <c r="B54" s="17" t="inlineStr"/>
      <c r="C54" s="18" t="n">
        <v>40.84</v>
      </c>
      <c r="D54" s="18" t="n">
        <v>30.86</v>
      </c>
      <c r="E54" s="18">
        <f>IF(AND(NOT(ISNUMBER(C54)), NOT(ISNUMBER(D54))), "-", IF(ISNUMBER(C54), C54, 0) - IF(ISNUMBER(D54), D54, 0))</f>
        <v/>
      </c>
      <c r="F54" s="23">
        <f>IF(OR(NOT(ISNUMBER(D54)), D54=0), "-", (IF(ISNUMBER(C54), C54, 0) - D54)/ABS(D54))</f>
        <v/>
      </c>
      <c r="G54" s="17" t="inlineStr"/>
    </row>
    <row r="55">
      <c r="A55" s="17" t="inlineStr">
        <is>
          <t>Lease liabilities</t>
        </is>
      </c>
      <c r="B55" s="17" t="inlineStr">
        <is>
          <t>12</t>
        </is>
      </c>
      <c r="C55" s="18" t="n">
        <v>38.75</v>
      </c>
      <c r="D55" s="18" t="n">
        <v>34.15</v>
      </c>
      <c r="E55" s="18">
        <f>IF(AND(NOT(ISNUMBER(C55)), NOT(ISNUMBER(D55))), "-", IF(ISNUMBER(C55), C55, 0) - IF(ISNUMBER(D55), D55, 0))</f>
        <v/>
      </c>
      <c r="F55" s="23">
        <f>IF(OR(NOT(ISNUMBER(D55)), D55=0), "-", (IF(ISNUMBER(C55), C55, 0) - D55)/ABS(D55))</f>
        <v/>
      </c>
      <c r="G55" s="17" t="inlineStr"/>
    </row>
    <row r="56">
      <c r="A56" s="17" t="inlineStr">
        <is>
          <t>Other financial liabilities</t>
        </is>
      </c>
      <c r="B56" s="17" t="inlineStr">
        <is>
          <t>16</t>
        </is>
      </c>
      <c r="C56" s="18" t="n">
        <v>5.75</v>
      </c>
      <c r="D56" s="18" t="n">
        <v>8.300000000000001</v>
      </c>
      <c r="E56" s="18">
        <f>IF(AND(NOT(ISNUMBER(C56)), NOT(ISNUMBER(D56))), "-", IF(ISNUMBER(C56), C56, 0) - IF(ISNUMBER(D56), D56, 0))</f>
        <v/>
      </c>
      <c r="F56" s="19">
        <f>IF(OR(NOT(ISNUMBER(D56)), D56=0), "-", (IF(ISNUMBER(C56), C56, 0) - D56)/ABS(D56))</f>
        <v/>
      </c>
      <c r="G56" s="17" t="inlineStr"/>
    </row>
    <row r="57">
      <c r="A57" s="14" t="inlineStr">
        <is>
          <t>Other current liabilities (Round off Adj)</t>
        </is>
      </c>
      <c r="B57" s="14" t="inlineStr">
        <is>
          <t>17</t>
        </is>
      </c>
      <c r="C57" s="15" t="n">
        <v>12.81</v>
      </c>
      <c r="D57" s="15" t="n">
        <v>13.16</v>
      </c>
      <c r="E57" s="15">
        <f>IF(AND(NOT(ISNUMBER(C57)), NOT(ISNUMBER(D57))), "-", IF(ISNUMBER(C57), C57, 0) - IF(ISNUMBER(D57), D57, 0))</f>
        <v/>
      </c>
      <c r="F57" s="24">
        <f>IF(OR(NOT(ISNUMBER(D57)), D57=0), "-", (IF(ISNUMBER(C57), C57, 0) - D57)/ABS(D57))</f>
        <v/>
      </c>
      <c r="G57" s="14" t="inlineStr"/>
    </row>
    <row r="58">
      <c r="A58" s="14" t="inlineStr">
        <is>
          <t>Provisions</t>
        </is>
      </c>
      <c r="B58" s="14" t="inlineStr"/>
      <c r="C58" s="15" t="inlineStr">
        <is>
          <t>-</t>
        </is>
      </c>
      <c r="D58" s="15" t="inlineStr">
        <is>
          <t>-</t>
        </is>
      </c>
      <c r="E58" s="15">
        <f>IF(AND(NOT(ISNUMBER(C58)), NOT(ISNUMBER(D58))), "-", IF(ISNUMBER(C58), C58, 0) - IF(ISNUMBER(D58), D58, 0))</f>
        <v/>
      </c>
      <c r="F58" s="16">
        <f>IF(OR(NOT(ISNUMBER(D58)), D58=0), "-", (IF(ISNUMBER(C58), C58, 0) - D58)/ABS(D58))</f>
        <v/>
      </c>
      <c r="G58" s="14" t="inlineStr"/>
    </row>
    <row r="59">
      <c r="A59" s="17" t="inlineStr">
        <is>
          <t>Employee benefit obligations</t>
        </is>
      </c>
      <c r="B59" s="17" t="inlineStr">
        <is>
          <t>13</t>
        </is>
      </c>
      <c r="C59" s="18" t="n">
        <v>4.7</v>
      </c>
      <c r="D59" s="18" t="n">
        <v>9.32</v>
      </c>
      <c r="E59" s="18">
        <f>IF(AND(NOT(ISNUMBER(C59)), NOT(ISNUMBER(D59))), "-", IF(ISNUMBER(C59), C59, 0) - IF(ISNUMBER(D59), D59, 0))</f>
        <v/>
      </c>
      <c r="F59" s="19">
        <f>IF(OR(NOT(ISNUMBER(D59)), D59=0), "-", (IF(ISNUMBER(C59), C59, 0) - D59)/ABS(D59))</f>
        <v/>
      </c>
      <c r="G59" s="17" t="inlineStr"/>
    </row>
    <row r="60">
      <c r="A60" s="14" t="inlineStr">
        <is>
          <t>Income tax liabilities (net) (#)</t>
        </is>
      </c>
      <c r="B60" s="14" t="inlineStr">
        <is>
          <t>25</t>
        </is>
      </c>
      <c r="C60" s="15" t="inlineStr">
        <is>
          <t>-</t>
        </is>
      </c>
      <c r="D60" s="15" t="inlineStr">
        <is>
          <t>-</t>
        </is>
      </c>
      <c r="E60" s="15">
        <f>IF(AND(NOT(ISNUMBER(C60)), NOT(ISNUMBER(D60))), "-", IF(ISNUMBER(C60), C60, 0) - IF(ISNUMBER(D60), D60, 0))</f>
        <v/>
      </c>
      <c r="F60" s="16">
        <f>IF(OR(NOT(ISNUMBER(D60)), D60=0), "-", (IF(ISNUMBER(C60), C60, 0) - D60)/ABS(D60))</f>
        <v/>
      </c>
      <c r="G60" s="14" t="inlineStr"/>
    </row>
    <row r="61">
      <c r="A61" s="20" t="inlineStr">
        <is>
          <t>Total current liabilities</t>
        </is>
      </c>
      <c r="B61" s="20" t="inlineStr"/>
      <c r="C61" s="21" t="n">
        <v>2569.66</v>
      </c>
      <c r="D61" s="21" t="n">
        <v>95.79000000000001</v>
      </c>
      <c r="E61" s="21">
        <f>IF(AND(NOT(ISNUMBER(C61)), NOT(ISNUMBER(D61))), "-", IF(ISNUMBER(C61), C61, 0) - IF(ISNUMBER(D61), D61, 0))</f>
        <v/>
      </c>
      <c r="F61" s="27">
        <f>IF(OR(NOT(ISNUMBER(D61)), D61=0), "-", (IF(ISNUMBER(C61), C61, 0) - D61)/ABS(D61))</f>
        <v/>
      </c>
      <c r="G61" s="20" t="inlineStr"/>
    </row>
    <row r="62">
      <c r="A62" s="20" t="inlineStr">
        <is>
          <t>Total equity and liabilities</t>
        </is>
      </c>
      <c r="B62" s="20" t="inlineStr"/>
      <c r="C62" s="21" t="n">
        <v>2753.11</v>
      </c>
      <c r="D62" s="21" t="n">
        <v>3164.42</v>
      </c>
      <c r="E62" s="21">
        <f>IF(AND(NOT(ISNUMBER(C62)), NOT(ISNUMBER(D62))), "-", IF(ISNUMBER(C62), C62, 0) - IF(ISNUMBER(D62), D62, 0))</f>
        <v/>
      </c>
      <c r="F62" s="22">
        <f>IF(OR(NOT(ISNUMBER(D62)), D62=0), "-", (IF(ISNUMBER(C62), C62, 0) - D62)/ABS(D62))</f>
        <v/>
      </c>
      <c r="G62" s="20" t="inlineStr"/>
    </row>
    <row r="63">
      <c r="A63" s="14" t="inlineStr">
        <is>
          <t>(#) Zero represents amount less than ₹ 0.5 lakhs</t>
        </is>
      </c>
      <c r="B63" s="14" t="inlineStr"/>
      <c r="C63" s="15" t="inlineStr">
        <is>
          <t>-</t>
        </is>
      </c>
      <c r="D63" s="15" t="inlineStr">
        <is>
          <t>-</t>
        </is>
      </c>
      <c r="E63" s="15">
        <f>IF(AND(NOT(ISNUMBER(C63)), NOT(ISNUMBER(D63))), "-", IF(ISNUMBER(C63), C63, 0) - IF(ISNUMBER(D63), D63, 0))</f>
        <v/>
      </c>
      <c r="F63" s="16">
        <f>IF(OR(NOT(ISNUMBER(D63)), D63=0), "-", (IF(ISNUMBER(C63), C63, 0) - D63)/ABS(D63))</f>
        <v/>
      </c>
      <c r="G63" s="14" t="inlineStr"/>
    </row>
    <row r="64">
      <c r="A64" s="14" t="inlineStr">
        <is>
          <t>Summary of material accounting policies and other explanatory information</t>
        </is>
      </c>
      <c r="B64" s="14" t="inlineStr">
        <is>
          <t>2</t>
        </is>
      </c>
      <c r="C64" s="15" t="inlineStr">
        <is>
          <t>-</t>
        </is>
      </c>
      <c r="D64" s="15" t="inlineStr">
        <is>
          <t>-</t>
        </is>
      </c>
      <c r="E64" s="15">
        <f>IF(AND(NOT(ISNUMBER(C64)), NOT(ISNUMBER(D64))), "-", IF(ISNUMBER(C64), C64, 0) - IF(ISNUMBER(D64), D64, 0))</f>
        <v/>
      </c>
      <c r="F64" s="16">
        <f>IF(OR(NOT(ISNUMBER(D64)), D64=0), "-", (IF(ISNUMBER(C64), C64, 0) - D64)/ABS(D64))</f>
        <v/>
      </c>
      <c r="G64" s="14" t="inlineStr"/>
    </row>
    <row r="65">
      <c r="A65" s="14" t="inlineStr">
        <is>
          <t>The accompanying notes are integral part of the financial statements</t>
        </is>
      </c>
      <c r="B65" s="14" t="inlineStr"/>
      <c r="C65" s="15" t="inlineStr">
        <is>
          <t>-</t>
        </is>
      </c>
      <c r="D65" s="15" t="inlineStr">
        <is>
          <t>-</t>
        </is>
      </c>
      <c r="E65" s="15">
        <f>IF(AND(NOT(ISNUMBER(C65)), NOT(ISNUMBER(D65))), "-", IF(ISNUMBER(C65), C65, 0) - IF(ISNUMBER(D65), D65, 0))</f>
        <v/>
      </c>
      <c r="F65" s="16">
        <f>IF(OR(NOT(ISNUMBER(D65)), D65=0), "-", (IF(ISNUMBER(C65), C65, 0) - D65)/ABS(D65))</f>
        <v/>
      </c>
      <c r="G65" s="14" t="inlineStr"/>
    </row>
    <row r="66">
      <c r="A66" s="14" t="inlineStr">
        <is>
          <t>As per our report of even date</t>
        </is>
      </c>
      <c r="B66" s="14" t="inlineStr"/>
      <c r="C66" s="15" t="inlineStr">
        <is>
          <t>-</t>
        </is>
      </c>
      <c r="D66" s="15" t="inlineStr">
        <is>
          <t>-</t>
        </is>
      </c>
      <c r="E66" s="15">
        <f>IF(AND(NOT(ISNUMBER(C66)), NOT(ISNUMBER(D66))), "-", IF(ISNUMBER(C66), C66, 0) - IF(ISNUMBER(D66), D66, 0))</f>
        <v/>
      </c>
      <c r="F66" s="16">
        <f>IF(OR(NOT(ISNUMBER(D66)), D66=0), "-", (IF(ISNUMBER(C66), C66, 0) - D66)/ABS(D66))</f>
        <v/>
      </c>
      <c r="G66" s="14" t="inlineStr"/>
    </row>
    <row r="67">
      <c r="A67" s="14" t="inlineStr">
        <is>
          <t>For Walker Chandiok &amp; Co LLP</t>
        </is>
      </c>
      <c r="B67" s="14" t="inlineStr"/>
      <c r="C67" s="15" t="inlineStr">
        <is>
          <t>-</t>
        </is>
      </c>
      <c r="D67" s="15" t="inlineStr">
        <is>
          <t>-</t>
        </is>
      </c>
      <c r="E67" s="15">
        <f>IF(AND(NOT(ISNUMBER(C67)), NOT(ISNUMBER(D67))), "-", IF(ISNUMBER(C67), C67, 0) - IF(ISNUMBER(D67), D67, 0))</f>
        <v/>
      </c>
      <c r="F67" s="16">
        <f>IF(OR(NOT(ISNUMBER(D67)), D67=0), "-", (IF(ISNUMBER(C67), C67, 0) - D67)/ABS(D67))</f>
        <v/>
      </c>
      <c r="G67" s="14" t="inlineStr"/>
    </row>
    <row r="68">
      <c r="A68" s="14" t="inlineStr">
        <is>
          <t>Chartered Accountants</t>
        </is>
      </c>
      <c r="B68" s="14" t="inlineStr"/>
      <c r="C68" s="15" t="inlineStr">
        <is>
          <t>-</t>
        </is>
      </c>
      <c r="D68" s="15" t="inlineStr">
        <is>
          <t>-</t>
        </is>
      </c>
      <c r="E68" s="15">
        <f>IF(AND(NOT(ISNUMBER(C68)), NOT(ISNUMBER(D68))), "-", IF(ISNUMBER(C68), C68, 0) - IF(ISNUMBER(D68), D68, 0))</f>
        <v/>
      </c>
      <c r="F68" s="16">
        <f>IF(OR(NOT(ISNUMBER(D68)), D68=0), "-", (IF(ISNUMBER(C68), C68, 0) - D68)/ABS(D68))</f>
        <v/>
      </c>
      <c r="G68" s="14" t="inlineStr"/>
    </row>
    <row r="69">
      <c r="A69" s="14" t="inlineStr">
        <is>
          <t>Firm Registration No: 001076N/N500013</t>
        </is>
      </c>
      <c r="B69" s="14" t="inlineStr"/>
      <c r="C69" s="15" t="inlineStr">
        <is>
          <t>-</t>
        </is>
      </c>
      <c r="D69" s="15" t="inlineStr">
        <is>
          <t>-</t>
        </is>
      </c>
      <c r="E69" s="15">
        <f>IF(AND(NOT(ISNUMBER(C69)), NOT(ISNUMBER(D69))), "-", IF(ISNUMBER(C69), C69, 0) - IF(ISNUMBER(D69), D69, 0))</f>
        <v/>
      </c>
      <c r="F69" s="16">
        <f>IF(OR(NOT(ISNUMBER(D69)), D69=0), "-", (IF(ISNUMBER(C69), C69, 0) - D69)/ABS(D69))</f>
        <v/>
      </c>
      <c r="G69" s="1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8"/>
  <sheetViews>
    <sheetView workbookViewId="0">
      <pane ySplit="8" topLeftCell="A9" activePane="bottomLeft" state="frozen"/>
      <selection pane="bottomLeft" activeCell="A1" sqref="A1"/>
    </sheetView>
  </sheetViews>
  <sheetFormatPr baseColWidth="8" defaultRowHeight="15"/>
  <cols>
    <col width="40" customWidth="1" min="1" max="1"/>
    <col width="12" customWidth="1" min="2" max="2"/>
    <col width="16" customWidth="1" min="3" max="3"/>
    <col width="16" customWidth="1" min="4" max="4"/>
    <col width="16" customWidth="1" min="5" max="5"/>
    <col width="12" customWidth="1" min="6" max="6"/>
    <col width="45" customWidth="1" min="7" max="7"/>
  </cols>
  <sheetData>
    <row r="1">
      <c r="A1" s="6" t="inlineStr">
        <is>
          <t>Firm Name:</t>
        </is>
      </c>
      <c r="C1" s="7" t="inlineStr">
        <is>
          <t>W</t>
        </is>
      </c>
      <c r="F1" s="8" t="inlineStr">
        <is>
          <t>Legends</t>
        </is>
      </c>
    </row>
    <row r="2">
      <c r="A2" s="6" t="inlineStr">
        <is>
          <t>Client Name:</t>
        </is>
      </c>
      <c r="C2" s="7" t="inlineStr">
        <is>
          <t>SSIPL</t>
        </is>
      </c>
      <c r="F2" s="8" t="inlineStr">
        <is>
          <t>a</t>
        </is>
      </c>
      <c r="G2" s="7" t="inlineStr">
        <is>
          <t>Traced to Financials for the year ended 31 March 2024</t>
        </is>
      </c>
    </row>
    <row r="3">
      <c r="A3" s="6" t="inlineStr">
        <is>
          <t>Analysis of Statement of Profit and Loss</t>
        </is>
      </c>
      <c r="F3" s="8" t="inlineStr">
        <is>
          <t>b</t>
        </is>
      </c>
      <c r="G3" s="7" t="inlineStr">
        <is>
          <t>Traced to Financials for the year ended 31 March 2025</t>
        </is>
      </c>
    </row>
    <row r="4">
      <c r="A4" s="7" t="inlineStr">
        <is>
          <t>For the Year ended 31 March 2025 vs 31 March 2024</t>
        </is>
      </c>
      <c r="F4" s="8" t="inlineStr">
        <is>
          <t>e</t>
        </is>
      </c>
      <c r="G4" s="7" t="inlineStr">
        <is>
          <t>Recomputed</t>
        </is>
      </c>
    </row>
    <row r="5">
      <c r="A5" s="7" t="inlineStr">
        <is>
          <t>(Rs. In Actuals)</t>
        </is>
      </c>
    </row>
    <row r="6">
      <c r="A6" s="7" t="inlineStr">
        <is>
          <t>Scope: All variances above TE and (+/-) 10% have been selected for analysis</t>
        </is>
      </c>
    </row>
    <row r="7">
      <c r="C7" s="9" t="inlineStr">
        <is>
          <t>b</t>
        </is>
      </c>
      <c r="D7" s="9" t="inlineStr">
        <is>
          <t>a</t>
        </is>
      </c>
      <c r="E7" s="9" t="inlineStr">
        <is>
          <t>e</t>
        </is>
      </c>
      <c r="F7" s="9" t="inlineStr">
        <is>
          <t>e</t>
        </is>
      </c>
    </row>
    <row r="8">
      <c r="A8" s="10" t="inlineStr">
        <is>
          <t>Particulars</t>
        </is>
      </c>
      <c r="B8" s="10" t="inlineStr">
        <is>
          <t>Note number</t>
        </is>
      </c>
      <c r="C8" s="10" t="inlineStr">
        <is>
          <t>For the Year ended
31 March 2025</t>
        </is>
      </c>
      <c r="D8" s="10" t="inlineStr">
        <is>
          <t>For the Year ended
31 March 2024</t>
        </is>
      </c>
      <c r="E8" s="10" t="inlineStr">
        <is>
          <t>Absolute Variance</t>
        </is>
      </c>
      <c r="F8" s="10" t="inlineStr">
        <is>
          <t>Variance 
%</t>
        </is>
      </c>
      <c r="G8" s="10" t="inlineStr">
        <is>
          <t>Remarks</t>
        </is>
      </c>
    </row>
    <row r="9">
      <c r="A9" s="14" t="inlineStr">
        <is>
          <t>Revenue from operations</t>
        </is>
      </c>
      <c r="B9" s="14" t="inlineStr"/>
      <c r="C9" s="15" t="inlineStr">
        <is>
          <t>-</t>
        </is>
      </c>
      <c r="D9" s="15" t="inlineStr">
        <is>
          <t>-</t>
        </is>
      </c>
      <c r="E9" s="15">
        <f>IF(AND(NOT(ISNUMBER(C9)), NOT(ISNUMBER(D9))), "-", IF(ISNUMBER(C9), C9, 0) - IF(ISNUMBER(D9), D9, 0))</f>
        <v/>
      </c>
      <c r="F9" s="16">
        <f>IF(OR(NOT(ISNUMBER(D9)), D9=0), "-", (IF(ISNUMBER(C9), C9, 0) - D9)/ABS(D9))</f>
        <v/>
      </c>
      <c r="G9" s="14" t="inlineStr"/>
    </row>
    <row r="10">
      <c r="A10" s="17" t="inlineStr">
        <is>
          <t>- Software services</t>
        </is>
      </c>
      <c r="B10" s="17" t="inlineStr">
        <is>
          <t>18</t>
        </is>
      </c>
      <c r="C10" s="18" t="n">
        <v>109.85</v>
      </c>
      <c r="D10" s="18" t="n">
        <v>144.8</v>
      </c>
      <c r="E10" s="18">
        <f>IF(AND(NOT(ISNUMBER(C10)), NOT(ISNUMBER(D10))), "-", IF(ISNUMBER(C10), C10, 0) - IF(ISNUMBER(D10), D10, 0))</f>
        <v/>
      </c>
      <c r="F10" s="19">
        <f>IF(OR(NOT(ISNUMBER(D10)), D10=0), "-", (IF(ISNUMBER(C10), C10, 0) - D10)/ABS(D10))</f>
        <v/>
      </c>
      <c r="G10" s="17" t="inlineStr"/>
    </row>
    <row r="11">
      <c r="A11" s="17" t="inlineStr">
        <is>
          <t>Other income</t>
        </is>
      </c>
      <c r="B11" s="17" t="inlineStr">
        <is>
          <t>19</t>
        </is>
      </c>
      <c r="C11" s="18" t="n">
        <v>159.03</v>
      </c>
      <c r="D11" s="18" t="n">
        <v>364.66</v>
      </c>
      <c r="E11" s="18">
        <f>IF(AND(NOT(ISNUMBER(C11)), NOT(ISNUMBER(D11))), "-", IF(ISNUMBER(C11), C11, 0) - IF(ISNUMBER(D11), D11, 0))</f>
        <v/>
      </c>
      <c r="F11" s="19">
        <f>IF(OR(NOT(ISNUMBER(D11)), D11=0), "-", (IF(ISNUMBER(C11), C11, 0) - D11)/ABS(D11))</f>
        <v/>
      </c>
      <c r="G11" s="17" t="inlineStr"/>
    </row>
    <row r="12">
      <c r="A12" s="20" t="inlineStr">
        <is>
          <t>Total income</t>
        </is>
      </c>
      <c r="B12" s="20" t="inlineStr"/>
      <c r="C12" s="21" t="n">
        <v>268.88</v>
      </c>
      <c r="D12" s="21" t="n">
        <v>509.46</v>
      </c>
      <c r="E12" s="21">
        <f>IF(AND(NOT(ISNUMBER(C12)), NOT(ISNUMBER(D12))), "-", IF(ISNUMBER(C12), C12, 0) - IF(ISNUMBER(D12), D12, 0))</f>
        <v/>
      </c>
      <c r="F12" s="22">
        <f>IF(OR(NOT(ISNUMBER(D12)), D12=0), "-", (IF(ISNUMBER(C12), C12, 0) - D12)/ABS(D12))</f>
        <v/>
      </c>
      <c r="G12" s="20" t="inlineStr"/>
    </row>
    <row r="13">
      <c r="A13" s="11" t="inlineStr">
        <is>
          <t>Expenses</t>
        </is>
      </c>
      <c r="B13" s="11" t="inlineStr"/>
      <c r="C13" s="12" t="inlineStr">
        <is>
          <t>-</t>
        </is>
      </c>
      <c r="D13" s="12" t="inlineStr">
        <is>
          <t>-</t>
        </is>
      </c>
      <c r="E13" s="12">
        <f>IF(AND(NOT(ISNUMBER(C13)), NOT(ISNUMBER(D13))), "-", IF(ISNUMBER(C13), C13, 0) - IF(ISNUMBER(D13), D13, 0))</f>
        <v/>
      </c>
      <c r="F13" s="13">
        <f>IF(OR(NOT(ISNUMBER(D13)), D13=0), "-", (IF(ISNUMBER(C13), C13, 0) - D13)/ABS(D13))</f>
        <v/>
      </c>
      <c r="G13" s="11" t="inlineStr"/>
    </row>
    <row r="14">
      <c r="A14" s="17" t="inlineStr">
        <is>
          <t>Employee benefit expenses</t>
        </is>
      </c>
      <c r="B14" s="17" t="inlineStr">
        <is>
          <t>20</t>
        </is>
      </c>
      <c r="C14" s="18" t="n">
        <v>70.68000000000001</v>
      </c>
      <c r="D14" s="18" t="n">
        <v>87.06999999999999</v>
      </c>
      <c r="E14" s="18">
        <f>IF(AND(NOT(ISNUMBER(C14)), NOT(ISNUMBER(D14))), "-", IF(ISNUMBER(C14), C14, 0) - IF(ISNUMBER(D14), D14, 0))</f>
        <v/>
      </c>
      <c r="F14" s="19">
        <f>IF(OR(NOT(ISNUMBER(D14)), D14=0), "-", (IF(ISNUMBER(C14), C14, 0) - D14)/ABS(D14))</f>
        <v/>
      </c>
      <c r="G14" s="17" t="inlineStr"/>
    </row>
    <row r="15">
      <c r="A15" s="14" t="inlineStr">
        <is>
          <t>Depreciation (#)</t>
        </is>
      </c>
      <c r="B15" s="14" t="inlineStr">
        <is>
          <t>3</t>
        </is>
      </c>
      <c r="C15" s="15" t="inlineStr">
        <is>
          <t>-</t>
        </is>
      </c>
      <c r="D15" s="15" t="inlineStr">
        <is>
          <t>-</t>
        </is>
      </c>
      <c r="E15" s="15">
        <f>IF(AND(NOT(ISNUMBER(C15)), NOT(ISNUMBER(D15))), "-", IF(ISNUMBER(C15), C15, 0) - IF(ISNUMBER(D15), D15, 0))</f>
        <v/>
      </c>
      <c r="F15" s="16">
        <f>IF(OR(NOT(ISNUMBER(D15)), D15=0), "-", (IF(ISNUMBER(C15), C15, 0) - D15)/ABS(D15))</f>
        <v/>
      </c>
      <c r="G15" s="14" t="inlineStr"/>
    </row>
    <row r="16">
      <c r="A16" s="14" t="inlineStr">
        <is>
          <t>Depreciation and amortization</t>
        </is>
      </c>
      <c r="B16" s="14" t="inlineStr">
        <is>
          <t>3A</t>
        </is>
      </c>
      <c r="C16" s="15" t="n">
        <v>32.07</v>
      </c>
      <c r="D16" s="15" t="n">
        <v>31.81</v>
      </c>
      <c r="E16" s="15">
        <f>IF(AND(NOT(ISNUMBER(C16)), NOT(ISNUMBER(D16))), "-", IF(ISNUMBER(C16), C16, 0) - IF(ISNUMBER(D16), D16, 0))</f>
        <v/>
      </c>
      <c r="F16" s="28">
        <f>IF(OR(NOT(ISNUMBER(D16)), D16=0), "-", (IF(ISNUMBER(C16), C16, 0) - D16)/ABS(D16))</f>
        <v/>
      </c>
      <c r="G16" s="14" t="inlineStr"/>
    </row>
    <row r="17">
      <c r="A17" s="14" t="inlineStr">
        <is>
          <t>Foreign travel expenses</t>
        </is>
      </c>
      <c r="B17" s="14" t="inlineStr">
        <is>
          <t>21</t>
        </is>
      </c>
      <c r="C17" s="15" t="inlineStr">
        <is>
          <t>-</t>
        </is>
      </c>
      <c r="D17" s="15" t="inlineStr">
        <is>
          <t>-</t>
        </is>
      </c>
      <c r="E17" s="15">
        <f>IF(AND(NOT(ISNUMBER(C17)), NOT(ISNUMBER(D17))), "-", IF(ISNUMBER(C17), C17, 0) - IF(ISNUMBER(D17), D17, 0))</f>
        <v/>
      </c>
      <c r="F17" s="16">
        <f>IF(OR(NOT(ISNUMBER(D17)), D17=0), "-", (IF(ISNUMBER(C17), C17, 0) - D17)/ABS(D17))</f>
        <v/>
      </c>
      <c r="G17" s="14" t="inlineStr"/>
    </row>
    <row r="18">
      <c r="A18" s="17" t="inlineStr">
        <is>
          <t>Finance charges</t>
        </is>
      </c>
      <c r="B18" s="17" t="inlineStr">
        <is>
          <t>21</t>
        </is>
      </c>
      <c r="C18" s="18" t="n">
        <v>117.61</v>
      </c>
      <c r="D18" s="18" t="n">
        <v>140.32</v>
      </c>
      <c r="E18" s="18">
        <f>IF(AND(NOT(ISNUMBER(C18)), NOT(ISNUMBER(D18))), "-", IF(ISNUMBER(C18), C18, 0) - IF(ISNUMBER(D18), D18, 0))</f>
        <v/>
      </c>
      <c r="F18" s="19">
        <f>IF(OR(NOT(ISNUMBER(D18)), D18=0), "-", (IF(ISNUMBER(C18), C18, 0) - D18)/ABS(D18))</f>
        <v/>
      </c>
      <c r="G18" s="17" t="inlineStr"/>
    </row>
    <row r="19">
      <c r="A19" s="17" t="inlineStr">
        <is>
          <t>Other expenses</t>
        </is>
      </c>
      <c r="B19" s="17" t="inlineStr">
        <is>
          <t>22</t>
        </is>
      </c>
      <c r="C19" s="18" t="n">
        <v>78.08</v>
      </c>
      <c r="D19" s="18" t="n">
        <v>56.26</v>
      </c>
      <c r="E19" s="18">
        <f>IF(AND(NOT(ISNUMBER(C19)), NOT(ISNUMBER(D19))), "-", IF(ISNUMBER(C19), C19, 0) - IF(ISNUMBER(D19), D19, 0))</f>
        <v/>
      </c>
      <c r="F19" s="23">
        <f>IF(OR(NOT(ISNUMBER(D19)), D19=0), "-", (IF(ISNUMBER(C19), C19, 0) - D19)/ABS(D19))</f>
        <v/>
      </c>
      <c r="G19" s="17" t="inlineStr"/>
    </row>
    <row r="20">
      <c r="A20" s="11" t="inlineStr">
        <is>
          <t>Total expenses</t>
        </is>
      </c>
      <c r="B20" s="11" t="inlineStr"/>
      <c r="C20" s="12" t="n">
        <v>298.44</v>
      </c>
      <c r="D20" s="12" t="n">
        <v>315.46</v>
      </c>
      <c r="E20" s="12">
        <f>IF(AND(NOT(ISNUMBER(C20)), NOT(ISNUMBER(D20))), "-", IF(ISNUMBER(C20), C20, 0) - IF(ISNUMBER(D20), D20, 0))</f>
        <v/>
      </c>
      <c r="F20" s="29">
        <f>IF(OR(NOT(ISNUMBER(D20)), D20=0), "-", (IF(ISNUMBER(C20), C20, 0) - D20)/ABS(D20))</f>
        <v/>
      </c>
      <c r="G20" s="11" t="inlineStr"/>
    </row>
    <row r="21">
      <c r="A21" s="20" t="inlineStr">
        <is>
          <t>Profit / (Loss) before exceptional and extraordinary items and tax</t>
        </is>
      </c>
      <c r="B21" s="20" t="inlineStr"/>
      <c r="C21" s="21" t="n">
        <v>-29.56</v>
      </c>
      <c r="D21" s="21" t="n">
        <v>194</v>
      </c>
      <c r="E21" s="21">
        <f>IF(AND(NOT(ISNUMBER(C21)), NOT(ISNUMBER(D21))), "-", IF(ISNUMBER(C21), C21, 0) - IF(ISNUMBER(D21), D21, 0))</f>
        <v/>
      </c>
      <c r="F21" s="22">
        <f>IF(OR(NOT(ISNUMBER(D21)), D21=0), "-", (IF(ISNUMBER(C21), C21, 0) - D21)/ABS(D21))</f>
        <v/>
      </c>
      <c r="G21" s="20" t="inlineStr"/>
    </row>
    <row r="22">
      <c r="A22" s="14" t="inlineStr">
        <is>
          <t>Extra Ordinary item</t>
        </is>
      </c>
      <c r="B22" s="14" t="inlineStr"/>
      <c r="C22" s="15" t="inlineStr">
        <is>
          <t>-</t>
        </is>
      </c>
      <c r="D22" s="15" t="inlineStr">
        <is>
          <t>-</t>
        </is>
      </c>
      <c r="E22" s="15">
        <f>IF(AND(NOT(ISNUMBER(C22)), NOT(ISNUMBER(D22))), "-", IF(ISNUMBER(C22), C22, 0) - IF(ISNUMBER(D22), D22, 0))</f>
        <v/>
      </c>
      <c r="F22" s="16">
        <f>IF(OR(NOT(ISNUMBER(D22)), D22=0), "-", (IF(ISNUMBER(C22), C22, 0) - D22)/ABS(D22))</f>
        <v/>
      </c>
      <c r="G22" s="14" t="inlineStr"/>
    </row>
    <row r="23">
      <c r="A23" s="20" t="inlineStr">
        <is>
          <t>Profit / (Loss) before tax</t>
        </is>
      </c>
      <c r="B23" s="20" t="inlineStr"/>
      <c r="C23" s="21" t="n">
        <v>-29.56</v>
      </c>
      <c r="D23" s="21" t="n">
        <v>194</v>
      </c>
      <c r="E23" s="21">
        <f>IF(AND(NOT(ISNUMBER(C23)), NOT(ISNUMBER(D23))), "-", IF(ISNUMBER(C23), C23, 0) - IF(ISNUMBER(D23), D23, 0))</f>
        <v/>
      </c>
      <c r="F23" s="22">
        <f>IF(OR(NOT(ISNUMBER(D23)), D23=0), "-", (IF(ISNUMBER(C23), C23, 0) - D23)/ABS(D23))</f>
        <v/>
      </c>
      <c r="G23" s="20" t="inlineStr"/>
    </row>
    <row r="24">
      <c r="A24" s="11" t="inlineStr">
        <is>
          <t>Tax expense</t>
        </is>
      </c>
      <c r="B24" s="11" t="inlineStr">
        <is>
          <t>25</t>
        </is>
      </c>
      <c r="C24" s="12" t="inlineStr">
        <is>
          <t>-</t>
        </is>
      </c>
      <c r="D24" s="12" t="inlineStr">
        <is>
          <t>-</t>
        </is>
      </c>
      <c r="E24" s="12">
        <f>IF(AND(NOT(ISNUMBER(C24)), NOT(ISNUMBER(D24))), "-", IF(ISNUMBER(C24), C24, 0) - IF(ISNUMBER(D24), D24, 0))</f>
        <v/>
      </c>
      <c r="F24" s="13">
        <f>IF(OR(NOT(ISNUMBER(D24)), D24=0), "-", (IF(ISNUMBER(C24), C24, 0) - D24)/ABS(D24))</f>
        <v/>
      </c>
      <c r="G24" s="11" t="inlineStr"/>
    </row>
    <row r="25">
      <c r="A25" s="17" t="inlineStr">
        <is>
          <t>Current tax</t>
        </is>
      </c>
      <c r="B25" s="17" t="inlineStr"/>
      <c r="C25" s="18" t="n">
        <v>426.14</v>
      </c>
      <c r="D25" s="18" t="n">
        <v>40.35</v>
      </c>
      <c r="E25" s="18">
        <f>IF(AND(NOT(ISNUMBER(C25)), NOT(ISNUMBER(D25))), "-", IF(ISNUMBER(C25), C25, 0) - IF(ISNUMBER(D25), D25, 0))</f>
        <v/>
      </c>
      <c r="F25" s="23">
        <f>IF(OR(NOT(ISNUMBER(D25)), D25=0), "-", (IF(ISNUMBER(C25), C25, 0) - D25)/ABS(D25))</f>
        <v/>
      </c>
      <c r="G25" s="17" t="inlineStr"/>
    </row>
    <row r="26">
      <c r="A26" s="14" t="inlineStr">
        <is>
          <t>MAT credit entitlement</t>
        </is>
      </c>
      <c r="B26" s="14" t="inlineStr"/>
      <c r="C26" s="15" t="inlineStr">
        <is>
          <t>-</t>
        </is>
      </c>
      <c r="D26" s="15" t="inlineStr">
        <is>
          <t>-</t>
        </is>
      </c>
      <c r="E26" s="15">
        <f>IF(AND(NOT(ISNUMBER(C26)), NOT(ISNUMBER(D26))), "-", IF(ISNUMBER(C26), C26, 0) - IF(ISNUMBER(D26), D26, 0))</f>
        <v/>
      </c>
      <c r="F26" s="16">
        <f>IF(OR(NOT(ISNUMBER(D26)), D26=0), "-", (IF(ISNUMBER(C26), C26, 0) - D26)/ABS(D26))</f>
        <v/>
      </c>
      <c r="G26" s="14" t="inlineStr"/>
    </row>
    <row r="27">
      <c r="A27" s="14" t="inlineStr">
        <is>
          <t>MAT credit entitlement written off</t>
        </is>
      </c>
      <c r="B27" s="14" t="inlineStr"/>
      <c r="C27" s="15" t="inlineStr">
        <is>
          <t>-</t>
        </is>
      </c>
      <c r="D27" s="15" t="inlineStr">
        <is>
          <t>-</t>
        </is>
      </c>
      <c r="E27" s="15">
        <f>IF(AND(NOT(ISNUMBER(C27)), NOT(ISNUMBER(D27))), "-", IF(ISNUMBER(C27), C27, 0) - IF(ISNUMBER(D27), D27, 0))</f>
        <v/>
      </c>
      <c r="F27" s="16">
        <f>IF(OR(NOT(ISNUMBER(D27)), D27=0), "-", (IF(ISNUMBER(C27), C27, 0) - D27)/ABS(D27))</f>
        <v/>
      </c>
      <c r="G27" s="14" t="inlineStr"/>
    </row>
    <row r="28">
      <c r="A28" s="17" t="inlineStr">
        <is>
          <t>Deferred tax [net of MAT credit ₹ 31  ( 31 March 2024 : ₹ 4)] (refer note no 14)</t>
        </is>
      </c>
      <c r="B28" s="17" t="inlineStr"/>
      <c r="C28" s="18" t="n">
        <v>34.52</v>
      </c>
      <c r="D28" s="18" t="n">
        <v>-260.31</v>
      </c>
      <c r="E28" s="18">
        <f>IF(AND(NOT(ISNUMBER(C28)), NOT(ISNUMBER(D28))), "-", IF(ISNUMBER(C28), C28, 0) - IF(ISNUMBER(D28), D28, 0))</f>
        <v/>
      </c>
      <c r="F28" s="23">
        <f>IF(OR(NOT(ISNUMBER(D28)), D28=0), "-", (IF(ISNUMBER(C28), C28, 0) - D28)/ABS(D28))</f>
        <v/>
      </c>
      <c r="G28" s="17" t="inlineStr"/>
    </row>
    <row r="29">
      <c r="A29" s="14" t="inlineStr">
        <is>
          <t>Buy back tax</t>
        </is>
      </c>
      <c r="B29" s="14" t="inlineStr"/>
      <c r="C29" s="15" t="inlineStr">
        <is>
          <t>-</t>
        </is>
      </c>
      <c r="D29" s="15" t="inlineStr">
        <is>
          <t>-</t>
        </is>
      </c>
      <c r="E29" s="15">
        <f>IF(AND(NOT(ISNUMBER(C29)), NOT(ISNUMBER(D29))), "-", IF(ISNUMBER(C29), C29, 0) - IF(ISNUMBER(D29), D29, 0))</f>
        <v/>
      </c>
      <c r="F29" s="16">
        <f>IF(OR(NOT(ISNUMBER(D29)), D29=0), "-", (IF(ISNUMBER(C29), C29, 0) - D29)/ABS(D29))</f>
        <v/>
      </c>
      <c r="G29" s="14" t="inlineStr"/>
    </row>
    <row r="30">
      <c r="A30" s="20" t="inlineStr">
        <is>
          <t>Total tax expenses</t>
        </is>
      </c>
      <c r="B30" s="20" t="inlineStr"/>
      <c r="C30" s="21" t="n">
        <v>460.66</v>
      </c>
      <c r="D30" s="21" t="n">
        <v>-219.96</v>
      </c>
      <c r="E30" s="21">
        <f>IF(AND(NOT(ISNUMBER(C30)), NOT(ISNUMBER(D30))), "-", IF(ISNUMBER(C30), C30, 0) - IF(ISNUMBER(D30), D30, 0))</f>
        <v/>
      </c>
      <c r="F30" s="27">
        <f>IF(OR(NOT(ISNUMBER(D30)), D30=0), "-", (IF(ISNUMBER(C30), C30, 0) - D30)/ABS(D30))</f>
        <v/>
      </c>
      <c r="G30" s="20" t="inlineStr"/>
    </row>
    <row r="31">
      <c r="A31" s="20" t="inlineStr">
        <is>
          <t>Profit / (Loss) after tax (A)</t>
        </is>
      </c>
      <c r="B31" s="20" t="inlineStr"/>
      <c r="C31" s="21" t="n">
        <v>-490.22</v>
      </c>
      <c r="D31" s="21" t="n">
        <v>413.96</v>
      </c>
      <c r="E31" s="21">
        <f>IF(AND(NOT(ISNUMBER(C31)), NOT(ISNUMBER(D31))), "-", IF(ISNUMBER(C31), C31, 0) - IF(ISNUMBER(D31), D31, 0))</f>
        <v/>
      </c>
      <c r="F31" s="22">
        <f>IF(OR(NOT(ISNUMBER(D31)), D31=0), "-", (IF(ISNUMBER(C31), C31, 0) - D31)/ABS(D31))</f>
        <v/>
      </c>
      <c r="G31" s="20" t="inlineStr"/>
    </row>
    <row r="32">
      <c r="A32" s="11" t="inlineStr">
        <is>
          <t>Other comprehensive income</t>
        </is>
      </c>
      <c r="B32" s="11" t="inlineStr"/>
      <c r="C32" s="12" t="inlineStr">
        <is>
          <t>-</t>
        </is>
      </c>
      <c r="D32" s="12" t="inlineStr">
        <is>
          <t>-</t>
        </is>
      </c>
      <c r="E32" s="12">
        <f>IF(AND(NOT(ISNUMBER(C32)), NOT(ISNUMBER(D32))), "-", IF(ISNUMBER(C32), C32, 0) - IF(ISNUMBER(D32), D32, 0))</f>
        <v/>
      </c>
      <c r="F32" s="13">
        <f>IF(OR(NOT(ISNUMBER(D32)), D32=0), "-", (IF(ISNUMBER(C32), C32, 0) - D32)/ABS(D32))</f>
        <v/>
      </c>
      <c r="G32" s="11" t="inlineStr"/>
    </row>
    <row r="33">
      <c r="A33" s="14" t="inlineStr">
        <is>
          <t>Items that will not be reclassified subsequently to profit or loss</t>
        </is>
      </c>
      <c r="B33" s="14" t="inlineStr"/>
      <c r="C33" s="15" t="inlineStr">
        <is>
          <t>-</t>
        </is>
      </c>
      <c r="D33" s="15" t="inlineStr">
        <is>
          <t>-</t>
        </is>
      </c>
      <c r="E33" s="15">
        <f>IF(AND(NOT(ISNUMBER(C33)), NOT(ISNUMBER(D33))), "-", IF(ISNUMBER(C33), C33, 0) - IF(ISNUMBER(D33), D33, 0))</f>
        <v/>
      </c>
      <c r="F33" s="16">
        <f>IF(OR(NOT(ISNUMBER(D33)), D33=0), "-", (IF(ISNUMBER(C33), C33, 0) - D33)/ABS(D33))</f>
        <v/>
      </c>
      <c r="G33" s="14" t="inlineStr"/>
    </row>
    <row r="34">
      <c r="A34" s="17" t="inlineStr">
        <is>
          <t>Remeasurement of the actuarial gain on defined benefit obligation (#)</t>
        </is>
      </c>
      <c r="B34" s="17" t="inlineStr"/>
      <c r="C34" s="18" t="n">
        <v>-0.47</v>
      </c>
      <c r="D34" s="18" t="n">
        <v>-0.3</v>
      </c>
      <c r="E34" s="18">
        <f>IF(AND(NOT(ISNUMBER(C34)), NOT(ISNUMBER(D34))), "-", IF(ISNUMBER(C34), C34, 0) - IF(ISNUMBER(D34), D34, 0))</f>
        <v/>
      </c>
      <c r="F34" s="19">
        <f>IF(OR(NOT(ISNUMBER(D34)), D34=0), "-", (IF(ISNUMBER(C34), C34, 0) - D34)/ABS(D34))</f>
        <v/>
      </c>
      <c r="G34" s="17" t="inlineStr"/>
    </row>
    <row r="35">
      <c r="A35" s="17" t="inlineStr">
        <is>
          <t>Tax impact on above items (#)</t>
        </is>
      </c>
      <c r="B35" s="17" t="inlineStr"/>
      <c r="C35" s="18" t="n">
        <v>0.13</v>
      </c>
      <c r="D35" s="18" t="n">
        <v>0.08</v>
      </c>
      <c r="E35" s="18">
        <f>IF(AND(NOT(ISNUMBER(C35)), NOT(ISNUMBER(D35))), "-", IF(ISNUMBER(C35), C35, 0) - IF(ISNUMBER(D35), D35, 0))</f>
        <v/>
      </c>
      <c r="F35" s="23">
        <f>IF(OR(NOT(ISNUMBER(D35)), D35=0), "-", (IF(ISNUMBER(C35), C35, 0) - D35)/ABS(D35))</f>
        <v/>
      </c>
      <c r="G35" s="17" t="inlineStr"/>
    </row>
    <row r="36">
      <c r="A36" s="20" t="inlineStr">
        <is>
          <t>Other comprehensive income / (loss) for the year (B)</t>
        </is>
      </c>
      <c r="B36" s="20" t="inlineStr"/>
      <c r="C36" s="21" t="n">
        <v>-0.34</v>
      </c>
      <c r="D36" s="21" t="n">
        <v>-0.22</v>
      </c>
      <c r="E36" s="21">
        <f>IF(AND(NOT(ISNUMBER(C36)), NOT(ISNUMBER(D36))), "-", IF(ISNUMBER(C36), C36, 0) - IF(ISNUMBER(D36), D36, 0))</f>
        <v/>
      </c>
      <c r="F36" s="22">
        <f>IF(OR(NOT(ISNUMBER(D36)), D36=0), "-", (IF(ISNUMBER(C36), C36, 0) - D36)/ABS(D36))</f>
        <v/>
      </c>
      <c r="G36" s="20" t="inlineStr"/>
    </row>
    <row r="37">
      <c r="A37" s="14" t="inlineStr">
        <is>
          <t>Items that will be reclassified subsequently to profit or loss</t>
        </is>
      </c>
      <c r="B37" s="14" t="inlineStr"/>
      <c r="C37" s="15" t="inlineStr">
        <is>
          <t>-</t>
        </is>
      </c>
      <c r="D37" s="15" t="inlineStr">
        <is>
          <t>-</t>
        </is>
      </c>
      <c r="E37" s="15">
        <f>IF(AND(NOT(ISNUMBER(C37)), NOT(ISNUMBER(D37))), "-", IF(ISNUMBER(C37), C37, 0) - IF(ISNUMBER(D37), D37, 0))</f>
        <v/>
      </c>
      <c r="F37" s="16">
        <f>IF(OR(NOT(ISNUMBER(D37)), D37=0), "-", (IF(ISNUMBER(C37), C37, 0) - D37)/ABS(D37))</f>
        <v/>
      </c>
      <c r="G37" s="14" t="inlineStr"/>
    </row>
    <row r="38">
      <c r="A38" s="11" t="inlineStr">
        <is>
          <t>Other comprehensive income for the year</t>
        </is>
      </c>
      <c r="B38" s="11" t="inlineStr"/>
      <c r="C38" s="12" t="inlineStr">
        <is>
          <t>-</t>
        </is>
      </c>
      <c r="D38" s="12" t="inlineStr">
        <is>
          <t>-</t>
        </is>
      </c>
      <c r="E38" s="12">
        <f>IF(AND(NOT(ISNUMBER(C38)), NOT(ISNUMBER(D38))), "-", IF(ISNUMBER(C38), C38, 0) - IF(ISNUMBER(D38), D38, 0))</f>
        <v/>
      </c>
      <c r="F38" s="13">
        <f>IF(OR(NOT(ISNUMBER(D38)), D38=0), "-", (IF(ISNUMBER(C38), C38, 0) - D38)/ABS(D38))</f>
        <v/>
      </c>
      <c r="G38" s="11" t="inlineStr"/>
    </row>
    <row r="39">
      <c r="A39" s="20" t="inlineStr">
        <is>
          <t>Total Other comprehensive income / (loss) for the year (A+B)</t>
        </is>
      </c>
      <c r="B39" s="20" t="inlineStr"/>
      <c r="C39" s="21" t="n">
        <v>-490.56</v>
      </c>
      <c r="D39" s="21" t="n">
        <v>413.74</v>
      </c>
      <c r="E39" s="21">
        <f>IF(AND(NOT(ISNUMBER(C39)), NOT(ISNUMBER(D39))), "-", IF(ISNUMBER(C39), C39, 0) - IF(ISNUMBER(D39), D39, 0))</f>
        <v/>
      </c>
      <c r="F39" s="22">
        <f>IF(OR(NOT(ISNUMBER(D39)), D39=0), "-", (IF(ISNUMBER(C39), C39, 0) - D39)/ABS(D39))</f>
        <v/>
      </c>
      <c r="G39" s="20" t="inlineStr"/>
    </row>
    <row r="40">
      <c r="A40" s="17" t="inlineStr">
        <is>
          <t>Basic and diluted earning / (loss) per equity share (₹)</t>
        </is>
      </c>
      <c r="B40" s="17" t="inlineStr">
        <is>
          <t>29</t>
        </is>
      </c>
      <c r="C40" s="18" t="n">
        <v>-0.05</v>
      </c>
      <c r="D40" s="18" t="n">
        <v>0.04</v>
      </c>
      <c r="E40" s="18">
        <f>IF(AND(NOT(ISNUMBER(C40)), NOT(ISNUMBER(D40))), "-", IF(ISNUMBER(C40), C40, 0) - IF(ISNUMBER(D40), D40, 0))</f>
        <v/>
      </c>
      <c r="F40" s="19">
        <f>IF(OR(NOT(ISNUMBER(D40)), D40=0), "-", (IF(ISNUMBER(C40), C40, 0) - D40)/ABS(D40))</f>
        <v/>
      </c>
      <c r="G40" s="17" t="inlineStr"/>
    </row>
    <row r="41">
      <c r="A41" s="14" t="inlineStr">
        <is>
          <t>(Face value of ₹ 10 each)</t>
        </is>
      </c>
      <c r="B41" s="14" t="inlineStr"/>
      <c r="C41" s="15" t="inlineStr">
        <is>
          <t>-</t>
        </is>
      </c>
      <c r="D41" s="15" t="inlineStr">
        <is>
          <t>-</t>
        </is>
      </c>
      <c r="E41" s="15">
        <f>IF(AND(NOT(ISNUMBER(C41)), NOT(ISNUMBER(D41))), "-", IF(ISNUMBER(C41), C41, 0) - IF(ISNUMBER(D41), D41, 0))</f>
        <v/>
      </c>
      <c r="F41" s="16">
        <f>IF(OR(NOT(ISNUMBER(D41)), D41=0), "-", (IF(ISNUMBER(C41), C41, 0) - D41)/ABS(D41))</f>
        <v/>
      </c>
      <c r="G41" s="14" t="inlineStr"/>
    </row>
    <row r="42">
      <c r="A42" s="14" t="inlineStr">
        <is>
          <t>(#) Zero represents amount less than ₹ 0.5 lakhs</t>
        </is>
      </c>
      <c r="B42" s="14" t="inlineStr"/>
      <c r="C42" s="15" t="inlineStr">
        <is>
          <t>-</t>
        </is>
      </c>
      <c r="D42" s="15" t="inlineStr">
        <is>
          <t>-</t>
        </is>
      </c>
      <c r="E42" s="15">
        <f>IF(AND(NOT(ISNUMBER(C42)), NOT(ISNUMBER(D42))), "-", IF(ISNUMBER(C42), C42, 0) - IF(ISNUMBER(D42), D42, 0))</f>
        <v/>
      </c>
      <c r="F42" s="16">
        <f>IF(OR(NOT(ISNUMBER(D42)), D42=0), "-", (IF(ISNUMBER(C42), C42, 0) - D42)/ABS(D42))</f>
        <v/>
      </c>
      <c r="G42" s="14" t="inlineStr"/>
    </row>
    <row r="43">
      <c r="A43" s="14" t="inlineStr">
        <is>
          <t>Summary of material accounting policies and other explanatory information</t>
        </is>
      </c>
      <c r="B43" s="14" t="inlineStr">
        <is>
          <t>2</t>
        </is>
      </c>
      <c r="C43" s="15" t="inlineStr">
        <is>
          <t>-</t>
        </is>
      </c>
      <c r="D43" s="15" t="inlineStr">
        <is>
          <t>-</t>
        </is>
      </c>
      <c r="E43" s="15">
        <f>IF(AND(NOT(ISNUMBER(C43)), NOT(ISNUMBER(D43))), "-", IF(ISNUMBER(C43), C43, 0) - IF(ISNUMBER(D43), D43, 0))</f>
        <v/>
      </c>
      <c r="F43" s="16">
        <f>IF(OR(NOT(ISNUMBER(D43)), D43=0), "-", (IF(ISNUMBER(C43), C43, 0) - D43)/ABS(D43))</f>
        <v/>
      </c>
      <c r="G43" s="14" t="inlineStr"/>
    </row>
    <row r="44">
      <c r="A44" s="14" t="inlineStr">
        <is>
          <t>The accompanying notes are integral part of the financial statements</t>
        </is>
      </c>
      <c r="B44" s="14" t="inlineStr"/>
      <c r="C44" s="15" t="inlineStr">
        <is>
          <t>-</t>
        </is>
      </c>
      <c r="D44" s="15" t="inlineStr">
        <is>
          <t>-</t>
        </is>
      </c>
      <c r="E44" s="15">
        <f>IF(AND(NOT(ISNUMBER(C44)), NOT(ISNUMBER(D44))), "-", IF(ISNUMBER(C44), C44, 0) - IF(ISNUMBER(D44), D44, 0))</f>
        <v/>
      </c>
      <c r="F44" s="16">
        <f>IF(OR(NOT(ISNUMBER(D44)), D44=0), "-", (IF(ISNUMBER(C44), C44, 0) - D44)/ABS(D44))</f>
        <v/>
      </c>
      <c r="G44" s="14" t="inlineStr"/>
    </row>
    <row r="45">
      <c r="A45" s="14" t="inlineStr">
        <is>
          <t>As per our report of even date</t>
        </is>
      </c>
      <c r="B45" s="14" t="inlineStr"/>
      <c r="C45" s="15" t="inlineStr">
        <is>
          <t>-</t>
        </is>
      </c>
      <c r="D45" s="15" t="inlineStr">
        <is>
          <t>-</t>
        </is>
      </c>
      <c r="E45" s="15">
        <f>IF(AND(NOT(ISNUMBER(C45)), NOT(ISNUMBER(D45))), "-", IF(ISNUMBER(C45), C45, 0) - IF(ISNUMBER(D45), D45, 0))</f>
        <v/>
      </c>
      <c r="F45" s="16">
        <f>IF(OR(NOT(ISNUMBER(D45)), D45=0), "-", (IF(ISNUMBER(C45), C45, 0) - D45)/ABS(D45))</f>
        <v/>
      </c>
      <c r="G45" s="14" t="inlineStr"/>
    </row>
    <row r="46">
      <c r="A46" s="14" t="inlineStr">
        <is>
          <t>For Walker Chandiok &amp; Co LLP</t>
        </is>
      </c>
      <c r="B46" s="14" t="inlineStr"/>
      <c r="C46" s="15" t="inlineStr">
        <is>
          <t>-</t>
        </is>
      </c>
      <c r="D46" s="15" t="inlineStr">
        <is>
          <t>-</t>
        </is>
      </c>
      <c r="E46" s="15">
        <f>IF(AND(NOT(ISNUMBER(C46)), NOT(ISNUMBER(D46))), "-", IF(ISNUMBER(C46), C46, 0) - IF(ISNUMBER(D46), D46, 0))</f>
        <v/>
      </c>
      <c r="F46" s="16">
        <f>IF(OR(NOT(ISNUMBER(D46)), D46=0), "-", (IF(ISNUMBER(C46), C46, 0) - D46)/ABS(D46))</f>
        <v/>
      </c>
      <c r="G46" s="14" t="inlineStr"/>
    </row>
    <row r="47">
      <c r="A47" s="14" t="inlineStr">
        <is>
          <t>Chartered Accountants</t>
        </is>
      </c>
      <c r="B47" s="14" t="inlineStr"/>
      <c r="C47" s="15" t="inlineStr">
        <is>
          <t>-</t>
        </is>
      </c>
      <c r="D47" s="15" t="inlineStr">
        <is>
          <t>-</t>
        </is>
      </c>
      <c r="E47" s="15">
        <f>IF(AND(NOT(ISNUMBER(C47)), NOT(ISNUMBER(D47))), "-", IF(ISNUMBER(C47), C47, 0) - IF(ISNUMBER(D47), D47, 0))</f>
        <v/>
      </c>
      <c r="F47" s="16">
        <f>IF(OR(NOT(ISNUMBER(D47)), D47=0), "-", (IF(ISNUMBER(C47), C47, 0) - D47)/ABS(D47))</f>
        <v/>
      </c>
      <c r="G47" s="14" t="inlineStr"/>
    </row>
    <row r="48">
      <c r="A48" s="14" t="inlineStr">
        <is>
          <t>Firm Registration No: 001076N/N500013</t>
        </is>
      </c>
      <c r="B48" s="14" t="inlineStr"/>
      <c r="C48" s="15" t="inlineStr">
        <is>
          <t>-</t>
        </is>
      </c>
      <c r="D48" s="15" t="inlineStr">
        <is>
          <t>-</t>
        </is>
      </c>
      <c r="E48" s="15">
        <f>IF(AND(NOT(ISNUMBER(C48)), NOT(ISNUMBER(D48))), "-", IF(ISNUMBER(C48), C48, 0) - IF(ISNUMBER(D48), D48, 0))</f>
        <v/>
      </c>
      <c r="F48" s="16">
        <f>IF(OR(NOT(ISNUMBER(D48)), D48=0), "-", (IF(ISNUMBER(C48), C48, 0) - D48)/ABS(D48))</f>
        <v/>
      </c>
      <c r="G48" s="1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7"/>
  <sheetViews>
    <sheetView workbookViewId="0">
      <selection activeCell="A1" sqref="A1"/>
    </sheetView>
  </sheetViews>
  <sheetFormatPr baseColWidth="8" defaultRowHeight="15"/>
  <cols>
    <col width="5" customWidth="1" min="1" max="1"/>
    <col width="40" customWidth="1" min="2" max="2"/>
    <col width="16" customWidth="1" min="3" max="3"/>
    <col width="16" customWidth="1" min="4" max="4"/>
    <col width="16" customWidth="1" min="5" max="5"/>
    <col width="12" customWidth="1" min="6" max="6"/>
    <col width="45" customWidth="1" min="7" max="7"/>
    <col width="5" customWidth="1" min="8" max="8"/>
    <col width="50" customWidth="1" min="9" max="9"/>
  </cols>
  <sheetData>
    <row r="1">
      <c r="A1" s="6" t="inlineStr">
        <is>
          <t>Firm:</t>
        </is>
      </c>
      <c r="C1" s="7" t="inlineStr">
        <is>
          <t>W</t>
        </is>
      </c>
      <c r="H1" s="8" t="inlineStr">
        <is>
          <t>Legend:</t>
        </is>
      </c>
    </row>
    <row r="2">
      <c r="A2" s="6" t="inlineStr">
        <is>
          <t>Client:</t>
        </is>
      </c>
      <c r="C2" s="7" t="inlineStr">
        <is>
          <t>SSIPL</t>
        </is>
      </c>
      <c r="H2" s="8" t="inlineStr">
        <is>
          <t>a</t>
        </is>
      </c>
      <c r="I2" s="7" t="inlineStr">
        <is>
          <t>Traced to Financials for the year ended 31 March 2024</t>
        </is>
      </c>
    </row>
    <row r="3">
      <c r="A3" s="6" t="inlineStr">
        <is>
          <t>Analysis of Notes to Accounts</t>
        </is>
      </c>
      <c r="H3" s="8" t="inlineStr">
        <is>
          <t>b</t>
        </is>
      </c>
      <c r="I3" s="7" t="inlineStr">
        <is>
          <t>Traced to Financials for the year ended 31 March 2025</t>
        </is>
      </c>
    </row>
    <row r="4">
      <c r="H4" s="8" t="inlineStr">
        <is>
          <t>j</t>
        </is>
      </c>
      <c r="I4" s="7" t="inlineStr">
        <is>
          <t>Linked</t>
        </is>
      </c>
    </row>
    <row r="5">
      <c r="H5" s="8" t="inlineStr">
        <is>
          <t>e</t>
        </is>
      </c>
      <c r="I5" s="7" t="inlineStr">
        <is>
          <t>Recomputed</t>
        </is>
      </c>
    </row>
    <row r="6">
      <c r="H6" s="8" t="inlineStr">
        <is>
          <t>h</t>
        </is>
      </c>
      <c r="I6" s="7" t="inlineStr">
        <is>
          <t>Immaterial. Hence ignored</t>
        </is>
      </c>
    </row>
    <row r="10">
      <c r="B10" s="6" t="inlineStr">
        <is>
          <t>Note 3: Property and equipment</t>
        </is>
      </c>
      <c r="C10" s="8" t="inlineStr">
        <is>
          <t>a</t>
        </is>
      </c>
      <c r="D10" s="8" t="inlineStr">
        <is>
          <t>b</t>
        </is>
      </c>
      <c r="E10" s="8" t="inlineStr">
        <is>
          <t>e</t>
        </is>
      </c>
    </row>
    <row r="11">
      <c r="A11" s="10" t="inlineStr"/>
      <c r="B11" s="10" t="inlineStr">
        <is>
          <t>Particulars</t>
        </is>
      </c>
      <c r="C11" s="10" t="inlineStr">
        <is>
          <t>As at 31st March 2025</t>
        </is>
      </c>
      <c r="D11" s="10" t="inlineStr">
        <is>
          <t>As at 31st March 2024</t>
        </is>
      </c>
      <c r="E11" s="10" t="inlineStr">
        <is>
          <t>Variance</t>
        </is>
      </c>
      <c r="F11" s="10" t="inlineStr">
        <is>
          <t>Variance %</t>
        </is>
      </c>
      <c r="G11" s="10" t="inlineStr">
        <is>
          <t>Remarks</t>
        </is>
      </c>
    </row>
    <row r="12">
      <c r="A12" s="11" t="n"/>
      <c r="B12" s="11" t="inlineStr">
        <is>
          <t>I. Gross block</t>
        </is>
      </c>
      <c r="C12" s="12" t="n">
        <v>0</v>
      </c>
      <c r="D12" s="12" t="n">
        <v>0</v>
      </c>
      <c r="E12" s="12">
        <f>IF(AND(NOT(ISNUMBER(C12)), NOT(ISNUMBER(D12))), "-", IF(ISNUMBER(C12), C12, 0) - IF(ISNUMBER(D12), D12, 0))</f>
        <v/>
      </c>
      <c r="F12" s="13">
        <f>IF(OR(NOT(ISNUMBER(D12)), D12=0), "-", (IF(ISNUMBER(C12), C12, 0) - D12)/ABS(D12))</f>
        <v/>
      </c>
      <c r="G12" s="11" t="n"/>
    </row>
    <row r="13">
      <c r="A13" s="11" t="n"/>
      <c r="B13" s="11" t="inlineStr">
        <is>
          <t>Balance as at 01 April 2023</t>
        </is>
      </c>
      <c r="C13" s="12" t="n">
        <v>13558204</v>
      </c>
      <c r="D13" s="12" t="n">
        <v>13558204</v>
      </c>
      <c r="E13" s="12">
        <f>IF(AND(NOT(ISNUMBER(C13)), NOT(ISNUMBER(D13))), "-", IF(ISNUMBER(C13), C13, 0) - IF(ISNUMBER(D13), D13, 0))</f>
        <v/>
      </c>
      <c r="F13" s="13">
        <f>IF(OR(NOT(ISNUMBER(D13)), D13=0), "-", (IF(ISNUMBER(C13), C13, 0) - D13)/ABS(D13))</f>
        <v/>
      </c>
      <c r="G13" s="11" t="n"/>
    </row>
    <row r="14">
      <c r="A14" s="14" t="n"/>
      <c r="B14" s="14" t="inlineStr">
        <is>
          <t>Additions</t>
        </is>
      </c>
      <c r="C14" s="15" t="n">
        <v>0</v>
      </c>
      <c r="D14" s="15" t="n">
        <v>0</v>
      </c>
      <c r="E14" s="15">
        <f>IF(AND(NOT(ISNUMBER(C14)), NOT(ISNUMBER(D14))), "-", IF(ISNUMBER(C14), C14, 0) - IF(ISNUMBER(D14), D14, 0))</f>
        <v/>
      </c>
      <c r="F14" s="16">
        <f>IF(OR(NOT(ISNUMBER(D14)), D14=0), "-", (IF(ISNUMBER(C14), C14, 0) - D14)/ABS(D14))</f>
        <v/>
      </c>
      <c r="G14" s="14" t="n"/>
    </row>
    <row r="15">
      <c r="A15" s="14" t="n"/>
      <c r="B15" s="14" t="inlineStr">
        <is>
          <t>Disposals</t>
        </is>
      </c>
      <c r="C15" s="15" t="n">
        <v>0</v>
      </c>
      <c r="D15" s="15" t="n">
        <v>0</v>
      </c>
      <c r="E15" s="15">
        <f>IF(AND(NOT(ISNUMBER(C15)), NOT(ISNUMBER(D15))), "-", IF(ISNUMBER(C15), C15, 0) - IF(ISNUMBER(D15), D15, 0))</f>
        <v/>
      </c>
      <c r="F15" s="16">
        <f>IF(OR(NOT(ISNUMBER(D15)), D15=0), "-", (IF(ISNUMBER(C15), C15, 0) - D15)/ABS(D15))</f>
        <v/>
      </c>
      <c r="G15" s="14" t="n"/>
    </row>
    <row r="16">
      <c r="A16" s="14" t="n"/>
      <c r="B16" s="14" t="inlineStr">
        <is>
          <t>Transfer to asset held for sale</t>
        </is>
      </c>
      <c r="C16" s="15" t="n">
        <v>0</v>
      </c>
      <c r="D16" s="15" t="n">
        <v>0</v>
      </c>
      <c r="E16" s="15">
        <f>IF(AND(NOT(ISNUMBER(C16)), NOT(ISNUMBER(D16))), "-", IF(ISNUMBER(C16), C16, 0) - IF(ISNUMBER(D16), D16, 0))</f>
        <v/>
      </c>
      <c r="F16" s="16">
        <f>IF(OR(NOT(ISNUMBER(D16)), D16=0), "-", (IF(ISNUMBER(C16), C16, 0) - D16)/ABS(D16))</f>
        <v/>
      </c>
      <c r="G16" s="14" t="n"/>
    </row>
    <row r="17">
      <c r="A17" s="14" t="n"/>
      <c r="B17" s="14" t="inlineStr">
        <is>
          <t>Other adjustments</t>
        </is>
      </c>
      <c r="C17" s="15" t="n">
        <v>0</v>
      </c>
      <c r="D17" s="15" t="n">
        <v>0</v>
      </c>
      <c r="E17" s="15">
        <f>IF(AND(NOT(ISNUMBER(C17)), NOT(ISNUMBER(D17))), "-", IF(ISNUMBER(C17), C17, 0) - IF(ISNUMBER(D17), D17, 0))</f>
        <v/>
      </c>
      <c r="F17" s="16">
        <f>IF(OR(NOT(ISNUMBER(D17)), D17=0), "-", (IF(ISNUMBER(C17), C17, 0) - D17)/ABS(D17))</f>
        <v/>
      </c>
      <c r="G17" s="14" t="n"/>
    </row>
    <row r="18">
      <c r="A18" s="11" t="n"/>
      <c r="B18" s="11" t="inlineStr">
        <is>
          <t>Balance as at 31 March 2024</t>
        </is>
      </c>
      <c r="C18" s="12" t="n">
        <v>13558204</v>
      </c>
      <c r="D18" s="12" t="n">
        <v>13558204</v>
      </c>
      <c r="E18" s="12">
        <f>IF(AND(NOT(ISNUMBER(C18)), NOT(ISNUMBER(D18))), "-", IF(ISNUMBER(C18), C18, 0) - IF(ISNUMBER(D18), D18, 0))</f>
        <v/>
      </c>
      <c r="F18" s="13">
        <f>IF(OR(NOT(ISNUMBER(D18)), D18=0), "-", (IF(ISNUMBER(C18), C18, 0) - D18)/ABS(D18))</f>
        <v/>
      </c>
      <c r="G18" s="11" t="n"/>
    </row>
    <row r="19">
      <c r="A19" s="14" t="n"/>
      <c r="B19" s="14" t="inlineStr">
        <is>
          <t>Additions</t>
        </is>
      </c>
      <c r="C19" s="15" t="n">
        <v>0</v>
      </c>
      <c r="D19" s="15" t="n">
        <v>0</v>
      </c>
      <c r="E19" s="15">
        <f>IF(AND(NOT(ISNUMBER(C19)), NOT(ISNUMBER(D19))), "-", IF(ISNUMBER(C19), C19, 0) - IF(ISNUMBER(D19), D19, 0))</f>
        <v/>
      </c>
      <c r="F19" s="16">
        <f>IF(OR(NOT(ISNUMBER(D19)), D19=0), "-", (IF(ISNUMBER(C19), C19, 0) - D19)/ABS(D19))</f>
        <v/>
      </c>
      <c r="G19" s="14" t="n"/>
    </row>
    <row r="20">
      <c r="A20" s="14" t="n"/>
      <c r="B20" s="14" t="inlineStr">
        <is>
          <t>Disposals</t>
        </is>
      </c>
      <c r="C20" s="15" t="n">
        <v>0</v>
      </c>
      <c r="D20" s="15" t="n">
        <v>0</v>
      </c>
      <c r="E20" s="15">
        <f>IF(AND(NOT(ISNUMBER(C20)), NOT(ISNUMBER(D20))), "-", IF(ISNUMBER(C20), C20, 0) - IF(ISNUMBER(D20), D20, 0))</f>
        <v/>
      </c>
      <c r="F20" s="16">
        <f>IF(OR(NOT(ISNUMBER(D20)), D20=0), "-", (IF(ISNUMBER(C20), C20, 0) - D20)/ABS(D20))</f>
        <v/>
      </c>
      <c r="G20" s="14" t="n"/>
    </row>
    <row r="21">
      <c r="A21" s="14" t="n"/>
      <c r="B21" s="14" t="inlineStr">
        <is>
          <t>Transfer to asset held for sale</t>
        </is>
      </c>
      <c r="C21" s="15" t="n">
        <v>0</v>
      </c>
      <c r="D21" s="15" t="n">
        <v>0</v>
      </c>
      <c r="E21" s="15">
        <f>IF(AND(NOT(ISNUMBER(C21)), NOT(ISNUMBER(D21))), "-", IF(ISNUMBER(C21), C21, 0) - IF(ISNUMBER(D21), D21, 0))</f>
        <v/>
      </c>
      <c r="F21" s="16">
        <f>IF(OR(NOT(ISNUMBER(D21)), D21=0), "-", (IF(ISNUMBER(C21), C21, 0) - D21)/ABS(D21))</f>
        <v/>
      </c>
      <c r="G21" s="14" t="n"/>
    </row>
    <row r="22">
      <c r="A22" s="14" t="n"/>
      <c r="B22" s="14" t="inlineStr">
        <is>
          <t>Other adjustments</t>
        </is>
      </c>
      <c r="C22" s="15" t="n">
        <v>0</v>
      </c>
      <c r="D22" s="15" t="n">
        <v>0</v>
      </c>
      <c r="E22" s="15">
        <f>IF(AND(NOT(ISNUMBER(C22)), NOT(ISNUMBER(D22))), "-", IF(ISNUMBER(C22), C22, 0) - IF(ISNUMBER(D22), D22, 0))</f>
        <v/>
      </c>
      <c r="F22" s="16">
        <f>IF(OR(NOT(ISNUMBER(D22)), D22=0), "-", (IF(ISNUMBER(C22), C22, 0) - D22)/ABS(D22))</f>
        <v/>
      </c>
      <c r="G22" s="14" t="n"/>
    </row>
    <row r="23">
      <c r="A23" s="11" t="n"/>
      <c r="B23" s="11" t="inlineStr">
        <is>
          <t>Balance as at 31 March 2025</t>
        </is>
      </c>
      <c r="C23" s="12" t="n">
        <v>13558204</v>
      </c>
      <c r="D23" s="12" t="n">
        <v>13558204</v>
      </c>
      <c r="E23" s="12">
        <f>IF(AND(NOT(ISNUMBER(C23)), NOT(ISNUMBER(D23))), "-", IF(ISNUMBER(C23), C23, 0) - IF(ISNUMBER(D23), D23, 0))</f>
        <v/>
      </c>
      <c r="F23" s="13">
        <f>IF(OR(NOT(ISNUMBER(D23)), D23=0), "-", (IF(ISNUMBER(C23), C23, 0) - D23)/ABS(D23))</f>
        <v/>
      </c>
      <c r="G23" s="11" t="n"/>
    </row>
    <row r="24">
      <c r="A24" s="11" t="n"/>
      <c r="B24" s="11" t="inlineStr">
        <is>
          <t>II. Accumulated depreciation and amortization</t>
        </is>
      </c>
      <c r="C24" s="12" t="n">
        <v>0</v>
      </c>
      <c r="D24" s="12" t="n">
        <v>0</v>
      </c>
      <c r="E24" s="12">
        <f>IF(AND(NOT(ISNUMBER(C24)), NOT(ISNUMBER(D24))), "-", IF(ISNUMBER(C24), C24, 0) - IF(ISNUMBER(D24), D24, 0))</f>
        <v/>
      </c>
      <c r="F24" s="13">
        <f>IF(OR(NOT(ISNUMBER(D24)), D24=0), "-", (IF(ISNUMBER(C24), C24, 0) - D24)/ABS(D24))</f>
        <v/>
      </c>
      <c r="G24" s="11" t="n"/>
    </row>
    <row r="25">
      <c r="A25" s="11" t="n"/>
      <c r="B25" s="11" t="inlineStr">
        <is>
          <t>Balance as at 01 April 2023</t>
        </is>
      </c>
      <c r="C25" s="12" t="n">
        <v>13558205</v>
      </c>
      <c r="D25" s="12" t="n">
        <v>13558205</v>
      </c>
      <c r="E25" s="12">
        <f>IF(AND(NOT(ISNUMBER(C25)), NOT(ISNUMBER(D25))), "-", IF(ISNUMBER(C25), C25, 0) - IF(ISNUMBER(D25), D25, 0))</f>
        <v/>
      </c>
      <c r="F25" s="13">
        <f>IF(OR(NOT(ISNUMBER(D25)), D25=0), "-", (IF(ISNUMBER(C25), C25, 0) - D25)/ABS(D25))</f>
        <v/>
      </c>
      <c r="G25" s="11" t="n"/>
    </row>
    <row r="26">
      <c r="A26" s="14" t="n"/>
      <c r="B26" s="14" t="inlineStr">
        <is>
          <t>Charge for the year</t>
        </is>
      </c>
      <c r="C26" s="15" t="n">
        <v>0</v>
      </c>
      <c r="D26" s="15" t="n">
        <v>0</v>
      </c>
      <c r="E26" s="15">
        <f>IF(AND(NOT(ISNUMBER(C26)), NOT(ISNUMBER(D26))), "-", IF(ISNUMBER(C26), C26, 0) - IF(ISNUMBER(D26), D26, 0))</f>
        <v/>
      </c>
      <c r="F26" s="16">
        <f>IF(OR(NOT(ISNUMBER(D26)), D26=0), "-", (IF(ISNUMBER(C26), C26, 0) - D26)/ABS(D26))</f>
        <v/>
      </c>
      <c r="G26" s="14" t="n"/>
    </row>
    <row r="27">
      <c r="A27" s="14" t="n"/>
      <c r="B27" s="14" t="inlineStr">
        <is>
          <t>Disposals</t>
        </is>
      </c>
      <c r="C27" s="15" t="n">
        <v>0</v>
      </c>
      <c r="D27" s="15" t="n">
        <v>0</v>
      </c>
      <c r="E27" s="15">
        <f>IF(AND(NOT(ISNUMBER(C27)), NOT(ISNUMBER(D27))), "-", IF(ISNUMBER(C27), C27, 0) - IF(ISNUMBER(D27), D27, 0))</f>
        <v/>
      </c>
      <c r="F27" s="16">
        <f>IF(OR(NOT(ISNUMBER(D27)), D27=0), "-", (IF(ISNUMBER(C27), C27, 0) - D27)/ABS(D27))</f>
        <v/>
      </c>
      <c r="G27" s="14" t="n"/>
    </row>
    <row r="28">
      <c r="A28" s="14" t="n"/>
      <c r="B28" s="14" t="inlineStr">
        <is>
          <t>Transfer to asset held for sale</t>
        </is>
      </c>
      <c r="C28" s="15" t="n">
        <v>0</v>
      </c>
      <c r="D28" s="15" t="n">
        <v>0</v>
      </c>
      <c r="E28" s="15">
        <f>IF(AND(NOT(ISNUMBER(C28)), NOT(ISNUMBER(D28))), "-", IF(ISNUMBER(C28), C28, 0) - IF(ISNUMBER(D28), D28, 0))</f>
        <v/>
      </c>
      <c r="F28" s="16">
        <f>IF(OR(NOT(ISNUMBER(D28)), D28=0), "-", (IF(ISNUMBER(C28), C28, 0) - D28)/ABS(D28))</f>
        <v/>
      </c>
      <c r="G28" s="14" t="n"/>
    </row>
    <row r="29">
      <c r="A29" s="14" t="n"/>
      <c r="B29" s="14" t="inlineStr">
        <is>
          <t>Other adjustments</t>
        </is>
      </c>
      <c r="C29" s="15" t="n">
        <v>0</v>
      </c>
      <c r="D29" s="15" t="n">
        <v>0</v>
      </c>
      <c r="E29" s="15">
        <f>IF(AND(NOT(ISNUMBER(C29)), NOT(ISNUMBER(D29))), "-", IF(ISNUMBER(C29), C29, 0) - IF(ISNUMBER(D29), D29, 0))</f>
        <v/>
      </c>
      <c r="F29" s="16">
        <f>IF(OR(NOT(ISNUMBER(D29)), D29=0), "-", (IF(ISNUMBER(C29), C29, 0) - D29)/ABS(D29))</f>
        <v/>
      </c>
      <c r="G29" s="14" t="n"/>
    </row>
    <row r="30">
      <c r="A30" s="11" t="n"/>
      <c r="B30" s="11" t="inlineStr">
        <is>
          <t>Balance as at 31 March 2024</t>
        </is>
      </c>
      <c r="C30" s="12" t="n">
        <v>13558205</v>
      </c>
      <c r="D30" s="12" t="n">
        <v>13558205</v>
      </c>
      <c r="E30" s="12">
        <f>IF(AND(NOT(ISNUMBER(C30)), NOT(ISNUMBER(D30))), "-", IF(ISNUMBER(C30), C30, 0) - IF(ISNUMBER(D30), D30, 0))</f>
        <v/>
      </c>
      <c r="F30" s="13">
        <f>IF(OR(NOT(ISNUMBER(D30)), D30=0), "-", (IF(ISNUMBER(C30), C30, 0) - D30)/ABS(D30))</f>
        <v/>
      </c>
      <c r="G30" s="11" t="n"/>
    </row>
    <row r="31">
      <c r="A31" s="14" t="n"/>
      <c r="B31" s="14" t="inlineStr">
        <is>
          <t>Charge for the year</t>
        </is>
      </c>
      <c r="C31" s="15" t="n">
        <v>0</v>
      </c>
      <c r="D31" s="15" t="n">
        <v>0</v>
      </c>
      <c r="E31" s="15">
        <f>IF(AND(NOT(ISNUMBER(C31)), NOT(ISNUMBER(D31))), "-", IF(ISNUMBER(C31), C31, 0) - IF(ISNUMBER(D31), D31, 0))</f>
        <v/>
      </c>
      <c r="F31" s="16">
        <f>IF(OR(NOT(ISNUMBER(D31)), D31=0), "-", (IF(ISNUMBER(C31), C31, 0) - D31)/ABS(D31))</f>
        <v/>
      </c>
      <c r="G31" s="14" t="n"/>
    </row>
    <row r="32">
      <c r="A32" s="14" t="n"/>
      <c r="B32" s="14" t="inlineStr">
        <is>
          <t>Disposals</t>
        </is>
      </c>
      <c r="C32" s="15" t="n">
        <v>0</v>
      </c>
      <c r="D32" s="15" t="n">
        <v>0</v>
      </c>
      <c r="E32" s="15">
        <f>IF(AND(NOT(ISNUMBER(C32)), NOT(ISNUMBER(D32))), "-", IF(ISNUMBER(C32), C32, 0) - IF(ISNUMBER(D32), D32, 0))</f>
        <v/>
      </c>
      <c r="F32" s="16">
        <f>IF(OR(NOT(ISNUMBER(D32)), D32=0), "-", (IF(ISNUMBER(C32), C32, 0) - D32)/ABS(D32))</f>
        <v/>
      </c>
      <c r="G32" s="14" t="n"/>
    </row>
    <row r="33">
      <c r="A33" s="14" t="n"/>
      <c r="B33" s="14" t="inlineStr">
        <is>
          <t>Transfer to asset held for sale</t>
        </is>
      </c>
      <c r="C33" s="15" t="n">
        <v>0</v>
      </c>
      <c r="D33" s="15" t="n">
        <v>0</v>
      </c>
      <c r="E33" s="15">
        <f>IF(AND(NOT(ISNUMBER(C33)), NOT(ISNUMBER(D33))), "-", IF(ISNUMBER(C33), C33, 0) - IF(ISNUMBER(D33), D33, 0))</f>
        <v/>
      </c>
      <c r="F33" s="16">
        <f>IF(OR(NOT(ISNUMBER(D33)), D33=0), "-", (IF(ISNUMBER(C33), C33, 0) - D33)/ABS(D33))</f>
        <v/>
      </c>
      <c r="G33" s="14" t="n"/>
    </row>
    <row r="34">
      <c r="A34" s="14" t="n"/>
      <c r="B34" s="14" t="inlineStr">
        <is>
          <t>Other adjustments</t>
        </is>
      </c>
      <c r="C34" s="15" t="n">
        <v>0</v>
      </c>
      <c r="D34" s="15" t="n">
        <v>0</v>
      </c>
      <c r="E34" s="15">
        <f>IF(AND(NOT(ISNUMBER(C34)), NOT(ISNUMBER(D34))), "-", IF(ISNUMBER(C34), C34, 0) - IF(ISNUMBER(D34), D34, 0))</f>
        <v/>
      </c>
      <c r="F34" s="16">
        <f>IF(OR(NOT(ISNUMBER(D34)), D34=0), "-", (IF(ISNUMBER(C34), C34, 0) - D34)/ABS(D34))</f>
        <v/>
      </c>
      <c r="G34" s="14" t="n"/>
    </row>
    <row r="35">
      <c r="A35" s="11" t="n"/>
      <c r="B35" s="11" t="inlineStr">
        <is>
          <t>Balance as at 31 March 2025</t>
        </is>
      </c>
      <c r="C35" s="12" t="n">
        <v>13558205</v>
      </c>
      <c r="D35" s="12" t="n">
        <v>13558205</v>
      </c>
      <c r="E35" s="12">
        <f>IF(AND(NOT(ISNUMBER(C35)), NOT(ISNUMBER(D35))), "-", IF(ISNUMBER(C35), C35, 0) - IF(ISNUMBER(D35), D35, 0))</f>
        <v/>
      </c>
      <c r="F35" s="13">
        <f>IF(OR(NOT(ISNUMBER(D35)), D35=0), "-", (IF(ISNUMBER(C35), C35, 0) - D35)/ABS(D35))</f>
        <v/>
      </c>
      <c r="G35" s="11" t="n"/>
    </row>
    <row r="36">
      <c r="A36" s="11" t="n"/>
      <c r="B36" s="11" t="inlineStr">
        <is>
          <t>Net block(I-II)</t>
        </is>
      </c>
      <c r="C36" s="12" t="n">
        <v>0</v>
      </c>
      <c r="D36" s="12" t="n">
        <v>0</v>
      </c>
      <c r="E36" s="12">
        <f>IF(AND(NOT(ISNUMBER(C36)), NOT(ISNUMBER(D36))), "-", IF(ISNUMBER(C36), C36, 0) - IF(ISNUMBER(D36), D36, 0))</f>
        <v/>
      </c>
      <c r="F36" s="13">
        <f>IF(OR(NOT(ISNUMBER(D36)), D36=0), "-", (IF(ISNUMBER(C36), C36, 0) - D36)/ABS(D36))</f>
        <v/>
      </c>
      <c r="G36" s="11" t="n"/>
    </row>
    <row r="37">
      <c r="A37" s="11" t="n"/>
      <c r="B37" s="11" t="inlineStr">
        <is>
          <t>Balance as at 31 March 2025</t>
        </is>
      </c>
      <c r="C37" s="12" t="n">
        <v>-1</v>
      </c>
      <c r="D37" s="12" t="n">
        <v>-1</v>
      </c>
      <c r="E37" s="12">
        <f>IF(AND(NOT(ISNUMBER(C37)), NOT(ISNUMBER(D37))), "-", IF(ISNUMBER(C37), C37, 0) - IF(ISNUMBER(D37), D37, 0))</f>
        <v/>
      </c>
      <c r="F37" s="13">
        <f>IF(OR(NOT(ISNUMBER(D37)), D37=0), "-", (IF(ISNUMBER(C37), C37, 0) - D37)/ABS(D37))</f>
        <v/>
      </c>
      <c r="G37" s="11" t="n"/>
    </row>
    <row r="38">
      <c r="A38" s="14" t="n"/>
      <c r="B38" s="14" t="inlineStr">
        <is>
          <t>Balance as at 31 March 2024</t>
        </is>
      </c>
      <c r="C38" s="15" t="n">
        <v>-1</v>
      </c>
      <c r="D38" s="15" t="n">
        <v>-1</v>
      </c>
      <c r="E38" s="15">
        <f>IF(AND(NOT(ISNUMBER(C38)), NOT(ISNUMBER(D38))), "-", IF(ISNUMBER(C38), C38, 0) - IF(ISNUMBER(D38), D38, 0))</f>
        <v/>
      </c>
      <c r="F38" s="16">
        <f>IF(OR(NOT(ISNUMBER(D38)), D38=0), "-", (IF(ISNUMBER(C38), C38, 0) - D38)/ABS(D38))</f>
        <v/>
      </c>
      <c r="G38" s="14" t="n"/>
    </row>
    <row r="39">
      <c r="A39" s="14" t="n"/>
      <c r="B39" s="14" t="inlineStr">
        <is>
          <t>Company has performed physical verification of its movable assets in nature of laptops and desktops during the year. However owing to lockdowns imposed country wide with varying degrees of restrictions due to ongoing COVID-19 pandemic, the Company was unable to perform physical verification of the balance fixed assets during the year. The management believes that if complete physical verification was conducted there would not have been any significant discrepancies that would require any adjustments to the carrying value of the fixed assets.</t>
        </is>
      </c>
      <c r="C39" s="15" t="n">
        <v>0</v>
      </c>
      <c r="D39" s="15" t="n">
        <v>0</v>
      </c>
      <c r="E39" s="15">
        <f>IF(AND(NOT(ISNUMBER(C39)), NOT(ISNUMBER(D39))), "-", IF(ISNUMBER(C39), C39, 0) - IF(ISNUMBER(D39), D39, 0))</f>
        <v/>
      </c>
      <c r="F39" s="16">
        <f>IF(OR(NOT(ISNUMBER(D39)), D39=0), "-", (IF(ISNUMBER(C39), C39, 0) - D39)/ABS(D39))</f>
        <v/>
      </c>
      <c r="G39" s="14" t="n"/>
    </row>
    <row r="42">
      <c r="B42" s="6" t="inlineStr">
        <is>
          <t>Note 3A: Right-of-use asset</t>
        </is>
      </c>
      <c r="C42" s="8" t="inlineStr">
        <is>
          <t>a</t>
        </is>
      </c>
      <c r="D42" s="8" t="inlineStr">
        <is>
          <t>b</t>
        </is>
      </c>
      <c r="E42" s="8" t="inlineStr">
        <is>
          <t>e</t>
        </is>
      </c>
    </row>
    <row r="43">
      <c r="A43" s="10" t="inlineStr"/>
      <c r="B43" s="10" t="inlineStr">
        <is>
          <t>Particulars</t>
        </is>
      </c>
      <c r="C43" s="10" t="inlineStr">
        <is>
          <t>As at 31st March 2025</t>
        </is>
      </c>
      <c r="D43" s="10" t="inlineStr">
        <is>
          <t>As at 31st March 2024</t>
        </is>
      </c>
      <c r="E43" s="10" t="inlineStr">
        <is>
          <t>Variance</t>
        </is>
      </c>
      <c r="F43" s="10" t="inlineStr">
        <is>
          <t>Variance %</t>
        </is>
      </c>
      <c r="G43" s="10" t="inlineStr">
        <is>
          <t>Remarks</t>
        </is>
      </c>
    </row>
    <row r="44">
      <c r="A44" s="11" t="n"/>
      <c r="B44" s="11" t="inlineStr">
        <is>
          <t>I. Gross carrying value</t>
        </is>
      </c>
      <c r="C44" s="12" t="n">
        <v>0</v>
      </c>
      <c r="D44" s="12" t="n">
        <v>0</v>
      </c>
      <c r="E44" s="12">
        <f>IF(AND(NOT(ISNUMBER(C44)), NOT(ISNUMBER(D44))), "-", IF(ISNUMBER(C44), C44, 0) - IF(ISNUMBER(D44), D44, 0))</f>
        <v/>
      </c>
      <c r="F44" s="13">
        <f>IF(OR(NOT(ISNUMBER(D44)), D44=0), "-", (IF(ISNUMBER(C44), C44, 0) - D44)/ABS(D44))</f>
        <v/>
      </c>
      <c r="G44" s="11" t="n"/>
    </row>
    <row r="45">
      <c r="A45" s="11" t="n"/>
      <c r="B45" s="11" t="inlineStr">
        <is>
          <t>Balance as at 01 April 2023</t>
        </is>
      </c>
      <c r="C45" s="12" t="n">
        <v>16313716</v>
      </c>
      <c r="D45" s="12" t="n">
        <v>16313716</v>
      </c>
      <c r="E45" s="12">
        <f>IF(AND(NOT(ISNUMBER(C45)), NOT(ISNUMBER(D45))), "-", IF(ISNUMBER(C45), C45, 0) - IF(ISNUMBER(D45), D45, 0))</f>
        <v/>
      </c>
      <c r="F45" s="13">
        <f>IF(OR(NOT(ISNUMBER(D45)), D45=0), "-", (IF(ISNUMBER(C45), C45, 0) - D45)/ABS(D45))</f>
        <v/>
      </c>
      <c r="G45" s="11" t="n"/>
    </row>
    <row r="46">
      <c r="A46" s="14" t="n"/>
      <c r="B46" s="14" t="inlineStr">
        <is>
          <t>Additions (#)</t>
        </is>
      </c>
      <c r="C46" s="15" t="n">
        <v>0</v>
      </c>
      <c r="D46" s="15" t="n">
        <v>0</v>
      </c>
      <c r="E46" s="15">
        <f>IF(AND(NOT(ISNUMBER(C46)), NOT(ISNUMBER(D46))), "-", IF(ISNUMBER(C46), C46, 0) - IF(ISNUMBER(D46), D46, 0))</f>
        <v/>
      </c>
      <c r="F46" s="16">
        <f>IF(OR(NOT(ISNUMBER(D46)), D46=0), "-", (IF(ISNUMBER(C46), C46, 0) - D46)/ABS(D46))</f>
        <v/>
      </c>
      <c r="G46" s="14" t="n"/>
    </row>
    <row r="47">
      <c r="A47" s="11" t="n"/>
      <c r="B47" s="11" t="inlineStr">
        <is>
          <t>Balance as at 31 March 2024</t>
        </is>
      </c>
      <c r="C47" s="12" t="n">
        <v>16313716</v>
      </c>
      <c r="D47" s="12" t="n">
        <v>16313716</v>
      </c>
      <c r="E47" s="12">
        <f>IF(AND(NOT(ISNUMBER(C47)), NOT(ISNUMBER(D47))), "-", IF(ISNUMBER(C47), C47, 0) - IF(ISNUMBER(D47), D47, 0))</f>
        <v/>
      </c>
      <c r="F47" s="13">
        <f>IF(OR(NOT(ISNUMBER(D47)), D47=0), "-", (IF(ISNUMBER(C47), C47, 0) - D47)/ABS(D47))</f>
        <v/>
      </c>
      <c r="G47" s="11" t="n"/>
    </row>
    <row r="48">
      <c r="A48" s="14" t="n"/>
      <c r="B48" s="14" t="inlineStr">
        <is>
          <t>Additions (#)</t>
        </is>
      </c>
      <c r="C48" s="15" t="n">
        <v>163368</v>
      </c>
      <c r="D48" s="15" t="n">
        <v>163368</v>
      </c>
      <c r="E48" s="15">
        <f>IF(AND(NOT(ISNUMBER(C48)), NOT(ISNUMBER(D48))), "-", IF(ISNUMBER(C48), C48, 0) - IF(ISNUMBER(D48), D48, 0))</f>
        <v/>
      </c>
      <c r="F48" s="16">
        <f>IF(OR(NOT(ISNUMBER(D48)), D48=0), "-", (IF(ISNUMBER(C48), C48, 0) - D48)/ABS(D48))</f>
        <v/>
      </c>
      <c r="G48" s="14" t="n"/>
    </row>
    <row r="49">
      <c r="A49" s="11" t="n"/>
      <c r="B49" s="11" t="inlineStr">
        <is>
          <t>Balance as at 31 March 2025</t>
        </is>
      </c>
      <c r="C49" s="12" t="n">
        <v>16477084</v>
      </c>
      <c r="D49" s="12" t="n">
        <v>16477084</v>
      </c>
      <c r="E49" s="12">
        <f>IF(AND(NOT(ISNUMBER(C49)), NOT(ISNUMBER(D49))), "-", IF(ISNUMBER(C49), C49, 0) - IF(ISNUMBER(D49), D49, 0))</f>
        <v/>
      </c>
      <c r="F49" s="13">
        <f>IF(OR(NOT(ISNUMBER(D49)), D49=0), "-", (IF(ISNUMBER(C49), C49, 0) - D49)/ABS(D49))</f>
        <v/>
      </c>
      <c r="G49" s="11" t="n"/>
    </row>
    <row r="50">
      <c r="A50" s="11" t="n"/>
      <c r="B50" s="11" t="inlineStr">
        <is>
          <t>II. Accumulated depreciation and amortization</t>
        </is>
      </c>
      <c r="C50" s="12" t="n">
        <v>0</v>
      </c>
      <c r="D50" s="12" t="n">
        <v>0</v>
      </c>
      <c r="E50" s="12">
        <f>IF(AND(NOT(ISNUMBER(C50)), NOT(ISNUMBER(D50))), "-", IF(ISNUMBER(C50), C50, 0) - IF(ISNUMBER(D50), D50, 0))</f>
        <v/>
      </c>
      <c r="F50" s="13">
        <f>IF(OR(NOT(ISNUMBER(D50)), D50=0), "-", (IF(ISNUMBER(C50), C50, 0) - D50)/ABS(D50))</f>
        <v/>
      </c>
      <c r="G50" s="11" t="n"/>
    </row>
    <row r="51">
      <c r="A51" s="11" t="n"/>
      <c r="B51" s="11" t="inlineStr">
        <is>
          <t>Balance as at 01 April 2023</t>
        </is>
      </c>
      <c r="C51" s="12" t="n">
        <v>6874467</v>
      </c>
      <c r="D51" s="12" t="n">
        <v>6874467</v>
      </c>
      <c r="E51" s="12">
        <f>IF(AND(NOT(ISNUMBER(C51)), NOT(ISNUMBER(D51))), "-", IF(ISNUMBER(C51), C51, 0) - IF(ISNUMBER(D51), D51, 0))</f>
        <v/>
      </c>
      <c r="F51" s="13">
        <f>IF(OR(NOT(ISNUMBER(D51)), D51=0), "-", (IF(ISNUMBER(C51), C51, 0) - D51)/ABS(D51))</f>
        <v/>
      </c>
      <c r="G51" s="11" t="n"/>
    </row>
    <row r="52">
      <c r="A52" s="14" t="n"/>
      <c r="B52" s="14" t="inlineStr">
        <is>
          <t>Charge for the year</t>
        </is>
      </c>
      <c r="C52" s="15" t="n">
        <v>3180953</v>
      </c>
      <c r="D52" s="15" t="n">
        <v>3180953</v>
      </c>
      <c r="E52" s="15">
        <f>IF(AND(NOT(ISNUMBER(C52)), NOT(ISNUMBER(D52))), "-", IF(ISNUMBER(C52), C52, 0) - IF(ISNUMBER(D52), D52, 0))</f>
        <v/>
      </c>
      <c r="F52" s="16">
        <f>IF(OR(NOT(ISNUMBER(D52)), D52=0), "-", (IF(ISNUMBER(C52), C52, 0) - D52)/ABS(D52))</f>
        <v/>
      </c>
      <c r="G52" s="14" t="n"/>
    </row>
    <row r="53">
      <c r="A53" s="11" t="n"/>
      <c r="B53" s="11" t="inlineStr">
        <is>
          <t>Balance as at 31 March 2024</t>
        </is>
      </c>
      <c r="C53" s="12" t="n">
        <v>10055420</v>
      </c>
      <c r="D53" s="12" t="n">
        <v>10055420</v>
      </c>
      <c r="E53" s="12">
        <f>IF(AND(NOT(ISNUMBER(C53)), NOT(ISNUMBER(D53))), "-", IF(ISNUMBER(C53), C53, 0) - IF(ISNUMBER(D53), D53, 0))</f>
        <v/>
      </c>
      <c r="F53" s="13">
        <f>IF(OR(NOT(ISNUMBER(D53)), D53=0), "-", (IF(ISNUMBER(C53), C53, 0) - D53)/ABS(D53))</f>
        <v/>
      </c>
      <c r="G53" s="11" t="n"/>
    </row>
    <row r="54">
      <c r="A54" s="14" t="n"/>
      <c r="B54" s="14" t="inlineStr">
        <is>
          <t>Charge for the year</t>
        </is>
      </c>
      <c r="C54" s="15" t="n">
        <v>3203064</v>
      </c>
      <c r="D54" s="15" t="n">
        <v>3203064</v>
      </c>
      <c r="E54" s="15">
        <f>IF(AND(NOT(ISNUMBER(C54)), NOT(ISNUMBER(D54))), "-", IF(ISNUMBER(C54), C54, 0) - IF(ISNUMBER(D54), D54, 0))</f>
        <v/>
      </c>
      <c r="F54" s="16">
        <f>IF(OR(NOT(ISNUMBER(D54)), D54=0), "-", (IF(ISNUMBER(C54), C54, 0) - D54)/ABS(D54))</f>
        <v/>
      </c>
      <c r="G54" s="14" t="n"/>
    </row>
    <row r="55">
      <c r="A55" s="11" t="n"/>
      <c r="B55" s="11" t="inlineStr">
        <is>
          <t>Balance as at 31 March 2025</t>
        </is>
      </c>
      <c r="C55" s="12" t="n">
        <v>13258484</v>
      </c>
      <c r="D55" s="12" t="n">
        <v>13258484</v>
      </c>
      <c r="E55" s="12">
        <f>IF(AND(NOT(ISNUMBER(C55)), NOT(ISNUMBER(D55))), "-", IF(ISNUMBER(C55), C55, 0) - IF(ISNUMBER(D55), D55, 0))</f>
        <v/>
      </c>
      <c r="F55" s="13">
        <f>IF(OR(NOT(ISNUMBER(D55)), D55=0), "-", (IF(ISNUMBER(C55), C55, 0) - D55)/ABS(D55))</f>
        <v/>
      </c>
      <c r="G55" s="11" t="n"/>
    </row>
    <row r="56">
      <c r="A56" s="11" t="n"/>
      <c r="B56" s="11" t="inlineStr">
        <is>
          <t>Net block(I-II)</t>
        </is>
      </c>
      <c r="C56" s="12" t="n">
        <v>0</v>
      </c>
      <c r="D56" s="12" t="n">
        <v>0</v>
      </c>
      <c r="E56" s="12">
        <f>IF(AND(NOT(ISNUMBER(C56)), NOT(ISNUMBER(D56))), "-", IF(ISNUMBER(C56), C56, 0) - IF(ISNUMBER(D56), D56, 0))</f>
        <v/>
      </c>
      <c r="F56" s="13">
        <f>IF(OR(NOT(ISNUMBER(D56)), D56=0), "-", (IF(ISNUMBER(C56), C56, 0) - D56)/ABS(D56))</f>
        <v/>
      </c>
      <c r="G56" s="11" t="n"/>
    </row>
    <row r="57">
      <c r="A57" s="11" t="n"/>
      <c r="B57" s="11" t="inlineStr">
        <is>
          <t>Balance as at 31 March 2025 (*)</t>
        </is>
      </c>
      <c r="C57" s="12" t="n">
        <v>3218600.4</v>
      </c>
      <c r="D57" s="12" t="n">
        <v>3218600.4</v>
      </c>
      <c r="E57" s="12">
        <f>IF(AND(NOT(ISNUMBER(C57)), NOT(ISNUMBER(D57))), "-", IF(ISNUMBER(C57), C57, 0) - IF(ISNUMBER(D57), D57, 0))</f>
        <v/>
      </c>
      <c r="F57" s="13">
        <f>IF(OR(NOT(ISNUMBER(D57)), D57=0), "-", (IF(ISNUMBER(C57), C57, 0) - D57)/ABS(D57))</f>
        <v/>
      </c>
      <c r="G57" s="11" t="n"/>
    </row>
    <row r="58">
      <c r="A58" s="14" t="n"/>
      <c r="B58" s="14" t="inlineStr">
        <is>
          <t>Balance as at 31 March 2024</t>
        </is>
      </c>
      <c r="C58" s="15" t="n">
        <v>6258296</v>
      </c>
      <c r="D58" s="15" t="n">
        <v>6258296</v>
      </c>
      <c r="E58" s="15">
        <f>IF(AND(NOT(ISNUMBER(C58)), NOT(ISNUMBER(D58))), "-", IF(ISNUMBER(C58), C58, 0) - IF(ISNUMBER(D58), D58, 0))</f>
        <v/>
      </c>
      <c r="F58" s="16">
        <f>IF(OR(NOT(ISNUMBER(D58)), D58=0), "-", (IF(ISNUMBER(C58), C58, 0) - D58)/ABS(D58))</f>
        <v/>
      </c>
      <c r="G58" s="14" t="n"/>
    </row>
    <row r="59">
      <c r="A59" s="14" t="n"/>
      <c r="B59" s="14" t="inlineStr">
        <is>
          <t>(*)  Includes right of use asset from related parties having net carrying value amounting to ₹   (31 March 2024: ₹ 64) (refer note 28).</t>
        </is>
      </c>
      <c r="C59" s="15" t="n">
        <v>0</v>
      </c>
      <c r="D59" s="15" t="n">
        <v>0</v>
      </c>
      <c r="E59" s="15">
        <f>IF(AND(NOT(ISNUMBER(C59)), NOT(ISNUMBER(D59))), "-", IF(ISNUMBER(C59), C59, 0) - IF(ISNUMBER(D59), D59, 0))</f>
        <v/>
      </c>
      <c r="F59" s="16">
        <f>IF(OR(NOT(ISNUMBER(D59)), D59=0), "-", (IF(ISNUMBER(C59), C59, 0) - D59)/ABS(D59))</f>
        <v/>
      </c>
      <c r="G59" s="14" t="n"/>
    </row>
    <row r="60">
      <c r="A60" s="14" t="n"/>
      <c r="B60" s="14" t="inlineStr">
        <is>
          <t>(#)  Zero represents amount less than ₹ 0.5 lakhs.</t>
        </is>
      </c>
      <c r="C60" s="15" t="n">
        <v>0</v>
      </c>
      <c r="D60" s="15" t="n">
        <v>0</v>
      </c>
      <c r="E60" s="15">
        <f>IF(AND(NOT(ISNUMBER(C60)), NOT(ISNUMBER(D60))), "-", IF(ISNUMBER(C60), C60, 0) - IF(ISNUMBER(D60), D60, 0))</f>
        <v/>
      </c>
      <c r="F60" s="16">
        <f>IF(OR(NOT(ISNUMBER(D60)), D60=0), "-", (IF(ISNUMBER(C60), C60, 0) - D60)/ABS(D60))</f>
        <v/>
      </c>
      <c r="G60" s="14" t="n"/>
    </row>
    <row r="63">
      <c r="B63" s="6" t="inlineStr">
        <is>
          <t>Note 4: Other non current financial assets</t>
        </is>
      </c>
      <c r="C63" s="8" t="inlineStr">
        <is>
          <t>a</t>
        </is>
      </c>
      <c r="D63" s="8" t="inlineStr">
        <is>
          <t>b</t>
        </is>
      </c>
      <c r="E63" s="8" t="inlineStr">
        <is>
          <t>e</t>
        </is>
      </c>
    </row>
    <row r="64">
      <c r="A64" s="10" t="inlineStr"/>
      <c r="B64" s="10" t="inlineStr">
        <is>
          <t>Particulars</t>
        </is>
      </c>
      <c r="C64" s="10" t="inlineStr">
        <is>
          <t>As at 31st March 2025</t>
        </is>
      </c>
      <c r="D64" s="10" t="inlineStr">
        <is>
          <t>As at 31st March 2024</t>
        </is>
      </c>
      <c r="E64" s="10" t="inlineStr">
        <is>
          <t>Variance</t>
        </is>
      </c>
      <c r="F64" s="10" t="inlineStr">
        <is>
          <t>Variance %</t>
        </is>
      </c>
      <c r="G64" s="10" t="inlineStr">
        <is>
          <t>Remarks</t>
        </is>
      </c>
    </row>
    <row r="65">
      <c r="A65" s="11" t="n"/>
      <c r="B65" s="11" t="inlineStr">
        <is>
          <t>Unsecured, considered good at amortized cost</t>
        </is>
      </c>
      <c r="C65" s="12" t="n">
        <v>0</v>
      </c>
      <c r="D65" s="12" t="n">
        <v>0</v>
      </c>
      <c r="E65" s="12">
        <f>IF(AND(NOT(ISNUMBER(C65)), NOT(ISNUMBER(D65))), "-", IF(ISNUMBER(C65), C65, 0) - IF(ISNUMBER(D65), D65, 0))</f>
        <v/>
      </c>
      <c r="F65" s="13">
        <f>IF(OR(NOT(ISNUMBER(D65)), D65=0), "-", (IF(ISNUMBER(C65), C65, 0) - D65)/ABS(D65))</f>
        <v/>
      </c>
      <c r="G65" s="11" t="n"/>
    </row>
    <row r="66">
      <c r="A66" s="14" t="n"/>
      <c r="B66" s="14" t="inlineStr">
        <is>
          <t>Security deposit (refer note 28)</t>
        </is>
      </c>
      <c r="C66" s="15" t="n">
        <v>0</v>
      </c>
      <c r="D66" s="15" t="n">
        <v>2602786</v>
      </c>
      <c r="E66" s="15">
        <f>IF(AND(NOT(ISNUMBER(C66)), NOT(ISNUMBER(D66))), "-", IF(ISNUMBER(C66), C66, 0) - IF(ISNUMBER(D66), D66, 0))</f>
        <v/>
      </c>
      <c r="F66" s="16">
        <f>IF(OR(NOT(ISNUMBER(D66)), D66=0), "-", (IF(ISNUMBER(C66), C66, 0) - D66)/ABS(D66))</f>
        <v/>
      </c>
      <c r="G66" s="14" t="n"/>
    </row>
    <row r="67">
      <c r="A67" s="11" t="n"/>
      <c r="B67" s="11" t="inlineStr">
        <is>
          <t>Total</t>
        </is>
      </c>
      <c r="C67" s="12" t="n">
        <v>0</v>
      </c>
      <c r="D67" s="12" t="n">
        <v>2602786</v>
      </c>
      <c r="E67" s="12">
        <f>IF(AND(NOT(ISNUMBER(C67)), NOT(ISNUMBER(D67))), "-", IF(ISNUMBER(C67), C67, 0) - IF(ISNUMBER(D67), D67, 0))</f>
        <v/>
      </c>
      <c r="F67" s="13">
        <f>IF(OR(NOT(ISNUMBER(D67)), D67=0), "-", (IF(ISNUMBER(C67), C67, 0) - D67)/ABS(D67))</f>
        <v/>
      </c>
      <c r="G67" s="11"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67"/>
  <sheetViews>
    <sheetView workbookViewId="0">
      <selection activeCell="A1" sqref="A1"/>
    </sheetView>
  </sheetViews>
  <sheetFormatPr baseColWidth="8" defaultRowHeight="15"/>
  <cols>
    <col width="5" customWidth="1" min="1" max="1"/>
    <col width="40" customWidth="1" min="2" max="2"/>
    <col width="16" customWidth="1" min="3" max="3"/>
    <col width="16" customWidth="1" min="4" max="4"/>
    <col width="16" customWidth="1" min="5" max="5"/>
    <col width="12" customWidth="1" min="6" max="6"/>
    <col width="45" customWidth="1" min="7" max="7"/>
    <col width="5" customWidth="1" min="8" max="8"/>
    <col width="50" customWidth="1" min="9" max="9"/>
  </cols>
  <sheetData>
    <row r="1">
      <c r="A1" s="6" t="inlineStr">
        <is>
          <t>Firm:</t>
        </is>
      </c>
      <c r="C1" s="7" t="inlineStr">
        <is>
          <t>W</t>
        </is>
      </c>
      <c r="H1" s="8" t="inlineStr">
        <is>
          <t>Legend:</t>
        </is>
      </c>
    </row>
    <row r="2">
      <c r="A2" s="6" t="inlineStr">
        <is>
          <t>Client:</t>
        </is>
      </c>
      <c r="C2" s="7" t="inlineStr">
        <is>
          <t>SSIPL</t>
        </is>
      </c>
      <c r="H2" s="8" t="inlineStr">
        <is>
          <t>a</t>
        </is>
      </c>
      <c r="I2" s="7" t="inlineStr">
        <is>
          <t>Traced to Financials for the year ended 31 March 2024</t>
        </is>
      </c>
    </row>
    <row r="3">
      <c r="A3" s="6" t="inlineStr">
        <is>
          <t>Analysis of Notes to Accounts</t>
        </is>
      </c>
      <c r="H3" s="8" t="inlineStr">
        <is>
          <t>b</t>
        </is>
      </c>
      <c r="I3" s="7" t="inlineStr">
        <is>
          <t>Traced to Financials for the year ended 31 March 2025</t>
        </is>
      </c>
    </row>
    <row r="4">
      <c r="H4" s="8" t="inlineStr">
        <is>
          <t>j</t>
        </is>
      </c>
      <c r="I4" s="7" t="inlineStr">
        <is>
          <t>Linked</t>
        </is>
      </c>
    </row>
    <row r="5">
      <c r="H5" s="8" t="inlineStr">
        <is>
          <t>e</t>
        </is>
      </c>
      <c r="I5" s="7" t="inlineStr">
        <is>
          <t>Recomputed</t>
        </is>
      </c>
    </row>
    <row r="6">
      <c r="H6" s="8" t="inlineStr">
        <is>
          <t>h</t>
        </is>
      </c>
      <c r="I6" s="7" t="inlineStr">
        <is>
          <t>Immaterial. Hence ignored</t>
        </is>
      </c>
    </row>
    <row r="10">
      <c r="B10" s="6" t="inlineStr">
        <is>
          <t>Note 5: Deferred tax assets (net)</t>
        </is>
      </c>
      <c r="C10" s="8" t="inlineStr">
        <is>
          <t>a</t>
        </is>
      </c>
      <c r="D10" s="8" t="inlineStr">
        <is>
          <t>b</t>
        </is>
      </c>
      <c r="E10" s="8" t="inlineStr">
        <is>
          <t>e</t>
        </is>
      </c>
    </row>
    <row r="11">
      <c r="A11" s="10" t="inlineStr"/>
      <c r="B11" s="10" t="inlineStr">
        <is>
          <t>Particulars</t>
        </is>
      </c>
      <c r="C11" s="10" t="inlineStr">
        <is>
          <t>As at 31st March 2025</t>
        </is>
      </c>
      <c r="D11" s="10" t="inlineStr">
        <is>
          <t>As at 31st March 2024</t>
        </is>
      </c>
      <c r="E11" s="10" t="inlineStr">
        <is>
          <t>Variance</t>
        </is>
      </c>
      <c r="F11" s="10" t="inlineStr">
        <is>
          <t>Variance %</t>
        </is>
      </c>
      <c r="G11" s="10" t="inlineStr">
        <is>
          <t>Remarks</t>
        </is>
      </c>
    </row>
    <row r="12">
      <c r="A12" s="11" t="n"/>
      <c r="B12" s="11" t="inlineStr">
        <is>
          <t>Deferred tax assets</t>
        </is>
      </c>
      <c r="C12" s="12" t="n">
        <v>0</v>
      </c>
      <c r="D12" s="12" t="n">
        <v>0</v>
      </c>
      <c r="E12" s="12">
        <f>IF(AND(NOT(ISNUMBER(C12)), NOT(ISNUMBER(D12))), "-", IF(ISNUMBER(C12), C12, 0) - IF(ISNUMBER(D12), D12, 0))</f>
        <v/>
      </c>
      <c r="F12" s="13">
        <f>IF(OR(NOT(ISNUMBER(D12)), D12=0), "-", (IF(ISNUMBER(C12), C12, 0) - D12)/ABS(D12))</f>
        <v/>
      </c>
      <c r="G12" s="11" t="n"/>
    </row>
    <row r="13">
      <c r="A13" s="14" t="n"/>
      <c r="B13" s="14" t="inlineStr">
        <is>
          <t>Provision for employee benefits</t>
        </is>
      </c>
      <c r="C13" s="15" t="n">
        <v>775544</v>
      </c>
      <c r="D13" s="15" t="n">
        <v>755355</v>
      </c>
      <c r="E13" s="15">
        <f>IF(AND(NOT(ISNUMBER(C13)), NOT(ISNUMBER(D13))), "-", IF(ISNUMBER(C13), C13, 0) - IF(ISNUMBER(D13), D13, 0))</f>
        <v/>
      </c>
      <c r="F13" s="16">
        <f>IF(OR(NOT(ISNUMBER(D13)), D13=0), "-", (IF(ISNUMBER(C13), C13, 0) - D13)/ABS(D13))</f>
        <v/>
      </c>
      <c r="G13" s="14" t="n"/>
    </row>
    <row r="14">
      <c r="A14" s="14" t="n"/>
      <c r="B14" s="14" t="inlineStr">
        <is>
          <t>Provision for employee benefits - Gratuity</t>
        </is>
      </c>
      <c r="C14" s="15" t="n">
        <v>0</v>
      </c>
      <c r="D14" s="15" t="n">
        <v>0</v>
      </c>
      <c r="E14" s="15">
        <f>IF(AND(NOT(ISNUMBER(C14)), NOT(ISNUMBER(D14))), "-", IF(ISNUMBER(C14), C14, 0) - IF(ISNUMBER(D14), D14, 0))</f>
        <v/>
      </c>
      <c r="F14" s="16">
        <f>IF(OR(NOT(ISNUMBER(D14)), D14=0), "-", (IF(ISNUMBER(C14), C14, 0) - D14)/ABS(D14))</f>
        <v/>
      </c>
      <c r="G14" s="14" t="n"/>
    </row>
    <row r="15">
      <c r="A15" s="14" t="n"/>
      <c r="B15" s="14" t="inlineStr">
        <is>
          <t>MAT credit entitlement</t>
        </is>
      </c>
      <c r="C15" s="15" t="n">
        <v>-1</v>
      </c>
      <c r="D15" s="15" t="n">
        <v>-1</v>
      </c>
      <c r="E15" s="15">
        <f>IF(AND(NOT(ISNUMBER(C15)), NOT(ISNUMBER(D15))), "-", IF(ISNUMBER(C15), C15, 0) - IF(ISNUMBER(D15), D15, 0))</f>
        <v/>
      </c>
      <c r="F15" s="16">
        <f>IF(OR(NOT(ISNUMBER(D15)), D15=0), "-", (IF(ISNUMBER(C15), C15, 0) - D15)/ABS(D15))</f>
        <v/>
      </c>
      <c r="G15" s="14" t="n"/>
    </row>
    <row r="16">
      <c r="A16" s="14" t="n"/>
      <c r="B16" s="14" t="inlineStr">
        <is>
          <t>Depreciation on property and equipment</t>
        </is>
      </c>
      <c r="C16" s="15" t="n">
        <v>9989</v>
      </c>
      <c r="D16" s="15" t="n">
        <v>12624</v>
      </c>
      <c r="E16" s="15">
        <f>IF(AND(NOT(ISNUMBER(C16)), NOT(ISNUMBER(D16))), "-", IF(ISNUMBER(C16), C16, 0) - IF(ISNUMBER(D16), D16, 0))</f>
        <v/>
      </c>
      <c r="F16" s="16">
        <f>IF(OR(NOT(ISNUMBER(D16)), D16=0), "-", (IF(ISNUMBER(C16), C16, 0) - D16)/ABS(D16))</f>
        <v/>
      </c>
      <c r="G16" s="14" t="n"/>
    </row>
    <row r="17">
      <c r="A17" s="14" t="n"/>
      <c r="B17" s="14" t="inlineStr">
        <is>
          <t>Employee stock based compensation expenses</t>
        </is>
      </c>
      <c r="C17" s="15" t="n">
        <v>0</v>
      </c>
      <c r="D17" s="15" t="n">
        <v>0</v>
      </c>
      <c r="E17" s="15">
        <f>IF(AND(NOT(ISNUMBER(C17)), NOT(ISNUMBER(D17))), "-", IF(ISNUMBER(C17), C17, 0) - IF(ISNUMBER(D17), D17, 0))</f>
        <v/>
      </c>
      <c r="F17" s="16">
        <f>IF(OR(NOT(ISNUMBER(D17)), D17=0), "-", (IF(ISNUMBER(C17), C17, 0) - D17)/ABS(D17))</f>
        <v/>
      </c>
      <c r="G17" s="14" t="n"/>
    </row>
    <row r="18">
      <c r="A18" s="14" t="n"/>
      <c r="B18" s="14" t="inlineStr">
        <is>
          <t>Rent straight lining</t>
        </is>
      </c>
      <c r="C18" s="15" t="n">
        <v>0</v>
      </c>
      <c r="D18" s="15" t="n">
        <v>0</v>
      </c>
      <c r="E18" s="15">
        <f>IF(AND(NOT(ISNUMBER(C18)), NOT(ISNUMBER(D18))), "-", IF(ISNUMBER(C18), C18, 0) - IF(ISNUMBER(D18), D18, 0))</f>
        <v/>
      </c>
      <c r="F18" s="16">
        <f>IF(OR(NOT(ISNUMBER(D18)), D18=0), "-", (IF(ISNUMBER(C18), C18, 0) - D18)/ABS(D18))</f>
        <v/>
      </c>
      <c r="G18" s="14" t="n"/>
    </row>
    <row r="19">
      <c r="A19" s="14" t="n"/>
      <c r="B19" s="14" t="inlineStr">
        <is>
          <t>Others</t>
        </is>
      </c>
      <c r="C19" s="15" t="n">
        <v>0</v>
      </c>
      <c r="D19" s="15" t="n">
        <v>0</v>
      </c>
      <c r="E19" s="15">
        <f>IF(AND(NOT(ISNUMBER(C19)), NOT(ISNUMBER(D19))), "-", IF(ISNUMBER(C19), C19, 0) - IF(ISNUMBER(D19), D19, 0))</f>
        <v/>
      </c>
      <c r="F19" s="16">
        <f>IF(OR(NOT(ISNUMBER(D19)), D19=0), "-", (IF(ISNUMBER(C19), C19, 0) - D19)/ABS(D19))</f>
        <v/>
      </c>
      <c r="G19" s="14" t="n"/>
    </row>
    <row r="20">
      <c r="A20" s="11" t="n"/>
      <c r="B20" s="11" t="inlineStr">
        <is>
          <t>Total deferred tax asset</t>
        </is>
      </c>
      <c r="C20" s="12" t="n">
        <v>785532</v>
      </c>
      <c r="D20" s="12" t="n">
        <v>767978</v>
      </c>
      <c r="E20" s="12">
        <f>IF(AND(NOT(ISNUMBER(C20)), NOT(ISNUMBER(D20))), "-", IF(ISNUMBER(C20), C20, 0) - IF(ISNUMBER(D20), D20, 0))</f>
        <v/>
      </c>
      <c r="F20" s="13">
        <f>IF(OR(NOT(ISNUMBER(D20)), D20=0), "-", (IF(ISNUMBER(C20), C20, 0) - D20)/ABS(D20))</f>
        <v/>
      </c>
      <c r="G20" s="11" t="n"/>
    </row>
    <row r="21">
      <c r="A21" s="11" t="n"/>
      <c r="B21" s="11" t="inlineStr">
        <is>
          <t>Deferred tax liability</t>
        </is>
      </c>
      <c r="C21" s="12" t="n">
        <v>0</v>
      </c>
      <c r="D21" s="12" t="n">
        <v>0</v>
      </c>
      <c r="E21" s="12">
        <f>IF(AND(NOT(ISNUMBER(C21)), NOT(ISNUMBER(D21))), "-", IF(ISNUMBER(C21), C21, 0) - IF(ISNUMBER(D21), D21, 0))</f>
        <v/>
      </c>
      <c r="F21" s="13">
        <f>IF(OR(NOT(ISNUMBER(D21)), D21=0), "-", (IF(ISNUMBER(C21), C21, 0) - D21)/ABS(D21))</f>
        <v/>
      </c>
      <c r="G21" s="11" t="n"/>
    </row>
    <row r="22">
      <c r="A22" s="14" t="n"/>
      <c r="B22" s="14" t="inlineStr">
        <is>
          <t>Unrealized gain on investments</t>
        </is>
      </c>
      <c r="C22" s="15" t="n">
        <v>0</v>
      </c>
      <c r="D22" s="15" t="n">
        <v>1915167</v>
      </c>
      <c r="E22" s="15">
        <f>IF(AND(NOT(ISNUMBER(C22)), NOT(ISNUMBER(D22))), "-", IF(ISNUMBER(C22), C22, 0) - IF(ISNUMBER(D22), D22, 0))</f>
        <v/>
      </c>
      <c r="F22" s="16">
        <f>IF(OR(NOT(ISNUMBER(D22)), D22=0), "-", (IF(ISNUMBER(C22), C22, 0) - D22)/ABS(D22))</f>
        <v/>
      </c>
      <c r="G22" s="14" t="n"/>
    </row>
    <row r="23">
      <c r="A23" s="14" t="n"/>
      <c r="B23" s="14" t="inlineStr">
        <is>
          <t>Other timing differences</t>
        </is>
      </c>
      <c r="C23" s="15" t="n">
        <v>0</v>
      </c>
      <c r="D23" s="15" t="n">
        <v>0</v>
      </c>
      <c r="E23" s="15">
        <f>IF(AND(NOT(ISNUMBER(C23)), NOT(ISNUMBER(D23))), "-", IF(ISNUMBER(C23), C23, 0) - IF(ISNUMBER(D23), D23, 0))</f>
        <v/>
      </c>
      <c r="F23" s="16">
        <f>IF(OR(NOT(ISNUMBER(D23)), D23=0), "-", (IF(ISNUMBER(C23), C23, 0) - D23)/ABS(D23))</f>
        <v/>
      </c>
      <c r="G23" s="14" t="n"/>
    </row>
    <row r="24">
      <c r="A24" s="11" t="n"/>
      <c r="B24" s="11" t="inlineStr">
        <is>
          <t>Deferred tax asset (net)</t>
        </is>
      </c>
      <c r="C24" s="12" t="n">
        <v>785532</v>
      </c>
      <c r="D24" s="12" t="n">
        <v>-1147189</v>
      </c>
      <c r="E24" s="12">
        <f>IF(AND(NOT(ISNUMBER(C24)), NOT(ISNUMBER(D24))), "-", IF(ISNUMBER(C24), C24, 0) - IF(ISNUMBER(D24), D24, 0))</f>
        <v/>
      </c>
      <c r="F24" s="13">
        <f>IF(OR(NOT(ISNUMBER(D24)), D24=0), "-", (IF(ISNUMBER(C24), C24, 0) - D24)/ABS(D24))</f>
        <v/>
      </c>
      <c r="G24" s="11" t="n"/>
    </row>
    <row r="25">
      <c r="A25" s="11" t="n"/>
      <c r="B25" s="11" t="inlineStr">
        <is>
          <t>Reconciliation of deferred tax assets / (liabilities) net</t>
        </is>
      </c>
      <c r="C25" s="12" t="n">
        <v>0</v>
      </c>
      <c r="D25" s="12" t="n">
        <v>0</v>
      </c>
      <c r="E25" s="12">
        <f>IF(AND(NOT(ISNUMBER(C25)), NOT(ISNUMBER(D25))), "-", IF(ISNUMBER(C25), C25, 0) - IF(ISNUMBER(D25), D25, 0))</f>
        <v/>
      </c>
      <c r="F25" s="13">
        <f>IF(OR(NOT(ISNUMBER(D25)), D25=0), "-", (IF(ISNUMBER(C25), C25, 0) - D25)/ABS(D25))</f>
        <v/>
      </c>
      <c r="G25" s="11" t="n"/>
    </row>
    <row r="26">
      <c r="A26" s="14" t="n"/>
      <c r="B26" s="14" t="inlineStr">
        <is>
          <t>Net deferred income tax asset at the beginning</t>
        </is>
      </c>
      <c r="C26" s="15" t="n">
        <v>16105369</v>
      </c>
      <c r="D26" s="15" t="n">
        <v>19589982</v>
      </c>
      <c r="E26" s="15">
        <f>IF(AND(NOT(ISNUMBER(C26)), NOT(ISNUMBER(D26))), "-", IF(ISNUMBER(C26), C26, 0) - IF(ISNUMBER(D26), D26, 0))</f>
        <v/>
      </c>
      <c r="F26" s="16">
        <f>IF(OR(NOT(ISNUMBER(D26)), D26=0), "-", (IF(ISNUMBER(C26), C26, 0) - D26)/ABS(D26))</f>
        <v/>
      </c>
      <c r="G26" s="14" t="n"/>
    </row>
    <row r="27">
      <c r="A27" s="14" t="n"/>
      <c r="B27" s="14" t="inlineStr">
        <is>
          <t>Credits/(charge) relating to temporary differences</t>
        </is>
      </c>
      <c r="C27" s="15" t="n">
        <v>1935356</v>
      </c>
      <c r="D27" s="15" t="n">
        <v>449325</v>
      </c>
      <c r="E27" s="15">
        <f>IF(AND(NOT(ISNUMBER(C27)), NOT(ISNUMBER(D27))), "-", IF(ISNUMBER(C27), C27, 0) - IF(ISNUMBER(D27), D27, 0))</f>
        <v/>
      </c>
      <c r="F27" s="16">
        <f>IF(OR(NOT(ISNUMBER(D27)), D27=0), "-", (IF(ISNUMBER(C27), C27, 0) - D27)/ABS(D27))</f>
        <v/>
      </c>
      <c r="G27" s="14" t="n"/>
    </row>
    <row r="28">
      <c r="A28" s="14" t="n"/>
      <c r="B28" s="14" t="inlineStr">
        <is>
          <t>MAT credit entitlement written off</t>
        </is>
      </c>
      <c r="C28" s="15" t="n">
        <v>0</v>
      </c>
      <c r="D28" s="15" t="n">
        <v>0</v>
      </c>
      <c r="E28" s="15">
        <f>IF(AND(NOT(ISNUMBER(C28)), NOT(ISNUMBER(D28))), "-", IF(ISNUMBER(C28), C28, 0) - IF(ISNUMBER(D28), D28, 0))</f>
        <v/>
      </c>
      <c r="F28" s="16">
        <f>IF(OR(NOT(ISNUMBER(D28)), D28=0), "-", (IF(ISNUMBER(C28), C28, 0) - D28)/ABS(D28))</f>
        <v/>
      </c>
      <c r="G28" s="14" t="n"/>
    </row>
    <row r="29">
      <c r="A29" s="14" t="n"/>
      <c r="B29" s="14" t="inlineStr">
        <is>
          <t>MAT credit entitlement utilised during the year</t>
        </is>
      </c>
      <c r="C29" s="15" t="n">
        <v>0</v>
      </c>
      <c r="D29" s="15" t="n">
        <v>-3942333</v>
      </c>
      <c r="E29" s="15">
        <f>IF(AND(NOT(ISNUMBER(C29)), NOT(ISNUMBER(D29))), "-", IF(ISNUMBER(C29), C29, 0) - IF(ISNUMBER(D29), D29, 0))</f>
        <v/>
      </c>
      <c r="F29" s="16">
        <f>IF(OR(NOT(ISNUMBER(D29)), D29=0), "-", (IF(ISNUMBER(C29), C29, 0) - D29)/ABS(D29))</f>
        <v/>
      </c>
      <c r="G29" s="14" t="n"/>
    </row>
    <row r="30">
      <c r="A30" s="14" t="n"/>
      <c r="B30" s="14" t="inlineStr">
        <is>
          <t>Temporary differences on other comprehensive income (#)</t>
        </is>
      </c>
      <c r="C30" s="15" t="n">
        <v>13010</v>
      </c>
      <c r="D30" s="15" t="n">
        <v>8395</v>
      </c>
      <c r="E30" s="15">
        <f>IF(AND(NOT(ISNUMBER(C30)), NOT(ISNUMBER(D30))), "-", IF(ISNUMBER(C30), C30, 0) - IF(ISNUMBER(D30), D30, 0))</f>
        <v/>
      </c>
      <c r="F30" s="16">
        <f>IF(OR(NOT(ISNUMBER(D30)), D30=0), "-", (IF(ISNUMBER(C30), C30, 0) - D30)/ABS(D30))</f>
        <v/>
      </c>
      <c r="G30" s="14" t="n"/>
    </row>
    <row r="31">
      <c r="A31" s="11" t="n"/>
      <c r="B31" s="11" t="inlineStr">
        <is>
          <t>Net deferred income tax asset at the end</t>
        </is>
      </c>
      <c r="C31" s="12" t="n">
        <v>18053735</v>
      </c>
      <c r="D31" s="12" t="n">
        <v>16105369</v>
      </c>
      <c r="E31" s="12">
        <f>IF(AND(NOT(ISNUMBER(C31)), NOT(ISNUMBER(D31))), "-", IF(ISNUMBER(C31), C31, 0) - IF(ISNUMBER(D31), D31, 0))</f>
        <v/>
      </c>
      <c r="F31" s="13">
        <f>IF(OR(NOT(ISNUMBER(D31)), D31=0), "-", (IF(ISNUMBER(C31), C31, 0) - D31)/ABS(D31))</f>
        <v/>
      </c>
      <c r="G31" s="11" t="n"/>
    </row>
    <row r="32">
      <c r="A32" s="14" t="n"/>
      <c r="B32" s="14" t="inlineStr">
        <is>
          <t>(#) Zero represents amount less than ₹ one lakh</t>
        </is>
      </c>
      <c r="C32" s="15" t="n">
        <v>0</v>
      </c>
      <c r="D32" s="15" t="n">
        <v>0</v>
      </c>
      <c r="E32" s="15">
        <f>IF(AND(NOT(ISNUMBER(C32)), NOT(ISNUMBER(D32))), "-", IF(ISNUMBER(C32), C32, 0) - IF(ISNUMBER(D32), D32, 0))</f>
        <v/>
      </c>
      <c r="F32" s="16">
        <f>IF(OR(NOT(ISNUMBER(D32)), D32=0), "-", (IF(ISNUMBER(C32), C32, 0) - D32)/ABS(D32))</f>
        <v/>
      </c>
      <c r="G32" s="14" t="n"/>
    </row>
    <row r="33">
      <c r="A33" s="14" t="n"/>
      <c r="B33" s="14" t="inlineStr"/>
      <c r="C33" s="15" t="n">
        <v>0</v>
      </c>
      <c r="D33" s="15" t="n">
        <v>0</v>
      </c>
      <c r="E33" s="15">
        <f>IF(AND(NOT(ISNUMBER(C33)), NOT(ISNUMBER(D33))), "-", IF(ISNUMBER(C33), C33, 0) - IF(ISNUMBER(D33), D33, 0))</f>
        <v/>
      </c>
      <c r="F33" s="16">
        <f>IF(OR(NOT(ISNUMBER(D33)), D33=0), "-", (IF(ISNUMBER(C33), C33, 0) - D33)/ABS(D33))</f>
        <v/>
      </c>
      <c r="G33" s="14" t="n"/>
    </row>
    <row r="34">
      <c r="A34" s="14" t="n"/>
      <c r="B34" s="14" t="inlineStr"/>
      <c r="C34" s="15" t="n">
        <v>0</v>
      </c>
      <c r="D34" s="15" t="n">
        <v>0</v>
      </c>
      <c r="E34" s="15">
        <f>IF(AND(NOT(ISNUMBER(C34)), NOT(ISNUMBER(D34))), "-", IF(ISNUMBER(C34), C34, 0) - IF(ISNUMBER(D34), D34, 0))</f>
        <v/>
      </c>
      <c r="F34" s="16">
        <f>IF(OR(NOT(ISNUMBER(D34)), D34=0), "-", (IF(ISNUMBER(C34), C34, 0) - D34)/ABS(D34))</f>
        <v/>
      </c>
      <c r="G34" s="14" t="n"/>
    </row>
    <row r="37">
      <c r="B37" s="6" t="inlineStr">
        <is>
          <t>Note 5: Other non current assets</t>
        </is>
      </c>
      <c r="C37" s="8" t="inlineStr">
        <is>
          <t>a</t>
        </is>
      </c>
      <c r="D37" s="8" t="inlineStr">
        <is>
          <t>b</t>
        </is>
      </c>
      <c r="E37" s="8" t="inlineStr">
        <is>
          <t>e</t>
        </is>
      </c>
    </row>
    <row r="38">
      <c r="A38" s="10" t="inlineStr"/>
      <c r="B38" s="10" t="inlineStr">
        <is>
          <t>Particulars</t>
        </is>
      </c>
      <c r="C38" s="10" t="inlineStr">
        <is>
          <t>As at 31st March 2025</t>
        </is>
      </c>
      <c r="D38" s="10" t="inlineStr">
        <is>
          <t>As at 31st March 2024</t>
        </is>
      </c>
      <c r="E38" s="10" t="inlineStr">
        <is>
          <t>Variance</t>
        </is>
      </c>
      <c r="F38" s="10" t="inlineStr">
        <is>
          <t>Variance %</t>
        </is>
      </c>
      <c r="G38" s="10" t="inlineStr">
        <is>
          <t>Remarks</t>
        </is>
      </c>
    </row>
    <row r="39">
      <c r="A39" s="14" t="n"/>
      <c r="B39" s="14" t="inlineStr">
        <is>
          <t>Secured, considered good</t>
        </is>
      </c>
      <c r="C39" s="15" t="n">
        <v>0</v>
      </c>
      <c r="D39" s="15" t="n">
        <v>0</v>
      </c>
      <c r="E39" s="15">
        <f>IF(AND(NOT(ISNUMBER(C39)), NOT(ISNUMBER(D39))), "-", IF(ISNUMBER(C39), C39, 0) - IF(ISNUMBER(D39), D39, 0))</f>
        <v/>
      </c>
      <c r="F39" s="16">
        <f>IF(OR(NOT(ISNUMBER(D39)), D39=0), "-", (IF(ISNUMBER(C39), C39, 0) - D39)/ABS(D39))</f>
        <v/>
      </c>
      <c r="G39" s="14" t="n"/>
    </row>
    <row r="40">
      <c r="A40" s="14" t="n"/>
      <c r="B40" s="14" t="inlineStr">
        <is>
          <t>Fair value changes related to intercompany lease deposit</t>
        </is>
      </c>
      <c r="C40" s="15" t="n">
        <v>0</v>
      </c>
      <c r="D40" s="15" t="n">
        <v>0</v>
      </c>
      <c r="E40" s="15">
        <f>IF(AND(NOT(ISNUMBER(C40)), NOT(ISNUMBER(D40))), "-", IF(ISNUMBER(C40), C40, 0) - IF(ISNUMBER(D40), D40, 0))</f>
        <v/>
      </c>
      <c r="F40" s="16">
        <f>IF(OR(NOT(ISNUMBER(D40)), D40=0), "-", (IF(ISNUMBER(C40), C40, 0) - D40)/ABS(D40))</f>
        <v/>
      </c>
      <c r="G40" s="14" t="n"/>
    </row>
    <row r="41">
      <c r="A41" s="14" t="n"/>
      <c r="B41" s="14" t="inlineStr">
        <is>
          <t>Balances with government authorities (*)</t>
        </is>
      </c>
      <c r="C41" s="15" t="n">
        <v>11703040</v>
      </c>
      <c r="D41" s="15" t="n">
        <v>11703040</v>
      </c>
      <c r="E41" s="15">
        <f>IF(AND(NOT(ISNUMBER(C41)), NOT(ISNUMBER(D41))), "-", IF(ISNUMBER(C41), C41, 0) - IF(ISNUMBER(D41), D41, 0))</f>
        <v/>
      </c>
      <c r="F41" s="16">
        <f>IF(OR(NOT(ISNUMBER(D41)), D41=0), "-", (IF(ISNUMBER(C41), C41, 0) - D41)/ABS(D41))</f>
        <v/>
      </c>
      <c r="G41" s="14" t="n"/>
    </row>
    <row r="42">
      <c r="A42" s="14" t="n"/>
      <c r="B42" s="14" t="inlineStr">
        <is>
          <t>Capital advances</t>
        </is>
      </c>
      <c r="C42" s="15" t="n">
        <v>0</v>
      </c>
      <c r="D42" s="15" t="n">
        <v>0</v>
      </c>
      <c r="E42" s="15">
        <f>IF(AND(NOT(ISNUMBER(C42)), NOT(ISNUMBER(D42))), "-", IF(ISNUMBER(C42), C42, 0) - IF(ISNUMBER(D42), D42, 0))</f>
        <v/>
      </c>
      <c r="F42" s="16">
        <f>IF(OR(NOT(ISNUMBER(D42)), D42=0), "-", (IF(ISNUMBER(C42), C42, 0) - D42)/ABS(D42))</f>
        <v/>
      </c>
      <c r="G42" s="14" t="n"/>
    </row>
    <row r="43">
      <c r="A43" s="14" t="n"/>
      <c r="B43" s="14" t="inlineStr">
        <is>
          <t>Prepaid expenses</t>
        </is>
      </c>
      <c r="C43" s="15" t="n">
        <v>0</v>
      </c>
      <c r="D43" s="15" t="n">
        <v>0</v>
      </c>
      <c r="E43" s="15">
        <f>IF(AND(NOT(ISNUMBER(C43)), NOT(ISNUMBER(D43))), "-", IF(ISNUMBER(C43), C43, 0) - IF(ISNUMBER(D43), D43, 0))</f>
        <v/>
      </c>
      <c r="F43" s="16">
        <f>IF(OR(NOT(ISNUMBER(D43)), D43=0), "-", (IF(ISNUMBER(C43), C43, 0) - D43)/ABS(D43))</f>
        <v/>
      </c>
      <c r="G43" s="14" t="n"/>
    </row>
    <row r="44">
      <c r="A44" s="14" t="n"/>
      <c r="B44" s="14" t="inlineStr">
        <is>
          <t>Lease equalisation</t>
        </is>
      </c>
      <c r="C44" s="15" t="n">
        <v>0</v>
      </c>
      <c r="D44" s="15" t="n">
        <v>0</v>
      </c>
      <c r="E44" s="15">
        <f>IF(AND(NOT(ISNUMBER(C44)), NOT(ISNUMBER(D44))), "-", IF(ISNUMBER(C44), C44, 0) - IF(ISNUMBER(D44), D44, 0))</f>
        <v/>
      </c>
      <c r="F44" s="16">
        <f>IF(OR(NOT(ISNUMBER(D44)), D44=0), "-", (IF(ISNUMBER(C44), C44, 0) - D44)/ABS(D44))</f>
        <v/>
      </c>
      <c r="G44" s="14" t="n"/>
    </row>
    <row r="45">
      <c r="A45" s="14" t="n"/>
      <c r="B45" s="14" t="inlineStr"/>
      <c r="C45" s="15" t="n">
        <v>11703040</v>
      </c>
      <c r="D45" s="15" t="n">
        <v>11703040</v>
      </c>
      <c r="E45" s="15">
        <f>IF(AND(NOT(ISNUMBER(C45)), NOT(ISNUMBER(D45))), "-", IF(ISNUMBER(C45), C45, 0) - IF(ISNUMBER(D45), D45, 0))</f>
        <v/>
      </c>
      <c r="F45" s="16">
        <f>IF(OR(NOT(ISNUMBER(D45)), D45=0), "-", (IF(ISNUMBER(C45), C45, 0) - D45)/ABS(D45))</f>
        <v/>
      </c>
      <c r="G45" s="14" t="n"/>
    </row>
    <row r="46">
      <c r="A46" s="14" t="n"/>
      <c r="B46" s="14" t="inlineStr">
        <is>
          <t>Less: Provision for doubtful advances</t>
        </is>
      </c>
      <c r="C46" s="15" t="n">
        <v>-399960</v>
      </c>
      <c r="D46" s="15" t="n">
        <v>-399960</v>
      </c>
      <c r="E46" s="15">
        <f>IF(AND(NOT(ISNUMBER(C46)), NOT(ISNUMBER(D46))), "-", IF(ISNUMBER(C46), C46, 0) - IF(ISNUMBER(D46), D46, 0))</f>
        <v/>
      </c>
      <c r="F46" s="16">
        <f>IF(OR(NOT(ISNUMBER(D46)), D46=0), "-", (IF(ISNUMBER(C46), C46, 0) - D46)/ABS(D46))</f>
        <v/>
      </c>
      <c r="G46" s="14" t="n"/>
    </row>
    <row r="47">
      <c r="A47" s="11" t="n"/>
      <c r="B47" s="11" t="inlineStr">
        <is>
          <t>Total</t>
        </is>
      </c>
      <c r="C47" s="12" t="n">
        <v>11303080</v>
      </c>
      <c r="D47" s="12" t="n">
        <v>11303080</v>
      </c>
      <c r="E47" s="12">
        <f>IF(AND(NOT(ISNUMBER(C47)), NOT(ISNUMBER(D47))), "-", IF(ISNUMBER(C47), C47, 0) - IF(ISNUMBER(D47), D47, 0))</f>
        <v/>
      </c>
      <c r="F47" s="13">
        <f>IF(OR(NOT(ISNUMBER(D47)), D47=0), "-", (IF(ISNUMBER(C47), C47, 0) - D47)/ABS(D47))</f>
        <v/>
      </c>
      <c r="G47" s="11" t="n"/>
    </row>
    <row r="48">
      <c r="A48" s="11" t="n"/>
      <c r="B48" s="11" t="inlineStr">
        <is>
          <t>Income tax assets (net)</t>
        </is>
      </c>
      <c r="C48" s="12" t="n">
        <v>0</v>
      </c>
      <c r="D48" s="12" t="n">
        <v>0</v>
      </c>
      <c r="E48" s="12">
        <f>IF(AND(NOT(ISNUMBER(C48)), NOT(ISNUMBER(D48))), "-", IF(ISNUMBER(C48), C48, 0) - IF(ISNUMBER(D48), D48, 0))</f>
        <v/>
      </c>
      <c r="F48" s="13">
        <f>IF(OR(NOT(ISNUMBER(D48)), D48=0), "-", (IF(ISNUMBER(C48), C48, 0) - D48)/ABS(D48))</f>
        <v/>
      </c>
      <c r="G48" s="11" t="n"/>
    </row>
    <row r="49">
      <c r="A49" s="14" t="n"/>
      <c r="B49" s="14" t="inlineStr">
        <is>
          <t>Income tax receivable {net of Income tax provision Rs. 242,720 ( 31 March 2016 - Rs. 225,870)( 31 March 2015 - Rs. 163,330)}</t>
        </is>
      </c>
      <c r="C49" s="15" t="n">
        <v>-839640</v>
      </c>
      <c r="D49" s="15" t="n">
        <v>40668266</v>
      </c>
      <c r="E49" s="15">
        <f>IF(AND(NOT(ISNUMBER(C49)), NOT(ISNUMBER(D49))), "-", IF(ISNUMBER(C49), C49, 0) - IF(ISNUMBER(D49), D49, 0))</f>
        <v/>
      </c>
      <c r="F49" s="16">
        <f>IF(OR(NOT(ISNUMBER(D49)), D49=0), "-", (IF(ISNUMBER(C49), C49, 0) - D49)/ABS(D49))</f>
        <v/>
      </c>
      <c r="G49" s="14" t="n"/>
    </row>
    <row r="50">
      <c r="A50" s="14" t="n"/>
      <c r="B50" s="14" t="inlineStr">
        <is>
          <t>(*) Represents refunds under appeal and pre-deposit money paid for filing appeals with government authorities.</t>
        </is>
      </c>
      <c r="C50" s="15" t="n">
        <v>0</v>
      </c>
      <c r="D50" s="15" t="n">
        <v>0</v>
      </c>
      <c r="E50" s="15">
        <f>IF(AND(NOT(ISNUMBER(C50)), NOT(ISNUMBER(D50))), "-", IF(ISNUMBER(C50), C50, 0) - IF(ISNUMBER(D50), D50, 0))</f>
        <v/>
      </c>
      <c r="F50" s="16">
        <f>IF(OR(NOT(ISNUMBER(D50)), D50=0), "-", (IF(ISNUMBER(C50), C50, 0) - D50)/ABS(D50))</f>
        <v/>
      </c>
      <c r="G50" s="14" t="n"/>
    </row>
    <row r="53">
      <c r="B53" s="6" t="inlineStr">
        <is>
          <t>Note 6: Investments</t>
        </is>
      </c>
      <c r="C53" s="8" t="inlineStr">
        <is>
          <t>a</t>
        </is>
      </c>
      <c r="D53" s="8" t="inlineStr">
        <is>
          <t>b</t>
        </is>
      </c>
      <c r="E53" s="8" t="inlineStr">
        <is>
          <t>e</t>
        </is>
      </c>
    </row>
    <row r="54">
      <c r="A54" s="10" t="inlineStr"/>
      <c r="B54" s="10" t="inlineStr">
        <is>
          <t>Particulars</t>
        </is>
      </c>
      <c r="C54" s="10" t="inlineStr">
        <is>
          <t>As at 31st March 2025</t>
        </is>
      </c>
      <c r="D54" s="10" t="inlineStr">
        <is>
          <t>As at 31st March 2024</t>
        </is>
      </c>
      <c r="E54" s="10" t="inlineStr">
        <is>
          <t>Variance</t>
        </is>
      </c>
      <c r="F54" s="10" t="inlineStr">
        <is>
          <t>Variance %</t>
        </is>
      </c>
      <c r="G54" s="10" t="inlineStr">
        <is>
          <t>Remarks</t>
        </is>
      </c>
    </row>
    <row r="55">
      <c r="A55" s="11" t="n"/>
      <c r="B55" s="11" t="inlineStr">
        <is>
          <t>Current investments</t>
        </is>
      </c>
      <c r="C55" s="12" t="n">
        <v>0</v>
      </c>
      <c r="D55" s="12" t="n">
        <v>0</v>
      </c>
      <c r="E55" s="12">
        <f>IF(AND(NOT(ISNUMBER(C55)), NOT(ISNUMBER(D55))), "-", IF(ISNUMBER(C55), C55, 0) - IF(ISNUMBER(D55), D55, 0))</f>
        <v/>
      </c>
      <c r="F55" s="13">
        <f>IF(OR(NOT(ISNUMBER(D55)), D55=0), "-", (IF(ISNUMBER(C55), C55, 0) - D55)/ABS(D55))</f>
        <v/>
      </c>
      <c r="G55" s="11" t="n"/>
    </row>
    <row r="56">
      <c r="A56" s="14" t="n"/>
      <c r="B56" s="14" t="inlineStr">
        <is>
          <t>Investment in mutual funds (Other than trade - unquoted) - (refer mutual fund scheme wise detail as below), carried at fair value through profit and loss</t>
        </is>
      </c>
      <c r="C56" s="15" t="n">
        <v>-10</v>
      </c>
      <c r="D56" s="15" t="n">
        <v>-10</v>
      </c>
      <c r="E56" s="15">
        <f>IF(AND(NOT(ISNUMBER(C56)), NOT(ISNUMBER(D56))), "-", IF(ISNUMBER(C56), C56, 0) - IF(ISNUMBER(D56), D56, 0))</f>
        <v/>
      </c>
      <c r="F56" s="16">
        <f>IF(OR(NOT(ISNUMBER(D56)), D56=0), "-", (IF(ISNUMBER(C56), C56, 0) - D56)/ABS(D56))</f>
        <v/>
      </c>
      <c r="G56" s="14" t="n"/>
    </row>
    <row r="57">
      <c r="A57" s="11" t="n"/>
      <c r="B57" s="11" t="inlineStr">
        <is>
          <t>Total</t>
        </is>
      </c>
      <c r="C57" s="12" t="n">
        <v>-10</v>
      </c>
      <c r="D57" s="12" t="n">
        <v>-10</v>
      </c>
      <c r="E57" s="12">
        <f>IF(AND(NOT(ISNUMBER(C57)), NOT(ISNUMBER(D57))), "-", IF(ISNUMBER(C57), C57, 0) - IF(ISNUMBER(D57), D57, 0))</f>
        <v/>
      </c>
      <c r="F57" s="13">
        <f>IF(OR(NOT(ISNUMBER(D57)), D57=0), "-", (IF(ISNUMBER(C57), C57, 0) - D57)/ABS(D57))</f>
        <v/>
      </c>
      <c r="G57" s="11" t="n"/>
    </row>
    <row r="60">
      <c r="B60" s="6" t="inlineStr">
        <is>
          <t>Note 3A: Investment in mutual funds (carried at fair value through profit and loss)</t>
        </is>
      </c>
      <c r="C60" s="8" t="inlineStr">
        <is>
          <t>a</t>
        </is>
      </c>
      <c r="D60" s="8" t="inlineStr">
        <is>
          <t>b</t>
        </is>
      </c>
      <c r="E60" s="8" t="inlineStr">
        <is>
          <t>e</t>
        </is>
      </c>
    </row>
    <row r="61">
      <c r="A61" s="10" t="inlineStr"/>
      <c r="B61" s="10" t="inlineStr">
        <is>
          <t>Particulars</t>
        </is>
      </c>
      <c r="C61" s="10" t="inlineStr">
        <is>
          <t>As at 31st March 2025</t>
        </is>
      </c>
      <c r="D61" s="10" t="inlineStr">
        <is>
          <t>As at 31st March 2024</t>
        </is>
      </c>
      <c r="E61" s="10" t="inlineStr">
        <is>
          <t>Variance</t>
        </is>
      </c>
      <c r="F61" s="10" t="inlineStr">
        <is>
          <t>Variance %</t>
        </is>
      </c>
      <c r="G61" s="10" t="inlineStr">
        <is>
          <t>Remarks</t>
        </is>
      </c>
    </row>
    <row r="62">
      <c r="A62" s="14" t="n"/>
      <c r="B62" s="14" t="inlineStr"/>
      <c r="C62" s="15" t="n">
        <v>0</v>
      </c>
      <c r="D62" s="15" t="n">
        <v>0</v>
      </c>
      <c r="E62" s="15">
        <f>IF(AND(NOT(ISNUMBER(C62)), NOT(ISNUMBER(D62))), "-", IF(ISNUMBER(C62), C62, 0) - IF(ISNUMBER(D62), D62, 0))</f>
        <v/>
      </c>
      <c r="F62" s="16">
        <f>IF(OR(NOT(ISNUMBER(D62)), D62=0), "-", (IF(ISNUMBER(C62), C62, 0) - D62)/ABS(D62))</f>
        <v/>
      </c>
      <c r="G62" s="14" t="n"/>
    </row>
    <row r="63">
      <c r="A63" s="14" t="n"/>
      <c r="B63" s="14" t="inlineStr"/>
      <c r="C63" s="15" t="n">
        <v>0</v>
      </c>
      <c r="D63" s="15" t="n">
        <v>0</v>
      </c>
      <c r="E63" s="15">
        <f>IF(AND(NOT(ISNUMBER(C63)), NOT(ISNUMBER(D63))), "-", IF(ISNUMBER(C63), C63, 0) - IF(ISNUMBER(D63), D63, 0))</f>
        <v/>
      </c>
      <c r="F63" s="16">
        <f>IF(OR(NOT(ISNUMBER(D63)), D63=0), "-", (IF(ISNUMBER(C63), C63, 0) - D63)/ABS(D63))</f>
        <v/>
      </c>
      <c r="G63" s="14" t="n"/>
    </row>
    <row r="64">
      <c r="A64" s="11" t="n"/>
      <c r="B64" s="11" t="inlineStr">
        <is>
          <t>Total</t>
        </is>
      </c>
      <c r="C64" s="12" t="n">
        <v>0</v>
      </c>
      <c r="D64" s="12" t="n">
        <v>0</v>
      </c>
      <c r="E64" s="12">
        <f>IF(AND(NOT(ISNUMBER(C64)), NOT(ISNUMBER(D64))), "-", IF(ISNUMBER(C64), C64, 0) - IF(ISNUMBER(D64), D64, 0))</f>
        <v/>
      </c>
      <c r="F64" s="13">
        <f>IF(OR(NOT(ISNUMBER(D64)), D64=0), "-", (IF(ISNUMBER(C64), C64, 0) - D64)/ABS(D64))</f>
        <v/>
      </c>
      <c r="G64" s="11" t="n"/>
    </row>
    <row r="65">
      <c r="A65" s="14" t="n"/>
      <c r="B65" s="14" t="inlineStr">
        <is>
          <t>* Number of units are in actual figures</t>
        </is>
      </c>
      <c r="C65" s="15" t="n">
        <v>0</v>
      </c>
      <c r="D65" s="15" t="n">
        <v>0</v>
      </c>
      <c r="E65" s="15">
        <f>IF(AND(NOT(ISNUMBER(C65)), NOT(ISNUMBER(D65))), "-", IF(ISNUMBER(C65), C65, 0) - IF(ISNUMBER(D65), D65, 0))</f>
        <v/>
      </c>
      <c r="F65" s="16">
        <f>IF(OR(NOT(ISNUMBER(D65)), D65=0), "-", (IF(ISNUMBER(C65), C65, 0) - D65)/ABS(D65))</f>
        <v/>
      </c>
      <c r="G65" s="14" t="n"/>
    </row>
    <row r="68">
      <c r="B68" s="6" t="inlineStr">
        <is>
          <t>Note 6: Trade receivables</t>
        </is>
      </c>
      <c r="C68" s="8" t="inlineStr">
        <is>
          <t>a</t>
        </is>
      </c>
      <c r="D68" s="8" t="inlineStr">
        <is>
          <t>b</t>
        </is>
      </c>
      <c r="E68" s="8" t="inlineStr">
        <is>
          <t>e</t>
        </is>
      </c>
    </row>
    <row r="69">
      <c r="A69" s="10" t="inlineStr"/>
      <c r="B69" s="10" t="inlineStr">
        <is>
          <t>Particulars</t>
        </is>
      </c>
      <c r="C69" s="10" t="inlineStr">
        <is>
          <t>As at 31st March 2025</t>
        </is>
      </c>
      <c r="D69" s="10" t="inlineStr">
        <is>
          <t>As at 31st March 2024</t>
        </is>
      </c>
      <c r="E69" s="10" t="inlineStr">
        <is>
          <t>Variance</t>
        </is>
      </c>
      <c r="F69" s="10" t="inlineStr">
        <is>
          <t>Variance %</t>
        </is>
      </c>
      <c r="G69" s="10" t="inlineStr">
        <is>
          <t>Remarks</t>
        </is>
      </c>
    </row>
    <row r="70">
      <c r="A70" s="11" t="n"/>
      <c r="B70" s="11" t="inlineStr">
        <is>
          <t>Trade receivables from related parties</t>
        </is>
      </c>
      <c r="C70" s="12" t="n">
        <v>0</v>
      </c>
      <c r="D70" s="12" t="n">
        <v>0</v>
      </c>
      <c r="E70" s="12">
        <f>IF(AND(NOT(ISNUMBER(C70)), NOT(ISNUMBER(D70))), "-", IF(ISNUMBER(C70), C70, 0) - IF(ISNUMBER(D70), D70, 0))</f>
        <v/>
      </c>
      <c r="F70" s="13">
        <f>IF(OR(NOT(ISNUMBER(D70)), D70=0), "-", (IF(ISNUMBER(C70), C70, 0) - D70)/ABS(D70))</f>
        <v/>
      </c>
      <c r="G70" s="11" t="n"/>
    </row>
    <row r="71">
      <c r="A71" s="14" t="n"/>
      <c r="B71" s="14" t="inlineStr">
        <is>
          <t>Outstanding for a period exceeding six months from the date they become due date for payment</t>
        </is>
      </c>
      <c r="C71" s="15" t="n">
        <v>0</v>
      </c>
      <c r="D71" s="15" t="n">
        <v>0</v>
      </c>
      <c r="E71" s="15">
        <f>IF(AND(NOT(ISNUMBER(C71)), NOT(ISNUMBER(D71))), "-", IF(ISNUMBER(C71), C71, 0) - IF(ISNUMBER(D71), D71, 0))</f>
        <v/>
      </c>
      <c r="F71" s="16">
        <f>IF(OR(NOT(ISNUMBER(D71)), D71=0), "-", (IF(ISNUMBER(C71), C71, 0) - D71)/ABS(D71))</f>
        <v/>
      </c>
      <c r="G71" s="14" t="n"/>
    </row>
    <row r="72">
      <c r="A72" s="14" t="n"/>
      <c r="B72" s="14" t="inlineStr">
        <is>
          <t>- Unsecured, considered good</t>
        </is>
      </c>
      <c r="C72" s="15" t="n">
        <v>0</v>
      </c>
      <c r="D72" s="15" t="n">
        <v>0</v>
      </c>
      <c r="E72" s="15">
        <f>IF(AND(NOT(ISNUMBER(C72)), NOT(ISNUMBER(D72))), "-", IF(ISNUMBER(C72), C72, 0) - IF(ISNUMBER(D72), D72, 0))</f>
        <v/>
      </c>
      <c r="F72" s="16">
        <f>IF(OR(NOT(ISNUMBER(D72)), D72=0), "-", (IF(ISNUMBER(C72), C72, 0) - D72)/ABS(D72))</f>
        <v/>
      </c>
      <c r="G72" s="14" t="n"/>
    </row>
    <row r="73">
      <c r="A73" s="14" t="n"/>
      <c r="B73" s="14" t="inlineStr">
        <is>
          <t>- Unsecured, considered doubtful</t>
        </is>
      </c>
      <c r="C73" s="15" t="n">
        <v>0</v>
      </c>
      <c r="D73" s="15" t="n">
        <v>0</v>
      </c>
      <c r="E73" s="15">
        <f>IF(AND(NOT(ISNUMBER(C73)), NOT(ISNUMBER(D73))), "-", IF(ISNUMBER(C73), C73, 0) - IF(ISNUMBER(D73), D73, 0))</f>
        <v/>
      </c>
      <c r="F73" s="16">
        <f>IF(OR(NOT(ISNUMBER(D73)), D73=0), "-", (IF(ISNUMBER(C73), C73, 0) - D73)/ABS(D73))</f>
        <v/>
      </c>
      <c r="G73" s="14" t="n"/>
    </row>
    <row r="74">
      <c r="A74" s="14" t="n"/>
      <c r="B74" s="14" t="inlineStr"/>
      <c r="C74" s="15" t="n">
        <v>0</v>
      </c>
      <c r="D74" s="15" t="n">
        <v>0</v>
      </c>
      <c r="E74" s="15">
        <f>IF(AND(NOT(ISNUMBER(C74)), NOT(ISNUMBER(D74))), "-", IF(ISNUMBER(C74), C74, 0) - IF(ISNUMBER(D74), D74, 0))</f>
        <v/>
      </c>
      <c r="F74" s="16">
        <f>IF(OR(NOT(ISNUMBER(D74)), D74=0), "-", (IF(ISNUMBER(C74), C74, 0) - D74)/ABS(D74))</f>
        <v/>
      </c>
      <c r="G74" s="14" t="n"/>
    </row>
    <row r="75">
      <c r="A75" s="14" t="n"/>
      <c r="B75" s="14" t="inlineStr">
        <is>
          <t>Less: Provision for doubtful debts</t>
        </is>
      </c>
      <c r="C75" s="15" t="n">
        <v>0</v>
      </c>
      <c r="D75" s="15" t="n">
        <v>0</v>
      </c>
      <c r="E75" s="15">
        <f>IF(AND(NOT(ISNUMBER(C75)), NOT(ISNUMBER(D75))), "-", IF(ISNUMBER(C75), C75, 0) - IF(ISNUMBER(D75), D75, 0))</f>
        <v/>
      </c>
      <c r="F75" s="16">
        <f>IF(OR(NOT(ISNUMBER(D75)), D75=0), "-", (IF(ISNUMBER(C75), C75, 0) - D75)/ABS(D75))</f>
        <v/>
      </c>
      <c r="G75" s="14" t="n"/>
    </row>
    <row r="76">
      <c r="A76" s="14" t="n"/>
      <c r="B76" s="14" t="inlineStr"/>
      <c r="C76" s="15" t="n">
        <v>0</v>
      </c>
      <c r="D76" s="15" t="n">
        <v>0</v>
      </c>
      <c r="E76" s="15">
        <f>IF(AND(NOT(ISNUMBER(C76)), NOT(ISNUMBER(D76))), "-", IF(ISNUMBER(C76), C76, 0) - IF(ISNUMBER(D76), D76, 0))</f>
        <v/>
      </c>
      <c r="F76" s="16">
        <f>IF(OR(NOT(ISNUMBER(D76)), D76=0), "-", (IF(ISNUMBER(C76), C76, 0) - D76)/ABS(D76))</f>
        <v/>
      </c>
      <c r="G76" s="14" t="n"/>
    </row>
    <row r="77">
      <c r="A77" s="11" t="n"/>
      <c r="B77" s="11" t="inlineStr">
        <is>
          <t>Unsecured, considered good</t>
        </is>
      </c>
      <c r="C77" s="12" t="n">
        <v>8393535</v>
      </c>
      <c r="D77" s="12" t="n">
        <v>1953218</v>
      </c>
      <c r="E77" s="12">
        <f>IF(AND(NOT(ISNUMBER(C77)), NOT(ISNUMBER(D77))), "-", IF(ISNUMBER(C77), C77, 0) - IF(ISNUMBER(D77), D77, 0))</f>
        <v/>
      </c>
      <c r="F77" s="13">
        <f>IF(OR(NOT(ISNUMBER(D77)), D77=0), "-", (IF(ISNUMBER(C77), C77, 0) - D77)/ABS(D77))</f>
        <v/>
      </c>
      <c r="G77" s="11" t="n"/>
    </row>
    <row r="78">
      <c r="A78" s="14" t="n"/>
      <c r="B78" s="14" t="inlineStr">
        <is>
          <t>Unsecured, considered doubtful</t>
        </is>
      </c>
      <c r="C78" s="15" t="n">
        <v>0</v>
      </c>
      <c r="D78" s="15" t="n">
        <v>0</v>
      </c>
      <c r="E78" s="15">
        <f>IF(AND(NOT(ISNUMBER(C78)), NOT(ISNUMBER(D78))), "-", IF(ISNUMBER(C78), C78, 0) - IF(ISNUMBER(D78), D78, 0))</f>
        <v/>
      </c>
      <c r="F78" s="16">
        <f>IF(OR(NOT(ISNUMBER(D78)), D78=0), "-", (IF(ISNUMBER(C78), C78, 0) - D78)/ABS(D78))</f>
        <v/>
      </c>
      <c r="G78" s="14" t="n"/>
    </row>
    <row r="79">
      <c r="A79" s="14" t="n"/>
      <c r="B79" s="14" t="inlineStr"/>
      <c r="C79" s="15" t="n">
        <v>8393535</v>
      </c>
      <c r="D79" s="15" t="n">
        <v>1953218</v>
      </c>
      <c r="E79" s="15">
        <f>IF(AND(NOT(ISNUMBER(C79)), NOT(ISNUMBER(D79))), "-", IF(ISNUMBER(C79), C79, 0) - IF(ISNUMBER(D79), D79, 0))</f>
        <v/>
      </c>
      <c r="F79" s="16">
        <f>IF(OR(NOT(ISNUMBER(D79)), D79=0), "-", (IF(ISNUMBER(C79), C79, 0) - D79)/ABS(D79))</f>
        <v/>
      </c>
      <c r="G79" s="14" t="n"/>
    </row>
    <row r="80">
      <c r="A80" s="14" t="n"/>
      <c r="B80" s="14" t="inlineStr">
        <is>
          <t>Less: Provision for doubtful receivables</t>
        </is>
      </c>
      <c r="C80" s="15" t="n">
        <v>0</v>
      </c>
      <c r="D80" s="15" t="n">
        <v>0</v>
      </c>
      <c r="E80" s="15">
        <f>IF(AND(NOT(ISNUMBER(C80)), NOT(ISNUMBER(D80))), "-", IF(ISNUMBER(C80), C80, 0) - IF(ISNUMBER(D80), D80, 0))</f>
        <v/>
      </c>
      <c r="F80" s="16">
        <f>IF(OR(NOT(ISNUMBER(D80)), D80=0), "-", (IF(ISNUMBER(C80), C80, 0) - D80)/ABS(D80))</f>
        <v/>
      </c>
      <c r="G80" s="14" t="n"/>
    </row>
    <row r="81">
      <c r="A81" s="14" t="n"/>
      <c r="B81" s="14" t="inlineStr">
        <is>
          <t>Receivables from related parties (refer note 28)</t>
        </is>
      </c>
      <c r="C81" s="15" t="n">
        <v>8393535</v>
      </c>
      <c r="D81" s="15" t="n">
        <v>1953218</v>
      </c>
      <c r="E81" s="15">
        <f>IF(AND(NOT(ISNUMBER(C81)), NOT(ISNUMBER(D81))), "-", IF(ISNUMBER(C81), C81, 0) - IF(ISNUMBER(D81), D81, 0))</f>
        <v/>
      </c>
      <c r="F81" s="16">
        <f>IF(OR(NOT(ISNUMBER(D81)), D81=0), "-", (IF(ISNUMBER(C81), C81, 0) - D81)/ABS(D81))</f>
        <v/>
      </c>
      <c r="G81" s="14" t="n"/>
    </row>
    <row r="82">
      <c r="A82" s="14" t="n"/>
      <c r="B82" s="14" t="inlineStr">
        <is>
          <t>Unbilled receivables</t>
        </is>
      </c>
      <c r="C82" s="15" t="n">
        <v>213964</v>
      </c>
      <c r="D82" s="15" t="n">
        <v>59269</v>
      </c>
      <c r="E82" s="15">
        <f>IF(AND(NOT(ISNUMBER(C82)), NOT(ISNUMBER(D82))), "-", IF(ISNUMBER(C82), C82, 0) - IF(ISNUMBER(D82), D82, 0))</f>
        <v/>
      </c>
      <c r="F82" s="16">
        <f>IF(OR(NOT(ISNUMBER(D82)), D82=0), "-", (IF(ISNUMBER(C82), C82, 0) - D82)/ABS(D82))</f>
        <v/>
      </c>
      <c r="G82" s="14" t="n"/>
    </row>
    <row r="83">
      <c r="A83" s="11" t="n"/>
      <c r="B83" s="11" t="inlineStr">
        <is>
          <t>Total</t>
        </is>
      </c>
      <c r="C83" s="12" t="n">
        <v>8607499.119999999</v>
      </c>
      <c r="D83" s="12" t="n">
        <v>2012487</v>
      </c>
      <c r="E83" s="12">
        <f>IF(AND(NOT(ISNUMBER(C83)), NOT(ISNUMBER(D83))), "-", IF(ISNUMBER(C83), C83, 0) - IF(ISNUMBER(D83), D83, 0))</f>
        <v/>
      </c>
      <c r="F83" s="13">
        <f>IF(OR(NOT(ISNUMBER(D83)), D83=0), "-", (IF(ISNUMBER(C83), C83, 0) - D83)/ABS(D83))</f>
        <v/>
      </c>
      <c r="G83" s="11" t="n"/>
    </row>
    <row r="84">
      <c r="A84" s="11" t="n"/>
      <c r="B84" s="11" t="inlineStr">
        <is>
          <t>Trade receivables ageing schedule</t>
        </is>
      </c>
      <c r="C84" s="12" t="n">
        <v>0</v>
      </c>
      <c r="D84" s="12" t="n">
        <v>0</v>
      </c>
      <c r="E84" s="12">
        <f>IF(AND(NOT(ISNUMBER(C84)), NOT(ISNUMBER(D84))), "-", IF(ISNUMBER(C84), C84, 0) - IF(ISNUMBER(D84), D84, 0))</f>
        <v/>
      </c>
      <c r="F84" s="13">
        <f>IF(OR(NOT(ISNUMBER(D84)), D84=0), "-", (IF(ISNUMBER(C84), C84, 0) - D84)/ABS(D84))</f>
        <v/>
      </c>
      <c r="G84" s="11" t="n"/>
    </row>
    <row r="85">
      <c r="A85" s="11" t="n"/>
      <c r="B85" s="11" t="inlineStr">
        <is>
          <t>As at  31 March 2025</t>
        </is>
      </c>
      <c r="C85" s="12" t="n">
        <v>0</v>
      </c>
      <c r="D85" s="12" t="n">
        <v>0</v>
      </c>
      <c r="E85" s="12">
        <f>IF(AND(NOT(ISNUMBER(C85)), NOT(ISNUMBER(D85))), "-", IF(ISNUMBER(C85), C85, 0) - IF(ISNUMBER(D85), D85, 0))</f>
        <v/>
      </c>
      <c r="F85" s="13">
        <f>IF(OR(NOT(ISNUMBER(D85)), D85=0), "-", (IF(ISNUMBER(C85), C85, 0) - D85)/ABS(D85))</f>
        <v/>
      </c>
      <c r="G85" s="11" t="n"/>
    </row>
    <row r="86">
      <c r="A86" s="14" t="n"/>
      <c r="B86" s="14" t="inlineStr">
        <is>
          <t>Undisputed trade receivables – considered good</t>
        </is>
      </c>
      <c r="C86" s="15" t="n">
        <v>0</v>
      </c>
      <c r="D86" s="15" t="n">
        <v>8393535</v>
      </c>
      <c r="E86" s="15">
        <f>IF(AND(NOT(ISNUMBER(C86)), NOT(ISNUMBER(D86))), "-", IF(ISNUMBER(C86), C86, 0) - IF(ISNUMBER(D86), D86, 0))</f>
        <v/>
      </c>
      <c r="F86" s="16">
        <f>IF(OR(NOT(ISNUMBER(D86)), D86=0), "-", (IF(ISNUMBER(C86), C86, 0) - D86)/ABS(D86))</f>
        <v/>
      </c>
      <c r="G86" s="14" t="n"/>
    </row>
    <row r="87">
      <c r="A87" s="14" t="n"/>
      <c r="B87" s="14" t="inlineStr"/>
      <c r="C87" s="15" t="n">
        <v>0</v>
      </c>
      <c r="D87" s="15" t="n">
        <v>8393535</v>
      </c>
      <c r="E87" s="15">
        <f>IF(AND(NOT(ISNUMBER(C87)), NOT(ISNUMBER(D87))), "-", IF(ISNUMBER(C87), C87, 0) - IF(ISNUMBER(D87), D87, 0))</f>
        <v/>
      </c>
      <c r="F87" s="16">
        <f>IF(OR(NOT(ISNUMBER(D87)), D87=0), "-", (IF(ISNUMBER(C87), C87, 0) - D87)/ABS(D87))</f>
        <v/>
      </c>
      <c r="G87" s="14" t="n"/>
    </row>
    <row r="88">
      <c r="A88" s="14" t="n"/>
      <c r="B88" s="14" t="inlineStr">
        <is>
          <t>Unbilled receivables</t>
        </is>
      </c>
      <c r="C88" s="15" t="n">
        <v>0</v>
      </c>
      <c r="D88" s="15" t="n">
        <v>213964</v>
      </c>
      <c r="E88" s="15">
        <f>IF(AND(NOT(ISNUMBER(C88)), NOT(ISNUMBER(D88))), "-", IF(ISNUMBER(C88), C88, 0) - IF(ISNUMBER(D88), D88, 0))</f>
        <v/>
      </c>
      <c r="F88" s="16">
        <f>IF(OR(NOT(ISNUMBER(D88)), D88=0), "-", (IF(ISNUMBER(C88), C88, 0) - D88)/ABS(D88))</f>
        <v/>
      </c>
      <c r="G88" s="14" t="n"/>
    </row>
    <row r="89">
      <c r="A89" s="11" t="n"/>
      <c r="B89" s="11" t="inlineStr">
        <is>
          <t>Total</t>
        </is>
      </c>
      <c r="C89" s="12" t="n">
        <v>0</v>
      </c>
      <c r="D89" s="12" t="n">
        <v>8607499</v>
      </c>
      <c r="E89" s="12">
        <f>IF(AND(NOT(ISNUMBER(C89)), NOT(ISNUMBER(D89))), "-", IF(ISNUMBER(C89), C89, 0) - IF(ISNUMBER(D89), D89, 0))</f>
        <v/>
      </c>
      <c r="F89" s="13">
        <f>IF(OR(NOT(ISNUMBER(D89)), D89=0), "-", (IF(ISNUMBER(C89), C89, 0) - D89)/ABS(D89))</f>
        <v/>
      </c>
      <c r="G89" s="11" t="n"/>
    </row>
    <row r="90">
      <c r="A90" s="11" t="n"/>
      <c r="B90" s="11" t="inlineStr">
        <is>
          <t>As at 31 March 2024</t>
        </is>
      </c>
      <c r="C90" s="12" t="n">
        <v>0</v>
      </c>
      <c r="D90" s="12" t="n">
        <v>0</v>
      </c>
      <c r="E90" s="12">
        <f>IF(AND(NOT(ISNUMBER(C90)), NOT(ISNUMBER(D90))), "-", IF(ISNUMBER(C90), C90, 0) - IF(ISNUMBER(D90), D90, 0))</f>
        <v/>
      </c>
      <c r="F90" s="13">
        <f>IF(OR(NOT(ISNUMBER(D90)), D90=0), "-", (IF(ISNUMBER(C90), C90, 0) - D90)/ABS(D90))</f>
        <v/>
      </c>
      <c r="G90" s="11" t="n"/>
    </row>
    <row r="91">
      <c r="A91" s="14" t="n"/>
      <c r="B91" s="14" t="inlineStr">
        <is>
          <t>Undisputed trade receivables – considered good</t>
        </is>
      </c>
      <c r="C91" s="15" t="n">
        <v>0</v>
      </c>
      <c r="D91" s="15" t="n">
        <v>1953218</v>
      </c>
      <c r="E91" s="15">
        <f>IF(AND(NOT(ISNUMBER(C91)), NOT(ISNUMBER(D91))), "-", IF(ISNUMBER(C91), C91, 0) - IF(ISNUMBER(D91), D91, 0))</f>
        <v/>
      </c>
      <c r="F91" s="16">
        <f>IF(OR(NOT(ISNUMBER(D91)), D91=0), "-", (IF(ISNUMBER(C91), C91, 0) - D91)/ABS(D91))</f>
        <v/>
      </c>
      <c r="G91" s="14" t="n"/>
    </row>
    <row r="92">
      <c r="A92" s="14" t="n"/>
      <c r="B92" s="14" t="inlineStr"/>
      <c r="C92" s="15" t="n">
        <v>0</v>
      </c>
      <c r="D92" s="15" t="n">
        <v>1953218</v>
      </c>
      <c r="E92" s="15">
        <f>IF(AND(NOT(ISNUMBER(C92)), NOT(ISNUMBER(D92))), "-", IF(ISNUMBER(C92), C92, 0) - IF(ISNUMBER(D92), D92, 0))</f>
        <v/>
      </c>
      <c r="F92" s="16">
        <f>IF(OR(NOT(ISNUMBER(D92)), D92=0), "-", (IF(ISNUMBER(C92), C92, 0) - D92)/ABS(D92))</f>
        <v/>
      </c>
      <c r="G92" s="14" t="n"/>
    </row>
    <row r="93">
      <c r="A93" s="14" t="n"/>
      <c r="B93" s="14" t="inlineStr">
        <is>
          <t>Unbilled receivable</t>
        </is>
      </c>
      <c r="C93" s="15" t="n">
        <v>0</v>
      </c>
      <c r="D93" s="15" t="n">
        <v>59269</v>
      </c>
      <c r="E93" s="15">
        <f>IF(AND(NOT(ISNUMBER(C93)), NOT(ISNUMBER(D93))), "-", IF(ISNUMBER(C93), C93, 0) - IF(ISNUMBER(D93), D93, 0))</f>
        <v/>
      </c>
      <c r="F93" s="16">
        <f>IF(OR(NOT(ISNUMBER(D93)), D93=0), "-", (IF(ISNUMBER(C93), C93, 0) - D93)/ABS(D93))</f>
        <v/>
      </c>
      <c r="G93" s="14" t="n"/>
    </row>
    <row r="94">
      <c r="A94" s="11" t="n"/>
      <c r="B94" s="11" t="inlineStr">
        <is>
          <t>Total</t>
        </is>
      </c>
      <c r="C94" s="12" t="n">
        <v>0</v>
      </c>
      <c r="D94" s="12" t="n">
        <v>2012487</v>
      </c>
      <c r="E94" s="12">
        <f>IF(AND(NOT(ISNUMBER(C94)), NOT(ISNUMBER(D94))), "-", IF(ISNUMBER(C94), C94, 0) - IF(ISNUMBER(D94), D94, 0))</f>
        <v/>
      </c>
      <c r="F94" s="13">
        <f>IF(OR(NOT(ISNUMBER(D94)), D94=0), "-", (IF(ISNUMBER(C94), C94, 0) - D94)/ABS(D94))</f>
        <v/>
      </c>
      <c r="G94" s="11" t="n"/>
    </row>
    <row r="97">
      <c r="B97" s="6" t="inlineStr">
        <is>
          <t>Note 7: Cash and cash equivalents</t>
        </is>
      </c>
      <c r="C97" s="8" t="inlineStr">
        <is>
          <t>a</t>
        </is>
      </c>
      <c r="D97" s="8" t="inlineStr">
        <is>
          <t>b</t>
        </is>
      </c>
      <c r="E97" s="8" t="inlineStr">
        <is>
          <t>e</t>
        </is>
      </c>
    </row>
    <row r="98">
      <c r="A98" s="10" t="inlineStr"/>
      <c r="B98" s="10" t="inlineStr">
        <is>
          <t>Particulars</t>
        </is>
      </c>
      <c r="C98" s="10" t="inlineStr">
        <is>
          <t>As at 31st March 2025</t>
        </is>
      </c>
      <c r="D98" s="10" t="inlineStr">
        <is>
          <t>As at 31st March 2024</t>
        </is>
      </c>
      <c r="E98" s="10" t="inlineStr">
        <is>
          <t>Variance</t>
        </is>
      </c>
      <c r="F98" s="10" t="inlineStr">
        <is>
          <t>Variance %</t>
        </is>
      </c>
      <c r="G98" s="10" t="inlineStr">
        <is>
          <t>Remarks</t>
        </is>
      </c>
    </row>
    <row r="99">
      <c r="A99" s="14" t="n"/>
      <c r="B99" s="14" t="inlineStr">
        <is>
          <t>Balance with banks</t>
        </is>
      </c>
      <c r="C99" s="15" t="n">
        <v>0</v>
      </c>
      <c r="D99" s="15" t="n">
        <v>0</v>
      </c>
      <c r="E99" s="15">
        <f>IF(AND(NOT(ISNUMBER(C99)), NOT(ISNUMBER(D99))), "-", IF(ISNUMBER(C99), C99, 0) - IF(ISNUMBER(D99), D99, 0))</f>
        <v/>
      </c>
      <c r="F99" s="16">
        <f>IF(OR(NOT(ISNUMBER(D99)), D99=0), "-", (IF(ISNUMBER(C99), C99, 0) - D99)/ABS(D99))</f>
        <v/>
      </c>
      <c r="G99" s="14" t="n"/>
    </row>
    <row r="100">
      <c r="A100" s="14" t="n"/>
      <c r="B100" s="14" t="inlineStr">
        <is>
          <t>On current accounts</t>
        </is>
      </c>
      <c r="C100" s="15" t="n">
        <v>409518</v>
      </c>
      <c r="D100" s="15" t="n">
        <v>605184</v>
      </c>
      <c r="E100" s="15">
        <f>IF(AND(NOT(ISNUMBER(C100)), NOT(ISNUMBER(D100))), "-", IF(ISNUMBER(C100), C100, 0) - IF(ISNUMBER(D100), D100, 0))</f>
        <v/>
      </c>
      <c r="F100" s="16">
        <f>IF(OR(NOT(ISNUMBER(D100)), D100=0), "-", (IF(ISNUMBER(C100), C100, 0) - D100)/ABS(D100))</f>
        <v/>
      </c>
      <c r="G100" s="14" t="n"/>
    </row>
    <row r="101">
      <c r="A101" s="14" t="n"/>
      <c r="B101" s="14" t="inlineStr">
        <is>
          <t>Deposits with original maturity of less than three months</t>
        </is>
      </c>
      <c r="C101" s="15" t="n">
        <v>243250000</v>
      </c>
      <c r="D101" s="15" t="n">
        <v>243200000</v>
      </c>
      <c r="E101" s="15">
        <f>IF(AND(NOT(ISNUMBER(C101)), NOT(ISNUMBER(D101))), "-", IF(ISNUMBER(C101), C101, 0) - IF(ISNUMBER(D101), D101, 0))</f>
        <v/>
      </c>
      <c r="F101" s="16">
        <f>IF(OR(NOT(ISNUMBER(D101)), D101=0), "-", (IF(ISNUMBER(C101), C101, 0) - D101)/ABS(D101))</f>
        <v/>
      </c>
      <c r="G101" s="14" t="n"/>
    </row>
    <row r="102">
      <c r="A102" s="14" t="n"/>
      <c r="B102" s="14" t="inlineStr">
        <is>
          <t>Cheques/Draft on hand</t>
        </is>
      </c>
      <c r="C102" s="15" t="n">
        <v>0</v>
      </c>
      <c r="D102" s="15" t="n">
        <v>0</v>
      </c>
      <c r="E102" s="15">
        <f>IF(AND(NOT(ISNUMBER(C102)), NOT(ISNUMBER(D102))), "-", IF(ISNUMBER(C102), C102, 0) - IF(ISNUMBER(D102), D102, 0))</f>
        <v/>
      </c>
      <c r="F102" s="16">
        <f>IF(OR(NOT(ISNUMBER(D102)), D102=0), "-", (IF(ISNUMBER(C102), C102, 0) - D102)/ABS(D102))</f>
        <v/>
      </c>
      <c r="G102" s="14" t="n"/>
    </row>
    <row r="103">
      <c r="A103" s="14" t="n"/>
      <c r="B103" s="14" t="inlineStr">
        <is>
          <t>Remittance in Transit</t>
        </is>
      </c>
      <c r="C103" s="15" t="n">
        <v>0</v>
      </c>
      <c r="D103" s="15" t="n">
        <v>0</v>
      </c>
      <c r="E103" s="15">
        <f>IF(AND(NOT(ISNUMBER(C103)), NOT(ISNUMBER(D103))), "-", IF(ISNUMBER(C103), C103, 0) - IF(ISNUMBER(D103), D103, 0))</f>
        <v/>
      </c>
      <c r="F103" s="16">
        <f>IF(OR(NOT(ISNUMBER(D103)), D103=0), "-", (IF(ISNUMBER(C103), C103, 0) - D103)/ABS(D103))</f>
        <v/>
      </c>
      <c r="G103" s="14" t="n"/>
    </row>
    <row r="104">
      <c r="A104" s="14" t="n"/>
      <c r="B104" s="14" t="inlineStr">
        <is>
          <t>Cash on hand (#)</t>
        </is>
      </c>
      <c r="C104" s="15" t="n">
        <v>0</v>
      </c>
      <c r="D104" s="15" t="n">
        <v>0</v>
      </c>
      <c r="E104" s="15">
        <f>IF(AND(NOT(ISNUMBER(C104)), NOT(ISNUMBER(D104))), "-", IF(ISNUMBER(C104), C104, 0) - IF(ISNUMBER(D104), D104, 0))</f>
        <v/>
      </c>
      <c r="F104" s="16">
        <f>IF(OR(NOT(ISNUMBER(D104)), D104=0), "-", (IF(ISNUMBER(C104), C104, 0) - D104)/ABS(D104))</f>
        <v/>
      </c>
      <c r="G104" s="14" t="n"/>
    </row>
    <row r="105">
      <c r="A105" s="11" t="n"/>
      <c r="B105" s="11" t="inlineStr">
        <is>
          <t>Total</t>
        </is>
      </c>
      <c r="C105" s="12" t="n">
        <v>243659518</v>
      </c>
      <c r="D105" s="12" t="n">
        <v>243805184</v>
      </c>
      <c r="E105" s="12">
        <f>IF(AND(NOT(ISNUMBER(C105)), NOT(ISNUMBER(D105))), "-", IF(ISNUMBER(C105), C105, 0) - IF(ISNUMBER(D105), D105, 0))</f>
        <v/>
      </c>
      <c r="F105" s="13">
        <f>IF(OR(NOT(ISNUMBER(D105)), D105=0), "-", (IF(ISNUMBER(C105), C105, 0) - D105)/ABS(D105))</f>
        <v/>
      </c>
      <c r="G105" s="11" t="n"/>
    </row>
    <row r="106">
      <c r="A106" s="14" t="n"/>
      <c r="B106" s="14" t="inlineStr">
        <is>
          <t>(#) Zero represents amount less than ₹ one lakh</t>
        </is>
      </c>
      <c r="C106" s="15" t="n">
        <v>0</v>
      </c>
      <c r="D106" s="15" t="n">
        <v>0</v>
      </c>
      <c r="E106" s="15">
        <f>IF(AND(NOT(ISNUMBER(C106)), NOT(ISNUMBER(D106))), "-", IF(ISNUMBER(C106), C106, 0) - IF(ISNUMBER(D106), D106, 0))</f>
        <v/>
      </c>
      <c r="F106" s="16">
        <f>IF(OR(NOT(ISNUMBER(D106)), D106=0), "-", (IF(ISNUMBER(C106), C106, 0) - D106)/ABS(D106))</f>
        <v/>
      </c>
      <c r="G106" s="14" t="n"/>
    </row>
    <row r="107">
      <c r="A107" s="14" t="n"/>
      <c r="B107" s="14" t="inlineStr">
        <is>
          <t>Includes cash at bank amounting to ₹  Lakhs (31 March 2024 ₹  45 Lakhs) earning increased at floating rates based on daily bank deposit rates</t>
        </is>
      </c>
      <c r="C107" s="15" t="n">
        <v>0</v>
      </c>
      <c r="D107" s="15" t="n">
        <v>0</v>
      </c>
      <c r="E107" s="15">
        <f>IF(AND(NOT(ISNUMBER(C107)), NOT(ISNUMBER(D107))), "-", IF(ISNUMBER(C107), C107, 0) - IF(ISNUMBER(D107), D107, 0))</f>
        <v/>
      </c>
      <c r="F107" s="16">
        <f>IF(OR(NOT(ISNUMBER(D107)), D107=0), "-", (IF(ISNUMBER(C107), C107, 0) - D107)/ABS(D107))</f>
        <v/>
      </c>
      <c r="G107" s="14" t="n"/>
    </row>
    <row r="110">
      <c r="B110" s="6" t="inlineStr">
        <is>
          <t>Note 8: Bank balances</t>
        </is>
      </c>
      <c r="C110" s="8" t="inlineStr">
        <is>
          <t>a</t>
        </is>
      </c>
      <c r="D110" s="8" t="inlineStr">
        <is>
          <t>b</t>
        </is>
      </c>
      <c r="E110" s="8" t="inlineStr">
        <is>
          <t>e</t>
        </is>
      </c>
    </row>
    <row r="111">
      <c r="A111" s="10" t="inlineStr"/>
      <c r="B111" s="10" t="inlineStr">
        <is>
          <t>Particulars</t>
        </is>
      </c>
      <c r="C111" s="10" t="inlineStr">
        <is>
          <t>As at 31st March 2025</t>
        </is>
      </c>
      <c r="D111" s="10" t="inlineStr">
        <is>
          <t>As at 31st March 2024</t>
        </is>
      </c>
      <c r="E111" s="10" t="inlineStr">
        <is>
          <t>Variance</t>
        </is>
      </c>
      <c r="F111" s="10" t="inlineStr">
        <is>
          <t>Variance %</t>
        </is>
      </c>
      <c r="G111" s="10" t="inlineStr">
        <is>
          <t>Remarks</t>
        </is>
      </c>
    </row>
    <row r="112">
      <c r="A112" s="14" t="n"/>
      <c r="B112" s="14" t="inlineStr">
        <is>
          <t>Term deposits with original maturity more than three months but less than twelve months from reporting date</t>
        </is>
      </c>
      <c r="C112" s="15" t="n">
        <v>2</v>
      </c>
      <c r="D112" s="15" t="n">
        <v>2</v>
      </c>
      <c r="E112" s="15">
        <f>IF(AND(NOT(ISNUMBER(C112)), NOT(ISNUMBER(D112))), "-", IF(ISNUMBER(C112), C112, 0) - IF(ISNUMBER(D112), D112, 0))</f>
        <v/>
      </c>
      <c r="F112" s="16">
        <f>IF(OR(NOT(ISNUMBER(D112)), D112=0), "-", (IF(ISNUMBER(C112), C112, 0) - D112)/ABS(D112))</f>
        <v/>
      </c>
      <c r="G112" s="14" t="n"/>
    </row>
    <row r="113">
      <c r="A113" s="14" t="n"/>
      <c r="B113" s="14" t="inlineStr"/>
      <c r="C113" s="15" t="n">
        <v>2</v>
      </c>
      <c r="D113" s="15" t="n">
        <v>2</v>
      </c>
      <c r="E113" s="15">
        <f>IF(AND(NOT(ISNUMBER(C113)), NOT(ISNUMBER(D113))), "-", IF(ISNUMBER(C113), C113, 0) - IF(ISNUMBER(D113), D113, 0))</f>
        <v/>
      </c>
      <c r="F113" s="16">
        <f>IF(OR(NOT(ISNUMBER(D113)), D113=0), "-", (IF(ISNUMBER(C113), C113, 0) - D113)/ABS(D113))</f>
        <v/>
      </c>
      <c r="G113" s="14" t="n"/>
    </row>
    <row r="114">
      <c r="A114" s="14" t="n"/>
      <c r="B114" s="14" t="inlineStr"/>
      <c r="C114" s="15" t="n">
        <v>0</v>
      </c>
      <c r="D114" s="15" t="n">
        <v>0</v>
      </c>
      <c r="E114" s="15">
        <f>IF(AND(NOT(ISNUMBER(C114)), NOT(ISNUMBER(D114))), "-", IF(ISNUMBER(C114), C114, 0) - IF(ISNUMBER(D114), D114, 0))</f>
        <v/>
      </c>
      <c r="F114" s="16">
        <f>IF(OR(NOT(ISNUMBER(D114)), D114=0), "-", (IF(ISNUMBER(C114), C114, 0) - D114)/ABS(D114))</f>
        <v/>
      </c>
      <c r="G114" s="14" t="n"/>
    </row>
    <row r="117">
      <c r="B117" s="6" t="inlineStr">
        <is>
          <t>Note 9: Current financial assets - Loans</t>
        </is>
      </c>
      <c r="C117" s="8" t="inlineStr">
        <is>
          <t>a</t>
        </is>
      </c>
      <c r="D117" s="8" t="inlineStr">
        <is>
          <t>b</t>
        </is>
      </c>
      <c r="E117" s="8" t="inlineStr">
        <is>
          <t>e</t>
        </is>
      </c>
    </row>
    <row r="118">
      <c r="A118" s="10" t="inlineStr"/>
      <c r="B118" s="10" t="inlineStr">
        <is>
          <t>Particulars</t>
        </is>
      </c>
      <c r="C118" s="10" t="inlineStr">
        <is>
          <t>As at 31st March 2025</t>
        </is>
      </c>
      <c r="D118" s="10" t="inlineStr">
        <is>
          <t>As at 31st March 2024</t>
        </is>
      </c>
      <c r="E118" s="10" t="inlineStr">
        <is>
          <t>Variance</t>
        </is>
      </c>
      <c r="F118" s="10" t="inlineStr">
        <is>
          <t>Variance %</t>
        </is>
      </c>
      <c r="G118" s="10" t="inlineStr">
        <is>
          <t>Remarks</t>
        </is>
      </c>
    </row>
    <row r="119">
      <c r="A119" s="11" t="n"/>
      <c r="B119" s="11" t="inlineStr">
        <is>
          <t>Loan to employees</t>
        </is>
      </c>
      <c r="C119" s="12" t="n">
        <v>0</v>
      </c>
      <c r="D119" s="12" t="n">
        <v>0</v>
      </c>
      <c r="E119" s="12">
        <f>IF(AND(NOT(ISNUMBER(C119)), NOT(ISNUMBER(D119))), "-", IF(ISNUMBER(C119), C119, 0) - IF(ISNUMBER(D119), D119, 0))</f>
        <v/>
      </c>
      <c r="F119" s="13">
        <f>IF(OR(NOT(ISNUMBER(D119)), D119=0), "-", (IF(ISNUMBER(C119), C119, 0) - D119)/ABS(D119))</f>
        <v/>
      </c>
      <c r="G119" s="11" t="n"/>
    </row>
    <row r="120">
      <c r="A120" s="14" t="n"/>
      <c r="B120" s="14" t="inlineStr">
        <is>
          <t>Unsecured, considered good</t>
        </is>
      </c>
      <c r="C120" s="15" t="n">
        <v>0</v>
      </c>
      <c r="D120" s="15" t="n">
        <v>0</v>
      </c>
      <c r="E120" s="15">
        <f>IF(AND(NOT(ISNUMBER(C120)), NOT(ISNUMBER(D120))), "-", IF(ISNUMBER(C120), C120, 0) - IF(ISNUMBER(D120), D120, 0))</f>
        <v/>
      </c>
      <c r="F120" s="16">
        <f>IF(OR(NOT(ISNUMBER(D120)), D120=0), "-", (IF(ISNUMBER(C120), C120, 0) - D120)/ABS(D120))</f>
        <v/>
      </c>
      <c r="G120" s="14" t="n"/>
    </row>
    <row r="121">
      <c r="A121" s="14" t="n"/>
      <c r="B121" s="14" t="inlineStr"/>
      <c r="C121" s="15" t="n">
        <v>0</v>
      </c>
      <c r="D121" s="15" t="n">
        <v>0</v>
      </c>
      <c r="E121" s="15">
        <f>IF(AND(NOT(ISNUMBER(C121)), NOT(ISNUMBER(D121))), "-", IF(ISNUMBER(C121), C121, 0) - IF(ISNUMBER(D121), D121, 0))</f>
        <v/>
      </c>
      <c r="F121" s="16">
        <f>IF(OR(NOT(ISNUMBER(D121)), D121=0), "-", (IF(ISNUMBER(C121), C121, 0) - D121)/ABS(D121))</f>
        <v/>
      </c>
      <c r="G121" s="14" t="n"/>
    </row>
    <row r="124">
      <c r="B124" s="6" t="inlineStr">
        <is>
          <t>Note 8: Other current financial assets</t>
        </is>
      </c>
      <c r="C124" s="8" t="inlineStr">
        <is>
          <t>a</t>
        </is>
      </c>
      <c r="D124" s="8" t="inlineStr">
        <is>
          <t>b</t>
        </is>
      </c>
      <c r="E124" s="8" t="inlineStr">
        <is>
          <t>e</t>
        </is>
      </c>
    </row>
    <row r="125">
      <c r="A125" s="10" t="inlineStr"/>
      <c r="B125" s="10" t="inlineStr">
        <is>
          <t>Particulars</t>
        </is>
      </c>
      <c r="C125" s="10" t="inlineStr">
        <is>
          <t>As at 31st March 2025</t>
        </is>
      </c>
      <c r="D125" s="10" t="inlineStr">
        <is>
          <t>As at 31st March 2024</t>
        </is>
      </c>
      <c r="E125" s="10" t="inlineStr">
        <is>
          <t>Variance</t>
        </is>
      </c>
      <c r="F125" s="10" t="inlineStr">
        <is>
          <t>Variance %</t>
        </is>
      </c>
      <c r="G125" s="10" t="inlineStr">
        <is>
          <t>Remarks</t>
        </is>
      </c>
    </row>
    <row r="126">
      <c r="A126" s="14" t="n"/>
      <c r="B126" s="14" t="inlineStr"/>
      <c r="C126" s="15" t="n">
        <v>0</v>
      </c>
      <c r="D126" s="15" t="n">
        <v>0</v>
      </c>
      <c r="E126" s="15">
        <f>IF(AND(NOT(ISNUMBER(C126)), NOT(ISNUMBER(D126))), "-", IF(ISNUMBER(C126), C126, 0) - IF(ISNUMBER(D126), D126, 0))</f>
        <v/>
      </c>
      <c r="F126" s="16">
        <f>IF(OR(NOT(ISNUMBER(D126)), D126=0), "-", (IF(ISNUMBER(C126), C126, 0) - D126)/ABS(D126))</f>
        <v/>
      </c>
      <c r="G126" s="14" t="n"/>
    </row>
    <row r="127">
      <c r="A127" s="14" t="n"/>
      <c r="B127" s="14" t="inlineStr"/>
      <c r="C127" s="15" t="n">
        <v>0</v>
      </c>
      <c r="D127" s="15" t="n">
        <v>0</v>
      </c>
      <c r="E127" s="15">
        <f>IF(AND(NOT(ISNUMBER(C127)), NOT(ISNUMBER(D127))), "-", IF(ISNUMBER(C127), C127, 0) - IF(ISNUMBER(D127), D127, 0))</f>
        <v/>
      </c>
      <c r="F127" s="16">
        <f>IF(OR(NOT(ISNUMBER(D127)), D127=0), "-", (IF(ISNUMBER(C127), C127, 0) - D127)/ABS(D127))</f>
        <v/>
      </c>
      <c r="G127" s="14" t="n"/>
    </row>
    <row r="128">
      <c r="A128" s="14" t="n"/>
      <c r="B128" s="14" t="inlineStr"/>
      <c r="C128" s="15" t="n">
        <v>0</v>
      </c>
      <c r="D128" s="15" t="n">
        <v>0</v>
      </c>
      <c r="E128" s="15">
        <f>IF(AND(NOT(ISNUMBER(C128)), NOT(ISNUMBER(D128))), "-", IF(ISNUMBER(C128), C128, 0) - IF(ISNUMBER(D128), D128, 0))</f>
        <v/>
      </c>
      <c r="F128" s="16">
        <f>IF(OR(NOT(ISNUMBER(D128)), D128=0), "-", (IF(ISNUMBER(C128), C128, 0) - D128)/ABS(D128))</f>
        <v/>
      </c>
      <c r="G128" s="14" t="n"/>
    </row>
    <row r="129">
      <c r="A129" s="14" t="n"/>
      <c r="B129" s="14" t="inlineStr"/>
      <c r="C129" s="15" t="n">
        <v>0</v>
      </c>
      <c r="D129" s="15" t="n">
        <v>0</v>
      </c>
      <c r="E129" s="15">
        <f>IF(AND(NOT(ISNUMBER(C129)), NOT(ISNUMBER(D129))), "-", IF(ISNUMBER(C129), C129, 0) - IF(ISNUMBER(D129), D129, 0))</f>
        <v/>
      </c>
      <c r="F129" s="16">
        <f>IF(OR(NOT(ISNUMBER(D129)), D129=0), "-", (IF(ISNUMBER(C129), C129, 0) - D129)/ABS(D129))</f>
        <v/>
      </c>
      <c r="G129" s="14" t="n"/>
    </row>
    <row r="130">
      <c r="A130" s="14" t="n"/>
      <c r="B130" s="14" t="inlineStr"/>
      <c r="C130" s="15" t="n">
        <v>0</v>
      </c>
      <c r="D130" s="15" t="n">
        <v>0</v>
      </c>
      <c r="E130" s="15">
        <f>IF(AND(NOT(ISNUMBER(C130)), NOT(ISNUMBER(D130))), "-", IF(ISNUMBER(C130), C130, 0) - IF(ISNUMBER(D130), D130, 0))</f>
        <v/>
      </c>
      <c r="F130" s="16">
        <f>IF(OR(NOT(ISNUMBER(D130)), D130=0), "-", (IF(ISNUMBER(C130), C130, 0) - D130)/ABS(D130))</f>
        <v/>
      </c>
      <c r="G130" s="14" t="n"/>
    </row>
    <row r="131">
      <c r="A131" s="14" t="n"/>
      <c r="B131" s="14" t="inlineStr">
        <is>
          <t>Secured, considered good</t>
        </is>
      </c>
      <c r="C131" s="15" t="n">
        <v>0</v>
      </c>
      <c r="D131" s="15" t="n">
        <v>0</v>
      </c>
      <c r="E131" s="15">
        <f>IF(AND(NOT(ISNUMBER(C131)), NOT(ISNUMBER(D131))), "-", IF(ISNUMBER(C131), C131, 0) - IF(ISNUMBER(D131), D131, 0))</f>
        <v/>
      </c>
      <c r="F131" s="16">
        <f>IF(OR(NOT(ISNUMBER(D131)), D131=0), "-", (IF(ISNUMBER(C131), C131, 0) - D131)/ABS(D131))</f>
        <v/>
      </c>
      <c r="G131" s="14" t="n"/>
    </row>
    <row r="132">
      <c r="A132" s="14" t="n"/>
      <c r="B132" s="14" t="inlineStr">
        <is>
          <t>Unsecured, considered good</t>
        </is>
      </c>
      <c r="C132" s="15" t="n">
        <v>0</v>
      </c>
      <c r="D132" s="15" t="n">
        <v>0</v>
      </c>
      <c r="E132" s="15">
        <f>IF(AND(NOT(ISNUMBER(C132)), NOT(ISNUMBER(D132))), "-", IF(ISNUMBER(C132), C132, 0) - IF(ISNUMBER(D132), D132, 0))</f>
        <v/>
      </c>
      <c r="F132" s="16">
        <f>IF(OR(NOT(ISNUMBER(D132)), D132=0), "-", (IF(ISNUMBER(C132), C132, 0) - D132)/ABS(D132))</f>
        <v/>
      </c>
      <c r="G132" s="14" t="n"/>
    </row>
    <row r="133">
      <c r="A133" s="11" t="n"/>
      <c r="B133" s="11" t="inlineStr">
        <is>
          <t>Unsecured, considered good at amortized cost</t>
        </is>
      </c>
      <c r="C133" s="12" t="n">
        <v>0</v>
      </c>
      <c r="D133" s="12" t="n">
        <v>0</v>
      </c>
      <c r="E133" s="12">
        <f>IF(AND(NOT(ISNUMBER(C133)), NOT(ISNUMBER(D133))), "-", IF(ISNUMBER(C133), C133, 0) - IF(ISNUMBER(D133), D133, 0))</f>
        <v/>
      </c>
      <c r="F133" s="13">
        <f>IF(OR(NOT(ISNUMBER(D133)), D133=0), "-", (IF(ISNUMBER(C133), C133, 0) - D133)/ABS(D133))</f>
        <v/>
      </c>
      <c r="G133" s="11" t="n"/>
    </row>
    <row r="134">
      <c r="A134" s="14" t="n"/>
      <c r="B134" s="14" t="inlineStr">
        <is>
          <t>Receivable from group companies (refer note 28)</t>
        </is>
      </c>
      <c r="C134" s="15" t="n">
        <v>709509</v>
      </c>
      <c r="D134" s="15" t="n">
        <v>693309</v>
      </c>
      <c r="E134" s="15">
        <f>IF(AND(NOT(ISNUMBER(C134)), NOT(ISNUMBER(D134))), "-", IF(ISNUMBER(C134), C134, 0) - IF(ISNUMBER(D134), D134, 0))</f>
        <v/>
      </c>
      <c r="F134" s="16">
        <f>IF(OR(NOT(ISNUMBER(D134)), D134=0), "-", (IF(ISNUMBER(C134), C134, 0) - D134)/ABS(D134))</f>
        <v/>
      </c>
      <c r="G134" s="14" t="n"/>
    </row>
    <row r="135">
      <c r="A135" s="14" t="n"/>
      <c r="B135" s="14" t="inlineStr">
        <is>
          <t>Lease deposit (refer note 28)</t>
        </is>
      </c>
      <c r="C135" s="15" t="n">
        <v>2944463</v>
      </c>
      <c r="D135" s="15" t="n">
        <v>0</v>
      </c>
      <c r="E135" s="15">
        <f>IF(AND(NOT(ISNUMBER(C135)), NOT(ISNUMBER(D135))), "-", IF(ISNUMBER(C135), C135, 0) - IF(ISNUMBER(D135), D135, 0))</f>
        <v/>
      </c>
      <c r="F135" s="16">
        <f>IF(OR(NOT(ISNUMBER(D135)), D135=0), "-", (IF(ISNUMBER(C135), C135, 0) - D135)/ABS(D135))</f>
        <v/>
      </c>
      <c r="G135" s="14" t="n"/>
    </row>
    <row r="136">
      <c r="A136" s="14" t="n"/>
      <c r="B136" s="14" t="inlineStr">
        <is>
          <t>Loan to employees</t>
        </is>
      </c>
      <c r="C136" s="15" t="n">
        <v>0</v>
      </c>
      <c r="D136" s="15" t="n">
        <v>216669</v>
      </c>
      <c r="E136" s="15">
        <f>IF(AND(NOT(ISNUMBER(C136)), NOT(ISNUMBER(D136))), "-", IF(ISNUMBER(C136), C136, 0) - IF(ISNUMBER(D136), D136, 0))</f>
        <v/>
      </c>
      <c r="F136" s="16">
        <f>IF(OR(NOT(ISNUMBER(D136)), D136=0), "-", (IF(ISNUMBER(C136), C136, 0) - D136)/ABS(D136))</f>
        <v/>
      </c>
      <c r="G136" s="14" t="n"/>
    </row>
    <row r="137">
      <c r="A137" s="14" t="n"/>
      <c r="B137" s="14" t="inlineStr">
        <is>
          <t>Insurance deposits</t>
        </is>
      </c>
      <c r="C137" s="15" t="n">
        <v>0</v>
      </c>
      <c r="D137" s="15" t="n">
        <v>0</v>
      </c>
      <c r="E137" s="15">
        <f>IF(AND(NOT(ISNUMBER(C137)), NOT(ISNUMBER(D137))), "-", IF(ISNUMBER(C137), C137, 0) - IF(ISNUMBER(D137), D137, 0))</f>
        <v/>
      </c>
      <c r="F137" s="16">
        <f>IF(OR(NOT(ISNUMBER(D137)), D137=0), "-", (IF(ISNUMBER(C137), C137, 0) - D137)/ABS(D137))</f>
        <v/>
      </c>
      <c r="G137" s="14" t="n"/>
    </row>
    <row r="138">
      <c r="A138" s="14" t="n"/>
      <c r="B138" s="14" t="inlineStr">
        <is>
          <t>Advance to employees</t>
        </is>
      </c>
      <c r="C138" s="15" t="n">
        <v>0</v>
      </c>
      <c r="D138" s="15" t="n">
        <v>0</v>
      </c>
      <c r="E138" s="15">
        <f>IF(AND(NOT(ISNUMBER(C138)), NOT(ISNUMBER(D138))), "-", IF(ISNUMBER(C138), C138, 0) - IF(ISNUMBER(D138), D138, 0))</f>
        <v/>
      </c>
      <c r="F138" s="16">
        <f>IF(OR(NOT(ISNUMBER(D138)), D138=0), "-", (IF(ISNUMBER(C138), C138, 0) - D138)/ABS(D138))</f>
        <v/>
      </c>
      <c r="G138" s="14" t="n"/>
    </row>
    <row r="139">
      <c r="A139" s="14" t="n"/>
      <c r="B139" s="14" t="inlineStr">
        <is>
          <t>Unbilled revenue</t>
        </is>
      </c>
      <c r="C139" s="15" t="n">
        <v>0</v>
      </c>
      <c r="D139" s="15" t="n">
        <v>0</v>
      </c>
      <c r="E139" s="15">
        <f>IF(AND(NOT(ISNUMBER(C139)), NOT(ISNUMBER(D139))), "-", IF(ISNUMBER(C139), C139, 0) - IF(ISNUMBER(D139), D139, 0))</f>
        <v/>
      </c>
      <c r="F139" s="16">
        <f>IF(OR(NOT(ISNUMBER(D139)), D139=0), "-", (IF(ISNUMBER(C139), C139, 0) - D139)/ABS(D139))</f>
        <v/>
      </c>
      <c r="G139" s="14" t="n"/>
    </row>
    <row r="140">
      <c r="A140" s="14" t="n"/>
      <c r="B140" s="14" t="inlineStr">
        <is>
          <t>Interest accrued but not due on deposits</t>
        </is>
      </c>
      <c r="C140" s="15" t="n">
        <v>1868359</v>
      </c>
      <c r="D140" s="15" t="n">
        <v>1580011</v>
      </c>
      <c r="E140" s="15">
        <f>IF(AND(NOT(ISNUMBER(C140)), NOT(ISNUMBER(D140))), "-", IF(ISNUMBER(C140), C140, 0) - IF(ISNUMBER(D140), D140, 0))</f>
        <v/>
      </c>
      <c r="F140" s="16">
        <f>IF(OR(NOT(ISNUMBER(D140)), D140=0), "-", (IF(ISNUMBER(C140), C140, 0) - D140)/ABS(D140))</f>
        <v/>
      </c>
      <c r="G140" s="14" t="n"/>
    </row>
    <row r="141">
      <c r="A141" s="14" t="n"/>
      <c r="B141" s="14" t="inlineStr">
        <is>
          <t>Others</t>
        </is>
      </c>
      <c r="C141" s="15" t="n">
        <v>4160</v>
      </c>
      <c r="D141" s="15" t="n">
        <v>188939</v>
      </c>
      <c r="E141" s="15">
        <f>IF(AND(NOT(ISNUMBER(C141)), NOT(ISNUMBER(D141))), "-", IF(ISNUMBER(C141), C141, 0) - IF(ISNUMBER(D141), D141, 0))</f>
        <v/>
      </c>
      <c r="F141" s="16">
        <f>IF(OR(NOT(ISNUMBER(D141)), D141=0), "-", (IF(ISNUMBER(C141), C141, 0) - D141)/ABS(D141))</f>
        <v/>
      </c>
      <c r="G141" s="14" t="n"/>
    </row>
    <row r="142">
      <c r="A142" s="11" t="n"/>
      <c r="B142" s="11" t="inlineStr">
        <is>
          <t>Total</t>
        </is>
      </c>
      <c r="C142" s="12" t="n">
        <v>5526491</v>
      </c>
      <c r="D142" s="12" t="n">
        <v>2678928</v>
      </c>
      <c r="E142" s="12">
        <f>IF(AND(NOT(ISNUMBER(C142)), NOT(ISNUMBER(D142))), "-", IF(ISNUMBER(C142), C142, 0) - IF(ISNUMBER(D142), D142, 0))</f>
        <v/>
      </c>
      <c r="F142" s="13">
        <f>IF(OR(NOT(ISNUMBER(D142)), D142=0), "-", (IF(ISNUMBER(C142), C142, 0) - D142)/ABS(D142))</f>
        <v/>
      </c>
      <c r="G142" s="11" t="n"/>
    </row>
    <row r="143">
      <c r="A143" s="14" t="n"/>
      <c r="B143" s="14" t="inlineStr">
        <is>
          <t>Due from companies in which Director/s of the Company is/are director/s</t>
        </is>
      </c>
      <c r="C143" s="15" t="n">
        <v>0</v>
      </c>
      <c r="D143" s="15" t="n">
        <v>0</v>
      </c>
      <c r="E143" s="15">
        <f>IF(AND(NOT(ISNUMBER(C143)), NOT(ISNUMBER(D143))), "-", IF(ISNUMBER(C143), C143, 0) - IF(ISNUMBER(D143), D143, 0))</f>
        <v/>
      </c>
      <c r="F143" s="16">
        <f>IF(OR(NOT(ISNUMBER(D143)), D143=0), "-", (IF(ISNUMBER(C143), C143, 0) - D143)/ABS(D143))</f>
        <v/>
      </c>
      <c r="G143" s="14" t="n"/>
    </row>
    <row r="144">
      <c r="A144" s="14" t="n"/>
      <c r="B144" s="14" t="inlineStr">
        <is>
          <t>, India</t>
        </is>
      </c>
      <c r="C144" s="15" t="n">
        <v>4471250</v>
      </c>
      <c r="D144" s="15" t="n">
        <v>10107074</v>
      </c>
      <c r="E144" s="15">
        <f>IF(AND(NOT(ISNUMBER(C144)), NOT(ISNUMBER(D144))), "-", IF(ISNUMBER(C144), C144, 0) - IF(ISNUMBER(D144), D144, 0))</f>
        <v/>
      </c>
      <c r="F144" s="16">
        <f>IF(OR(NOT(ISNUMBER(D144)), D144=0), "-", (IF(ISNUMBER(C144), C144, 0) - D144)/ABS(D144))</f>
        <v/>
      </c>
      <c r="G144" s="14" t="n"/>
    </row>
    <row r="145">
      <c r="A145" s="14" t="n"/>
      <c r="B145" s="14" t="inlineStr">
        <is>
          <t>Syntel Consulting Inc, USA</t>
        </is>
      </c>
      <c r="C145" s="15" t="n">
        <v>11416</v>
      </c>
      <c r="D145" s="15" t="n">
        <v>335927</v>
      </c>
      <c r="E145" s="15">
        <f>IF(AND(NOT(ISNUMBER(C145)), NOT(ISNUMBER(D145))), "-", IF(ISNUMBER(C145), C145, 0) - IF(ISNUMBER(D145), D145, 0))</f>
        <v/>
      </c>
      <c r="F145" s="16">
        <f>IF(OR(NOT(ISNUMBER(D145)), D145=0), "-", (IF(ISNUMBER(C145), C145, 0) - D145)/ABS(D145))</f>
        <v/>
      </c>
      <c r="G145" s="14" t="n"/>
    </row>
    <row r="146">
      <c r="A146" s="14" t="n"/>
      <c r="B146" s="14" t="inlineStr">
        <is>
          <t>State Street Syntel Services Private Limited, India</t>
        </is>
      </c>
      <c r="C146" s="15" t="n">
        <v>78609</v>
      </c>
      <c r="D146" s="15" t="n">
        <v>301734</v>
      </c>
      <c r="E146" s="15">
        <f>IF(AND(NOT(ISNUMBER(C146)), NOT(ISNUMBER(D146))), "-", IF(ISNUMBER(C146), C146, 0) - IF(ISNUMBER(D146), D146, 0))</f>
        <v/>
      </c>
      <c r="F146" s="16">
        <f>IF(OR(NOT(ISNUMBER(D146)), D146=0), "-", (IF(ISNUMBER(C146), C146, 0) - D146)/ABS(D146))</f>
        <v/>
      </c>
      <c r="G146" s="14" t="n"/>
    </row>
    <row r="147">
      <c r="A147" s="14" t="n"/>
      <c r="B147" s="14" t="inlineStr"/>
      <c r="C147" s="15" t="n">
        <v>4561275</v>
      </c>
      <c r="D147" s="15" t="n">
        <v>10744735</v>
      </c>
      <c r="E147" s="15">
        <f>IF(AND(NOT(ISNUMBER(C147)), NOT(ISNUMBER(D147))), "-", IF(ISNUMBER(C147), C147, 0) - IF(ISNUMBER(D147), D147, 0))</f>
        <v/>
      </c>
      <c r="F147" s="16">
        <f>IF(OR(NOT(ISNUMBER(D147)), D147=0), "-", (IF(ISNUMBER(C147), C147, 0) - D147)/ABS(D147))</f>
        <v/>
      </c>
      <c r="G147" s="14" t="n"/>
    </row>
    <row r="148">
      <c r="A148" s="14" t="n"/>
      <c r="B148" s="14" t="inlineStr">
        <is>
          <t>(#) Zero represents amount less than ₹ one lakh</t>
        </is>
      </c>
      <c r="C148" s="15" t="n">
        <v>0</v>
      </c>
      <c r="D148" s="15" t="n">
        <v>0</v>
      </c>
      <c r="E148" s="15">
        <f>IF(AND(NOT(ISNUMBER(C148)), NOT(ISNUMBER(D148))), "-", IF(ISNUMBER(C148), C148, 0) - IF(ISNUMBER(D148), D148, 0))</f>
        <v/>
      </c>
      <c r="F148" s="16">
        <f>IF(OR(NOT(ISNUMBER(D148)), D148=0), "-", (IF(ISNUMBER(C148), C148, 0) - D148)/ABS(D148))</f>
        <v/>
      </c>
      <c r="G148" s="14" t="n"/>
    </row>
    <row r="151">
      <c r="B151" s="6" t="inlineStr">
        <is>
          <t>Note 9: Other current assets</t>
        </is>
      </c>
      <c r="C151" s="8" t="inlineStr">
        <is>
          <t>a</t>
        </is>
      </c>
      <c r="D151" s="8" t="inlineStr">
        <is>
          <t>b</t>
        </is>
      </c>
      <c r="E151" s="8" t="inlineStr">
        <is>
          <t>e</t>
        </is>
      </c>
    </row>
    <row r="152">
      <c r="A152" s="10" t="inlineStr"/>
      <c r="B152" s="10" t="inlineStr">
        <is>
          <t>Particulars</t>
        </is>
      </c>
      <c r="C152" s="10" t="inlineStr">
        <is>
          <t>As at 31st March 2025</t>
        </is>
      </c>
      <c r="D152" s="10" t="inlineStr">
        <is>
          <t>As at 31st March 2024</t>
        </is>
      </c>
      <c r="E152" s="10" t="inlineStr">
        <is>
          <t>Variance</t>
        </is>
      </c>
      <c r="F152" s="10" t="inlineStr">
        <is>
          <t>Variance %</t>
        </is>
      </c>
      <c r="G152" s="10" t="inlineStr">
        <is>
          <t>Remarks</t>
        </is>
      </c>
    </row>
    <row r="153">
      <c r="A153" s="11" t="n"/>
      <c r="B153" s="11" t="inlineStr">
        <is>
          <t>Unsecured, considered good</t>
        </is>
      </c>
      <c r="C153" s="12" t="n">
        <v>0</v>
      </c>
      <c r="D153" s="12" t="n">
        <v>0</v>
      </c>
      <c r="E153" s="12">
        <f>IF(AND(NOT(ISNUMBER(C153)), NOT(ISNUMBER(D153))), "-", IF(ISNUMBER(C153), C153, 0) - IF(ISNUMBER(D153), D153, 0))</f>
        <v/>
      </c>
      <c r="F153" s="13">
        <f>IF(OR(NOT(ISNUMBER(D153)), D153=0), "-", (IF(ISNUMBER(C153), C153, 0) - D153)/ABS(D153))</f>
        <v/>
      </c>
      <c r="G153" s="11" t="n"/>
    </row>
    <row r="154">
      <c r="A154" s="14" t="n"/>
      <c r="B154" s="14" t="inlineStr">
        <is>
          <t>Advance to vendors</t>
        </is>
      </c>
      <c r="C154" s="15" t="n">
        <v>0</v>
      </c>
      <c r="D154" s="15" t="n">
        <v>0</v>
      </c>
      <c r="E154" s="15">
        <f>IF(AND(NOT(ISNUMBER(C154)), NOT(ISNUMBER(D154))), "-", IF(ISNUMBER(C154), C154, 0) - IF(ISNUMBER(D154), D154, 0))</f>
        <v/>
      </c>
      <c r="F154" s="16">
        <f>IF(OR(NOT(ISNUMBER(D154)), D154=0), "-", (IF(ISNUMBER(C154), C154, 0) - D154)/ABS(D154))</f>
        <v/>
      </c>
      <c r="G154" s="14" t="n"/>
    </row>
    <row r="155">
      <c r="A155" s="14" t="n"/>
      <c r="B155" s="14" t="inlineStr">
        <is>
          <t>Prepaid expenses (#)</t>
        </is>
      </c>
      <c r="C155" s="15" t="n">
        <v>416592</v>
      </c>
      <c r="D155" s="15" t="n">
        <v>265115</v>
      </c>
      <c r="E155" s="15">
        <f>IF(AND(NOT(ISNUMBER(C155)), NOT(ISNUMBER(D155))), "-", IF(ISNUMBER(C155), C155, 0) - IF(ISNUMBER(D155), D155, 0))</f>
        <v/>
      </c>
      <c r="F155" s="16">
        <f>IF(OR(NOT(ISNUMBER(D155)), D155=0), "-", (IF(ISNUMBER(C155), C155, 0) - D155)/ABS(D155))</f>
        <v/>
      </c>
      <c r="G155" s="14" t="n"/>
    </row>
    <row r="156">
      <c r="A156" s="14" t="n"/>
      <c r="B156" s="14" t="inlineStr">
        <is>
          <t>Fair value changes related to intercompany lease deposit</t>
        </is>
      </c>
      <c r="C156" s="15" t="n">
        <v>1</v>
      </c>
      <c r="D156" s="15" t="n">
        <v>1</v>
      </c>
      <c r="E156" s="15">
        <f>IF(AND(NOT(ISNUMBER(C156)), NOT(ISNUMBER(D156))), "-", IF(ISNUMBER(C156), C156, 0) - IF(ISNUMBER(D156), D156, 0))</f>
        <v/>
      </c>
      <c r="F156" s="16">
        <f>IF(OR(NOT(ISNUMBER(D156)), D156=0), "-", (IF(ISNUMBER(C156), C156, 0) - D156)/ABS(D156))</f>
        <v/>
      </c>
      <c r="G156" s="14" t="n"/>
    </row>
    <row r="157">
      <c r="A157" s="14" t="n"/>
      <c r="B157" s="14" t="inlineStr">
        <is>
          <t>Balances with government authorities</t>
        </is>
      </c>
      <c r="C157" s="15" t="n">
        <v>90314</v>
      </c>
      <c r="D157" s="15" t="n">
        <v>80294</v>
      </c>
      <c r="E157" s="15">
        <f>IF(AND(NOT(ISNUMBER(C157)), NOT(ISNUMBER(D157))), "-", IF(ISNUMBER(C157), C157, 0) - IF(ISNUMBER(D157), D157, 0))</f>
        <v/>
      </c>
      <c r="F157" s="16">
        <f>IF(OR(NOT(ISNUMBER(D157)), D157=0), "-", (IF(ISNUMBER(C157), C157, 0) - D157)/ABS(D157))</f>
        <v/>
      </c>
      <c r="G157" s="14" t="n"/>
    </row>
    <row r="158">
      <c r="A158" s="14" t="n"/>
      <c r="B158" s="14" t="inlineStr">
        <is>
          <t>Early payment discount</t>
        </is>
      </c>
      <c r="C158" s="15" t="n">
        <v>0</v>
      </c>
      <c r="D158" s="15" t="n">
        <v>0</v>
      </c>
      <c r="E158" s="15">
        <f>IF(AND(NOT(ISNUMBER(C158)), NOT(ISNUMBER(D158))), "-", IF(ISNUMBER(C158), C158, 0) - IF(ISNUMBER(D158), D158, 0))</f>
        <v/>
      </c>
      <c r="F158" s="16">
        <f>IF(OR(NOT(ISNUMBER(D158)), D158=0), "-", (IF(ISNUMBER(C158), C158, 0) - D158)/ABS(D158))</f>
        <v/>
      </c>
      <c r="G158" s="14" t="n"/>
    </row>
    <row r="159">
      <c r="A159" s="14" t="n"/>
      <c r="B159" s="14" t="inlineStr">
        <is>
          <t>Other advances</t>
        </is>
      </c>
      <c r="C159" s="15" t="n">
        <v>0</v>
      </c>
      <c r="D159" s="15" t="n">
        <v>0</v>
      </c>
      <c r="E159" s="15">
        <f>IF(AND(NOT(ISNUMBER(C159)), NOT(ISNUMBER(D159))), "-", IF(ISNUMBER(C159), C159, 0) - IF(ISNUMBER(D159), D159, 0))</f>
        <v/>
      </c>
      <c r="F159" s="16">
        <f>IF(OR(NOT(ISNUMBER(D159)), D159=0), "-", (IF(ISNUMBER(C159), C159, 0) - D159)/ABS(D159))</f>
        <v/>
      </c>
      <c r="G159" s="14" t="n"/>
    </row>
    <row r="160">
      <c r="A160" s="14" t="n"/>
      <c r="B160" s="14" t="inlineStr">
        <is>
          <t>Fair value of intercompany lease deposit</t>
        </is>
      </c>
      <c r="C160" s="15" t="n">
        <v>0</v>
      </c>
      <c r="D160" s="15" t="n">
        <v>0</v>
      </c>
      <c r="E160" s="15">
        <f>IF(AND(NOT(ISNUMBER(C160)), NOT(ISNUMBER(D160))), "-", IF(ISNUMBER(C160), C160, 0) - IF(ISNUMBER(D160), D160, 0))</f>
        <v/>
      </c>
      <c r="F160" s="16">
        <f>IF(OR(NOT(ISNUMBER(D160)), D160=0), "-", (IF(ISNUMBER(C160), C160, 0) - D160)/ABS(D160))</f>
        <v/>
      </c>
      <c r="G160" s="14" t="n"/>
    </row>
    <row r="161">
      <c r="A161" s="11" t="n"/>
      <c r="B161" s="11" t="inlineStr">
        <is>
          <t>Unsecured, considered doubtful</t>
        </is>
      </c>
      <c r="C161" s="12" t="n">
        <v>0</v>
      </c>
      <c r="D161" s="12" t="n">
        <v>0</v>
      </c>
      <c r="E161" s="12">
        <f>IF(AND(NOT(ISNUMBER(C161)), NOT(ISNUMBER(D161))), "-", IF(ISNUMBER(C161), C161, 0) - IF(ISNUMBER(D161), D161, 0))</f>
        <v/>
      </c>
      <c r="F161" s="13">
        <f>IF(OR(NOT(ISNUMBER(D161)), D161=0), "-", (IF(ISNUMBER(C161), C161, 0) - D161)/ABS(D161))</f>
        <v/>
      </c>
      <c r="G161" s="11" t="n"/>
    </row>
    <row r="162">
      <c r="A162" s="14" t="n"/>
      <c r="B162" s="14" t="inlineStr">
        <is>
          <t>Advance to employees</t>
        </is>
      </c>
      <c r="C162" s="15" t="n">
        <v>0</v>
      </c>
      <c r="D162" s="15" t="n">
        <v>0</v>
      </c>
      <c r="E162" s="15">
        <f>IF(AND(NOT(ISNUMBER(C162)), NOT(ISNUMBER(D162))), "-", IF(ISNUMBER(C162), C162, 0) - IF(ISNUMBER(D162), D162, 0))</f>
        <v/>
      </c>
      <c r="F162" s="16">
        <f>IF(OR(NOT(ISNUMBER(D162)), D162=0), "-", (IF(ISNUMBER(C162), C162, 0) - D162)/ABS(D162))</f>
        <v/>
      </c>
      <c r="G162" s="14" t="n"/>
    </row>
    <row r="163">
      <c r="A163" s="14" t="n"/>
      <c r="B163" s="14" t="inlineStr">
        <is>
          <t>Balances with government authorities</t>
        </is>
      </c>
      <c r="C163" s="15" t="n">
        <v>1539511</v>
      </c>
      <c r="D163" s="15" t="n">
        <v>1539511</v>
      </c>
      <c r="E163" s="15">
        <f>IF(AND(NOT(ISNUMBER(C163)), NOT(ISNUMBER(D163))), "-", IF(ISNUMBER(C163), C163, 0) - IF(ISNUMBER(D163), D163, 0))</f>
        <v/>
      </c>
      <c r="F163" s="16">
        <f>IF(OR(NOT(ISNUMBER(D163)), D163=0), "-", (IF(ISNUMBER(C163), C163, 0) - D163)/ABS(D163))</f>
        <v/>
      </c>
      <c r="G163" s="14" t="n"/>
    </row>
    <row r="164">
      <c r="A164" s="14" t="n"/>
      <c r="B164" s="14" t="inlineStr"/>
      <c r="C164" s="15" t="n">
        <v>2046418</v>
      </c>
      <c r="D164" s="15" t="n">
        <v>1884921</v>
      </c>
      <c r="E164" s="15">
        <f>IF(AND(NOT(ISNUMBER(C164)), NOT(ISNUMBER(D164))), "-", IF(ISNUMBER(C164), C164, 0) - IF(ISNUMBER(D164), D164, 0))</f>
        <v/>
      </c>
      <c r="F164" s="16">
        <f>IF(OR(NOT(ISNUMBER(D164)), D164=0), "-", (IF(ISNUMBER(C164), C164, 0) - D164)/ABS(D164))</f>
        <v/>
      </c>
      <c r="G164" s="14" t="n"/>
    </row>
    <row r="165">
      <c r="A165" s="14" t="n"/>
      <c r="B165" s="14" t="inlineStr">
        <is>
          <t>Less : Provision for doubtful advances</t>
        </is>
      </c>
      <c r="C165" s="15" t="n">
        <v>-1539511</v>
      </c>
      <c r="D165" s="15" t="n">
        <v>-1539511</v>
      </c>
      <c r="E165" s="15">
        <f>IF(AND(NOT(ISNUMBER(C165)), NOT(ISNUMBER(D165))), "-", IF(ISNUMBER(C165), C165, 0) - IF(ISNUMBER(D165), D165, 0))</f>
        <v/>
      </c>
      <c r="F165" s="16">
        <f>IF(OR(NOT(ISNUMBER(D165)), D165=0), "-", (IF(ISNUMBER(C165), C165, 0) - D165)/ABS(D165))</f>
        <v/>
      </c>
      <c r="G165" s="14" t="n"/>
    </row>
    <row r="166">
      <c r="A166" s="11" t="n"/>
      <c r="B166" s="11" t="inlineStr">
        <is>
          <t>Total</t>
        </is>
      </c>
      <c r="C166" s="12" t="n">
        <v>506907</v>
      </c>
      <c r="D166" s="12" t="n">
        <v>345410</v>
      </c>
      <c r="E166" s="12">
        <f>IF(AND(NOT(ISNUMBER(C166)), NOT(ISNUMBER(D166))), "-", IF(ISNUMBER(C166), C166, 0) - IF(ISNUMBER(D166), D166, 0))</f>
        <v/>
      </c>
      <c r="F166" s="13">
        <f>IF(OR(NOT(ISNUMBER(D166)), D166=0), "-", (IF(ISNUMBER(C166), C166, 0) - D166)/ABS(D166))</f>
        <v/>
      </c>
      <c r="G166" s="11" t="n"/>
    </row>
    <row r="167">
      <c r="A167" s="14" t="n"/>
      <c r="B167" s="14" t="inlineStr">
        <is>
          <t>(#) Zero represents amount less than ₹ 0.5 lakhs</t>
        </is>
      </c>
      <c r="C167" s="15" t="n">
        <v>0</v>
      </c>
      <c r="D167" s="15" t="n">
        <v>0</v>
      </c>
      <c r="E167" s="15">
        <f>IF(AND(NOT(ISNUMBER(C167)), NOT(ISNUMBER(D167))), "-", IF(ISNUMBER(C167), C167, 0) - IF(ISNUMBER(D167), D167, 0))</f>
        <v/>
      </c>
      <c r="F167" s="16">
        <f>IF(OR(NOT(ISNUMBER(D167)), D167=0), "-", (IF(ISNUMBER(C167), C167, 0) - D167)/ABS(D167))</f>
        <v/>
      </c>
      <c r="G167" s="14"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30"/>
  <sheetViews>
    <sheetView workbookViewId="0">
      <selection activeCell="A1" sqref="A1"/>
    </sheetView>
  </sheetViews>
  <sheetFormatPr baseColWidth="8" defaultRowHeight="15"/>
  <cols>
    <col width="5" customWidth="1" min="1" max="1"/>
    <col width="40" customWidth="1" min="2" max="2"/>
    <col width="16" customWidth="1" min="3" max="3"/>
    <col width="16" customWidth="1" min="4" max="4"/>
    <col width="16" customWidth="1" min="5" max="5"/>
    <col width="12" customWidth="1" min="6" max="6"/>
    <col width="45" customWidth="1" min="7" max="7"/>
    <col width="5" customWidth="1" min="8" max="8"/>
    <col width="50" customWidth="1" min="9" max="9"/>
  </cols>
  <sheetData>
    <row r="1">
      <c r="A1" s="6" t="inlineStr">
        <is>
          <t>Firm:</t>
        </is>
      </c>
      <c r="C1" s="7" t="inlineStr">
        <is>
          <t>W</t>
        </is>
      </c>
      <c r="H1" s="8" t="inlineStr">
        <is>
          <t>Legend:</t>
        </is>
      </c>
    </row>
    <row r="2">
      <c r="A2" s="6" t="inlineStr">
        <is>
          <t>Client:</t>
        </is>
      </c>
      <c r="C2" s="7" t="inlineStr">
        <is>
          <t>SSIPL</t>
        </is>
      </c>
      <c r="H2" s="8" t="inlineStr">
        <is>
          <t>a</t>
        </is>
      </c>
      <c r="I2" s="7" t="inlineStr">
        <is>
          <t>Traced to Financials for the year ended 31 March 2024</t>
        </is>
      </c>
    </row>
    <row r="3">
      <c r="A3" s="6" t="inlineStr">
        <is>
          <t>Analysis of Notes to Accounts</t>
        </is>
      </c>
      <c r="H3" s="8" t="inlineStr">
        <is>
          <t>b</t>
        </is>
      </c>
      <c r="I3" s="7" t="inlineStr">
        <is>
          <t>Traced to Financials for the year ended 31 March 2025</t>
        </is>
      </c>
    </row>
    <row r="4">
      <c r="H4" s="8" t="inlineStr">
        <is>
          <t>j</t>
        </is>
      </c>
      <c r="I4" s="7" t="inlineStr">
        <is>
          <t>Linked</t>
        </is>
      </c>
    </row>
    <row r="5">
      <c r="H5" s="8" t="inlineStr">
        <is>
          <t>e</t>
        </is>
      </c>
      <c r="I5" s="7" t="inlineStr">
        <is>
          <t>Recomputed</t>
        </is>
      </c>
    </row>
    <row r="6">
      <c r="H6" s="8" t="inlineStr">
        <is>
          <t>h</t>
        </is>
      </c>
      <c r="I6" s="7" t="inlineStr">
        <is>
          <t>Immaterial. Hence ignored</t>
        </is>
      </c>
    </row>
    <row r="10">
      <c r="B10" s="6" t="inlineStr">
        <is>
          <t>Note 10: Share capital</t>
        </is>
      </c>
      <c r="C10" s="8" t="inlineStr">
        <is>
          <t>a</t>
        </is>
      </c>
      <c r="D10" s="8" t="inlineStr">
        <is>
          <t>b</t>
        </is>
      </c>
      <c r="E10" s="8" t="inlineStr">
        <is>
          <t>e</t>
        </is>
      </c>
    </row>
    <row r="11">
      <c r="A11" s="10" t="inlineStr"/>
      <c r="B11" s="10" t="inlineStr">
        <is>
          <t>Particulars</t>
        </is>
      </c>
      <c r="C11" s="10" t="inlineStr">
        <is>
          <t>As at 31st March 2025</t>
        </is>
      </c>
      <c r="D11" s="10" t="inlineStr">
        <is>
          <t>As at 31st March 2024</t>
        </is>
      </c>
      <c r="E11" s="10" t="inlineStr">
        <is>
          <t>Variance</t>
        </is>
      </c>
      <c r="F11" s="10" t="inlineStr">
        <is>
          <t>Variance %</t>
        </is>
      </c>
      <c r="G11" s="10" t="inlineStr">
        <is>
          <t>Remarks</t>
        </is>
      </c>
    </row>
    <row r="12">
      <c r="A12" s="11" t="n"/>
      <c r="B12" s="11" t="inlineStr">
        <is>
          <t>Authorised:</t>
        </is>
      </c>
      <c r="C12" s="12" t="n">
        <v>0</v>
      </c>
      <c r="D12" s="12" t="n">
        <v>0</v>
      </c>
      <c r="E12" s="12">
        <f>IF(AND(NOT(ISNUMBER(C12)), NOT(ISNUMBER(D12))), "-", IF(ISNUMBER(C12), C12, 0) - IF(ISNUMBER(D12), D12, 0))</f>
        <v/>
      </c>
      <c r="F12" s="13">
        <f>IF(OR(NOT(ISNUMBER(D12)), D12=0), "-", (IF(ISNUMBER(C12), C12, 0) - D12)/ABS(D12))</f>
        <v/>
      </c>
      <c r="G12" s="11" t="n"/>
    </row>
    <row r="13">
      <c r="A13" s="14" t="n"/>
      <c r="B13" s="14" t="inlineStr">
        <is>
          <t>10,000 Equity Shares of ₹ 10 each</t>
        </is>
      </c>
      <c r="C13" s="15" t="n">
        <v>100000</v>
      </c>
      <c r="D13" s="15" t="n">
        <v>100000</v>
      </c>
      <c r="E13" s="15">
        <f>IF(AND(NOT(ISNUMBER(C13)), NOT(ISNUMBER(D13))), "-", IF(ISNUMBER(C13), C13, 0) - IF(ISNUMBER(D13), D13, 0))</f>
        <v/>
      </c>
      <c r="F13" s="16">
        <f>IF(OR(NOT(ISNUMBER(D13)), D13=0), "-", (IF(ISNUMBER(C13), C13, 0) - D13)/ABS(D13))</f>
        <v/>
      </c>
      <c r="G13" s="14" t="n"/>
    </row>
    <row r="14">
      <c r="A14" s="14" t="n"/>
      <c r="B14" s="14" t="inlineStr">
        <is>
          <t>40,000 Cumulative Redeemable Preference Shares of ₹ 10 each</t>
        </is>
      </c>
      <c r="C14" s="15" t="n">
        <v>400000</v>
      </c>
      <c r="D14" s="15" t="n">
        <v>400000</v>
      </c>
      <c r="E14" s="15">
        <f>IF(AND(NOT(ISNUMBER(C14)), NOT(ISNUMBER(D14))), "-", IF(ISNUMBER(C14), C14, 0) - IF(ISNUMBER(D14), D14, 0))</f>
        <v/>
      </c>
      <c r="F14" s="16">
        <f>IF(OR(NOT(ISNUMBER(D14)), D14=0), "-", (IF(ISNUMBER(C14), C14, 0) - D14)/ABS(D14))</f>
        <v/>
      </c>
      <c r="G14" s="14" t="n"/>
    </row>
    <row r="15">
      <c r="A15" s="11" t="n"/>
      <c r="B15" s="11" t="inlineStr">
        <is>
          <t>Issued, subscribed and fully paid up:</t>
        </is>
      </c>
      <c r="C15" s="12" t="n">
        <v>0</v>
      </c>
      <c r="D15" s="12" t="n">
        <v>0</v>
      </c>
      <c r="E15" s="12">
        <f>IF(AND(NOT(ISNUMBER(C15)), NOT(ISNUMBER(D15))), "-", IF(ISNUMBER(C15), C15, 0) - IF(ISNUMBER(D15), D15, 0))</f>
        <v/>
      </c>
      <c r="F15" s="13">
        <f>IF(OR(NOT(ISNUMBER(D15)), D15=0), "-", (IF(ISNUMBER(C15), C15, 0) - D15)/ABS(D15))</f>
        <v/>
      </c>
      <c r="G15" s="11" t="n"/>
    </row>
    <row r="16">
      <c r="A16" s="14" t="n"/>
      <c r="B16" s="14" t="inlineStr">
        <is>
          <t>10,000 Equity Shares of  ₹ 10 each fully paid up</t>
        </is>
      </c>
      <c r="C16" s="15" t="n">
        <v>100000</v>
      </c>
      <c r="D16" s="15" t="n">
        <v>100000</v>
      </c>
      <c r="E16" s="15">
        <f>IF(AND(NOT(ISNUMBER(C16)), NOT(ISNUMBER(D16))), "-", IF(ISNUMBER(C16), C16, 0) - IF(ISNUMBER(D16), D16, 0))</f>
        <v/>
      </c>
      <c r="F16" s="16">
        <f>IF(OR(NOT(ISNUMBER(D16)), D16=0), "-", (IF(ISNUMBER(C16), C16, 0) - D16)/ABS(D16))</f>
        <v/>
      </c>
      <c r="G16" s="14" t="n"/>
    </row>
    <row r="17">
      <c r="A17" s="11" t="n"/>
      <c r="B17" s="11" t="inlineStr">
        <is>
          <t>Total</t>
        </is>
      </c>
      <c r="C17" s="12" t="n">
        <v>100000</v>
      </c>
      <c r="D17" s="12" t="n">
        <v>100000</v>
      </c>
      <c r="E17" s="12">
        <f>IF(AND(NOT(ISNUMBER(C17)), NOT(ISNUMBER(D17))), "-", IF(ISNUMBER(C17), C17, 0) - IF(ISNUMBER(D17), D17, 0))</f>
        <v/>
      </c>
      <c r="F17" s="13">
        <f>IF(OR(NOT(ISNUMBER(D17)), D17=0), "-", (IF(ISNUMBER(C17), C17, 0) - D17)/ABS(D17))</f>
        <v/>
      </c>
      <c r="G17" s="11" t="n"/>
    </row>
    <row r="18">
      <c r="A18" s="14" t="n"/>
      <c r="B18" s="14" t="inlineStr">
        <is>
          <t>11,200 3% Cumulative redeemable preference shares of ₹ 10 each (total face value of ₹ 112,000) are classified as financial liability (see Note 11).</t>
        </is>
      </c>
      <c r="C18" s="15" t="n">
        <v>0</v>
      </c>
      <c r="D18" s="15" t="n">
        <v>0</v>
      </c>
      <c r="E18" s="15">
        <f>IF(AND(NOT(ISNUMBER(C18)), NOT(ISNUMBER(D18))), "-", IF(ISNUMBER(C18), C18, 0) - IF(ISNUMBER(D18), D18, 0))</f>
        <v/>
      </c>
      <c r="F18" s="16">
        <f>IF(OR(NOT(ISNUMBER(D18)), D18=0), "-", (IF(ISNUMBER(C18), C18, 0) - D18)/ABS(D18))</f>
        <v/>
      </c>
      <c r="G18" s="14" t="n"/>
    </row>
    <row r="19">
      <c r="A19" s="11" t="n"/>
      <c r="B19" s="11" t="inlineStr">
        <is>
          <t>a.</t>
        </is>
      </c>
      <c r="C19" s="12" t="n">
        <v>0</v>
      </c>
      <c r="D19" s="12" t="n">
        <v>0</v>
      </c>
      <c r="E19" s="12">
        <f>IF(AND(NOT(ISNUMBER(C19)), NOT(ISNUMBER(D19))), "-", IF(ISNUMBER(C19), C19, 0) - IF(ISNUMBER(D19), D19, 0))</f>
        <v/>
      </c>
      <c r="F19" s="13">
        <f>IF(OR(NOT(ISNUMBER(D19)), D19=0), "-", (IF(ISNUMBER(C19), C19, 0) - D19)/ABS(D19))</f>
        <v/>
      </c>
      <c r="G19" s="11" t="n"/>
    </row>
    <row r="20">
      <c r="A20" s="14" t="n"/>
      <c r="B20" s="14" t="inlineStr"/>
      <c r="C20" s="15" t="n">
        <v>10000</v>
      </c>
      <c r="D20" s="15" t="n">
        <v>100000</v>
      </c>
      <c r="E20" s="15">
        <f>IF(AND(NOT(ISNUMBER(C20)), NOT(ISNUMBER(D20))), "-", IF(ISNUMBER(C20), C20, 0) - IF(ISNUMBER(D20), D20, 0))</f>
        <v/>
      </c>
      <c r="F20" s="16">
        <f>IF(OR(NOT(ISNUMBER(D20)), D20=0), "-", (IF(ISNUMBER(C20), C20, 0) - D20)/ABS(D20))</f>
        <v/>
      </c>
      <c r="G20" s="14" t="n"/>
    </row>
    <row r="21">
      <c r="A21" s="14" t="n"/>
      <c r="B21" s="14" t="inlineStr"/>
      <c r="C21" s="15" t="n">
        <v>0</v>
      </c>
      <c r="D21" s="15" t="n">
        <v>0</v>
      </c>
      <c r="E21" s="15">
        <f>IF(AND(NOT(ISNUMBER(C21)), NOT(ISNUMBER(D21))), "-", IF(ISNUMBER(C21), C21, 0) - IF(ISNUMBER(D21), D21, 0))</f>
        <v/>
      </c>
      <c r="F21" s="16">
        <f>IF(OR(NOT(ISNUMBER(D21)), D21=0), "-", (IF(ISNUMBER(C21), C21, 0) - D21)/ABS(D21))</f>
        <v/>
      </c>
      <c r="G21" s="14" t="n"/>
    </row>
    <row r="22">
      <c r="A22" s="14" t="n"/>
      <c r="B22" s="14" t="inlineStr"/>
      <c r="C22" s="15" t="n">
        <v>10000</v>
      </c>
      <c r="D22" s="15" t="n">
        <v>100000</v>
      </c>
      <c r="E22" s="15">
        <f>IF(AND(NOT(ISNUMBER(C22)), NOT(ISNUMBER(D22))), "-", IF(ISNUMBER(C22), C22, 0) - IF(ISNUMBER(D22), D22, 0))</f>
        <v/>
      </c>
      <c r="F22" s="16">
        <f>IF(OR(NOT(ISNUMBER(D22)), D22=0), "-", (IF(ISNUMBER(C22), C22, 0) - D22)/ABS(D22))</f>
        <v/>
      </c>
      <c r="G22" s="14" t="n"/>
    </row>
    <row r="23">
      <c r="A23" s="11" t="n"/>
      <c r="B23" s="11" t="inlineStr">
        <is>
          <t>b.</t>
        </is>
      </c>
      <c r="C23" s="12" t="n">
        <v>0</v>
      </c>
      <c r="D23" s="12" t="n">
        <v>0</v>
      </c>
      <c r="E23" s="12">
        <f>IF(AND(NOT(ISNUMBER(C23)), NOT(ISNUMBER(D23))), "-", IF(ISNUMBER(C23), C23, 0) - IF(ISNUMBER(D23), D23, 0))</f>
        <v/>
      </c>
      <c r="F23" s="13">
        <f>IF(OR(NOT(ISNUMBER(D23)), D23=0), "-", (IF(ISNUMBER(C23), C23, 0) - D23)/ABS(D23))</f>
        <v/>
      </c>
      <c r="G23" s="11" t="n"/>
    </row>
    <row r="24">
      <c r="A24" s="11" t="n"/>
      <c r="B24" s="11" t="inlineStr">
        <is>
          <t>c.</t>
        </is>
      </c>
      <c r="C24" s="12" t="n">
        <v>0</v>
      </c>
      <c r="D24" s="12" t="n">
        <v>0</v>
      </c>
      <c r="E24" s="12">
        <f>IF(AND(NOT(ISNUMBER(C24)), NOT(ISNUMBER(D24))), "-", IF(ISNUMBER(C24), C24, 0) - IF(ISNUMBER(D24), D24, 0))</f>
        <v/>
      </c>
      <c r="F24" s="13">
        <f>IF(OR(NOT(ISNUMBER(D24)), D24=0), "-", (IF(ISNUMBER(C24), C24, 0) - D24)/ABS(D24))</f>
        <v/>
      </c>
      <c r="G24" s="11" t="n"/>
    </row>
    <row r="25">
      <c r="A25" s="14" t="n"/>
      <c r="B25" s="14" t="inlineStr"/>
      <c r="C25" s="15" t="n">
        <v>10000</v>
      </c>
      <c r="D25" s="15" t="n">
        <v>100</v>
      </c>
      <c r="E25" s="15">
        <f>IF(AND(NOT(ISNUMBER(C25)), NOT(ISNUMBER(D25))), "-", IF(ISNUMBER(C25), C25, 0) - IF(ISNUMBER(D25), D25, 0))</f>
        <v/>
      </c>
      <c r="F25" s="16">
        <f>IF(OR(NOT(ISNUMBER(D25)), D25=0), "-", (IF(ISNUMBER(C25), C25, 0) - D25)/ABS(D25))</f>
        <v/>
      </c>
      <c r="G25" s="14" t="n"/>
    </row>
    <row r="26">
      <c r="A26" s="11" t="n"/>
      <c r="B26" s="11" t="inlineStr">
        <is>
          <t>d.</t>
        </is>
      </c>
      <c r="C26" s="12" t="n">
        <v>0</v>
      </c>
      <c r="D26" s="12" t="n">
        <v>0</v>
      </c>
      <c r="E26" s="12">
        <f>IF(AND(NOT(ISNUMBER(C26)), NOT(ISNUMBER(D26))), "-", IF(ISNUMBER(C26), C26, 0) - IF(ISNUMBER(D26), D26, 0))</f>
        <v/>
      </c>
      <c r="F26" s="13">
        <f>IF(OR(NOT(ISNUMBER(D26)), D26=0), "-", (IF(ISNUMBER(C26), C26, 0) - D26)/ABS(D26))</f>
        <v/>
      </c>
      <c r="G26" s="11" t="n"/>
    </row>
    <row r="27">
      <c r="A27" s="14" t="n"/>
      <c r="B27" s="14" t="inlineStr"/>
      <c r="C27" s="15" t="n">
        <v>10000</v>
      </c>
      <c r="D27" s="15" t="n">
        <v>100</v>
      </c>
      <c r="E27" s="15">
        <f>IF(AND(NOT(ISNUMBER(C27)), NOT(ISNUMBER(D27))), "-", IF(ISNUMBER(C27), C27, 0) - IF(ISNUMBER(D27), D27, 0))</f>
        <v/>
      </c>
      <c r="F27" s="16">
        <f>IF(OR(NOT(ISNUMBER(D27)), D27=0), "-", (IF(ISNUMBER(C27), C27, 0) - D27)/ABS(D27))</f>
        <v/>
      </c>
      <c r="G27" s="14" t="n"/>
    </row>
    <row r="28">
      <c r="A28" s="11" t="n"/>
      <c r="B28" s="11" t="inlineStr">
        <is>
          <t>e.</t>
        </is>
      </c>
      <c r="C28" s="12" t="n">
        <v>0</v>
      </c>
      <c r="D28" s="12" t="n">
        <v>0</v>
      </c>
      <c r="E28" s="12">
        <f>IF(AND(NOT(ISNUMBER(C28)), NOT(ISNUMBER(D28))), "-", IF(ISNUMBER(C28), C28, 0) - IF(ISNUMBER(D28), D28, 0))</f>
        <v/>
      </c>
      <c r="F28" s="13">
        <f>IF(OR(NOT(ISNUMBER(D28)), D28=0), "-", (IF(ISNUMBER(C28), C28, 0) - D28)/ABS(D28))</f>
        <v/>
      </c>
      <c r="G28" s="11" t="n"/>
    </row>
    <row r="29">
      <c r="A29" s="14" t="n"/>
      <c r="B29" s="14" t="inlineStr"/>
      <c r="C29" s="15" t="n">
        <v>0</v>
      </c>
      <c r="D29" s="15" t="n">
        <v>0</v>
      </c>
      <c r="E29" s="15">
        <f>IF(AND(NOT(ISNUMBER(C29)), NOT(ISNUMBER(D29))), "-", IF(ISNUMBER(C29), C29, 0) - IF(ISNUMBER(D29), D29, 0))</f>
        <v/>
      </c>
      <c r="F29" s="16">
        <f>IF(OR(NOT(ISNUMBER(D29)), D29=0), "-", (IF(ISNUMBER(C29), C29, 0) - D29)/ABS(D29))</f>
        <v/>
      </c>
      <c r="G29" s="14" t="n"/>
    </row>
    <row r="30">
      <c r="A30" s="14" t="n"/>
      <c r="B30" s="14" t="inlineStr"/>
      <c r="C30" s="15" t="n">
        <v>0</v>
      </c>
      <c r="D30" s="15" t="n">
        <v>0</v>
      </c>
      <c r="E30" s="15">
        <f>IF(AND(NOT(ISNUMBER(C30)), NOT(ISNUMBER(D30))), "-", IF(ISNUMBER(C30), C30, 0) - IF(ISNUMBER(D30), D30, 0))</f>
        <v/>
      </c>
      <c r="F30" s="16">
        <f>IF(OR(NOT(ISNUMBER(D30)), D30=0), "-", (IF(ISNUMBER(C30), C30, 0) - D30)/ABS(D30))</f>
        <v/>
      </c>
      <c r="G30" s="14" t="n"/>
    </row>
    <row r="31">
      <c r="A31" s="14" t="n"/>
      <c r="B31" s="14" t="inlineStr"/>
      <c r="C31" s="15" t="n">
        <v>0</v>
      </c>
      <c r="D31" s="15" t="n">
        <v>0</v>
      </c>
      <c r="E31" s="15">
        <f>IF(AND(NOT(ISNUMBER(C31)), NOT(ISNUMBER(D31))), "-", IF(ISNUMBER(C31), C31, 0) - IF(ISNUMBER(D31), D31, 0))</f>
        <v/>
      </c>
      <c r="F31" s="16">
        <f>IF(OR(NOT(ISNUMBER(D31)), D31=0), "-", (IF(ISNUMBER(C31), C31, 0) - D31)/ABS(D31))</f>
        <v/>
      </c>
      <c r="G31" s="14" t="n"/>
    </row>
    <row r="32">
      <c r="A32" s="14" t="n"/>
      <c r="B32" s="14" t="inlineStr"/>
      <c r="C32" s="15" t="n">
        <v>0</v>
      </c>
      <c r="D32" s="15" t="n">
        <v>0</v>
      </c>
      <c r="E32" s="15">
        <f>IF(AND(NOT(ISNUMBER(C32)), NOT(ISNUMBER(D32))), "-", IF(ISNUMBER(C32), C32, 0) - IF(ISNUMBER(D32), D32, 0))</f>
        <v/>
      </c>
      <c r="F32" s="16">
        <f>IF(OR(NOT(ISNUMBER(D32)), D32=0), "-", (IF(ISNUMBER(C32), C32, 0) - D32)/ABS(D32))</f>
        <v/>
      </c>
      <c r="G32" s="14" t="n"/>
    </row>
    <row r="33">
      <c r="A33" s="11" t="n"/>
      <c r="B33" s="11" t="inlineStr">
        <is>
          <t>f.</t>
        </is>
      </c>
      <c r="C33" s="12" t="n">
        <v>0</v>
      </c>
      <c r="D33" s="12" t="n">
        <v>0</v>
      </c>
      <c r="E33" s="12">
        <f>IF(AND(NOT(ISNUMBER(C33)), NOT(ISNUMBER(D33))), "-", IF(ISNUMBER(C33), C33, 0) - IF(ISNUMBER(D33), D33, 0))</f>
        <v/>
      </c>
      <c r="F33" s="13">
        <f>IF(OR(NOT(ISNUMBER(D33)), D33=0), "-", (IF(ISNUMBER(C33), C33, 0) - D33)/ABS(D33))</f>
        <v/>
      </c>
      <c r="G33" s="11" t="n"/>
    </row>
    <row r="36">
      <c r="B36" s="6" t="inlineStr">
        <is>
          <t>Note 11: Preference shares</t>
        </is>
      </c>
      <c r="C36" s="8" t="inlineStr">
        <is>
          <t>a</t>
        </is>
      </c>
      <c r="D36" s="8" t="inlineStr">
        <is>
          <t>b</t>
        </is>
      </c>
      <c r="E36" s="8" t="inlineStr">
        <is>
          <t>e</t>
        </is>
      </c>
    </row>
    <row r="37">
      <c r="A37" s="10" t="inlineStr"/>
      <c r="B37" s="10" t="inlineStr">
        <is>
          <t>Particulars</t>
        </is>
      </c>
      <c r="C37" s="10" t="inlineStr">
        <is>
          <t>As at 31st March 2025</t>
        </is>
      </c>
      <c r="D37" s="10" t="inlineStr">
        <is>
          <t>As at 31st March 2024</t>
        </is>
      </c>
      <c r="E37" s="10" t="inlineStr">
        <is>
          <t>Variance</t>
        </is>
      </c>
      <c r="F37" s="10" t="inlineStr">
        <is>
          <t>Variance %</t>
        </is>
      </c>
      <c r="G37" s="10" t="inlineStr">
        <is>
          <t>Remarks</t>
        </is>
      </c>
    </row>
    <row r="38">
      <c r="A38" s="11" t="n"/>
      <c r="B38" s="11" t="inlineStr">
        <is>
          <t>Class of Preference shares</t>
        </is>
      </c>
      <c r="C38" s="12" t="n">
        <v>0</v>
      </c>
      <c r="D38" s="12" t="n">
        <v>0</v>
      </c>
      <c r="E38" s="12">
        <f>IF(AND(NOT(ISNUMBER(C38)), NOT(ISNUMBER(D38))), "-", IF(ISNUMBER(C38), C38, 0) - IF(ISNUMBER(D38), D38, 0))</f>
        <v/>
      </c>
      <c r="F38" s="13">
        <f>IF(OR(NOT(ISNUMBER(D38)), D38=0), "-", (IF(ISNUMBER(C38), C38, 0) - D38)/ABS(D38))</f>
        <v/>
      </c>
      <c r="G38" s="11" t="n"/>
    </row>
    <row r="39">
      <c r="A39" s="14" t="n"/>
      <c r="B39" s="14" t="inlineStr">
        <is>
          <t>Face value of shares</t>
        </is>
      </c>
      <c r="C39" s="15" t="n">
        <v>0</v>
      </c>
      <c r="D39" s="15" t="n">
        <v>0</v>
      </c>
      <c r="E39" s="15">
        <f>IF(AND(NOT(ISNUMBER(C39)), NOT(ISNUMBER(D39))), "-", IF(ISNUMBER(C39), C39, 0) - IF(ISNUMBER(D39), D39, 0))</f>
        <v/>
      </c>
      <c r="F39" s="16">
        <f>IF(OR(NOT(ISNUMBER(D39)), D39=0), "-", (IF(ISNUMBER(C39), C39, 0) - D39)/ABS(D39))</f>
        <v/>
      </c>
      <c r="G39" s="14" t="n"/>
    </row>
    <row r="40">
      <c r="A40" s="11" t="n"/>
      <c r="B40" s="11" t="inlineStr">
        <is>
          <t>3% Cumulative redeemable preference shares</t>
        </is>
      </c>
      <c r="C40" s="12" t="n">
        <v>0</v>
      </c>
      <c r="D40" s="12" t="n">
        <v>0</v>
      </c>
      <c r="E40" s="12">
        <f>IF(AND(NOT(ISNUMBER(C40)), NOT(ISNUMBER(D40))), "-", IF(ISNUMBER(C40), C40, 0) - IF(ISNUMBER(D40), D40, 0))</f>
        <v/>
      </c>
      <c r="F40" s="13">
        <f>IF(OR(NOT(ISNUMBER(D40)), D40=0), "-", (IF(ISNUMBER(C40), C40, 0) - D40)/ABS(D40))</f>
        <v/>
      </c>
      <c r="G40" s="11" t="n"/>
    </row>
    <row r="41">
      <c r="A41" s="14" t="n"/>
      <c r="B41" s="14" t="inlineStr">
        <is>
          <t>At the Beginning of the year</t>
        </is>
      </c>
      <c r="C41" s="15" t="n">
        <v>0</v>
      </c>
      <c r="D41" s="15" t="n">
        <v>0</v>
      </c>
      <c r="E41" s="15">
        <f>IF(AND(NOT(ISNUMBER(C41)), NOT(ISNUMBER(D41))), "-", IF(ISNUMBER(C41), C41, 0) - IF(ISNUMBER(D41), D41, 0))</f>
        <v/>
      </c>
      <c r="F41" s="16">
        <f>IF(OR(NOT(ISNUMBER(D41)), D41=0), "-", (IF(ISNUMBER(C41), C41, 0) - D41)/ABS(D41))</f>
        <v/>
      </c>
      <c r="G41" s="14" t="n"/>
    </row>
    <row r="42">
      <c r="A42" s="14" t="n"/>
      <c r="B42" s="14" t="inlineStr">
        <is>
          <t>Shares issued during the year</t>
        </is>
      </c>
      <c r="C42" s="15" t="n">
        <v>0</v>
      </c>
      <c r="D42" s="15" t="n">
        <v>0</v>
      </c>
      <c r="E42" s="15">
        <f>IF(AND(NOT(ISNUMBER(C42)), NOT(ISNUMBER(D42))), "-", IF(ISNUMBER(C42), C42, 0) - IF(ISNUMBER(D42), D42, 0))</f>
        <v/>
      </c>
      <c r="F42" s="16">
        <f>IF(OR(NOT(ISNUMBER(D42)), D42=0), "-", (IF(ISNUMBER(C42), C42, 0) - D42)/ABS(D42))</f>
        <v/>
      </c>
      <c r="G42" s="14" t="n"/>
    </row>
    <row r="43">
      <c r="A43" s="11" t="n"/>
      <c r="B43" s="11" t="inlineStr">
        <is>
          <t>At the end of the year</t>
        </is>
      </c>
      <c r="C43" s="12" t="n">
        <v>0</v>
      </c>
      <c r="D43" s="12" t="n">
        <v>0</v>
      </c>
      <c r="E43" s="12">
        <f>IF(AND(NOT(ISNUMBER(C43)), NOT(ISNUMBER(D43))), "-", IF(ISNUMBER(C43), C43, 0) - IF(ISNUMBER(D43), D43, 0))</f>
        <v/>
      </c>
      <c r="F43" s="13">
        <f>IF(OR(NOT(ISNUMBER(D43)), D43=0), "-", (IF(ISNUMBER(C43), C43, 0) - D43)/ABS(D43))</f>
        <v/>
      </c>
      <c r="G43" s="11" t="n"/>
    </row>
    <row r="44">
      <c r="A44" s="14" t="n"/>
      <c r="B44" s="14" t="inlineStr">
        <is>
          <t>* Number of shares are in actual figures</t>
        </is>
      </c>
      <c r="C44" s="15" t="n">
        <v>0</v>
      </c>
      <c r="D44" s="15" t="n">
        <v>0</v>
      </c>
      <c r="E44" s="15">
        <f>IF(AND(NOT(ISNUMBER(C44)), NOT(ISNUMBER(D44))), "-", IF(ISNUMBER(C44), C44, 0) - IF(ISNUMBER(D44), D44, 0))</f>
        <v/>
      </c>
      <c r="F44" s="16">
        <f>IF(OR(NOT(ISNUMBER(D44)), D44=0), "-", (IF(ISNUMBER(C44), C44, 0) - D44)/ABS(D44))</f>
        <v/>
      </c>
      <c r="G44" s="14" t="n"/>
    </row>
    <row r="45">
      <c r="A45" s="14" t="n"/>
      <c r="B45" s="14" t="inlineStr">
        <is>
          <t>Premium on issue</t>
        </is>
      </c>
      <c r="C45" s="15" t="n">
        <v>0</v>
      </c>
      <c r="D45" s="15" t="n">
        <v>0</v>
      </c>
      <c r="E45" s="15">
        <f>IF(AND(NOT(ISNUMBER(C45)), NOT(ISNUMBER(D45))), "-", IF(ISNUMBER(C45), C45, 0) - IF(ISNUMBER(D45), D45, 0))</f>
        <v/>
      </c>
      <c r="F45" s="16">
        <f>IF(OR(NOT(ISNUMBER(D45)), D45=0), "-", (IF(ISNUMBER(C45), C45, 0) - D45)/ABS(D45))</f>
        <v/>
      </c>
      <c r="G45" s="14" t="n"/>
    </row>
    <row r="46">
      <c r="A46" s="11" t="n"/>
      <c r="B46" s="11" t="inlineStr">
        <is>
          <t>3% Cumulative redeemable preference shares</t>
        </is>
      </c>
      <c r="C46" s="12" t="n">
        <v>0</v>
      </c>
      <c r="D46" s="12" t="n">
        <v>0</v>
      </c>
      <c r="E46" s="12">
        <f>IF(AND(NOT(ISNUMBER(C46)), NOT(ISNUMBER(D46))), "-", IF(ISNUMBER(C46), C46, 0) - IF(ISNUMBER(D46), D46, 0))</f>
        <v/>
      </c>
      <c r="F46" s="13">
        <f>IF(OR(NOT(ISNUMBER(D46)), D46=0), "-", (IF(ISNUMBER(C46), C46, 0) - D46)/ABS(D46))</f>
        <v/>
      </c>
      <c r="G46" s="11" t="n"/>
    </row>
    <row r="47">
      <c r="A47" s="14" t="n"/>
      <c r="B47" s="14" t="inlineStr">
        <is>
          <t>At the beginning of the year</t>
        </is>
      </c>
      <c r="C47" s="15" t="n">
        <v>0</v>
      </c>
      <c r="D47" s="15" t="n">
        <v>0</v>
      </c>
      <c r="E47" s="15">
        <f>IF(AND(NOT(ISNUMBER(C47)), NOT(ISNUMBER(D47))), "-", IF(ISNUMBER(C47), C47, 0) - IF(ISNUMBER(D47), D47, 0))</f>
        <v/>
      </c>
      <c r="F47" s="16">
        <f>IF(OR(NOT(ISNUMBER(D47)), D47=0), "-", (IF(ISNUMBER(C47), C47, 0) - D47)/ABS(D47))</f>
        <v/>
      </c>
      <c r="G47" s="14" t="n"/>
    </row>
    <row r="48">
      <c r="A48" s="14" t="n"/>
      <c r="B48" s="14" t="inlineStr">
        <is>
          <t>Shares issued during the year</t>
        </is>
      </c>
      <c r="C48" s="15" t="n">
        <v>0</v>
      </c>
      <c r="D48" s="15" t="n">
        <v>0</v>
      </c>
      <c r="E48" s="15">
        <f>IF(AND(NOT(ISNUMBER(C48)), NOT(ISNUMBER(D48))), "-", IF(ISNUMBER(C48), C48, 0) - IF(ISNUMBER(D48), D48, 0))</f>
        <v/>
      </c>
      <c r="F48" s="16">
        <f>IF(OR(NOT(ISNUMBER(D48)), D48=0), "-", (IF(ISNUMBER(C48), C48, 0) - D48)/ABS(D48))</f>
        <v/>
      </c>
      <c r="G48" s="14" t="n"/>
    </row>
    <row r="49">
      <c r="A49" s="11" t="n"/>
      <c r="B49" s="11" t="inlineStr">
        <is>
          <t>At the end of the year</t>
        </is>
      </c>
      <c r="C49" s="12" t="n">
        <v>0</v>
      </c>
      <c r="D49" s="12" t="n">
        <v>0</v>
      </c>
      <c r="E49" s="12">
        <f>IF(AND(NOT(ISNUMBER(C49)), NOT(ISNUMBER(D49))), "-", IF(ISNUMBER(C49), C49, 0) - IF(ISNUMBER(D49), D49, 0))</f>
        <v/>
      </c>
      <c r="F49" s="13">
        <f>IF(OR(NOT(ISNUMBER(D49)), D49=0), "-", (IF(ISNUMBER(C49), C49, 0) - D49)/ABS(D49))</f>
        <v/>
      </c>
      <c r="G49" s="11" t="n"/>
    </row>
    <row r="50">
      <c r="A50" s="14" t="n"/>
      <c r="B50" s="14" t="inlineStr">
        <is>
          <t>* Number of shares are in actual figures</t>
        </is>
      </c>
      <c r="C50" s="15" t="n">
        <v>0</v>
      </c>
      <c r="D50" s="15" t="n">
        <v>0</v>
      </c>
      <c r="E50" s="15">
        <f>IF(AND(NOT(ISNUMBER(C50)), NOT(ISNUMBER(D50))), "-", IF(ISNUMBER(C50), C50, 0) - IF(ISNUMBER(D50), D50, 0))</f>
        <v/>
      </c>
      <c r="F50" s="16">
        <f>IF(OR(NOT(ISNUMBER(D50)), D50=0), "-", (IF(ISNUMBER(C50), C50, 0) - D50)/ABS(D50))</f>
        <v/>
      </c>
      <c r="G50" s="14" t="n"/>
    </row>
    <row r="51">
      <c r="A51" s="14" t="n"/>
      <c r="B51" s="14" t="inlineStr">
        <is>
          <t>Amortised Premium until date</t>
        </is>
      </c>
      <c r="C51" s="15" t="n">
        <v>0</v>
      </c>
      <c r="D51" s="15" t="n">
        <v>0</v>
      </c>
      <c r="E51" s="15">
        <f>IF(AND(NOT(ISNUMBER(C51)), NOT(ISNUMBER(D51))), "-", IF(ISNUMBER(C51), C51, 0) - IF(ISNUMBER(D51), D51, 0))</f>
        <v/>
      </c>
      <c r="F51" s="16">
        <f>IF(OR(NOT(ISNUMBER(D51)), D51=0), "-", (IF(ISNUMBER(C51), C51, 0) - D51)/ABS(D51))</f>
        <v/>
      </c>
      <c r="G51" s="14" t="n"/>
    </row>
    <row r="52">
      <c r="A52" s="11" t="n"/>
      <c r="B52" s="11" t="inlineStr">
        <is>
          <t>3% Cumulative redeemable preference shares</t>
        </is>
      </c>
      <c r="C52" s="12" t="n">
        <v>0</v>
      </c>
      <c r="D52" s="12" t="n">
        <v>0</v>
      </c>
      <c r="E52" s="12">
        <f>IF(AND(NOT(ISNUMBER(C52)), NOT(ISNUMBER(D52))), "-", IF(ISNUMBER(C52), C52, 0) - IF(ISNUMBER(D52), D52, 0))</f>
        <v/>
      </c>
      <c r="F52" s="13">
        <f>IF(OR(NOT(ISNUMBER(D52)), D52=0), "-", (IF(ISNUMBER(C52), C52, 0) - D52)/ABS(D52))</f>
        <v/>
      </c>
      <c r="G52" s="11" t="n"/>
    </row>
    <row r="53">
      <c r="A53" s="14" t="n"/>
      <c r="B53" s="14" t="inlineStr">
        <is>
          <t>At the beginning of the year</t>
        </is>
      </c>
      <c r="C53" s="15" t="n">
        <v>0</v>
      </c>
      <c r="D53" s="15" t="n">
        <v>0</v>
      </c>
      <c r="E53" s="15">
        <f>IF(AND(NOT(ISNUMBER(C53)), NOT(ISNUMBER(D53))), "-", IF(ISNUMBER(C53), C53, 0) - IF(ISNUMBER(D53), D53, 0))</f>
        <v/>
      </c>
      <c r="F53" s="16">
        <f>IF(OR(NOT(ISNUMBER(D53)), D53=0), "-", (IF(ISNUMBER(C53), C53, 0) - D53)/ABS(D53))</f>
        <v/>
      </c>
      <c r="G53" s="14" t="n"/>
    </row>
    <row r="54">
      <c r="A54" s="14" t="n"/>
      <c r="B54" s="14" t="inlineStr">
        <is>
          <t>Shares issued during the year</t>
        </is>
      </c>
      <c r="C54" s="15" t="n">
        <v>0</v>
      </c>
      <c r="D54" s="15" t="n">
        <v>0</v>
      </c>
      <c r="E54" s="15">
        <f>IF(AND(NOT(ISNUMBER(C54)), NOT(ISNUMBER(D54))), "-", IF(ISNUMBER(C54), C54, 0) - IF(ISNUMBER(D54), D54, 0))</f>
        <v/>
      </c>
      <c r="F54" s="16">
        <f>IF(OR(NOT(ISNUMBER(D54)), D54=0), "-", (IF(ISNUMBER(C54), C54, 0) - D54)/ABS(D54))</f>
        <v/>
      </c>
      <c r="G54" s="14" t="n"/>
    </row>
    <row r="55">
      <c r="A55" s="14" t="n"/>
      <c r="B55" s="14" t="inlineStr">
        <is>
          <t>Premium amortized during the year</t>
        </is>
      </c>
      <c r="C55" s="15" t="n">
        <v>0</v>
      </c>
      <c r="D55" s="15" t="n">
        <v>0</v>
      </c>
      <c r="E55" s="15">
        <f>IF(AND(NOT(ISNUMBER(C55)), NOT(ISNUMBER(D55))), "-", IF(ISNUMBER(C55), C55, 0) - IF(ISNUMBER(D55), D55, 0))</f>
        <v/>
      </c>
      <c r="F55" s="16">
        <f>IF(OR(NOT(ISNUMBER(D55)), D55=0), "-", (IF(ISNUMBER(C55), C55, 0) - D55)/ABS(D55))</f>
        <v/>
      </c>
      <c r="G55" s="14" t="n"/>
    </row>
    <row r="56">
      <c r="A56" s="11" t="n"/>
      <c r="B56" s="11" t="inlineStr">
        <is>
          <t>At the end of the year</t>
        </is>
      </c>
      <c r="C56" s="12" t="n">
        <v>0</v>
      </c>
      <c r="D56" s="12" t="n">
        <v>0</v>
      </c>
      <c r="E56" s="12">
        <f>IF(AND(NOT(ISNUMBER(C56)), NOT(ISNUMBER(D56))), "-", IF(ISNUMBER(C56), C56, 0) - IF(ISNUMBER(D56), D56, 0))</f>
        <v/>
      </c>
      <c r="F56" s="13">
        <f>IF(OR(NOT(ISNUMBER(D56)), D56=0), "-", (IF(ISNUMBER(C56), C56, 0) - D56)/ABS(D56))</f>
        <v/>
      </c>
      <c r="G56" s="11" t="n"/>
    </row>
    <row r="57">
      <c r="A57" s="14" t="n"/>
      <c r="B57" s="14" t="inlineStr">
        <is>
          <t>Impact of modification of contractual terms (refer note 11(v))</t>
        </is>
      </c>
      <c r="C57" s="15" t="n">
        <v>0</v>
      </c>
      <c r="D57" s="15" t="n">
        <v>0</v>
      </c>
      <c r="E57" s="15">
        <f>IF(AND(NOT(ISNUMBER(C57)), NOT(ISNUMBER(D57))), "-", IF(ISNUMBER(C57), C57, 0) - IF(ISNUMBER(D57), D57, 0))</f>
        <v/>
      </c>
      <c r="F57" s="16">
        <f>IF(OR(NOT(ISNUMBER(D57)), D57=0), "-", (IF(ISNUMBER(C57), C57, 0) - D57)/ABS(D57))</f>
        <v/>
      </c>
      <c r="G57" s="14" t="n"/>
    </row>
    <row r="58">
      <c r="A58" s="11" t="n"/>
      <c r="B58" s="11" t="inlineStr">
        <is>
          <t>Total as at end of the year</t>
        </is>
      </c>
      <c r="C58" s="12" t="n">
        <v>0</v>
      </c>
      <c r="D58" s="12" t="n">
        <v>0</v>
      </c>
      <c r="E58" s="12">
        <f>IF(AND(NOT(ISNUMBER(C58)), NOT(ISNUMBER(D58))), "-", IF(ISNUMBER(C58), C58, 0) - IF(ISNUMBER(D58), D58, 0))</f>
        <v/>
      </c>
      <c r="F58" s="13">
        <f>IF(OR(NOT(ISNUMBER(D58)), D58=0), "-", (IF(ISNUMBER(C58), C58, 0) - D58)/ABS(D58))</f>
        <v/>
      </c>
      <c r="G58" s="11" t="n"/>
    </row>
    <row r="59">
      <c r="A59" s="14" t="n"/>
      <c r="B59" s="14" t="inlineStr">
        <is>
          <t>* Number of shares are in actual figures</t>
        </is>
      </c>
      <c r="C59" s="15" t="n">
        <v>0</v>
      </c>
      <c r="D59" s="15" t="n">
        <v>0</v>
      </c>
      <c r="E59" s="15">
        <f>IF(AND(NOT(ISNUMBER(C59)), NOT(ISNUMBER(D59))), "-", IF(ISNUMBER(C59), C59, 0) - IF(ISNUMBER(D59), D59, 0))</f>
        <v/>
      </c>
      <c r="F59" s="16">
        <f>IF(OR(NOT(ISNUMBER(D59)), D59=0), "-", (IF(ISNUMBER(C59), C59, 0) - D59)/ABS(D59))</f>
        <v/>
      </c>
      <c r="G59" s="14" t="n"/>
    </row>
    <row r="60">
      <c r="A60" s="11" t="n"/>
      <c r="B60" s="11" t="inlineStr">
        <is>
          <t>Details of shareholders holding more than 5% of preference shares of the company</t>
        </is>
      </c>
      <c r="C60" s="12" t="n">
        <v>0</v>
      </c>
      <c r="D60" s="12" t="n">
        <v>0</v>
      </c>
      <c r="E60" s="12">
        <f>IF(AND(NOT(ISNUMBER(C60)), NOT(ISNUMBER(D60))), "-", IF(ISNUMBER(C60), C60, 0) - IF(ISNUMBER(D60), D60, 0))</f>
        <v/>
      </c>
      <c r="F60" s="13">
        <f>IF(OR(NOT(ISNUMBER(D60)), D60=0), "-", (IF(ISNUMBER(C60), C60, 0) - D60)/ABS(D60))</f>
        <v/>
      </c>
      <c r="G60" s="11" t="n"/>
    </row>
    <row r="61">
      <c r="A61" s="11" t="n"/>
      <c r="B61" s="11" t="inlineStr">
        <is>
          <t>3% Cumulative redeemable preference shares</t>
        </is>
      </c>
      <c r="C61" s="12" t="n">
        <v>0</v>
      </c>
      <c r="D61" s="12" t="n">
        <v>0</v>
      </c>
      <c r="E61" s="12">
        <f>IF(AND(NOT(ISNUMBER(C61)), NOT(ISNUMBER(D61))), "-", IF(ISNUMBER(C61), C61, 0) - IF(ISNUMBER(D61), D61, 0))</f>
        <v/>
      </c>
      <c r="F61" s="13">
        <f>IF(OR(NOT(ISNUMBER(D61)), D61=0), "-", (IF(ISNUMBER(C61), C61, 0) - D61)/ABS(D61))</f>
        <v/>
      </c>
      <c r="G61" s="11" t="n"/>
    </row>
    <row r="62">
      <c r="A62" s="14" t="n"/>
      <c r="B62" s="14" t="inlineStr">
        <is>
          <t>Syntel Private Limited</t>
        </is>
      </c>
      <c r="C62" s="15" t="n">
        <v>0</v>
      </c>
      <c r="D62" s="15" t="n">
        <v>0</v>
      </c>
      <c r="E62" s="15">
        <f>IF(AND(NOT(ISNUMBER(C62)), NOT(ISNUMBER(D62))), "-", IF(ISNUMBER(C62), C62, 0) - IF(ISNUMBER(D62), D62, 0))</f>
        <v/>
      </c>
      <c r="F62" s="16">
        <f>IF(OR(NOT(ISNUMBER(D62)), D62=0), "-", (IF(ISNUMBER(C62), C62, 0) - D62)/ABS(D62))</f>
        <v/>
      </c>
      <c r="G62" s="14" t="n"/>
    </row>
    <row r="63">
      <c r="A63" s="11" t="n"/>
      <c r="B63" s="11" t="inlineStr">
        <is>
          <t>At the end of the year</t>
        </is>
      </c>
      <c r="C63" s="12" t="n">
        <v>0</v>
      </c>
      <c r="D63" s="12" t="n">
        <v>0</v>
      </c>
      <c r="E63" s="12">
        <f>IF(AND(NOT(ISNUMBER(C63)), NOT(ISNUMBER(D63))), "-", IF(ISNUMBER(C63), C63, 0) - IF(ISNUMBER(D63), D63, 0))</f>
        <v/>
      </c>
      <c r="F63" s="13">
        <f>IF(OR(NOT(ISNUMBER(D63)), D63=0), "-", (IF(ISNUMBER(C63), C63, 0) - D63)/ABS(D63))</f>
        <v/>
      </c>
      <c r="G63" s="11" t="n"/>
    </row>
    <row r="64">
      <c r="A64" s="14" t="n"/>
      <c r="B64" s="14" t="inlineStr">
        <is>
          <t>* Number of shares are in actual figures</t>
        </is>
      </c>
      <c r="C64" s="15" t="n">
        <v>0</v>
      </c>
      <c r="D64" s="15" t="n">
        <v>0</v>
      </c>
      <c r="E64" s="15">
        <f>IF(AND(NOT(ISNUMBER(C64)), NOT(ISNUMBER(D64))), "-", IF(ISNUMBER(C64), C64, 0) - IF(ISNUMBER(D64), D64, 0))</f>
        <v/>
      </c>
      <c r="F64" s="16">
        <f>IF(OR(NOT(ISNUMBER(D64)), D64=0), "-", (IF(ISNUMBER(C64), C64, 0) - D64)/ABS(D64))</f>
        <v/>
      </c>
      <c r="G64" s="14" t="n"/>
    </row>
    <row r="65">
      <c r="A65" s="11" t="n"/>
      <c r="B65" s="11" t="inlineStr">
        <is>
          <t>Redemption Terms</t>
        </is>
      </c>
      <c r="C65" s="12" t="n">
        <v>0</v>
      </c>
      <c r="D65" s="12" t="n">
        <v>0</v>
      </c>
      <c r="E65" s="12">
        <f>IF(AND(NOT(ISNUMBER(C65)), NOT(ISNUMBER(D65))), "-", IF(ISNUMBER(C65), C65, 0) - IF(ISNUMBER(D65), D65, 0))</f>
        <v/>
      </c>
      <c r="F65" s="13">
        <f>IF(OR(NOT(ISNUMBER(D65)), D65=0), "-", (IF(ISNUMBER(C65), C65, 0) - D65)/ABS(D65))</f>
        <v/>
      </c>
      <c r="G65" s="11" t="n"/>
    </row>
    <row r="66">
      <c r="A66" s="14" t="n"/>
      <c r="B66" s="14" t="inlineStr">
        <is>
          <t>Preference shares are redeemable on mutually agreed date which shall not exceed 20 years from the date of initial issue starting from 12 May 2011.</t>
        </is>
      </c>
      <c r="C66" s="15" t="n">
        <v>0</v>
      </c>
      <c r="D66" s="15" t="n">
        <v>0</v>
      </c>
      <c r="E66" s="15">
        <f>IF(AND(NOT(ISNUMBER(C66)), NOT(ISNUMBER(D66))), "-", IF(ISNUMBER(C66), C66, 0) - IF(ISNUMBER(D66), D66, 0))</f>
        <v/>
      </c>
      <c r="F66" s="16">
        <f>IF(OR(NOT(ISNUMBER(D66)), D66=0), "-", (IF(ISNUMBER(C66), C66, 0) - D66)/ABS(D66))</f>
        <v/>
      </c>
      <c r="G66" s="14" t="n"/>
    </row>
    <row r="67">
      <c r="A67" s="11" t="n"/>
      <c r="B67" s="11" t="inlineStr">
        <is>
          <t>Rights and Restrictions</t>
        </is>
      </c>
      <c r="C67" s="12" t="n">
        <v>0</v>
      </c>
      <c r="D67" s="12" t="n">
        <v>0</v>
      </c>
      <c r="E67" s="12">
        <f>IF(AND(NOT(ISNUMBER(C67)), NOT(ISNUMBER(D67))), "-", IF(ISNUMBER(C67), C67, 0) - IF(ISNUMBER(D67), D67, 0))</f>
        <v/>
      </c>
      <c r="F67" s="13">
        <f>IF(OR(NOT(ISNUMBER(D67)), D67=0), "-", (IF(ISNUMBER(C67), C67, 0) - D67)/ABS(D67))</f>
        <v/>
      </c>
      <c r="G67" s="11" t="n"/>
    </row>
    <row r="68">
      <c r="A68" s="14" t="n"/>
      <c r="B68" s="14" t="inlineStr">
        <is>
          <t>Dividend shall be paid to Syntel Private Limited, the Preference Shareholder of the Company on 3% Cumulative Redeemable Preference shares of Rs. 10/- each. Each holder of preference share is entitled to one vote per share only on resolutions placed before the Company which directly affects the rights attached to preference shares. Cumulative preference shares are entitled to vote on every resolution if preference dividend remains unpaid for 2 years.</t>
        </is>
      </c>
      <c r="C68" s="15" t="n">
        <v>0</v>
      </c>
      <c r="D68" s="15" t="n">
        <v>0</v>
      </c>
      <c r="E68" s="15">
        <f>IF(AND(NOT(ISNUMBER(C68)), NOT(ISNUMBER(D68))), "-", IF(ISNUMBER(C68), C68, 0) - IF(ISNUMBER(D68), D68, 0))</f>
        <v/>
      </c>
      <c r="F68" s="16">
        <f>IF(OR(NOT(ISNUMBER(D68)), D68=0), "-", (IF(ISNUMBER(C68), C68, 0) - D68)/ABS(D68))</f>
        <v/>
      </c>
      <c r="G68" s="14" t="n"/>
    </row>
    <row r="71">
      <c r="B71" s="6" t="inlineStr">
        <is>
          <t>Note 12: Other financial liabilities non-current</t>
        </is>
      </c>
      <c r="C71" s="8" t="inlineStr">
        <is>
          <t>a</t>
        </is>
      </c>
      <c r="D71" s="8" t="inlineStr">
        <is>
          <t>b</t>
        </is>
      </c>
      <c r="E71" s="8" t="inlineStr">
        <is>
          <t>e</t>
        </is>
      </c>
    </row>
    <row r="72">
      <c r="A72" s="10" t="inlineStr"/>
      <c r="B72" s="10" t="inlineStr">
        <is>
          <t>Particulars</t>
        </is>
      </c>
      <c r="C72" s="10" t="inlineStr">
        <is>
          <t>As at 31st March 2025</t>
        </is>
      </c>
      <c r="D72" s="10" t="inlineStr">
        <is>
          <t>As at 31st March 2024</t>
        </is>
      </c>
      <c r="E72" s="10" t="inlineStr">
        <is>
          <t>Variance</t>
        </is>
      </c>
      <c r="F72" s="10" t="inlineStr">
        <is>
          <t>Variance %</t>
        </is>
      </c>
      <c r="G72" s="10" t="inlineStr">
        <is>
          <t>Remarks</t>
        </is>
      </c>
    </row>
    <row r="73">
      <c r="A73" s="14" t="n"/>
      <c r="B73" s="14" t="inlineStr">
        <is>
          <t>Security deposit received</t>
        </is>
      </c>
      <c r="C73" s="15" t="n">
        <v>0</v>
      </c>
      <c r="D73" s="15" t="n">
        <v>0</v>
      </c>
      <c r="E73" s="15">
        <f>IF(AND(NOT(ISNUMBER(C73)), NOT(ISNUMBER(D73))), "-", IF(ISNUMBER(C73), C73, 0) - IF(ISNUMBER(D73), D73, 0))</f>
        <v/>
      </c>
      <c r="F73" s="16">
        <f>IF(OR(NOT(ISNUMBER(D73)), D73=0), "-", (IF(ISNUMBER(C73), C73, 0) - D73)/ABS(D73))</f>
        <v/>
      </c>
      <c r="G73" s="14" t="n"/>
    </row>
    <row r="74">
      <c r="A74" s="14" t="n"/>
      <c r="B74" s="14" t="inlineStr">
        <is>
          <t>Preference shares non current portion</t>
        </is>
      </c>
      <c r="C74" s="15" t="n">
        <v>0</v>
      </c>
      <c r="D74" s="15" t="n">
        <v>0</v>
      </c>
      <c r="E74" s="15">
        <f>IF(AND(NOT(ISNUMBER(C74)), NOT(ISNUMBER(D74))), "-", IF(ISNUMBER(C74), C74, 0) - IF(ISNUMBER(D74), D74, 0))</f>
        <v/>
      </c>
      <c r="F74" s="16">
        <f>IF(OR(NOT(ISNUMBER(D74)), D74=0), "-", (IF(ISNUMBER(C74), C74, 0) - D74)/ABS(D74))</f>
        <v/>
      </c>
      <c r="G74" s="14" t="n"/>
    </row>
    <row r="75">
      <c r="A75" s="14" t="n"/>
      <c r="B75" s="14" t="inlineStr">
        <is>
          <t>Capital creditors</t>
        </is>
      </c>
      <c r="C75" s="15" t="n">
        <v>0</v>
      </c>
      <c r="D75" s="15" t="n">
        <v>0</v>
      </c>
      <c r="E75" s="15">
        <f>IF(AND(NOT(ISNUMBER(C75)), NOT(ISNUMBER(D75))), "-", IF(ISNUMBER(C75), C75, 0) - IF(ISNUMBER(D75), D75, 0))</f>
        <v/>
      </c>
      <c r="F75" s="16">
        <f>IF(OR(NOT(ISNUMBER(D75)), D75=0), "-", (IF(ISNUMBER(C75), C75, 0) - D75)/ABS(D75))</f>
        <v/>
      </c>
      <c r="G75" s="14" t="n"/>
    </row>
    <row r="76">
      <c r="A76" s="14" t="n"/>
      <c r="B76" s="14" t="inlineStr">
        <is>
          <t>Advance received from customer</t>
        </is>
      </c>
      <c r="C76" s="15" t="n">
        <v>0</v>
      </c>
      <c r="D76" s="15" t="n">
        <v>0</v>
      </c>
      <c r="E76" s="15">
        <f>IF(AND(NOT(ISNUMBER(C76)), NOT(ISNUMBER(D76))), "-", IF(ISNUMBER(C76), C76, 0) - IF(ISNUMBER(D76), D76, 0))</f>
        <v/>
      </c>
      <c r="F76" s="16">
        <f>IF(OR(NOT(ISNUMBER(D76)), D76=0), "-", (IF(ISNUMBER(C76), C76, 0) - D76)/ABS(D76))</f>
        <v/>
      </c>
      <c r="G76" s="14" t="n"/>
    </row>
    <row r="77">
      <c r="A77" s="14" t="n"/>
      <c r="B77" s="14" t="inlineStr"/>
      <c r="C77" s="15" t="n">
        <v>0</v>
      </c>
      <c r="D77" s="15" t="n">
        <v>0</v>
      </c>
      <c r="E77" s="15">
        <f>IF(AND(NOT(ISNUMBER(C77)), NOT(ISNUMBER(D77))), "-", IF(ISNUMBER(C77), C77, 0) - IF(ISNUMBER(D77), D77, 0))</f>
        <v/>
      </c>
      <c r="F77" s="16">
        <f>IF(OR(NOT(ISNUMBER(D77)), D77=0), "-", (IF(ISNUMBER(C77), C77, 0) - D77)/ABS(D77))</f>
        <v/>
      </c>
      <c r="G77" s="14" t="n"/>
    </row>
    <row r="78">
      <c r="A78" s="11" t="n"/>
      <c r="B78" s="11" t="inlineStr">
        <is>
          <t>Modification of contractual terms of financial liabilities</t>
        </is>
      </c>
      <c r="C78" s="12" t="n">
        <v>0</v>
      </c>
      <c r="D78" s="12" t="n">
        <v>0</v>
      </c>
      <c r="E78" s="12">
        <f>IF(AND(NOT(ISNUMBER(C78)), NOT(ISNUMBER(D78))), "-", IF(ISNUMBER(C78), C78, 0) - IF(ISNUMBER(D78), D78, 0))</f>
        <v/>
      </c>
      <c r="F78" s="13">
        <f>IF(OR(NOT(ISNUMBER(D78)), D78=0), "-", (IF(ISNUMBER(C78), C78, 0) - D78)/ABS(D78))</f>
        <v/>
      </c>
      <c r="G78" s="11" t="n"/>
    </row>
    <row r="79">
      <c r="A79" s="14" t="n"/>
      <c r="B79" s="14" t="inlineStr">
        <is>
          <t>During the financial year 2024-25, the contractual cash flows of preference shares were renegotiated between the parties, hence the Company has accounted this as a modification in accordance with para 5.4.3 of Ind AS 109 - Financial Instruments. The Company has recalculate the gross carrying amount of the preference shares and has recognised a modification gain of ₹ 204 lakhs in the statement of profit and loss. The gross carrying amount of the preference shares has been recalculated as the present value of the renegotiated cash flows that are discounted using revised effective interest rate.</t>
        </is>
      </c>
      <c r="C79" s="15" t="n">
        <v>0</v>
      </c>
      <c r="D79" s="15" t="n">
        <v>0</v>
      </c>
      <c r="E79" s="15">
        <f>IF(AND(NOT(ISNUMBER(C79)), NOT(ISNUMBER(D79))), "-", IF(ISNUMBER(C79), C79, 0) - IF(ISNUMBER(D79), D79, 0))</f>
        <v/>
      </c>
      <c r="F79" s="16">
        <f>IF(OR(NOT(ISNUMBER(D79)), D79=0), "-", (IF(ISNUMBER(C79), C79, 0) - D79)/ABS(D79))</f>
        <v/>
      </c>
      <c r="G79" s="14" t="n"/>
    </row>
    <row r="82">
      <c r="B82" s="6" t="inlineStr">
        <is>
          <t>Note 12: Lease liabilities</t>
        </is>
      </c>
      <c r="C82" s="8" t="inlineStr">
        <is>
          <t>a</t>
        </is>
      </c>
      <c r="D82" s="8" t="inlineStr">
        <is>
          <t>b</t>
        </is>
      </c>
      <c r="E82" s="8" t="inlineStr">
        <is>
          <t>e</t>
        </is>
      </c>
    </row>
    <row r="83">
      <c r="A83" s="10" t="inlineStr"/>
      <c r="B83" s="10" t="inlineStr">
        <is>
          <t>Particulars</t>
        </is>
      </c>
      <c r="C83" s="10" t="inlineStr">
        <is>
          <t>As at 31st March 2025</t>
        </is>
      </c>
      <c r="D83" s="10" t="inlineStr">
        <is>
          <t>As at 31st March 2024</t>
        </is>
      </c>
      <c r="E83" s="10" t="inlineStr">
        <is>
          <t>Variance</t>
        </is>
      </c>
      <c r="F83" s="10" t="inlineStr">
        <is>
          <t>Variance %</t>
        </is>
      </c>
      <c r="G83" s="10" t="inlineStr">
        <is>
          <t>Remarks</t>
        </is>
      </c>
    </row>
    <row r="84">
      <c r="A84" s="14" t="n"/>
      <c r="B84" s="14" t="inlineStr">
        <is>
          <t>As at 1 April 2023</t>
        </is>
      </c>
      <c r="C84" s="15" t="n">
        <v>0</v>
      </c>
      <c r="D84" s="15" t="n">
        <v>0</v>
      </c>
      <c r="E84" s="15">
        <f>IF(AND(NOT(ISNUMBER(C84)), NOT(ISNUMBER(D84))), "-", IF(ISNUMBER(C84), C84, 0) - IF(ISNUMBER(D84), D84, 0))</f>
        <v/>
      </c>
      <c r="F84" s="16">
        <f>IF(OR(NOT(ISNUMBER(D84)), D84=0), "-", (IF(ISNUMBER(C84), C84, 0) - D84)/ABS(D84))</f>
        <v/>
      </c>
      <c r="G84" s="14" t="n"/>
    </row>
    <row r="85">
      <c r="A85" s="14" t="n"/>
      <c r="B85" s="14" t="inlineStr">
        <is>
          <t>Additions due to renewals</t>
        </is>
      </c>
      <c r="C85" s="15" t="n">
        <v>0</v>
      </c>
      <c r="D85" s="15" t="n">
        <v>0</v>
      </c>
      <c r="E85" s="15">
        <f>IF(AND(NOT(ISNUMBER(C85)), NOT(ISNUMBER(D85))), "-", IF(ISNUMBER(C85), C85, 0) - IF(ISNUMBER(D85), D85, 0))</f>
        <v/>
      </c>
      <c r="F85" s="16">
        <f>IF(OR(NOT(ISNUMBER(D85)), D85=0), "-", (IF(ISNUMBER(C85), C85, 0) - D85)/ABS(D85))</f>
        <v/>
      </c>
      <c r="G85" s="14" t="n"/>
    </row>
    <row r="86">
      <c r="A86" s="14" t="n"/>
      <c r="B86" s="14" t="inlineStr">
        <is>
          <t>Interest</t>
        </is>
      </c>
      <c r="C86" s="15" t="n">
        <v>0</v>
      </c>
      <c r="D86" s="15" t="n">
        <v>0</v>
      </c>
      <c r="E86" s="15">
        <f>IF(AND(NOT(ISNUMBER(C86)), NOT(ISNUMBER(D86))), "-", IF(ISNUMBER(C86), C86, 0) - IF(ISNUMBER(D86), D86, 0))</f>
        <v/>
      </c>
      <c r="F86" s="16">
        <f>IF(OR(NOT(ISNUMBER(D86)), D86=0), "-", (IF(ISNUMBER(C86), C86, 0) - D86)/ABS(D86))</f>
        <v/>
      </c>
      <c r="G86" s="14" t="n"/>
    </row>
    <row r="87">
      <c r="A87" s="14" t="n"/>
      <c r="B87" s="14" t="inlineStr">
        <is>
          <t>Repayment of lease liability</t>
        </is>
      </c>
      <c r="C87" s="15" t="n">
        <v>0</v>
      </c>
      <c r="D87" s="15" t="n">
        <v>0</v>
      </c>
      <c r="E87" s="15">
        <f>IF(AND(NOT(ISNUMBER(C87)), NOT(ISNUMBER(D87))), "-", IF(ISNUMBER(C87), C87, 0) - IF(ISNUMBER(D87), D87, 0))</f>
        <v/>
      </c>
      <c r="F87" s="16">
        <f>IF(OR(NOT(ISNUMBER(D87)), D87=0), "-", (IF(ISNUMBER(C87), C87, 0) - D87)/ABS(D87))</f>
        <v/>
      </c>
      <c r="G87" s="14" t="n"/>
    </row>
    <row r="88">
      <c r="A88" s="14" t="n"/>
      <c r="B88" s="14" t="inlineStr">
        <is>
          <t>Payment of interest</t>
        </is>
      </c>
      <c r="C88" s="15" t="n">
        <v>0</v>
      </c>
      <c r="D88" s="15" t="n">
        <v>0</v>
      </c>
      <c r="E88" s="15">
        <f>IF(AND(NOT(ISNUMBER(C88)), NOT(ISNUMBER(D88))), "-", IF(ISNUMBER(C88), C88, 0) - IF(ISNUMBER(D88), D88, 0))</f>
        <v/>
      </c>
      <c r="F88" s="16">
        <f>IF(OR(NOT(ISNUMBER(D88)), D88=0), "-", (IF(ISNUMBER(C88), C88, 0) - D88)/ABS(D88))</f>
        <v/>
      </c>
      <c r="G88" s="14" t="n"/>
    </row>
    <row r="89">
      <c r="A89" s="11" t="n"/>
      <c r="B89" s="11" t="inlineStr">
        <is>
          <t>Balance as at 31 March 2024 (*)</t>
        </is>
      </c>
      <c r="C89" s="12" t="n">
        <v>0</v>
      </c>
      <c r="D89" s="12" t="n">
        <v>0</v>
      </c>
      <c r="E89" s="12">
        <f>IF(AND(NOT(ISNUMBER(C89)), NOT(ISNUMBER(D89))), "-", IF(ISNUMBER(C89), C89, 0) - IF(ISNUMBER(D89), D89, 0))</f>
        <v/>
      </c>
      <c r="F89" s="13">
        <f>IF(OR(NOT(ISNUMBER(D89)), D89=0), "-", (IF(ISNUMBER(C89), C89, 0) - D89)/ABS(D89))</f>
        <v/>
      </c>
      <c r="G89" s="11" t="n"/>
    </row>
    <row r="90">
      <c r="A90" s="14" t="n"/>
      <c r="B90" s="14" t="inlineStr">
        <is>
          <t>Additions due to renewals</t>
        </is>
      </c>
      <c r="C90" s="15" t="n">
        <v>0</v>
      </c>
      <c r="D90" s="15" t="n">
        <v>0</v>
      </c>
      <c r="E90" s="15">
        <f>IF(AND(NOT(ISNUMBER(C90)), NOT(ISNUMBER(D90))), "-", IF(ISNUMBER(C90), C90, 0) - IF(ISNUMBER(D90), D90, 0))</f>
        <v/>
      </c>
      <c r="F90" s="16">
        <f>IF(OR(NOT(ISNUMBER(D90)), D90=0), "-", (IF(ISNUMBER(C90), C90, 0) - D90)/ABS(D90))</f>
        <v/>
      </c>
      <c r="G90" s="14" t="n"/>
    </row>
    <row r="91">
      <c r="A91" s="14" t="n"/>
      <c r="B91" s="14" t="inlineStr">
        <is>
          <t>Interest expense (**)</t>
        </is>
      </c>
      <c r="C91" s="15" t="n">
        <v>0</v>
      </c>
      <c r="D91" s="15" t="n">
        <v>0</v>
      </c>
      <c r="E91" s="15">
        <f>IF(AND(NOT(ISNUMBER(C91)), NOT(ISNUMBER(D91))), "-", IF(ISNUMBER(C91), C91, 0) - IF(ISNUMBER(D91), D91, 0))</f>
        <v/>
      </c>
      <c r="F91" s="16">
        <f>IF(OR(NOT(ISNUMBER(D91)), D91=0), "-", (IF(ISNUMBER(C91), C91, 0) - D91)/ABS(D91))</f>
        <v/>
      </c>
      <c r="G91" s="14" t="n"/>
    </row>
    <row r="92">
      <c r="A92" s="14" t="n"/>
      <c r="B92" s="14" t="inlineStr">
        <is>
          <t>Repayment of lease liability (***)</t>
        </is>
      </c>
      <c r="C92" s="15" t="n">
        <v>0</v>
      </c>
      <c r="D92" s="15" t="n">
        <v>0</v>
      </c>
      <c r="E92" s="15">
        <f>IF(AND(NOT(ISNUMBER(C92)), NOT(ISNUMBER(D92))), "-", IF(ISNUMBER(C92), C92, 0) - IF(ISNUMBER(D92), D92, 0))</f>
        <v/>
      </c>
      <c r="F92" s="16">
        <f>IF(OR(NOT(ISNUMBER(D92)), D92=0), "-", (IF(ISNUMBER(C92), C92, 0) - D92)/ABS(D92))</f>
        <v/>
      </c>
      <c r="G92" s="14" t="n"/>
    </row>
    <row r="93">
      <c r="A93" s="14" t="n"/>
      <c r="B93" s="14" t="inlineStr">
        <is>
          <t>Payment of interest (**)</t>
        </is>
      </c>
      <c r="C93" s="15" t="n">
        <v>0</v>
      </c>
      <c r="D93" s="15" t="n">
        <v>0</v>
      </c>
      <c r="E93" s="15">
        <f>IF(AND(NOT(ISNUMBER(C93)), NOT(ISNUMBER(D93))), "-", IF(ISNUMBER(C93), C93, 0) - IF(ISNUMBER(D93), D93, 0))</f>
        <v/>
      </c>
      <c r="F93" s="16">
        <f>IF(OR(NOT(ISNUMBER(D93)), D93=0), "-", (IF(ISNUMBER(C93), C93, 0) - D93)/ABS(D93))</f>
        <v/>
      </c>
      <c r="G93" s="14" t="n"/>
    </row>
    <row r="94">
      <c r="A94" s="11" t="n"/>
      <c r="B94" s="11" t="inlineStr">
        <is>
          <t>Balance as at 31 March 2025 (*)</t>
        </is>
      </c>
      <c r="C94" s="12" t="n">
        <v>0</v>
      </c>
      <c r="D94" s="12" t="n">
        <v>0</v>
      </c>
      <c r="E94" s="12">
        <f>IF(AND(NOT(ISNUMBER(C94)), NOT(ISNUMBER(D94))), "-", IF(ISNUMBER(C94), C94, 0) - IF(ISNUMBER(D94), D94, 0))</f>
        <v/>
      </c>
      <c r="F94" s="13">
        <f>IF(OR(NOT(ISNUMBER(D94)), D94=0), "-", (IF(ISNUMBER(C94), C94, 0) - D94)/ABS(D94))</f>
        <v/>
      </c>
      <c r="G94" s="11" t="n"/>
    </row>
    <row r="95">
      <c r="A95" s="14" t="n"/>
      <c r="B95" s="14" t="inlineStr">
        <is>
          <t>(*) Includes finance lease liability payable to related parties amounting to ₹  40  (31 March 2024 : ₹ 73). (refer note 28)</t>
        </is>
      </c>
      <c r="C95" s="15" t="n">
        <v>0</v>
      </c>
      <c r="D95" s="15" t="n">
        <v>0</v>
      </c>
      <c r="E95" s="15">
        <f>IF(AND(NOT(ISNUMBER(C95)), NOT(ISNUMBER(D95))), "-", IF(ISNUMBER(C95), C95, 0) - IF(ISNUMBER(D95), D95, 0))</f>
        <v/>
      </c>
      <c r="F95" s="16">
        <f>IF(OR(NOT(ISNUMBER(D95)), D95=0), "-", (IF(ISNUMBER(C95), C95, 0) - D95)/ABS(D95))</f>
        <v/>
      </c>
      <c r="G95" s="14" t="n"/>
    </row>
    <row r="96">
      <c r="A96" s="14" t="n"/>
      <c r="B96" s="14" t="inlineStr">
        <is>
          <t>(**) Includes interest and payment of interest to related parties amounting to ₹   4    (31 March 2023 : ₹ 6). (refer note 28)</t>
        </is>
      </c>
      <c r="C96" s="15" t="n">
        <v>0</v>
      </c>
      <c r="D96" s="15" t="n">
        <v>0</v>
      </c>
      <c r="E96" s="15">
        <f>IF(AND(NOT(ISNUMBER(C96)), NOT(ISNUMBER(D96))), "-", IF(ISNUMBER(C96), C96, 0) - IF(ISNUMBER(D96), D96, 0))</f>
        <v/>
      </c>
      <c r="F96" s="16">
        <f>IF(OR(NOT(ISNUMBER(D96)), D96=0), "-", (IF(ISNUMBER(C96), C96, 0) - D96)/ABS(D96))</f>
        <v/>
      </c>
      <c r="G96" s="14" t="n"/>
    </row>
    <row r="97">
      <c r="A97" s="14" t="n"/>
      <c r="B97" s="14" t="inlineStr">
        <is>
          <t>(***) Includes repayment of lease liability to related parties amounting to ₹ 32    (31 March 2023 : ₹ 30). (refer note 28)</t>
        </is>
      </c>
      <c r="C97" s="15" t="n">
        <v>0</v>
      </c>
      <c r="D97" s="15" t="n">
        <v>0</v>
      </c>
      <c r="E97" s="15">
        <f>IF(AND(NOT(ISNUMBER(C97)), NOT(ISNUMBER(D97))), "-", IF(ISNUMBER(C97), C97, 0) - IF(ISNUMBER(D97), D97, 0))</f>
        <v/>
      </c>
      <c r="F97" s="16">
        <f>IF(OR(NOT(ISNUMBER(D97)), D97=0), "-", (IF(ISNUMBER(C97), C97, 0) - D97)/ABS(D97))</f>
        <v/>
      </c>
      <c r="G97" s="14" t="n"/>
    </row>
    <row r="98">
      <c r="A98" s="14" t="n"/>
      <c r="B98" s="14" t="inlineStr">
        <is>
          <t>Non-current</t>
        </is>
      </c>
      <c r="C98" s="15" t="n">
        <v>0</v>
      </c>
      <c r="D98" s="15" t="n">
        <v>0</v>
      </c>
      <c r="E98" s="15">
        <f>IF(AND(NOT(ISNUMBER(C98)), NOT(ISNUMBER(D98))), "-", IF(ISNUMBER(C98), C98, 0) - IF(ISNUMBER(D98), D98, 0))</f>
        <v/>
      </c>
      <c r="F98" s="16">
        <f>IF(OR(NOT(ISNUMBER(D98)), D98=0), "-", (IF(ISNUMBER(C98), C98, 0) - D98)/ABS(D98))</f>
        <v/>
      </c>
      <c r="G98" s="14" t="n"/>
    </row>
    <row r="99">
      <c r="A99" s="14" t="n"/>
      <c r="B99" s="14" t="inlineStr">
        <is>
          <t>Current</t>
        </is>
      </c>
      <c r="C99" s="15" t="n">
        <v>0</v>
      </c>
      <c r="D99" s="15" t="n">
        <v>0</v>
      </c>
      <c r="E99" s="15">
        <f>IF(AND(NOT(ISNUMBER(C99)), NOT(ISNUMBER(D99))), "-", IF(ISNUMBER(C99), C99, 0) - IF(ISNUMBER(D99), D99, 0))</f>
        <v/>
      </c>
      <c r="F99" s="16">
        <f>IF(OR(NOT(ISNUMBER(D99)), D99=0), "-", (IF(ISNUMBER(C99), C99, 0) - D99)/ABS(D99))</f>
        <v/>
      </c>
      <c r="G99" s="14" t="n"/>
    </row>
    <row r="100">
      <c r="A100" s="11" t="n"/>
      <c r="B100" s="11" t="inlineStr">
        <is>
          <t>Total</t>
        </is>
      </c>
      <c r="C100" s="12" t="n">
        <v>0</v>
      </c>
      <c r="D100" s="12" t="n">
        <v>0</v>
      </c>
      <c r="E100" s="12">
        <f>IF(AND(NOT(ISNUMBER(C100)), NOT(ISNUMBER(D100))), "-", IF(ISNUMBER(C100), C100, 0) - IF(ISNUMBER(D100), D100, 0))</f>
        <v/>
      </c>
      <c r="F100" s="13">
        <f>IF(OR(NOT(ISNUMBER(D100)), D100=0), "-", (IF(ISNUMBER(C100), C100, 0) - D100)/ABS(D100))</f>
        <v/>
      </c>
      <c r="G100" s="11" t="n"/>
    </row>
    <row r="101">
      <c r="A101" s="11" t="n"/>
      <c r="B101" s="11" t="inlineStr">
        <is>
          <t>Finance lease liabilities are repayable as follows:</t>
        </is>
      </c>
      <c r="C101" s="12" t="n">
        <v>0</v>
      </c>
      <c r="D101" s="12" t="n">
        <v>0</v>
      </c>
      <c r="E101" s="12">
        <f>IF(AND(NOT(ISNUMBER(C101)), NOT(ISNUMBER(D101))), "-", IF(ISNUMBER(C101), C101, 0) - IF(ISNUMBER(D101), D101, 0))</f>
        <v/>
      </c>
      <c r="F101" s="13">
        <f>IF(OR(NOT(ISNUMBER(D101)), D101=0), "-", (IF(ISNUMBER(C101), C101, 0) - D101)/ABS(D101))</f>
        <v/>
      </c>
      <c r="G101" s="11" t="n"/>
    </row>
    <row r="102">
      <c r="A102" s="14" t="n"/>
      <c r="B102" s="14" t="inlineStr">
        <is>
          <t>Finance leases</t>
        </is>
      </c>
      <c r="C102" s="15" t="n">
        <v>0</v>
      </c>
      <c r="D102" s="15" t="n">
        <v>0</v>
      </c>
      <c r="E102" s="15">
        <f>IF(AND(NOT(ISNUMBER(C102)), NOT(ISNUMBER(D102))), "-", IF(ISNUMBER(C102), C102, 0) - IF(ISNUMBER(D102), D102, 0))</f>
        <v/>
      </c>
      <c r="F102" s="16">
        <f>IF(OR(NOT(ISNUMBER(D102)), D102=0), "-", (IF(ISNUMBER(C102), C102, 0) - D102)/ABS(D102))</f>
        <v/>
      </c>
      <c r="G102" s="14" t="n"/>
    </row>
    <row r="103">
      <c r="A103" s="14" t="n"/>
      <c r="B103" s="14" t="inlineStr">
        <is>
          <t>Finance leases</t>
        </is>
      </c>
      <c r="C103" s="15" t="n">
        <v>0</v>
      </c>
      <c r="D103" s="15" t="n">
        <v>0</v>
      </c>
      <c r="E103" s="15">
        <f>IF(AND(NOT(ISNUMBER(C103)), NOT(ISNUMBER(D103))), "-", IF(ISNUMBER(C103), C103, 0) - IF(ISNUMBER(D103), D103, 0))</f>
        <v/>
      </c>
      <c r="F103" s="16">
        <f>IF(OR(NOT(ISNUMBER(D103)), D103=0), "-", (IF(ISNUMBER(C103), C103, 0) - D103)/ABS(D103))</f>
        <v/>
      </c>
      <c r="G103" s="14" t="n"/>
    </row>
    <row r="104">
      <c r="A104" s="11" t="n"/>
      <c r="B104" s="11" t="inlineStr">
        <is>
          <t>Future minimum finance lease payments as at the end of the reporting period are as follows:</t>
        </is>
      </c>
      <c r="C104" s="12" t="n">
        <v>0</v>
      </c>
      <c r="D104" s="12" t="n">
        <v>0</v>
      </c>
      <c r="E104" s="12">
        <f>IF(AND(NOT(ISNUMBER(C104)), NOT(ISNUMBER(D104))), "-", IF(ISNUMBER(C104), C104, 0) - IF(ISNUMBER(D104), D104, 0))</f>
        <v/>
      </c>
      <c r="F104" s="13">
        <f>IF(OR(NOT(ISNUMBER(D104)), D104=0), "-", (IF(ISNUMBER(C104), C104, 0) - D104)/ABS(D104))</f>
        <v/>
      </c>
      <c r="G104" s="11" t="n"/>
    </row>
    <row r="105">
      <c r="A105" s="14" t="n"/>
      <c r="B105" s="14" t="inlineStr">
        <is>
          <t>Lease payments</t>
        </is>
      </c>
      <c r="C105" s="15" t="n">
        <v>0</v>
      </c>
      <c r="D105" s="15" t="n">
        <v>0</v>
      </c>
      <c r="E105" s="15">
        <f>IF(AND(NOT(ISNUMBER(C105)), NOT(ISNUMBER(D105))), "-", IF(ISNUMBER(C105), C105, 0) - IF(ISNUMBER(D105), D105, 0))</f>
        <v/>
      </c>
      <c r="F105" s="16">
        <f>IF(OR(NOT(ISNUMBER(D105)), D105=0), "-", (IF(ISNUMBER(C105), C105, 0) - D105)/ABS(D105))</f>
        <v/>
      </c>
      <c r="G105" s="14" t="n"/>
    </row>
    <row r="106">
      <c r="A106" s="14" t="n"/>
      <c r="B106" s="14" t="inlineStr">
        <is>
          <t>Finance charges</t>
        </is>
      </c>
      <c r="C106" s="15" t="n">
        <v>0</v>
      </c>
      <c r="D106" s="15" t="n">
        <v>0</v>
      </c>
      <c r="E106" s="15">
        <f>IF(AND(NOT(ISNUMBER(C106)), NOT(ISNUMBER(D106))), "-", IF(ISNUMBER(C106), C106, 0) - IF(ISNUMBER(D106), D106, 0))</f>
        <v/>
      </c>
      <c r="F106" s="16">
        <f>IF(OR(NOT(ISNUMBER(D106)), D106=0), "-", (IF(ISNUMBER(C106), C106, 0) - D106)/ABS(D106))</f>
        <v/>
      </c>
      <c r="G106" s="14" t="n"/>
    </row>
    <row r="107">
      <c r="A107" s="11" t="n"/>
      <c r="B107" s="11" t="inlineStr">
        <is>
          <t>Net present value</t>
        </is>
      </c>
      <c r="C107" s="12" t="n">
        <v>0</v>
      </c>
      <c r="D107" s="12" t="n">
        <v>0</v>
      </c>
      <c r="E107" s="12">
        <f>IF(AND(NOT(ISNUMBER(C107)), NOT(ISNUMBER(D107))), "-", IF(ISNUMBER(C107), C107, 0) - IF(ISNUMBER(D107), D107, 0))</f>
        <v/>
      </c>
      <c r="F107" s="13">
        <f>IF(OR(NOT(ISNUMBER(D107)), D107=0), "-", (IF(ISNUMBER(C107), C107, 0) - D107)/ABS(D107))</f>
        <v/>
      </c>
      <c r="G107" s="11" t="n"/>
    </row>
    <row r="108">
      <c r="A108" s="14" t="n"/>
      <c r="B108" s="14" t="inlineStr">
        <is>
          <t>Lease payments</t>
        </is>
      </c>
      <c r="C108" s="15" t="n">
        <v>0</v>
      </c>
      <c r="D108" s="15" t="n">
        <v>0</v>
      </c>
      <c r="E108" s="15">
        <f>IF(AND(NOT(ISNUMBER(C108)), NOT(ISNUMBER(D108))), "-", IF(ISNUMBER(C108), C108, 0) - IF(ISNUMBER(D108), D108, 0))</f>
        <v/>
      </c>
      <c r="F108" s="16">
        <f>IF(OR(NOT(ISNUMBER(D108)), D108=0), "-", (IF(ISNUMBER(C108), C108, 0) - D108)/ABS(D108))</f>
        <v/>
      </c>
      <c r="G108" s="14" t="n"/>
    </row>
    <row r="109">
      <c r="A109" s="14" t="n"/>
      <c r="B109" s="14" t="inlineStr">
        <is>
          <t>Finance charges</t>
        </is>
      </c>
      <c r="C109" s="15" t="n">
        <v>0</v>
      </c>
      <c r="D109" s="15" t="n">
        <v>0</v>
      </c>
      <c r="E109" s="15">
        <f>IF(AND(NOT(ISNUMBER(C109)), NOT(ISNUMBER(D109))), "-", IF(ISNUMBER(C109), C109, 0) - IF(ISNUMBER(D109), D109, 0))</f>
        <v/>
      </c>
      <c r="F109" s="16">
        <f>IF(OR(NOT(ISNUMBER(D109)), D109=0), "-", (IF(ISNUMBER(C109), C109, 0) - D109)/ABS(D109))</f>
        <v/>
      </c>
      <c r="G109" s="14" t="n"/>
    </row>
    <row r="110">
      <c r="A110" s="11" t="n"/>
      <c r="B110" s="11" t="inlineStr">
        <is>
          <t>Net present value</t>
        </is>
      </c>
      <c r="C110" s="12" t="n">
        <v>0</v>
      </c>
      <c r="D110" s="12" t="n">
        <v>0</v>
      </c>
      <c r="E110" s="12">
        <f>IF(AND(NOT(ISNUMBER(C110)), NOT(ISNUMBER(D110))), "-", IF(ISNUMBER(C110), C110, 0) - IF(ISNUMBER(D110), D110, 0))</f>
        <v/>
      </c>
      <c r="F110" s="13">
        <f>IF(OR(NOT(ISNUMBER(D110)), D110=0), "-", (IF(ISNUMBER(C110), C110, 0) - D110)/ABS(D110))</f>
        <v/>
      </c>
      <c r="G110" s="11" t="n"/>
    </row>
    <row r="113">
      <c r="B113" s="6" t="inlineStr">
        <is>
          <t>Note 13: Employee benefit obligations</t>
        </is>
      </c>
      <c r="C113" s="8" t="inlineStr">
        <is>
          <t>a</t>
        </is>
      </c>
      <c r="D113" s="8" t="inlineStr">
        <is>
          <t>b</t>
        </is>
      </c>
      <c r="E113" s="8" t="inlineStr">
        <is>
          <t>e</t>
        </is>
      </c>
    </row>
    <row r="114">
      <c r="A114" s="10" t="inlineStr"/>
      <c r="B114" s="10" t="inlineStr">
        <is>
          <t>Particulars</t>
        </is>
      </c>
      <c r="C114" s="10" t="inlineStr">
        <is>
          <t>As at 31st March 2025</t>
        </is>
      </c>
      <c r="D114" s="10" t="inlineStr">
        <is>
          <t>As at 31st March 2024</t>
        </is>
      </c>
      <c r="E114" s="10" t="inlineStr">
        <is>
          <t>Variance</t>
        </is>
      </c>
      <c r="F114" s="10" t="inlineStr">
        <is>
          <t>Variance %</t>
        </is>
      </c>
      <c r="G114" s="10" t="inlineStr">
        <is>
          <t>Remarks</t>
        </is>
      </c>
    </row>
    <row r="115">
      <c r="A115" s="14" t="n"/>
      <c r="B115" s="14" t="inlineStr">
        <is>
          <t>Provision for gratuity (refer note 26 (c))</t>
        </is>
      </c>
      <c r="C115" s="15" t="n">
        <v>1222499</v>
      </c>
      <c r="D115" s="15" t="n">
        <v>1484197</v>
      </c>
      <c r="E115" s="15">
        <f>IF(AND(NOT(ISNUMBER(C115)), NOT(ISNUMBER(D115))), "-", IF(ISNUMBER(C115), C115, 0) - IF(ISNUMBER(D115), D115, 0))</f>
        <v/>
      </c>
      <c r="F115" s="16">
        <f>IF(OR(NOT(ISNUMBER(D115)), D115=0), "-", (IF(ISNUMBER(C115), C115, 0) - D115)/ABS(D115))</f>
        <v/>
      </c>
      <c r="G115" s="14" t="n"/>
    </row>
    <row r="116">
      <c r="A116" s="14" t="n"/>
      <c r="B116" s="14" t="inlineStr">
        <is>
          <t>Provision for compensated absences(refer note 28(b))</t>
        </is>
      </c>
      <c r="C116" s="15" t="n">
        <v>0</v>
      </c>
      <c r="D116" s="15" t="n">
        <v>0</v>
      </c>
      <c r="E116" s="15">
        <f>IF(AND(NOT(ISNUMBER(C116)), NOT(ISNUMBER(D116))), "-", IF(ISNUMBER(C116), C116, 0) - IF(ISNUMBER(D116), D116, 0))</f>
        <v/>
      </c>
      <c r="F116" s="16">
        <f>IF(OR(NOT(ISNUMBER(D116)), D116=0), "-", (IF(ISNUMBER(C116), C116, 0) - D116)/ABS(D116))</f>
        <v/>
      </c>
      <c r="G116" s="14" t="n"/>
    </row>
    <row r="117">
      <c r="A117" s="14" t="n"/>
      <c r="B117" s="14" t="inlineStr">
        <is>
          <t>Gratuity liability in respect of inter company transfer employees</t>
        </is>
      </c>
      <c r="C117" s="15" t="n">
        <v>0</v>
      </c>
      <c r="D117" s="15" t="n">
        <v>0</v>
      </c>
      <c r="E117" s="15">
        <f>IF(AND(NOT(ISNUMBER(C117)), NOT(ISNUMBER(D117))), "-", IF(ISNUMBER(C117), C117, 0) - IF(ISNUMBER(D117), D117, 0))</f>
        <v/>
      </c>
      <c r="F117" s="16">
        <f>IF(OR(NOT(ISNUMBER(D117)), D117=0), "-", (IF(ISNUMBER(C117), C117, 0) - D117)/ABS(D117))</f>
        <v/>
      </c>
      <c r="G117" s="14" t="n"/>
    </row>
    <row r="118">
      <c r="A118" s="11" t="n"/>
      <c r="B118" s="11" t="inlineStr">
        <is>
          <t>Total</t>
        </is>
      </c>
      <c r="C118" s="12" t="n">
        <v>1222499</v>
      </c>
      <c r="D118" s="12" t="n">
        <v>1484197</v>
      </c>
      <c r="E118" s="12">
        <f>IF(AND(NOT(ISNUMBER(C118)), NOT(ISNUMBER(D118))), "-", IF(ISNUMBER(C118), C118, 0) - IF(ISNUMBER(D118), D118, 0))</f>
        <v/>
      </c>
      <c r="F118" s="13">
        <f>IF(OR(NOT(ISNUMBER(D118)), D118=0), "-", (IF(ISNUMBER(C118), C118, 0) - D118)/ABS(D118))</f>
        <v/>
      </c>
      <c r="G118" s="11" t="n"/>
    </row>
    <row r="119">
      <c r="A119" s="11" t="n"/>
      <c r="B119" s="11" t="inlineStr">
        <is>
          <t>Current</t>
        </is>
      </c>
      <c r="C119" s="12" t="n">
        <v>0</v>
      </c>
      <c r="D119" s="12" t="n">
        <v>0</v>
      </c>
      <c r="E119" s="12">
        <f>IF(AND(NOT(ISNUMBER(C119)), NOT(ISNUMBER(D119))), "-", IF(ISNUMBER(C119), C119, 0) - IF(ISNUMBER(D119), D119, 0))</f>
        <v/>
      </c>
      <c r="F119" s="13">
        <f>IF(OR(NOT(ISNUMBER(D119)), D119=0), "-", (IF(ISNUMBER(C119), C119, 0) - D119)/ABS(D119))</f>
        <v/>
      </c>
      <c r="G119" s="11" t="n"/>
    </row>
    <row r="120">
      <c r="A120" s="14" t="n"/>
      <c r="B120" s="14" t="inlineStr">
        <is>
          <t>Provision for gratuity (refer note 26 (c))</t>
        </is>
      </c>
      <c r="C120" s="15" t="n">
        <v>285026</v>
      </c>
      <c r="D120" s="15" t="n">
        <v>683656</v>
      </c>
      <c r="E120" s="15">
        <f>IF(AND(NOT(ISNUMBER(C120)), NOT(ISNUMBER(D120))), "-", IF(ISNUMBER(C120), C120, 0) - IF(ISNUMBER(D120), D120, 0))</f>
        <v/>
      </c>
      <c r="F120" s="16">
        <f>IF(OR(NOT(ISNUMBER(D120)), D120=0), "-", (IF(ISNUMBER(C120), C120, 0) - D120)/ABS(D120))</f>
        <v/>
      </c>
      <c r="G120" s="14" t="n"/>
    </row>
    <row r="121">
      <c r="A121" s="14" t="n"/>
      <c r="B121" s="14" t="inlineStr">
        <is>
          <t>Provision for compensated absences(refer note 26(b))</t>
        </is>
      </c>
      <c r="C121" s="15" t="n">
        <v>185065</v>
      </c>
      <c r="D121" s="15" t="n">
        <v>248339</v>
      </c>
      <c r="E121" s="15">
        <f>IF(AND(NOT(ISNUMBER(C121)), NOT(ISNUMBER(D121))), "-", IF(ISNUMBER(C121), C121, 0) - IF(ISNUMBER(D121), D121, 0))</f>
        <v/>
      </c>
      <c r="F121" s="16">
        <f>IF(OR(NOT(ISNUMBER(D121)), D121=0), "-", (IF(ISNUMBER(C121), C121, 0) - D121)/ABS(D121))</f>
        <v/>
      </c>
      <c r="G121" s="14" t="n"/>
    </row>
    <row r="122">
      <c r="A122" s="14" t="n"/>
      <c r="B122" s="14" t="inlineStr">
        <is>
          <t>Gratuity liability in respect of inter company transfer employees</t>
        </is>
      </c>
      <c r="C122" s="15" t="n">
        <v>0</v>
      </c>
      <c r="D122" s="15" t="n">
        <v>0</v>
      </c>
      <c r="E122" s="15">
        <f>IF(AND(NOT(ISNUMBER(C122)), NOT(ISNUMBER(D122))), "-", IF(ISNUMBER(C122), C122, 0) - IF(ISNUMBER(D122), D122, 0))</f>
        <v/>
      </c>
      <c r="F122" s="16">
        <f>IF(OR(NOT(ISNUMBER(D122)), D122=0), "-", (IF(ISNUMBER(C122), C122, 0) - D122)/ABS(D122))</f>
        <v/>
      </c>
      <c r="G122" s="14" t="n"/>
    </row>
    <row r="123">
      <c r="A123" s="11" t="n"/>
      <c r="B123" s="11" t="inlineStr">
        <is>
          <t>Total</t>
        </is>
      </c>
      <c r="C123" s="12" t="n">
        <v>470091</v>
      </c>
      <c r="D123" s="12" t="n">
        <v>931995</v>
      </c>
      <c r="E123" s="12">
        <f>IF(AND(NOT(ISNUMBER(C123)), NOT(ISNUMBER(D123))), "-", IF(ISNUMBER(C123), C123, 0) - IF(ISNUMBER(D123), D123, 0))</f>
        <v/>
      </c>
      <c r="F123" s="13">
        <f>IF(OR(NOT(ISNUMBER(D123)), D123=0), "-", (IF(ISNUMBER(C123), C123, 0) - D123)/ABS(D123))</f>
        <v/>
      </c>
      <c r="G123" s="11" t="n"/>
    </row>
    <row r="126">
      <c r="B126" s="6" t="inlineStr">
        <is>
          <t>Note 14: Deferred tax (assets)/ liabilities (net)</t>
        </is>
      </c>
      <c r="C126" s="8" t="inlineStr">
        <is>
          <t>a</t>
        </is>
      </c>
      <c r="D126" s="8" t="inlineStr">
        <is>
          <t>b</t>
        </is>
      </c>
      <c r="E126" s="8" t="inlineStr">
        <is>
          <t>e</t>
        </is>
      </c>
    </row>
    <row r="127">
      <c r="A127" s="10" t="inlineStr"/>
      <c r="B127" s="10" t="inlineStr">
        <is>
          <t>Particulars</t>
        </is>
      </c>
      <c r="C127" s="10" t="inlineStr">
        <is>
          <t>As at 31st March 2025</t>
        </is>
      </c>
      <c r="D127" s="10" t="inlineStr">
        <is>
          <t>As at 31st March 2024</t>
        </is>
      </c>
      <c r="E127" s="10" t="inlineStr">
        <is>
          <t>Variance</t>
        </is>
      </c>
      <c r="F127" s="10" t="inlineStr">
        <is>
          <t>Variance %</t>
        </is>
      </c>
      <c r="G127" s="10" t="inlineStr">
        <is>
          <t>Remarks</t>
        </is>
      </c>
    </row>
    <row r="128">
      <c r="A128" s="11" t="n"/>
      <c r="B128" s="11" t="inlineStr">
        <is>
          <t>Deferred tax liabilities</t>
        </is>
      </c>
      <c r="C128" s="12" t="n">
        <v>0</v>
      </c>
      <c r="D128" s="12" t="n">
        <v>0</v>
      </c>
      <c r="E128" s="12">
        <f>IF(AND(NOT(ISNUMBER(C128)), NOT(ISNUMBER(D128))), "-", IF(ISNUMBER(C128), C128, 0) - IF(ISNUMBER(D128), D128, 0))</f>
        <v/>
      </c>
      <c r="F128" s="13">
        <f>IF(OR(NOT(ISNUMBER(D128)), D128=0), "-", (IF(ISNUMBER(C128), C128, 0) - D128)/ABS(D128))</f>
        <v/>
      </c>
      <c r="G128" s="11" t="n"/>
    </row>
    <row r="129">
      <c r="A129" s="14" t="n"/>
      <c r="B129" s="14" t="inlineStr">
        <is>
          <t>Unrealized gain on investments</t>
        </is>
      </c>
      <c r="C129" s="15" t="n">
        <v>0</v>
      </c>
      <c r="D129" s="15" t="n">
        <v>0</v>
      </c>
      <c r="E129" s="15">
        <f>IF(AND(NOT(ISNUMBER(C129)), NOT(ISNUMBER(D129))), "-", IF(ISNUMBER(C129), C129, 0) - IF(ISNUMBER(D129), D129, 0))</f>
        <v/>
      </c>
      <c r="F129" s="16">
        <f>IF(OR(NOT(ISNUMBER(D129)), D129=0), "-", (IF(ISNUMBER(C129), C129, 0) - D129)/ABS(D129))</f>
        <v/>
      </c>
      <c r="G129" s="14" t="n"/>
    </row>
    <row r="130">
      <c r="A130" s="14" t="n"/>
      <c r="B130" s="14" t="inlineStr">
        <is>
          <t>Other timing differences</t>
        </is>
      </c>
      <c r="C130" s="15" t="n">
        <v>0</v>
      </c>
      <c r="D130" s="15" t="n">
        <v>0</v>
      </c>
      <c r="E130" s="15">
        <f>IF(AND(NOT(ISNUMBER(C130)), NOT(ISNUMBER(D130))), "-", IF(ISNUMBER(C130), C130, 0) - IF(ISNUMBER(D130), D130, 0))</f>
        <v/>
      </c>
      <c r="F130" s="16">
        <f>IF(OR(NOT(ISNUMBER(D130)), D130=0), "-", (IF(ISNUMBER(C130), C130, 0) - D130)/ABS(D130))</f>
        <v/>
      </c>
      <c r="G130" s="14" t="n"/>
    </row>
    <row r="131">
      <c r="A131" s="14" t="n"/>
      <c r="B131" s="14" t="inlineStr">
        <is>
          <t>Tax on buyback of preference shares</t>
        </is>
      </c>
      <c r="C131" s="15" t="n">
        <v>0</v>
      </c>
      <c r="D131" s="15" t="n">
        <v>0</v>
      </c>
      <c r="E131" s="15">
        <f>IF(AND(NOT(ISNUMBER(C131)), NOT(ISNUMBER(D131))), "-", IF(ISNUMBER(C131), C131, 0) - IF(ISNUMBER(D131), D131, 0))</f>
        <v/>
      </c>
      <c r="F131" s="16">
        <f>IF(OR(NOT(ISNUMBER(D131)), D131=0), "-", (IF(ISNUMBER(C131), C131, 0) - D131)/ABS(D131))</f>
        <v/>
      </c>
      <c r="G131" s="14" t="n"/>
    </row>
    <row r="132">
      <c r="A132" s="11" t="n"/>
      <c r="B132" s="11" t="inlineStr">
        <is>
          <t>Total deferred tax liabilities</t>
        </is>
      </c>
      <c r="C132" s="12" t="n">
        <v>0</v>
      </c>
      <c r="D132" s="12" t="n">
        <v>0</v>
      </c>
      <c r="E132" s="12">
        <f>IF(AND(NOT(ISNUMBER(C132)), NOT(ISNUMBER(D132))), "-", IF(ISNUMBER(C132), C132, 0) - IF(ISNUMBER(D132), D132, 0))</f>
        <v/>
      </c>
      <c r="F132" s="13">
        <f>IF(OR(NOT(ISNUMBER(D132)), D132=0), "-", (IF(ISNUMBER(C132), C132, 0) - D132)/ABS(D132))</f>
        <v/>
      </c>
      <c r="G132" s="11" t="n"/>
    </row>
    <row r="133">
      <c r="A133" s="11" t="n"/>
      <c r="B133" s="11" t="inlineStr">
        <is>
          <t>Deferred tax assets</t>
        </is>
      </c>
      <c r="C133" s="12" t="n">
        <v>0</v>
      </c>
      <c r="D133" s="12" t="n">
        <v>0</v>
      </c>
      <c r="E133" s="12">
        <f>IF(AND(NOT(ISNUMBER(C133)), NOT(ISNUMBER(D133))), "-", IF(ISNUMBER(C133), C133, 0) - IF(ISNUMBER(D133), D133, 0))</f>
        <v/>
      </c>
      <c r="F133" s="13">
        <f>IF(OR(NOT(ISNUMBER(D133)), D133=0), "-", (IF(ISNUMBER(C133), C133, 0) - D133)/ABS(D133))</f>
        <v/>
      </c>
      <c r="G133" s="11" t="n"/>
    </row>
    <row r="134">
      <c r="A134" s="14" t="n"/>
      <c r="B134" s="14" t="inlineStr">
        <is>
          <t>Provision for employee benefits</t>
        </is>
      </c>
      <c r="C134" s="15" t="n">
        <v>510863</v>
      </c>
      <c r="D134" s="15" t="n">
        <v>697189</v>
      </c>
      <c r="E134" s="15">
        <f>IF(AND(NOT(ISNUMBER(C134)), NOT(ISNUMBER(D134))), "-", IF(ISNUMBER(C134), C134, 0) - IF(ISNUMBER(D134), D134, 0))</f>
        <v/>
      </c>
      <c r="F134" s="16">
        <f>IF(OR(NOT(ISNUMBER(D134)), D134=0), "-", (IF(ISNUMBER(C134), C134, 0) - D134)/ABS(D134))</f>
        <v/>
      </c>
      <c r="G134" s="14" t="n"/>
    </row>
    <row r="135">
      <c r="A135" s="14" t="n"/>
      <c r="B135" s="14" t="inlineStr">
        <is>
          <t>Depreciation on property and equipment (#)</t>
        </is>
      </c>
      <c r="C135" s="15" t="n">
        <v>0</v>
      </c>
      <c r="D135" s="15" t="n">
        <v>0</v>
      </c>
      <c r="E135" s="15">
        <f>IF(AND(NOT(ISNUMBER(C135)), NOT(ISNUMBER(D135))), "-", IF(ISNUMBER(C135), C135, 0) - IF(ISNUMBER(D135), D135, 0))</f>
        <v/>
      </c>
      <c r="F135" s="16">
        <f>IF(OR(NOT(ISNUMBER(D135)), D135=0), "-", (IF(ISNUMBER(C135), C135, 0) - D135)/ABS(D135))</f>
        <v/>
      </c>
      <c r="G135" s="14" t="n"/>
    </row>
    <row r="136">
      <c r="A136" s="14" t="n"/>
      <c r="B136" s="14" t="inlineStr">
        <is>
          <t>MAT credit entitlement</t>
        </is>
      </c>
      <c r="C136" s="15" t="n">
        <v>2635385</v>
      </c>
      <c r="D136" s="15" t="n">
        <v>5812473</v>
      </c>
      <c r="E136" s="15">
        <f>IF(AND(NOT(ISNUMBER(C136)), NOT(ISNUMBER(D136))), "-", IF(ISNUMBER(C136), C136, 0) - IF(ISNUMBER(D136), D136, 0))</f>
        <v/>
      </c>
      <c r="F136" s="16">
        <f>IF(OR(NOT(ISNUMBER(D136)), D136=0), "-", (IF(ISNUMBER(C136), C136, 0) - D136)/ABS(D136))</f>
        <v/>
      </c>
      <c r="G136" s="14" t="n"/>
    </row>
    <row r="137">
      <c r="A137" s="14" t="n"/>
      <c r="B137" s="14" t="inlineStr">
        <is>
          <t>Lease liability</t>
        </is>
      </c>
      <c r="C137" s="15" t="n">
        <v>182614</v>
      </c>
      <c r="D137" s="15" t="n">
        <v>258213</v>
      </c>
      <c r="E137" s="15">
        <f>IF(AND(NOT(ISNUMBER(C137)), NOT(ISNUMBER(D137))), "-", IF(ISNUMBER(C137), C137, 0) - IF(ISNUMBER(D137), D137, 0))</f>
        <v/>
      </c>
      <c r="F137" s="16">
        <f>IF(OR(NOT(ISNUMBER(D137)), D137=0), "-", (IF(ISNUMBER(C137), C137, 0) - D137)/ABS(D137))</f>
        <v/>
      </c>
      <c r="G137" s="14" t="n"/>
    </row>
    <row r="138">
      <c r="A138" s="14" t="n"/>
      <c r="B138" s="14" t="inlineStr">
        <is>
          <t>Others (#)</t>
        </is>
      </c>
      <c r="C138" s="15" t="n">
        <v>0</v>
      </c>
      <c r="D138" s="15" t="n">
        <v>0</v>
      </c>
      <c r="E138" s="15">
        <f>IF(AND(NOT(ISNUMBER(C138)), NOT(ISNUMBER(D138))), "-", IF(ISNUMBER(C138), C138, 0) - IF(ISNUMBER(D138), D138, 0))</f>
        <v/>
      </c>
      <c r="F138" s="16">
        <f>IF(OR(NOT(ISNUMBER(D138)), D138=0), "-", (IF(ISNUMBER(C138), C138, 0) - D138)/ABS(D138))</f>
        <v/>
      </c>
      <c r="G138" s="14" t="n"/>
    </row>
    <row r="139">
      <c r="A139" s="11" t="n"/>
      <c r="B139" s="11" t="inlineStr">
        <is>
          <t>Total deferred tax (assets) / liabilities</t>
        </is>
      </c>
      <c r="C139" s="12" t="n">
        <v>3328862</v>
      </c>
      <c r="D139" s="12" t="n">
        <v>6767875</v>
      </c>
      <c r="E139" s="12">
        <f>IF(AND(NOT(ISNUMBER(C139)), NOT(ISNUMBER(D139))), "-", IF(ISNUMBER(C139), C139, 0) - IF(ISNUMBER(D139), D139, 0))</f>
        <v/>
      </c>
      <c r="F139" s="13">
        <f>IF(OR(NOT(ISNUMBER(D139)), D139=0), "-", (IF(ISNUMBER(C139), C139, 0) - D139)/ABS(D139))</f>
        <v/>
      </c>
      <c r="G139" s="11" t="n"/>
    </row>
    <row r="140">
      <c r="A140" s="11" t="n"/>
      <c r="B140" s="11" t="inlineStr">
        <is>
          <t>Deferred tax (assets) /  liabilities (net)</t>
        </is>
      </c>
      <c r="C140" s="12" t="n">
        <v>-3328862</v>
      </c>
      <c r="D140" s="12" t="n">
        <v>-6767875</v>
      </c>
      <c r="E140" s="12">
        <f>IF(AND(NOT(ISNUMBER(C140)), NOT(ISNUMBER(D140))), "-", IF(ISNUMBER(C140), C140, 0) - IF(ISNUMBER(D140), D140, 0))</f>
        <v/>
      </c>
      <c r="F140" s="13">
        <f>IF(OR(NOT(ISNUMBER(D140)), D140=0), "-", (IF(ISNUMBER(C140), C140, 0) - D140)/ABS(D140))</f>
        <v/>
      </c>
      <c r="G140" s="11" t="n"/>
    </row>
    <row r="141">
      <c r="A141" s="14" t="n"/>
      <c r="B141" s="14" t="inlineStr">
        <is>
          <t>Tax on buyback of preference shares ₹ 264 Lakhs reversed due to changes in recent financial budget</t>
        </is>
      </c>
      <c r="C141" s="15" t="n">
        <v>0</v>
      </c>
      <c r="D141" s="15" t="n">
        <v>0</v>
      </c>
      <c r="E141" s="15">
        <f>IF(AND(NOT(ISNUMBER(C141)), NOT(ISNUMBER(D141))), "-", IF(ISNUMBER(C141), C141, 0) - IF(ISNUMBER(D141), D141, 0))</f>
        <v/>
      </c>
      <c r="F141" s="16">
        <f>IF(OR(NOT(ISNUMBER(D141)), D141=0), "-", (IF(ISNUMBER(C141), C141, 0) - D141)/ABS(D141))</f>
        <v/>
      </c>
      <c r="G141" s="14" t="n"/>
    </row>
    <row r="142">
      <c r="A142" s="11" t="n"/>
      <c r="B142" s="11" t="inlineStr">
        <is>
          <t>Reconciliation of deferred tax liabilities net</t>
        </is>
      </c>
      <c r="C142" s="12" t="n">
        <v>0</v>
      </c>
      <c r="D142" s="12" t="n">
        <v>0</v>
      </c>
      <c r="E142" s="12">
        <f>IF(AND(NOT(ISNUMBER(C142)), NOT(ISNUMBER(D142))), "-", IF(ISNUMBER(C142), C142, 0) - IF(ISNUMBER(D142), D142, 0))</f>
        <v/>
      </c>
      <c r="F142" s="13">
        <f>IF(OR(NOT(ISNUMBER(D142)), D142=0), "-", (IF(ISNUMBER(C142), C142, 0) - D142)/ABS(D142))</f>
        <v/>
      </c>
      <c r="G142" s="11" t="n"/>
    </row>
    <row r="143">
      <c r="A143" s="14" t="n"/>
      <c r="B143" s="14" t="inlineStr">
        <is>
          <t>Net deferred income tax liabilities / (assets) at the beginning</t>
        </is>
      </c>
      <c r="C143" s="15" t="n">
        <v>-6767876</v>
      </c>
      <c r="D143" s="15" t="n">
        <v>19292138.5</v>
      </c>
      <c r="E143" s="15">
        <f>IF(AND(NOT(ISNUMBER(C143)), NOT(ISNUMBER(D143))), "-", IF(ISNUMBER(C143), C143, 0) - IF(ISNUMBER(D143), D143, 0))</f>
        <v/>
      </c>
      <c r="F143" s="16">
        <f>IF(OR(NOT(ISNUMBER(D143)), D143=0), "-", (IF(ISNUMBER(C143), C143, 0) - D143)/ABS(D143))</f>
        <v/>
      </c>
      <c r="G143" s="14" t="n"/>
    </row>
    <row r="144">
      <c r="A144" s="14" t="n"/>
      <c r="B144" s="14" t="inlineStr">
        <is>
          <t>Credits/(charge) relating to temporary differences (#)</t>
        </is>
      </c>
      <c r="C144" s="15" t="n">
        <v>274935</v>
      </c>
      <c r="D144" s="15" t="n">
        <v>-58566</v>
      </c>
      <c r="E144" s="15">
        <f>IF(AND(NOT(ISNUMBER(C144)), NOT(ISNUMBER(D144))), "-", IF(ISNUMBER(C144), C144, 0) - IF(ISNUMBER(D144), D144, 0))</f>
        <v/>
      </c>
      <c r="F144" s="16">
        <f>IF(OR(NOT(ISNUMBER(D144)), D144=0), "-", (IF(ISNUMBER(C144), C144, 0) - D144)/ABS(D144))</f>
        <v/>
      </c>
      <c r="G144" s="14" t="n"/>
    </row>
    <row r="145">
      <c r="A145" s="14" t="n"/>
      <c r="B145" s="14" t="inlineStr">
        <is>
          <t>MAT credit entitlement written off</t>
        </is>
      </c>
      <c r="C145" s="15" t="n">
        <v>0</v>
      </c>
      <c r="D145" s="15" t="n">
        <v>0</v>
      </c>
      <c r="E145" s="15">
        <f>IF(AND(NOT(ISNUMBER(C145)), NOT(ISNUMBER(D145))), "-", IF(ISNUMBER(C145), C145, 0) - IF(ISNUMBER(D145), D145, 0))</f>
        <v/>
      </c>
      <c r="F145" s="16">
        <f>IF(OR(NOT(ISNUMBER(D145)), D145=0), "-", (IF(ISNUMBER(C145), C145, 0) - D145)/ABS(D145))</f>
        <v/>
      </c>
      <c r="G145" s="14" t="n"/>
    </row>
    <row r="146">
      <c r="A146" s="14" t="n"/>
      <c r="B146" s="14" t="inlineStr">
        <is>
          <t>Tax on buyback of preference shares</t>
        </is>
      </c>
      <c r="C146" s="15" t="n">
        <v>0</v>
      </c>
      <c r="D146" s="15" t="n">
        <v>-26397166</v>
      </c>
      <c r="E146" s="15">
        <f>IF(AND(NOT(ISNUMBER(C146)), NOT(ISNUMBER(D146))), "-", IF(ISNUMBER(C146), C146, 0) - IF(ISNUMBER(D146), D146, 0))</f>
        <v/>
      </c>
      <c r="F146" s="16">
        <f>IF(OR(NOT(ISNUMBER(D146)), D146=0), "-", (IF(ISNUMBER(C146), C146, 0) - D146)/ABS(D146))</f>
        <v/>
      </c>
      <c r="G146" s="14" t="n"/>
    </row>
    <row r="147">
      <c r="A147" s="14" t="n"/>
      <c r="B147" s="14" t="inlineStr">
        <is>
          <t>MAT credit entitlement utilised during the year</t>
        </is>
      </c>
      <c r="C147" s="15" t="n">
        <v>3177088</v>
      </c>
      <c r="D147" s="15" t="n">
        <v>404113</v>
      </c>
      <c r="E147" s="15">
        <f>IF(AND(NOT(ISNUMBER(C147)), NOT(ISNUMBER(D147))), "-", IF(ISNUMBER(C147), C147, 0) - IF(ISNUMBER(D147), D147, 0))</f>
        <v/>
      </c>
      <c r="F147" s="16">
        <f>IF(OR(NOT(ISNUMBER(D147)), D147=0), "-", (IF(ISNUMBER(C147), C147, 0) - D147)/ABS(D147))</f>
        <v/>
      </c>
      <c r="G147" s="14" t="n"/>
    </row>
    <row r="148">
      <c r="A148" s="14" t="n"/>
      <c r="B148" s="14" t="inlineStr">
        <is>
          <t>Temporary differences on other comprehensive income</t>
        </is>
      </c>
      <c r="C148" s="15" t="n">
        <v>-13010</v>
      </c>
      <c r="D148" s="15" t="n">
        <v>-8395</v>
      </c>
      <c r="E148" s="15">
        <f>IF(AND(NOT(ISNUMBER(C148)), NOT(ISNUMBER(D148))), "-", IF(ISNUMBER(C148), C148, 0) - IF(ISNUMBER(D148), D148, 0))</f>
        <v/>
      </c>
      <c r="F148" s="16">
        <f>IF(OR(NOT(ISNUMBER(D148)), D148=0), "-", (IF(ISNUMBER(C148), C148, 0) - D148)/ABS(D148))</f>
        <v/>
      </c>
      <c r="G148" s="14" t="n"/>
    </row>
    <row r="149">
      <c r="A149" s="11" t="n"/>
      <c r="B149" s="11" t="inlineStr">
        <is>
          <t>Net deferred income tax liabilities at the end</t>
        </is>
      </c>
      <c r="C149" s="12" t="n">
        <v>-3328863</v>
      </c>
      <c r="D149" s="12" t="n">
        <v>-6767876</v>
      </c>
      <c r="E149" s="12">
        <f>IF(AND(NOT(ISNUMBER(C149)), NOT(ISNUMBER(D149))), "-", IF(ISNUMBER(C149), C149, 0) - IF(ISNUMBER(D149), D149, 0))</f>
        <v/>
      </c>
      <c r="F149" s="13">
        <f>IF(OR(NOT(ISNUMBER(D149)), D149=0), "-", (IF(ISNUMBER(C149), C149, 0) - D149)/ABS(D149))</f>
        <v/>
      </c>
      <c r="G149" s="11" t="n"/>
    </row>
    <row r="150">
      <c r="A150" s="14" t="n"/>
      <c r="B150" s="14" t="inlineStr">
        <is>
          <t>(#) Zero represents amount less than ₹ 0.5 lakhs</t>
        </is>
      </c>
      <c r="C150" s="15" t="n">
        <v>0</v>
      </c>
      <c r="D150" s="15" t="n">
        <v>0</v>
      </c>
      <c r="E150" s="15">
        <f>IF(AND(NOT(ISNUMBER(C150)), NOT(ISNUMBER(D150))), "-", IF(ISNUMBER(C150), C150, 0) - IF(ISNUMBER(D150), D150, 0))</f>
        <v/>
      </c>
      <c r="F150" s="16">
        <f>IF(OR(NOT(ISNUMBER(D150)), D150=0), "-", (IF(ISNUMBER(C150), C150, 0) - D150)/ABS(D150))</f>
        <v/>
      </c>
      <c r="G150" s="14" t="n"/>
    </row>
    <row r="153">
      <c r="B153" s="6" t="inlineStr">
        <is>
          <t>Note 15: Other non-current liabilities</t>
        </is>
      </c>
      <c r="C153" s="8" t="inlineStr">
        <is>
          <t>a</t>
        </is>
      </c>
      <c r="D153" s="8" t="inlineStr">
        <is>
          <t>b</t>
        </is>
      </c>
      <c r="E153" s="8" t="inlineStr">
        <is>
          <t>e</t>
        </is>
      </c>
    </row>
    <row r="154">
      <c r="A154" s="10" t="inlineStr"/>
      <c r="B154" s="10" t="inlineStr">
        <is>
          <t>Particulars</t>
        </is>
      </c>
      <c r="C154" s="10" t="inlineStr">
        <is>
          <t>As at 31st March 2025</t>
        </is>
      </c>
      <c r="D154" s="10" t="inlineStr">
        <is>
          <t>As at 31st March 2024</t>
        </is>
      </c>
      <c r="E154" s="10" t="inlineStr">
        <is>
          <t>Variance</t>
        </is>
      </c>
      <c r="F154" s="10" t="inlineStr">
        <is>
          <t>Variance %</t>
        </is>
      </c>
      <c r="G154" s="10" t="inlineStr">
        <is>
          <t>Remarks</t>
        </is>
      </c>
    </row>
    <row r="155">
      <c r="A155" s="14" t="n"/>
      <c r="B155" s="14" t="inlineStr">
        <is>
          <t>Buy back tax</t>
        </is>
      </c>
      <c r="C155" s="15" t="n">
        <v>0</v>
      </c>
      <c r="D155" s="15" t="n">
        <v>0</v>
      </c>
      <c r="E155" s="15">
        <f>IF(AND(NOT(ISNUMBER(C155)), NOT(ISNUMBER(D155))), "-", IF(ISNUMBER(C155), C155, 0) - IF(ISNUMBER(D155), D155, 0))</f>
        <v/>
      </c>
      <c r="F155" s="16">
        <f>IF(OR(NOT(ISNUMBER(D155)), D155=0), "-", (IF(ISNUMBER(C155), C155, 0) - D155)/ABS(D155))</f>
        <v/>
      </c>
      <c r="G155" s="14" t="n"/>
    </row>
    <row r="156">
      <c r="A156" s="14" t="n"/>
      <c r="B156" s="14" t="inlineStr">
        <is>
          <t>Deferred lease equalisation</t>
        </is>
      </c>
      <c r="C156" s="15" t="n">
        <v>0</v>
      </c>
      <c r="D156" s="15" t="n">
        <v>0</v>
      </c>
      <c r="E156" s="15">
        <f>IF(AND(NOT(ISNUMBER(C156)), NOT(ISNUMBER(D156))), "-", IF(ISNUMBER(C156), C156, 0) - IF(ISNUMBER(D156), D156, 0))</f>
        <v/>
      </c>
      <c r="F156" s="16">
        <f>IF(OR(NOT(ISNUMBER(D156)), D156=0), "-", (IF(ISNUMBER(C156), C156, 0) - D156)/ABS(D156))</f>
        <v/>
      </c>
      <c r="G156" s="14" t="n"/>
    </row>
    <row r="157">
      <c r="A157" s="14" t="n"/>
      <c r="B157" s="14" t="inlineStr"/>
      <c r="C157" s="15" t="n">
        <v>0</v>
      </c>
      <c r="D157" s="15" t="n">
        <v>0</v>
      </c>
      <c r="E157" s="15">
        <f>IF(AND(NOT(ISNUMBER(C157)), NOT(ISNUMBER(D157))), "-", IF(ISNUMBER(C157), C157, 0) - IF(ISNUMBER(D157), D157, 0))</f>
        <v/>
      </c>
      <c r="F157" s="16">
        <f>IF(OR(NOT(ISNUMBER(D157)), D157=0), "-", (IF(ISNUMBER(C157), C157, 0) - D157)/ABS(D157))</f>
        <v/>
      </c>
      <c r="G157" s="14" t="n"/>
    </row>
    <row r="158">
      <c r="A158" s="14" t="n"/>
      <c r="B158" s="14" t="inlineStr">
        <is>
          <t>Previously, the amount paid by the Company for the buy-back of shares was subject to buy-back tax (BBT) at the Company level and was exempt for shareholders. However, according to the Union Budget 2024, effective from 01 October 2024, any premium paid on the redemption of shares will be considered a dividend for shareholders and will be subject to Income Tax at the applicable rates. Consequently, the Company has reversed the deferred tax liability that was created for the BBT payable on redemption in the financial year ended 31 March 2024.</t>
        </is>
      </c>
      <c r="C158" s="15" t="n">
        <v>0</v>
      </c>
      <c r="D158" s="15" t="n">
        <v>0</v>
      </c>
      <c r="E158" s="15">
        <f>IF(AND(NOT(ISNUMBER(C158)), NOT(ISNUMBER(D158))), "-", IF(ISNUMBER(C158), C158, 0) - IF(ISNUMBER(D158), D158, 0))</f>
        <v/>
      </c>
      <c r="F158" s="16">
        <f>IF(OR(NOT(ISNUMBER(D158)), D158=0), "-", (IF(ISNUMBER(C158), C158, 0) - D158)/ABS(D158))</f>
        <v/>
      </c>
      <c r="G158" s="14" t="n"/>
    </row>
    <row r="161">
      <c r="B161" s="6" t="inlineStr">
        <is>
          <t>Note 15: Trade payables</t>
        </is>
      </c>
      <c r="C161" s="8" t="inlineStr">
        <is>
          <t>a</t>
        </is>
      </c>
      <c r="D161" s="8" t="inlineStr">
        <is>
          <t>b</t>
        </is>
      </c>
      <c r="E161" s="8" t="inlineStr">
        <is>
          <t>e</t>
        </is>
      </c>
    </row>
    <row r="162">
      <c r="A162" s="10" t="inlineStr"/>
      <c r="B162" s="10" t="inlineStr">
        <is>
          <t>Particulars</t>
        </is>
      </c>
      <c r="C162" s="10" t="inlineStr">
        <is>
          <t>As at 31st March 2025</t>
        </is>
      </c>
      <c r="D162" s="10" t="inlineStr">
        <is>
          <t>As at 31st March 2024</t>
        </is>
      </c>
      <c r="E162" s="10" t="inlineStr">
        <is>
          <t>Variance</t>
        </is>
      </c>
      <c r="F162" s="10" t="inlineStr">
        <is>
          <t>Variance %</t>
        </is>
      </c>
      <c r="G162" s="10" t="inlineStr">
        <is>
          <t>Remarks</t>
        </is>
      </c>
    </row>
    <row r="163">
      <c r="A163" s="14" t="n"/>
      <c r="B163" s="14" t="inlineStr">
        <is>
          <t>Dues to related parties</t>
        </is>
      </c>
      <c r="C163" s="15" t="n">
        <v>0</v>
      </c>
      <c r="D163" s="15" t="n">
        <v>0</v>
      </c>
      <c r="E163" s="15">
        <f>IF(AND(NOT(ISNUMBER(C163)), NOT(ISNUMBER(D163))), "-", IF(ISNUMBER(C163), C163, 0) - IF(ISNUMBER(D163), D163, 0))</f>
        <v/>
      </c>
      <c r="F163" s="16">
        <f>IF(OR(NOT(ISNUMBER(D163)), D163=0), "-", (IF(ISNUMBER(C163), C163, 0) - D163)/ABS(D163))</f>
        <v/>
      </c>
      <c r="G163" s="14" t="n"/>
    </row>
    <row r="164">
      <c r="A164" s="14" t="n"/>
      <c r="B164" s="14" t="inlineStr">
        <is>
          <t>Total outstanding dues to creditors micro and small enterprises</t>
        </is>
      </c>
      <c r="C164" s="15" t="n">
        <v>0</v>
      </c>
      <c r="D164" s="15" t="n">
        <v>0</v>
      </c>
      <c r="E164" s="15">
        <f>IF(AND(NOT(ISNUMBER(C164)), NOT(ISNUMBER(D164))), "-", IF(ISNUMBER(C164), C164, 0) - IF(ISNUMBER(D164), D164, 0))</f>
        <v/>
      </c>
      <c r="F164" s="16">
        <f>IF(OR(NOT(ISNUMBER(D164)), D164=0), "-", (IF(ISNUMBER(C164), C164, 0) - D164)/ABS(D164))</f>
        <v/>
      </c>
      <c r="G164" s="14" t="n"/>
    </row>
    <row r="165">
      <c r="A165" s="14" t="n"/>
      <c r="B165" s="14" t="inlineStr">
        <is>
          <t>Total outstanding dues to creditors other than micro and small enterprises</t>
        </is>
      </c>
      <c r="C165" s="15" t="n">
        <v>0</v>
      </c>
      <c r="D165" s="15" t="n">
        <v>0</v>
      </c>
      <c r="E165" s="15">
        <f>IF(AND(NOT(ISNUMBER(C165)), NOT(ISNUMBER(D165))), "-", IF(ISNUMBER(C165), C165, 0) - IF(ISNUMBER(D165), D165, 0))</f>
        <v/>
      </c>
      <c r="F165" s="16">
        <f>IF(OR(NOT(ISNUMBER(D165)), D165=0), "-", (IF(ISNUMBER(C165), C165, 0) - D165)/ABS(D165))</f>
        <v/>
      </c>
      <c r="G165" s="14" t="n"/>
    </row>
    <row r="166">
      <c r="A166" s="14" t="n"/>
      <c r="B166" s="14" t="inlineStr"/>
      <c r="C166" s="15" t="n">
        <v>2587125</v>
      </c>
      <c r="D166" s="15" t="n">
        <v>1756719</v>
      </c>
      <c r="E166" s="15">
        <f>IF(AND(NOT(ISNUMBER(C166)), NOT(ISNUMBER(D166))), "-", IF(ISNUMBER(C166), C166, 0) - IF(ISNUMBER(D166), D166, 0))</f>
        <v/>
      </c>
      <c r="F166" s="16">
        <f>IF(OR(NOT(ISNUMBER(D166)), D166=0), "-", (IF(ISNUMBER(C166), C166, 0) - D166)/ABS(D166))</f>
        <v/>
      </c>
      <c r="G166" s="14" t="n"/>
    </row>
    <row r="167">
      <c r="A167" s="14" t="n"/>
      <c r="B167" s="14" t="inlineStr"/>
      <c r="C167" s="15" t="n">
        <v>1497305</v>
      </c>
      <c r="D167" s="15" t="n">
        <v>1329361</v>
      </c>
      <c r="E167" s="15">
        <f>IF(AND(NOT(ISNUMBER(C167)), NOT(ISNUMBER(D167))), "-", IF(ISNUMBER(C167), C167, 0) - IF(ISNUMBER(D167), D167, 0))</f>
        <v/>
      </c>
      <c r="F167" s="16">
        <f>IF(OR(NOT(ISNUMBER(D167)), D167=0), "-", (IF(ISNUMBER(C167), C167, 0) - D167)/ABS(D167))</f>
        <v/>
      </c>
      <c r="G167" s="14" t="n"/>
    </row>
    <row r="168">
      <c r="A168" s="11" t="n"/>
      <c r="B168" s="11" t="inlineStr">
        <is>
          <t>Total</t>
        </is>
      </c>
      <c r="C168" s="12" t="n">
        <v>4084430</v>
      </c>
      <c r="D168" s="12" t="n">
        <v>3086080</v>
      </c>
      <c r="E168" s="12">
        <f>IF(AND(NOT(ISNUMBER(C168)), NOT(ISNUMBER(D168))), "-", IF(ISNUMBER(C168), C168, 0) - IF(ISNUMBER(D168), D168, 0))</f>
        <v/>
      </c>
      <c r="F168" s="13">
        <f>IF(OR(NOT(ISNUMBER(D168)), D168=0), "-", (IF(ISNUMBER(C168), C168, 0) - D168)/ABS(D168))</f>
        <v/>
      </c>
      <c r="G168" s="11" t="n"/>
    </row>
    <row r="169">
      <c r="A169" s="14" t="n"/>
      <c r="B169" s="14" t="inlineStr">
        <is>
          <t>Under the Micro, Small and Medium Enterprises Development Act, 2006 ("MSMED") which came into force from 2 October 2006, certain disclosures are required to be made relating to micro and small suppliers.</t>
        </is>
      </c>
      <c r="C169" s="15" t="n">
        <v>0</v>
      </c>
      <c r="D169" s="15" t="n">
        <v>0</v>
      </c>
      <c r="E169" s="15">
        <f>IF(AND(NOT(ISNUMBER(C169)), NOT(ISNUMBER(D169))), "-", IF(ISNUMBER(C169), C169, 0) - IF(ISNUMBER(D169), D169, 0))</f>
        <v/>
      </c>
      <c r="F169" s="16">
        <f>IF(OR(NOT(ISNUMBER(D169)), D169=0), "-", (IF(ISNUMBER(C169), C169, 0) - D169)/ABS(D169))</f>
        <v/>
      </c>
      <c r="G169" s="14" t="n"/>
    </row>
    <row r="170">
      <c r="A170" s="14" t="n"/>
      <c r="B170" s="14" t="inlineStr">
        <is>
          <t>On the basis of the information and records available with the management, the following disclosures are made for the amounts due to the micro and small suppliers, who have registered with the competent authorities:</t>
        </is>
      </c>
      <c r="C170" s="15" t="n">
        <v>0</v>
      </c>
      <c r="D170" s="15" t="n">
        <v>0</v>
      </c>
      <c r="E170" s="15">
        <f>IF(AND(NOT(ISNUMBER(C170)), NOT(ISNUMBER(D170))), "-", IF(ISNUMBER(C170), C170, 0) - IF(ISNUMBER(D170), D170, 0))</f>
        <v/>
      </c>
      <c r="F170" s="16">
        <f>IF(OR(NOT(ISNUMBER(D170)), D170=0), "-", (IF(ISNUMBER(C170), C170, 0) - D170)/ABS(D170))</f>
        <v/>
      </c>
      <c r="G170" s="14" t="n"/>
    </row>
    <row r="173">
      <c r="B173" s="6" t="inlineStr">
        <is>
          <t>Note 15: Trade payables (continued)</t>
        </is>
      </c>
      <c r="C173" s="8" t="inlineStr">
        <is>
          <t>a</t>
        </is>
      </c>
      <c r="D173" s="8" t="inlineStr">
        <is>
          <t>b</t>
        </is>
      </c>
      <c r="E173" s="8" t="inlineStr">
        <is>
          <t>e</t>
        </is>
      </c>
    </row>
    <row r="174">
      <c r="A174" s="10" t="inlineStr"/>
      <c r="B174" s="10" t="inlineStr">
        <is>
          <t>Particulars</t>
        </is>
      </c>
      <c r="C174" s="10" t="inlineStr">
        <is>
          <t>As at 31st March 2025</t>
        </is>
      </c>
      <c r="D174" s="10" t="inlineStr">
        <is>
          <t>As at 31st March 2024</t>
        </is>
      </c>
      <c r="E174" s="10" t="inlineStr">
        <is>
          <t>Variance</t>
        </is>
      </c>
      <c r="F174" s="10" t="inlineStr">
        <is>
          <t>Variance %</t>
        </is>
      </c>
      <c r="G174" s="10" t="inlineStr">
        <is>
          <t>Remarks</t>
        </is>
      </c>
    </row>
    <row r="175">
      <c r="A175" s="14" t="n"/>
      <c r="B175" s="14" t="inlineStr">
        <is>
          <t>The amounts remaining unpaid to micro and small suppliers as at the end of the year</t>
        </is>
      </c>
      <c r="C175" s="15" t="n">
        <v>0</v>
      </c>
      <c r="D175" s="15" t="n">
        <v>0</v>
      </c>
      <c r="E175" s="15">
        <f>IF(AND(NOT(ISNUMBER(C175)), NOT(ISNUMBER(D175))), "-", IF(ISNUMBER(C175), C175, 0) - IF(ISNUMBER(D175), D175, 0))</f>
        <v/>
      </c>
      <c r="F175" s="16">
        <f>IF(OR(NOT(ISNUMBER(D175)), D175=0), "-", (IF(ISNUMBER(C175), C175, 0) - D175)/ABS(D175))</f>
        <v/>
      </c>
      <c r="G175" s="14" t="n"/>
    </row>
    <row r="176">
      <c r="A176" s="14" t="n"/>
      <c r="B176" s="14" t="inlineStr">
        <is>
          <t>The amount of interest paid by the buyer as per MSMED Act, 2006</t>
        </is>
      </c>
      <c r="C176" s="15" t="n">
        <v>0</v>
      </c>
      <c r="D176" s="15" t="n">
        <v>0</v>
      </c>
      <c r="E176" s="15">
        <f>IF(AND(NOT(ISNUMBER(C176)), NOT(ISNUMBER(D176))), "-", IF(ISNUMBER(C176), C176, 0) - IF(ISNUMBER(D176), D176, 0))</f>
        <v/>
      </c>
      <c r="F176" s="16">
        <f>IF(OR(NOT(ISNUMBER(D176)), D176=0), "-", (IF(ISNUMBER(C176), C176, 0) - D176)/ABS(D176))</f>
        <v/>
      </c>
      <c r="G176" s="14" t="n"/>
    </row>
    <row r="177">
      <c r="A177" s="14" t="n"/>
      <c r="B177" s="14" t="inlineStr">
        <is>
          <t>The amounts of the payments made to micro and small suppliers beyond the appointed day</t>
        </is>
      </c>
      <c r="C177" s="15" t="n">
        <v>0</v>
      </c>
      <c r="D177" s="15" t="n">
        <v>0</v>
      </c>
      <c r="E177" s="15">
        <f>IF(AND(NOT(ISNUMBER(C177)), NOT(ISNUMBER(D177))), "-", IF(ISNUMBER(C177), C177, 0) - IF(ISNUMBER(D177), D177, 0))</f>
        <v/>
      </c>
      <c r="F177" s="16">
        <f>IF(OR(NOT(ISNUMBER(D177)), D177=0), "-", (IF(ISNUMBER(C177), C177, 0) - D177)/ABS(D177))</f>
        <v/>
      </c>
      <c r="G177" s="14" t="n"/>
    </row>
    <row r="178">
      <c r="A178" s="14" t="n"/>
      <c r="B178" s="14" t="inlineStr">
        <is>
          <t>The amount of interest due and payable for the period of delay in making payment (which have been  paid but  beyond the appointed day during the year) but without adding the 'interest specified under MSMED Act, 2006</t>
        </is>
      </c>
      <c r="C178" s="15" t="n">
        <v>0</v>
      </c>
      <c r="D178" s="15" t="n">
        <v>0</v>
      </c>
      <c r="E178" s="15">
        <f>IF(AND(NOT(ISNUMBER(C178)), NOT(ISNUMBER(D178))), "-", IF(ISNUMBER(C178), C178, 0) - IF(ISNUMBER(D178), D178, 0))</f>
        <v/>
      </c>
      <c r="F178" s="16">
        <f>IF(OR(NOT(ISNUMBER(D178)), D178=0), "-", (IF(ISNUMBER(C178), C178, 0) - D178)/ABS(D178))</f>
        <v/>
      </c>
      <c r="G178" s="14" t="n"/>
    </row>
    <row r="179">
      <c r="A179" s="14" t="n"/>
      <c r="B179" s="14" t="inlineStr">
        <is>
          <t>The amount of interest accrued and remaining unpaid at the end of each accounting year</t>
        </is>
      </c>
      <c r="C179" s="15" t="n">
        <v>0</v>
      </c>
      <c r="D179" s="15" t="n">
        <v>0</v>
      </c>
      <c r="E179" s="15">
        <f>IF(AND(NOT(ISNUMBER(C179)), NOT(ISNUMBER(D179))), "-", IF(ISNUMBER(C179), C179, 0) - IF(ISNUMBER(D179), D179, 0))</f>
        <v/>
      </c>
      <c r="F179" s="16">
        <f>IF(OR(NOT(ISNUMBER(D179)), D179=0), "-", (IF(ISNUMBER(C179), C179, 0) - D179)/ABS(D179))</f>
        <v/>
      </c>
      <c r="G179" s="14" t="n"/>
    </row>
    <row r="180">
      <c r="A180" s="14" t="n"/>
      <c r="B180" s="14" t="inlineStr">
        <is>
          <t>The amount of further interest remaining due and payable even in the succeeding years, until such date when the interest dues as above are actually paid to the small enterprise for the purpose of disallowance as a deductible expenditure under the MSMED Act, 2006</t>
        </is>
      </c>
      <c r="C180" s="15" t="n">
        <v>0</v>
      </c>
      <c r="D180" s="15" t="n">
        <v>0</v>
      </c>
      <c r="E180" s="15">
        <f>IF(AND(NOT(ISNUMBER(C180)), NOT(ISNUMBER(D180))), "-", IF(ISNUMBER(C180), C180, 0) - IF(ISNUMBER(D180), D180, 0))</f>
        <v/>
      </c>
      <c r="F180" s="16">
        <f>IF(OR(NOT(ISNUMBER(D180)), D180=0), "-", (IF(ISNUMBER(C180), C180, 0) - D180)/ABS(D180))</f>
        <v/>
      </c>
      <c r="G180" s="14" t="n"/>
    </row>
    <row r="181">
      <c r="A181" s="11" t="n"/>
      <c r="B181" s="11" t="inlineStr">
        <is>
          <t>Trade payables ageing schedule</t>
        </is>
      </c>
      <c r="C181" s="12" t="n">
        <v>0</v>
      </c>
      <c r="D181" s="12" t="n">
        <v>0</v>
      </c>
      <c r="E181" s="12">
        <f>IF(AND(NOT(ISNUMBER(C181)), NOT(ISNUMBER(D181))), "-", IF(ISNUMBER(C181), C181, 0) - IF(ISNUMBER(D181), D181, 0))</f>
        <v/>
      </c>
      <c r="F181" s="13">
        <f>IF(OR(NOT(ISNUMBER(D181)), D181=0), "-", (IF(ISNUMBER(C181), C181, 0) - D181)/ABS(D181))</f>
        <v/>
      </c>
      <c r="G181" s="11" t="n"/>
    </row>
    <row r="182">
      <c r="A182" s="11" t="n"/>
      <c r="B182" s="11" t="inlineStr">
        <is>
          <t>As at 31 March 2025</t>
        </is>
      </c>
      <c r="C182" s="12" t="n">
        <v>0</v>
      </c>
      <c r="D182" s="12" t="n">
        <v>0</v>
      </c>
      <c r="E182" s="12">
        <f>IF(AND(NOT(ISNUMBER(C182)), NOT(ISNUMBER(D182))), "-", IF(ISNUMBER(C182), C182, 0) - IF(ISNUMBER(D182), D182, 0))</f>
        <v/>
      </c>
      <c r="F182" s="13">
        <f>IF(OR(NOT(ISNUMBER(D182)), D182=0), "-", (IF(ISNUMBER(C182), C182, 0) - D182)/ABS(D182))</f>
        <v/>
      </c>
      <c r="G182" s="11" t="n"/>
    </row>
    <row r="183">
      <c r="A183" s="14" t="n"/>
      <c r="B183" s="14" t="inlineStr">
        <is>
          <t>Total outstanding dues of micro enterprises and small enterprises</t>
        </is>
      </c>
      <c r="C183" s="15" t="n">
        <v>0</v>
      </c>
      <c r="D183" s="15" t="n">
        <v>0</v>
      </c>
      <c r="E183" s="15">
        <f>IF(AND(NOT(ISNUMBER(C183)), NOT(ISNUMBER(D183))), "-", IF(ISNUMBER(C183), C183, 0) - IF(ISNUMBER(D183), D183, 0))</f>
        <v/>
      </c>
      <c r="F183" s="16">
        <f>IF(OR(NOT(ISNUMBER(D183)), D183=0), "-", (IF(ISNUMBER(C183), C183, 0) - D183)/ABS(D183))</f>
        <v/>
      </c>
      <c r="G183" s="14" t="n"/>
    </row>
    <row r="184">
      <c r="A184" s="14" t="n"/>
      <c r="B184" s="14" t="inlineStr">
        <is>
          <t>Total outstanding dues of creditors other than micro enterprises and small enterprises</t>
        </is>
      </c>
      <c r="C184" s="15" t="n">
        <v>0</v>
      </c>
      <c r="D184" s="15" t="n">
        <v>0</v>
      </c>
      <c r="E184" s="15">
        <f>IF(AND(NOT(ISNUMBER(C184)), NOT(ISNUMBER(D184))), "-", IF(ISNUMBER(C184), C184, 0) - IF(ISNUMBER(D184), D184, 0))</f>
        <v/>
      </c>
      <c r="F184" s="16">
        <f>IF(OR(NOT(ISNUMBER(D184)), D184=0), "-", (IF(ISNUMBER(C184), C184, 0) - D184)/ABS(D184))</f>
        <v/>
      </c>
      <c r="G184" s="14" t="n"/>
    </row>
    <row r="185">
      <c r="A185" s="14" t="n"/>
      <c r="B185" s="14" t="inlineStr">
        <is>
          <t>Trade payables to related parties</t>
        </is>
      </c>
      <c r="C185" s="15" t="n">
        <v>758523</v>
      </c>
      <c r="D185" s="15" t="n">
        <v>2587125</v>
      </c>
      <c r="E185" s="15">
        <f>IF(AND(NOT(ISNUMBER(C185)), NOT(ISNUMBER(D185))), "-", IF(ISNUMBER(C185), C185, 0) - IF(ISNUMBER(D185), D185, 0))</f>
        <v/>
      </c>
      <c r="F185" s="16">
        <f>IF(OR(NOT(ISNUMBER(D185)), D185=0), "-", (IF(ISNUMBER(C185), C185, 0) - D185)/ABS(D185))</f>
        <v/>
      </c>
      <c r="G185" s="14" t="n"/>
    </row>
    <row r="186">
      <c r="A186" s="11" t="n"/>
      <c r="B186" s="11" t="inlineStr">
        <is>
          <t>Total</t>
        </is>
      </c>
      <c r="C186" s="12" t="n">
        <v>758523</v>
      </c>
      <c r="D186" s="12" t="n">
        <v>2587125</v>
      </c>
      <c r="E186" s="12">
        <f>IF(AND(NOT(ISNUMBER(C186)), NOT(ISNUMBER(D186))), "-", IF(ISNUMBER(C186), C186, 0) - IF(ISNUMBER(D186), D186, 0))</f>
        <v/>
      </c>
      <c r="F186" s="13">
        <f>IF(OR(NOT(ISNUMBER(D186)), D186=0), "-", (IF(ISNUMBER(C186), C186, 0) - D186)/ABS(D186))</f>
        <v/>
      </c>
      <c r="G186" s="11" t="n"/>
    </row>
    <row r="187">
      <c r="A187" s="14" t="n"/>
      <c r="B187" s="14" t="inlineStr">
        <is>
          <t>Accrued expenses</t>
        </is>
      </c>
      <c r="C187" s="15" t="n">
        <v>0</v>
      </c>
      <c r="D187" s="15" t="n">
        <v>1470312</v>
      </c>
      <c r="E187" s="15">
        <f>IF(AND(NOT(ISNUMBER(C187)), NOT(ISNUMBER(D187))), "-", IF(ISNUMBER(C187), C187, 0) - IF(ISNUMBER(D187), D187, 0))</f>
        <v/>
      </c>
      <c r="F187" s="16">
        <f>IF(OR(NOT(ISNUMBER(D187)), D187=0), "-", (IF(ISNUMBER(C187), C187, 0) - D187)/ABS(D187))</f>
        <v/>
      </c>
      <c r="G187" s="14" t="n"/>
    </row>
    <row r="188">
      <c r="A188" s="11" t="n"/>
      <c r="B188" s="11" t="inlineStr">
        <is>
          <t>Total</t>
        </is>
      </c>
      <c r="C188" s="12" t="n">
        <v>0</v>
      </c>
      <c r="D188" s="12" t="n">
        <v>4057437</v>
      </c>
      <c r="E188" s="12">
        <f>IF(AND(NOT(ISNUMBER(C188)), NOT(ISNUMBER(D188))), "-", IF(ISNUMBER(C188), C188, 0) - IF(ISNUMBER(D188), D188, 0))</f>
        <v/>
      </c>
      <c r="F188" s="13">
        <f>IF(OR(NOT(ISNUMBER(D188)), D188=0), "-", (IF(ISNUMBER(C188), C188, 0) - D188)/ABS(D188))</f>
        <v/>
      </c>
      <c r="G188" s="11" t="n"/>
    </row>
    <row r="189">
      <c r="A189" s="14" t="n"/>
      <c r="B189" s="14" t="inlineStr"/>
      <c r="C189" s="15" t="n">
        <v>0</v>
      </c>
      <c r="D189" s="15" t="n">
        <v>0</v>
      </c>
      <c r="E189" s="15">
        <f>IF(AND(NOT(ISNUMBER(C189)), NOT(ISNUMBER(D189))), "-", IF(ISNUMBER(C189), C189, 0) - IF(ISNUMBER(D189), D189, 0))</f>
        <v/>
      </c>
      <c r="F189" s="16">
        <f>IF(OR(NOT(ISNUMBER(D189)), D189=0), "-", (IF(ISNUMBER(C189), C189, 0) - D189)/ABS(D189))</f>
        <v/>
      </c>
      <c r="G189" s="14" t="n"/>
    </row>
    <row r="190">
      <c r="A190" s="11" t="n"/>
      <c r="B190" s="11" t="inlineStr">
        <is>
          <t>As at 31 March 2024</t>
        </is>
      </c>
      <c r="C190" s="12" t="n">
        <v>0</v>
      </c>
      <c r="D190" s="12" t="n">
        <v>0</v>
      </c>
      <c r="E190" s="12">
        <f>IF(AND(NOT(ISNUMBER(C190)), NOT(ISNUMBER(D190))), "-", IF(ISNUMBER(C190), C190, 0) - IF(ISNUMBER(D190), D190, 0))</f>
        <v/>
      </c>
      <c r="F190" s="13">
        <f>IF(OR(NOT(ISNUMBER(D190)), D190=0), "-", (IF(ISNUMBER(C190), C190, 0) - D190)/ABS(D190))</f>
        <v/>
      </c>
      <c r="G190" s="11" t="n"/>
    </row>
    <row r="191">
      <c r="A191" s="14" t="n"/>
      <c r="B191" s="14" t="inlineStr">
        <is>
          <t>Total outstanding dues of micro enterprises and small enterprises</t>
        </is>
      </c>
      <c r="C191" s="15" t="n">
        <v>0</v>
      </c>
      <c r="D191" s="15" t="n">
        <v>0</v>
      </c>
      <c r="E191" s="15">
        <f>IF(AND(NOT(ISNUMBER(C191)), NOT(ISNUMBER(D191))), "-", IF(ISNUMBER(C191), C191, 0) - IF(ISNUMBER(D191), D191, 0))</f>
        <v/>
      </c>
      <c r="F191" s="16">
        <f>IF(OR(NOT(ISNUMBER(D191)), D191=0), "-", (IF(ISNUMBER(C191), C191, 0) - D191)/ABS(D191))</f>
        <v/>
      </c>
      <c r="G191" s="14" t="n"/>
    </row>
    <row r="192">
      <c r="A192" s="14" t="n"/>
      <c r="B192" s="14" t="inlineStr">
        <is>
          <t>Total outstanding dues of creditors other than micro enterprises and small enterprises</t>
        </is>
      </c>
      <c r="C192" s="15" t="n">
        <v>29672</v>
      </c>
      <c r="D192" s="15" t="n">
        <v>131492</v>
      </c>
      <c r="E192" s="15">
        <f>IF(AND(NOT(ISNUMBER(C192)), NOT(ISNUMBER(D192))), "-", IF(ISNUMBER(C192), C192, 0) - IF(ISNUMBER(D192), D192, 0))</f>
        <v/>
      </c>
      <c r="F192" s="16">
        <f>IF(OR(NOT(ISNUMBER(D192)), D192=0), "-", (IF(ISNUMBER(C192), C192, 0) - D192)/ABS(D192))</f>
        <v/>
      </c>
      <c r="G192" s="14" t="n"/>
    </row>
    <row r="193">
      <c r="A193" s="14" t="n"/>
      <c r="B193" s="14" t="inlineStr">
        <is>
          <t>Trade payables to related parties</t>
        </is>
      </c>
      <c r="C193" s="15" t="n">
        <v>740912</v>
      </c>
      <c r="D193" s="15" t="n">
        <v>1740912</v>
      </c>
      <c r="E193" s="15">
        <f>IF(AND(NOT(ISNUMBER(C193)), NOT(ISNUMBER(D193))), "-", IF(ISNUMBER(C193), C193, 0) - IF(ISNUMBER(D193), D193, 0))</f>
        <v/>
      </c>
      <c r="F193" s="16">
        <f>IF(OR(NOT(ISNUMBER(D193)), D193=0), "-", (IF(ISNUMBER(C193), C193, 0) - D193)/ABS(D193))</f>
        <v/>
      </c>
      <c r="G193" s="14" t="n"/>
    </row>
    <row r="194">
      <c r="A194" s="11" t="n"/>
      <c r="B194" s="11" t="inlineStr">
        <is>
          <t>Total</t>
        </is>
      </c>
      <c r="C194" s="12" t="n">
        <v>770584</v>
      </c>
      <c r="D194" s="12" t="n">
        <v>1872404</v>
      </c>
      <c r="E194" s="12">
        <f>IF(AND(NOT(ISNUMBER(C194)), NOT(ISNUMBER(D194))), "-", IF(ISNUMBER(C194), C194, 0) - IF(ISNUMBER(D194), D194, 0))</f>
        <v/>
      </c>
      <c r="F194" s="13">
        <f>IF(OR(NOT(ISNUMBER(D194)), D194=0), "-", (IF(ISNUMBER(C194), C194, 0) - D194)/ABS(D194))</f>
        <v/>
      </c>
      <c r="G194" s="11" t="n"/>
    </row>
    <row r="195">
      <c r="A195" s="14" t="n"/>
      <c r="B195" s="14" t="inlineStr">
        <is>
          <t>Accrued expenses</t>
        </is>
      </c>
      <c r="C195" s="15" t="n">
        <v>0</v>
      </c>
      <c r="D195" s="15" t="n">
        <v>1213676</v>
      </c>
      <c r="E195" s="15">
        <f>IF(AND(NOT(ISNUMBER(C195)), NOT(ISNUMBER(D195))), "-", IF(ISNUMBER(C195), C195, 0) - IF(ISNUMBER(D195), D195, 0))</f>
        <v/>
      </c>
      <c r="F195" s="16">
        <f>IF(OR(NOT(ISNUMBER(D195)), D195=0), "-", (IF(ISNUMBER(C195), C195, 0) - D195)/ABS(D195))</f>
        <v/>
      </c>
      <c r="G195" s="14" t="n"/>
    </row>
    <row r="196">
      <c r="A196" s="11" t="n"/>
      <c r="B196" s="11" t="inlineStr">
        <is>
          <t>Total</t>
        </is>
      </c>
      <c r="C196" s="12" t="n">
        <v>0</v>
      </c>
      <c r="D196" s="12" t="n">
        <v>3086080</v>
      </c>
      <c r="E196" s="12">
        <f>IF(AND(NOT(ISNUMBER(C196)), NOT(ISNUMBER(D196))), "-", IF(ISNUMBER(C196), C196, 0) - IF(ISNUMBER(D196), D196, 0))</f>
        <v/>
      </c>
      <c r="F196" s="13">
        <f>IF(OR(NOT(ISNUMBER(D196)), D196=0), "-", (IF(ISNUMBER(C196), C196, 0) - D196)/ABS(D196))</f>
        <v/>
      </c>
      <c r="G196" s="11" t="n"/>
    </row>
    <row r="197">
      <c r="A197" s="14" t="n"/>
      <c r="B197" s="14" t="inlineStr">
        <is>
          <t>* There are no disputed trade payables.</t>
        </is>
      </c>
      <c r="C197" s="15" t="n">
        <v>0</v>
      </c>
      <c r="D197" s="15" t="n">
        <v>0</v>
      </c>
      <c r="E197" s="15">
        <f>IF(AND(NOT(ISNUMBER(C197)), NOT(ISNUMBER(D197))), "-", IF(ISNUMBER(C197), C197, 0) - IF(ISNUMBER(D197), D197, 0))</f>
        <v/>
      </c>
      <c r="F197" s="16">
        <f>IF(OR(NOT(ISNUMBER(D197)), D197=0), "-", (IF(ISNUMBER(C197), C197, 0) - D197)/ABS(D197))</f>
        <v/>
      </c>
      <c r="G197" s="14" t="n"/>
    </row>
    <row r="200">
      <c r="B200" s="6" t="inlineStr">
        <is>
          <t>Note 16: Other current financial liabilities</t>
        </is>
      </c>
      <c r="C200" s="8" t="inlineStr">
        <is>
          <t>a</t>
        </is>
      </c>
      <c r="D200" s="8" t="inlineStr">
        <is>
          <t>b</t>
        </is>
      </c>
      <c r="E200" s="8" t="inlineStr">
        <is>
          <t>e</t>
        </is>
      </c>
    </row>
    <row r="201">
      <c r="A201" s="10" t="inlineStr"/>
      <c r="B201" s="10" t="inlineStr">
        <is>
          <t>Particulars</t>
        </is>
      </c>
      <c r="C201" s="10" t="inlineStr">
        <is>
          <t>As at 31st March 2025</t>
        </is>
      </c>
      <c r="D201" s="10" t="inlineStr">
        <is>
          <t>As at 31st March 2024</t>
        </is>
      </c>
      <c r="E201" s="10" t="inlineStr">
        <is>
          <t>Variance</t>
        </is>
      </c>
      <c r="F201" s="10" t="inlineStr">
        <is>
          <t>Variance %</t>
        </is>
      </c>
      <c r="G201" s="10" t="inlineStr">
        <is>
          <t>Remarks</t>
        </is>
      </c>
    </row>
    <row r="202">
      <c r="A202" s="14" t="n"/>
      <c r="B202" s="14" t="inlineStr">
        <is>
          <t>Accrued compensation to employees</t>
        </is>
      </c>
      <c r="C202" s="15" t="n">
        <v>574710</v>
      </c>
      <c r="D202" s="15" t="n">
        <v>829849</v>
      </c>
      <c r="E202" s="15">
        <f>IF(AND(NOT(ISNUMBER(C202)), NOT(ISNUMBER(D202))), "-", IF(ISNUMBER(C202), C202, 0) - IF(ISNUMBER(D202), D202, 0))</f>
        <v/>
      </c>
      <c r="F202" s="16">
        <f>IF(OR(NOT(ISNUMBER(D202)), D202=0), "-", (IF(ISNUMBER(C202), C202, 0) - D202)/ABS(D202))</f>
        <v/>
      </c>
      <c r="G202" s="14" t="n"/>
    </row>
    <row r="203">
      <c r="A203" s="14" t="n"/>
      <c r="B203" s="14" t="inlineStr">
        <is>
          <t>Provision for bonus</t>
        </is>
      </c>
      <c r="C203" s="15" t="n">
        <v>0</v>
      </c>
      <c r="D203" s="15" t="n">
        <v>0</v>
      </c>
      <c r="E203" s="15">
        <f>IF(AND(NOT(ISNUMBER(C203)), NOT(ISNUMBER(D203))), "-", IF(ISNUMBER(C203), C203, 0) - IF(ISNUMBER(D203), D203, 0))</f>
        <v/>
      </c>
      <c r="F203" s="16">
        <f>IF(OR(NOT(ISNUMBER(D203)), D203=0), "-", (IF(ISNUMBER(C203), C203, 0) - D203)/ABS(D203))</f>
        <v/>
      </c>
      <c r="G203" s="14" t="n"/>
    </row>
    <row r="204">
      <c r="A204" s="14" t="n"/>
      <c r="B204" s="14" t="inlineStr">
        <is>
          <t>Creditors for capital goods</t>
        </is>
      </c>
      <c r="C204" s="15" t="n">
        <v>0</v>
      </c>
      <c r="D204" s="15" t="n">
        <v>0</v>
      </c>
      <c r="E204" s="15">
        <f>IF(AND(NOT(ISNUMBER(C204)), NOT(ISNUMBER(D204))), "-", IF(ISNUMBER(C204), C204, 0) - IF(ISNUMBER(D204), D204, 0))</f>
        <v/>
      </c>
      <c r="F204" s="16">
        <f>IF(OR(NOT(ISNUMBER(D204)), D204=0), "-", (IF(ISNUMBER(C204), C204, 0) - D204)/ABS(D204))</f>
        <v/>
      </c>
      <c r="G204" s="14" t="n"/>
    </row>
    <row r="205">
      <c r="A205" s="14" t="n"/>
      <c r="B205" s="14" t="inlineStr">
        <is>
          <t>Rental Deposit payable</t>
        </is>
      </c>
      <c r="C205" s="15" t="n">
        <v>-1</v>
      </c>
      <c r="D205" s="15" t="n">
        <v>-1</v>
      </c>
      <c r="E205" s="15">
        <f>IF(AND(NOT(ISNUMBER(C205)), NOT(ISNUMBER(D205))), "-", IF(ISNUMBER(C205), C205, 0) - IF(ISNUMBER(D205), D205, 0))</f>
        <v/>
      </c>
      <c r="F205" s="16">
        <f>IF(OR(NOT(ISNUMBER(D205)), D205=0), "-", (IF(ISNUMBER(C205), C205, 0) - D205)/ABS(D205))</f>
        <v/>
      </c>
      <c r="G205" s="14" t="n"/>
    </row>
    <row r="206">
      <c r="A206" s="14" t="n"/>
      <c r="B206" s="14" t="inlineStr">
        <is>
          <t>Security Deposit payable</t>
        </is>
      </c>
      <c r="C206" s="15" t="n">
        <v>0</v>
      </c>
      <c r="D206" s="15" t="n">
        <v>0</v>
      </c>
      <c r="E206" s="15">
        <f>IF(AND(NOT(ISNUMBER(C206)), NOT(ISNUMBER(D206))), "-", IF(ISNUMBER(C206), C206, 0) - IF(ISNUMBER(D206), D206, 0))</f>
        <v/>
      </c>
      <c r="F206" s="16">
        <f>IF(OR(NOT(ISNUMBER(D206)), D206=0), "-", (IF(ISNUMBER(C206), C206, 0) - D206)/ABS(D206))</f>
        <v/>
      </c>
      <c r="G206" s="14" t="n"/>
    </row>
    <row r="207">
      <c r="A207" s="14" t="n"/>
      <c r="B207" s="14" t="inlineStr">
        <is>
          <t>Dividend payable on preference shares (#)</t>
        </is>
      </c>
      <c r="C207" s="15" t="n">
        <v>0</v>
      </c>
      <c r="D207" s="15" t="n">
        <v>0</v>
      </c>
      <c r="E207" s="15">
        <f>IF(AND(NOT(ISNUMBER(C207)), NOT(ISNUMBER(D207))), "-", IF(ISNUMBER(C207), C207, 0) - IF(ISNUMBER(D207), D207, 0))</f>
        <v/>
      </c>
      <c r="F207" s="16">
        <f>IF(OR(NOT(ISNUMBER(D207)), D207=0), "-", (IF(ISNUMBER(C207), C207, 0) - D207)/ABS(D207))</f>
        <v/>
      </c>
      <c r="G207" s="14" t="n"/>
    </row>
    <row r="208">
      <c r="A208" s="14" t="n"/>
      <c r="B208" s="14" t="inlineStr">
        <is>
          <t>Security deposit payable (refer note no 28)</t>
        </is>
      </c>
      <c r="C208" s="15" t="n">
        <v>0</v>
      </c>
      <c r="D208" s="15" t="n">
        <v>0</v>
      </c>
      <c r="E208" s="15">
        <f>IF(AND(NOT(ISNUMBER(C208)), NOT(ISNUMBER(D208))), "-", IF(ISNUMBER(C208), C208, 0) - IF(ISNUMBER(D208), D208, 0))</f>
        <v/>
      </c>
      <c r="F208" s="16">
        <f>IF(OR(NOT(ISNUMBER(D208)), D208=0), "-", (IF(ISNUMBER(C208), C208, 0) - D208)/ABS(D208))</f>
        <v/>
      </c>
      <c r="G208" s="14" t="n"/>
    </row>
    <row r="209">
      <c r="A209" s="14" t="n"/>
      <c r="B209" s="14" t="inlineStr">
        <is>
          <t>Accrued expenses</t>
        </is>
      </c>
      <c r="C209" s="15" t="n">
        <v>0</v>
      </c>
      <c r="D209" s="15" t="n">
        <v>0</v>
      </c>
      <c r="E209" s="15">
        <f>IF(AND(NOT(ISNUMBER(C209)), NOT(ISNUMBER(D209))), "-", IF(ISNUMBER(C209), C209, 0) - IF(ISNUMBER(D209), D209, 0))</f>
        <v/>
      </c>
      <c r="F209" s="16">
        <f>IF(OR(NOT(ISNUMBER(D209)), D209=0), "-", (IF(ISNUMBER(C209), C209, 0) - D209)/ABS(D209))</f>
        <v/>
      </c>
      <c r="G209" s="14" t="n"/>
    </row>
    <row r="210">
      <c r="A210" s="14" t="n"/>
      <c r="B210" s="14" t="inlineStr">
        <is>
          <t>Others</t>
        </is>
      </c>
      <c r="C210" s="15" t="n">
        <v>199</v>
      </c>
      <c r="D210" s="15" t="n">
        <v>299</v>
      </c>
      <c r="E210" s="15">
        <f>IF(AND(NOT(ISNUMBER(C210)), NOT(ISNUMBER(D210))), "-", IF(ISNUMBER(C210), C210, 0) - IF(ISNUMBER(D210), D210, 0))</f>
        <v/>
      </c>
      <c r="F210" s="16">
        <f>IF(OR(NOT(ISNUMBER(D210)), D210=0), "-", (IF(ISNUMBER(C210), C210, 0) - D210)/ABS(D210))</f>
        <v/>
      </c>
      <c r="G210" s="14" t="n"/>
    </row>
    <row r="211">
      <c r="A211" s="14" t="n"/>
      <c r="B211" s="14" t="inlineStr">
        <is>
          <t>Preference shares current portion</t>
        </is>
      </c>
      <c r="C211" s="15" t="n">
        <v>0</v>
      </c>
      <c r="D211" s="15" t="n">
        <v>0</v>
      </c>
      <c r="E211" s="15">
        <f>IF(AND(NOT(ISNUMBER(C211)), NOT(ISNUMBER(D211))), "-", IF(ISNUMBER(C211), C211, 0) - IF(ISNUMBER(D211), D211, 0))</f>
        <v/>
      </c>
      <c r="F211" s="16">
        <f>IF(OR(NOT(ISNUMBER(D211)), D211=0), "-", (IF(ISNUMBER(C211), C211, 0) - D211)/ABS(D211))</f>
        <v/>
      </c>
      <c r="G211" s="14" t="n"/>
    </row>
    <row r="212">
      <c r="A212" s="11" t="n"/>
      <c r="B212" s="11" t="inlineStr">
        <is>
          <t>Total</t>
        </is>
      </c>
      <c r="C212" s="12" t="n">
        <v>574908</v>
      </c>
      <c r="D212" s="12" t="n">
        <v>830147</v>
      </c>
      <c r="E212" s="12">
        <f>IF(AND(NOT(ISNUMBER(C212)), NOT(ISNUMBER(D212))), "-", IF(ISNUMBER(C212), C212, 0) - IF(ISNUMBER(D212), D212, 0))</f>
        <v/>
      </c>
      <c r="F212" s="13">
        <f>IF(OR(NOT(ISNUMBER(D212)), D212=0), "-", (IF(ISNUMBER(C212), C212, 0) - D212)/ABS(D212))</f>
        <v/>
      </c>
      <c r="G212" s="11" t="n"/>
    </row>
    <row r="213">
      <c r="A213" s="14" t="n"/>
      <c r="B213" s="14" t="inlineStr">
        <is>
          <t>(#) Zero represents amount less than ₹ 0.5 lakhs</t>
        </is>
      </c>
      <c r="C213" s="15" t="n">
        <v>0</v>
      </c>
      <c r="D213" s="15" t="n">
        <v>0</v>
      </c>
      <c r="E213" s="15">
        <f>IF(AND(NOT(ISNUMBER(C213)), NOT(ISNUMBER(D213))), "-", IF(ISNUMBER(C213), C213, 0) - IF(ISNUMBER(D213), D213, 0))</f>
        <v/>
      </c>
      <c r="F213" s="16">
        <f>IF(OR(NOT(ISNUMBER(D213)), D213=0), "-", (IF(ISNUMBER(C213), C213, 0) - D213)/ABS(D213))</f>
        <v/>
      </c>
      <c r="G213" s="14" t="n"/>
    </row>
    <row r="216">
      <c r="B216" s="6" t="inlineStr">
        <is>
          <t>Note 17: Other current liabilities</t>
        </is>
      </c>
      <c r="C216" s="8" t="inlineStr">
        <is>
          <t>a</t>
        </is>
      </c>
      <c r="D216" s="8" t="inlineStr">
        <is>
          <t>b</t>
        </is>
      </c>
      <c r="E216" s="8" t="inlineStr">
        <is>
          <t>e</t>
        </is>
      </c>
    </row>
    <row r="217">
      <c r="A217" s="10" t="inlineStr"/>
      <c r="B217" s="10" t="inlineStr">
        <is>
          <t>Particulars</t>
        </is>
      </c>
      <c r="C217" s="10" t="inlineStr">
        <is>
          <t>As at 31st March 2025</t>
        </is>
      </c>
      <c r="D217" s="10" t="inlineStr">
        <is>
          <t>As at 31st March 2024</t>
        </is>
      </c>
      <c r="E217" s="10" t="inlineStr">
        <is>
          <t>Variance</t>
        </is>
      </c>
      <c r="F217" s="10" t="inlineStr">
        <is>
          <t>Variance %</t>
        </is>
      </c>
      <c r="G217" s="10" t="inlineStr">
        <is>
          <t>Remarks</t>
        </is>
      </c>
    </row>
    <row r="218">
      <c r="A218" s="14" t="n"/>
      <c r="B218" s="14" t="inlineStr">
        <is>
          <t>Deferred lease equalisation</t>
        </is>
      </c>
      <c r="C218" s="15" t="n">
        <v>0</v>
      </c>
      <c r="D218" s="15" t="n">
        <v>0</v>
      </c>
      <c r="E218" s="15">
        <f>IF(AND(NOT(ISNUMBER(C218)), NOT(ISNUMBER(D218))), "-", IF(ISNUMBER(C218), C218, 0) - IF(ISNUMBER(D218), D218, 0))</f>
        <v/>
      </c>
      <c r="F218" s="16">
        <f>IF(OR(NOT(ISNUMBER(D218)), D218=0), "-", (IF(ISNUMBER(C218), C218, 0) - D218)/ABS(D218))</f>
        <v/>
      </c>
      <c r="G218" s="14" t="n"/>
    </row>
    <row r="219">
      <c r="A219" s="14" t="n"/>
      <c r="B219" s="14" t="inlineStr">
        <is>
          <t>Other payables</t>
        </is>
      </c>
      <c r="C219" s="15" t="n">
        <v>1017231</v>
      </c>
      <c r="D219" s="15" t="n">
        <v>1017231</v>
      </c>
      <c r="E219" s="15">
        <f>IF(AND(NOT(ISNUMBER(C219)), NOT(ISNUMBER(D219))), "-", IF(ISNUMBER(C219), C219, 0) - IF(ISNUMBER(D219), D219, 0))</f>
        <v/>
      </c>
      <c r="F219" s="16">
        <f>IF(OR(NOT(ISNUMBER(D219)), D219=0), "-", (IF(ISNUMBER(C219), C219, 0) - D219)/ABS(D219))</f>
        <v/>
      </c>
      <c r="G219" s="14" t="n"/>
    </row>
    <row r="220">
      <c r="A220" s="14" t="n"/>
      <c r="B220" s="14" t="inlineStr">
        <is>
          <t>Statutory dues</t>
        </is>
      </c>
      <c r="C220" s="15" t="n">
        <v>263365</v>
      </c>
      <c r="D220" s="15" t="n">
        <v>299096</v>
      </c>
      <c r="E220" s="15">
        <f>IF(AND(NOT(ISNUMBER(C220)), NOT(ISNUMBER(D220))), "-", IF(ISNUMBER(C220), C220, 0) - IF(ISNUMBER(D220), D220, 0))</f>
        <v/>
      </c>
      <c r="F220" s="16">
        <f>IF(OR(NOT(ISNUMBER(D220)), D220=0), "-", (IF(ISNUMBER(C220), C220, 0) - D220)/ABS(D220))</f>
        <v/>
      </c>
      <c r="G220" s="14" t="n"/>
    </row>
    <row r="221">
      <c r="A221" s="14" t="n"/>
      <c r="B221" s="14" t="inlineStr">
        <is>
          <t>TDS</t>
        </is>
      </c>
      <c r="C221" s="15" t="n">
        <v>248238</v>
      </c>
      <c r="D221" s="15" t="n">
        <v>278257</v>
      </c>
      <c r="E221" s="15">
        <f>IF(AND(NOT(ISNUMBER(C221)), NOT(ISNUMBER(D221))), "-", IF(ISNUMBER(C221), C221, 0) - IF(ISNUMBER(D221), D221, 0))</f>
        <v/>
      </c>
      <c r="F221" s="16">
        <f>IF(OR(NOT(ISNUMBER(D221)), D221=0), "-", (IF(ISNUMBER(C221), C221, 0) - D221)/ABS(D221))</f>
        <v/>
      </c>
      <c r="G221" s="14" t="n"/>
    </row>
    <row r="222">
      <c r="A222" s="14" t="n"/>
      <c r="B222" s="14" t="inlineStr">
        <is>
          <t>Other statutory dues payable (#)</t>
        </is>
      </c>
      <c r="C222" s="15" t="n">
        <v>15127</v>
      </c>
      <c r="D222" s="15" t="n">
        <v>20839</v>
      </c>
      <c r="E222" s="15">
        <f>IF(AND(NOT(ISNUMBER(C222)), NOT(ISNUMBER(D222))), "-", IF(ISNUMBER(C222), C222, 0) - IF(ISNUMBER(D222), D222, 0))</f>
        <v/>
      </c>
      <c r="F222" s="16">
        <f>IF(OR(NOT(ISNUMBER(D222)), D222=0), "-", (IF(ISNUMBER(C222), C222, 0) - D222)/ABS(D222))</f>
        <v/>
      </c>
      <c r="G222" s="14" t="n"/>
    </row>
    <row r="223">
      <c r="A223" s="11" t="n"/>
      <c r="B223" s="11" t="inlineStr">
        <is>
          <t>Total</t>
        </is>
      </c>
      <c r="C223" s="12" t="n">
        <v>1280596</v>
      </c>
      <c r="D223" s="12" t="n">
        <v>1316327</v>
      </c>
      <c r="E223" s="12">
        <f>IF(AND(NOT(ISNUMBER(C223)), NOT(ISNUMBER(D223))), "-", IF(ISNUMBER(C223), C223, 0) - IF(ISNUMBER(D223), D223, 0))</f>
        <v/>
      </c>
      <c r="F223" s="13">
        <f>IF(OR(NOT(ISNUMBER(D223)), D223=0), "-", (IF(ISNUMBER(C223), C223, 0) - D223)/ABS(D223))</f>
        <v/>
      </c>
      <c r="G223" s="11" t="n"/>
    </row>
    <row r="224">
      <c r="A224" s="14" t="n"/>
      <c r="B224" s="14" t="inlineStr">
        <is>
          <t>(#) Zero represents amount less than ₹ 0.5 lakhs</t>
        </is>
      </c>
      <c r="C224" s="15" t="n">
        <v>0</v>
      </c>
      <c r="D224" s="15" t="n">
        <v>0</v>
      </c>
      <c r="E224" s="15">
        <f>IF(AND(NOT(ISNUMBER(C224)), NOT(ISNUMBER(D224))), "-", IF(ISNUMBER(C224), C224, 0) - IF(ISNUMBER(D224), D224, 0))</f>
        <v/>
      </c>
      <c r="F224" s="16">
        <f>IF(OR(NOT(ISNUMBER(D224)), D224=0), "-", (IF(ISNUMBER(C224), C224, 0) - D224)/ABS(D224))</f>
        <v/>
      </c>
      <c r="G224" s="14" t="n"/>
    </row>
    <row r="227">
      <c r="B227" s="6" t="inlineStr">
        <is>
          <t>Note 17: Income tax liabilities (net)</t>
        </is>
      </c>
      <c r="C227" s="8" t="inlineStr">
        <is>
          <t>a</t>
        </is>
      </c>
      <c r="D227" s="8" t="inlineStr">
        <is>
          <t>b</t>
        </is>
      </c>
      <c r="E227" s="8" t="inlineStr">
        <is>
          <t>e</t>
        </is>
      </c>
    </row>
    <row r="228">
      <c r="A228" s="10" t="inlineStr"/>
      <c r="B228" s="10" t="inlineStr">
        <is>
          <t>Particulars</t>
        </is>
      </c>
      <c r="C228" s="10" t="inlineStr">
        <is>
          <t>As at 31st March 2025</t>
        </is>
      </c>
      <c r="D228" s="10" t="inlineStr">
        <is>
          <t>As at 31st March 2024</t>
        </is>
      </c>
      <c r="E228" s="10" t="inlineStr">
        <is>
          <t>Variance</t>
        </is>
      </c>
      <c r="F228" s="10" t="inlineStr">
        <is>
          <t>Variance %</t>
        </is>
      </c>
      <c r="G228" s="10" t="inlineStr">
        <is>
          <t>Remarks</t>
        </is>
      </c>
    </row>
    <row r="229">
      <c r="A229" s="14" t="n"/>
      <c r="B229" s="14" t="inlineStr">
        <is>
          <t>Provision for taxation {net of advance tax Rs.Nil (31 March 2016 Rs. 14,226) (31 March 2015 Rs.59,804)}</t>
        </is>
      </c>
      <c r="C229" s="15" t="n">
        <v>0</v>
      </c>
      <c r="D229" s="15" t="n">
        <v>0</v>
      </c>
      <c r="E229" s="15">
        <f>IF(AND(NOT(ISNUMBER(C229)), NOT(ISNUMBER(D229))), "-", IF(ISNUMBER(C229), C229, 0) - IF(ISNUMBER(D229), D229, 0))</f>
        <v/>
      </c>
      <c r="F229" s="16">
        <f>IF(OR(NOT(ISNUMBER(D229)), D229=0), "-", (IF(ISNUMBER(C229), C229, 0) - D229)/ABS(D229))</f>
        <v/>
      </c>
      <c r="G229" s="14" t="n"/>
    </row>
    <row r="230">
      <c r="A230" s="14" t="n"/>
      <c r="B230" s="14" t="inlineStr"/>
      <c r="C230" s="15" t="n">
        <v>0</v>
      </c>
      <c r="D230" s="15" t="n">
        <v>0</v>
      </c>
      <c r="E230" s="15">
        <f>IF(AND(NOT(ISNUMBER(C230)), NOT(ISNUMBER(D230))), "-", IF(ISNUMBER(C230), C230, 0) - IF(ISNUMBER(D230), D230, 0))</f>
        <v/>
      </c>
      <c r="F230" s="16">
        <f>IF(OR(NOT(ISNUMBER(D230)), D230=0), "-", (IF(ISNUMBER(C230), C230, 0) - D230)/ABS(D230))</f>
        <v/>
      </c>
      <c r="G230" s="14"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79"/>
  <sheetViews>
    <sheetView workbookViewId="0">
      <selection activeCell="A1" sqref="A1"/>
    </sheetView>
  </sheetViews>
  <sheetFormatPr baseColWidth="8" defaultRowHeight="15"/>
  <cols>
    <col width="5" customWidth="1" min="1" max="1"/>
    <col width="40" customWidth="1" min="2" max="2"/>
    <col width="16" customWidth="1" min="3" max="3"/>
    <col width="16" customWidth="1" min="4" max="4"/>
    <col width="16" customWidth="1" min="5" max="5"/>
    <col width="12" customWidth="1" min="6" max="6"/>
    <col width="45" customWidth="1" min="7" max="7"/>
    <col width="5" customWidth="1" min="8" max="8"/>
    <col width="50" customWidth="1" min="9" max="9"/>
  </cols>
  <sheetData>
    <row r="1">
      <c r="A1" s="6" t="inlineStr">
        <is>
          <t>Firm:</t>
        </is>
      </c>
      <c r="C1" s="7" t="inlineStr">
        <is>
          <t>W</t>
        </is>
      </c>
      <c r="H1" s="8" t="inlineStr">
        <is>
          <t>Legend:</t>
        </is>
      </c>
    </row>
    <row r="2">
      <c r="A2" s="6" t="inlineStr">
        <is>
          <t>Client:</t>
        </is>
      </c>
      <c r="C2" s="7" t="inlineStr">
        <is>
          <t>SSIPL</t>
        </is>
      </c>
      <c r="H2" s="8" t="inlineStr">
        <is>
          <t>a</t>
        </is>
      </c>
      <c r="I2" s="7" t="inlineStr">
        <is>
          <t>Traced to Financials for the year ended 31 March 2024</t>
        </is>
      </c>
    </row>
    <row r="3">
      <c r="A3" s="6" t="inlineStr">
        <is>
          <t>Analysis of Notes to Accounts</t>
        </is>
      </c>
      <c r="H3" s="8" t="inlineStr">
        <is>
          <t>b</t>
        </is>
      </c>
      <c r="I3" s="7" t="inlineStr">
        <is>
          <t>Traced to Financials for the year ended 31 March 2025</t>
        </is>
      </c>
    </row>
    <row r="4">
      <c r="H4" s="8" t="inlineStr">
        <is>
          <t>j</t>
        </is>
      </c>
      <c r="I4" s="7" t="inlineStr">
        <is>
          <t>Linked</t>
        </is>
      </c>
    </row>
    <row r="5">
      <c r="H5" s="8" t="inlineStr">
        <is>
          <t>e</t>
        </is>
      </c>
      <c r="I5" s="7" t="inlineStr">
        <is>
          <t>Recomputed</t>
        </is>
      </c>
    </row>
    <row r="6">
      <c r="H6" s="8" t="inlineStr">
        <is>
          <t>h</t>
        </is>
      </c>
      <c r="I6" s="7" t="inlineStr">
        <is>
          <t>Immaterial. Hence ignored</t>
        </is>
      </c>
    </row>
    <row r="10">
      <c r="B10" s="6" t="inlineStr">
        <is>
          <t>Note 18: Revenue from operations</t>
        </is>
      </c>
      <c r="C10" s="8" t="inlineStr">
        <is>
          <t>a</t>
        </is>
      </c>
      <c r="D10" s="8" t="inlineStr">
        <is>
          <t>b</t>
        </is>
      </c>
      <c r="E10" s="8" t="inlineStr">
        <is>
          <t>e</t>
        </is>
      </c>
    </row>
    <row r="11">
      <c r="A11" s="10" t="inlineStr"/>
      <c r="B11" s="10" t="inlineStr">
        <is>
          <t>Particulars</t>
        </is>
      </c>
      <c r="C11" s="10" t="inlineStr">
        <is>
          <t>As at 31st March 2025</t>
        </is>
      </c>
      <c r="D11" s="10" t="inlineStr">
        <is>
          <t>As at 31st March 2024</t>
        </is>
      </c>
      <c r="E11" s="10" t="inlineStr">
        <is>
          <t>Variance</t>
        </is>
      </c>
      <c r="F11" s="10" t="inlineStr">
        <is>
          <t>Variance %</t>
        </is>
      </c>
      <c r="G11" s="10" t="inlineStr">
        <is>
          <t>Remarks</t>
        </is>
      </c>
    </row>
    <row r="12">
      <c r="A12" s="14" t="n"/>
      <c r="B12" s="14" t="inlineStr">
        <is>
          <t>Rental income</t>
        </is>
      </c>
      <c r="C12" s="15" t="n">
        <v>0</v>
      </c>
      <c r="D12" s="15" t="n">
        <v>0</v>
      </c>
      <c r="E12" s="15">
        <f>IF(AND(NOT(ISNUMBER(C12)), NOT(ISNUMBER(D12))), "-", IF(ISNUMBER(C12), C12, 0) - IF(ISNUMBER(D12), D12, 0))</f>
        <v/>
      </c>
      <c r="F12" s="16">
        <f>IF(OR(NOT(ISNUMBER(D12)), D12=0), "-", (IF(ISNUMBER(C12), C12, 0) - D12)/ABS(D12))</f>
        <v/>
      </c>
      <c r="G12" s="14" t="n"/>
    </row>
    <row r="13">
      <c r="A13" s="14" t="n"/>
      <c r="B13" s="14" t="inlineStr">
        <is>
          <t>Software services (refer note 28)</t>
        </is>
      </c>
      <c r="C13" s="15" t="n">
        <v>10984519</v>
      </c>
      <c r="D13" s="15" t="n">
        <v>14480207</v>
      </c>
      <c r="E13" s="15">
        <f>IF(AND(NOT(ISNUMBER(C13)), NOT(ISNUMBER(D13))), "-", IF(ISNUMBER(C13), C13, 0) - IF(ISNUMBER(D13), D13, 0))</f>
        <v/>
      </c>
      <c r="F13" s="16">
        <f>IF(OR(NOT(ISNUMBER(D13)), D13=0), "-", (IF(ISNUMBER(C13), C13, 0) - D13)/ABS(D13))</f>
        <v/>
      </c>
      <c r="G13" s="14" t="n"/>
    </row>
    <row r="14">
      <c r="A14" s="11" t="n"/>
      <c r="B14" s="11" t="inlineStr">
        <is>
          <t>Total</t>
        </is>
      </c>
      <c r="C14" s="12" t="n">
        <v>10984519</v>
      </c>
      <c r="D14" s="12" t="n">
        <v>14480207</v>
      </c>
      <c r="E14" s="12">
        <f>IF(AND(NOT(ISNUMBER(C14)), NOT(ISNUMBER(D14))), "-", IF(ISNUMBER(C14), C14, 0) - IF(ISNUMBER(D14), D14, 0))</f>
        <v/>
      </c>
      <c r="F14" s="13">
        <f>IF(OR(NOT(ISNUMBER(D14)), D14=0), "-", (IF(ISNUMBER(C14), C14, 0) - D14)/ABS(D14))</f>
        <v/>
      </c>
      <c r="G14" s="11" t="n"/>
    </row>
    <row r="17">
      <c r="B17" s="6" t="inlineStr">
        <is>
          <t>Note 19: Other income</t>
        </is>
      </c>
      <c r="C17" s="8" t="inlineStr">
        <is>
          <t>a</t>
        </is>
      </c>
      <c r="D17" s="8" t="inlineStr">
        <is>
          <t>b</t>
        </is>
      </c>
      <c r="E17" s="8" t="inlineStr">
        <is>
          <t>e</t>
        </is>
      </c>
    </row>
    <row r="18">
      <c r="A18" s="10" t="inlineStr"/>
      <c r="B18" s="10" t="inlineStr">
        <is>
          <t>Particulars</t>
        </is>
      </c>
      <c r="C18" s="10" t="inlineStr">
        <is>
          <t>As at 31st March 2025</t>
        </is>
      </c>
      <c r="D18" s="10" t="inlineStr">
        <is>
          <t>As at 31st March 2024</t>
        </is>
      </c>
      <c r="E18" s="10" t="inlineStr">
        <is>
          <t>Variance</t>
        </is>
      </c>
      <c r="F18" s="10" t="inlineStr">
        <is>
          <t>Variance %</t>
        </is>
      </c>
      <c r="G18" s="10" t="inlineStr">
        <is>
          <t>Remarks</t>
        </is>
      </c>
    </row>
    <row r="19">
      <c r="A19" s="14" t="n"/>
      <c r="B19" s="14" t="inlineStr">
        <is>
          <t>Gain on exchange fluctuations (net)</t>
        </is>
      </c>
      <c r="C19" s="15" t="n">
        <v>83032</v>
      </c>
      <c r="D19" s="15" t="n">
        <v>0</v>
      </c>
      <c r="E19" s="15">
        <f>IF(AND(NOT(ISNUMBER(C19)), NOT(ISNUMBER(D19))), "-", IF(ISNUMBER(C19), C19, 0) - IF(ISNUMBER(D19), D19, 0))</f>
        <v/>
      </c>
      <c r="F19" s="16">
        <f>IF(OR(NOT(ISNUMBER(D19)), D19=0), "-", (IF(ISNUMBER(C19), C19, 0) - D19)/ABS(D19))</f>
        <v/>
      </c>
      <c r="G19" s="14" t="n"/>
    </row>
    <row r="20">
      <c r="A20" s="14" t="n"/>
      <c r="B20" s="14" t="inlineStr">
        <is>
          <t>Interest income from financial assets at amortised cost</t>
        </is>
      </c>
      <c r="C20" s="15" t="n">
        <v>0</v>
      </c>
      <c r="D20" s="15" t="n">
        <v>0</v>
      </c>
      <c r="E20" s="15">
        <f>IF(AND(NOT(ISNUMBER(C20)), NOT(ISNUMBER(D20))), "-", IF(ISNUMBER(C20), C20, 0) - IF(ISNUMBER(D20), D20, 0))</f>
        <v/>
      </c>
      <c r="F20" s="16">
        <f>IF(OR(NOT(ISNUMBER(D20)), D20=0), "-", (IF(ISNUMBER(C20), C20, 0) - D20)/ABS(D20))</f>
        <v/>
      </c>
      <c r="G20" s="14" t="n"/>
    </row>
    <row r="21">
      <c r="A21" s="14" t="n"/>
      <c r="B21" s="14" t="inlineStr">
        <is>
          <t>Profit on sale of mutual fund units</t>
        </is>
      </c>
      <c r="C21" s="15" t="n">
        <v>0</v>
      </c>
      <c r="D21" s="15" t="n">
        <v>0</v>
      </c>
      <c r="E21" s="15">
        <f>IF(AND(NOT(ISNUMBER(C21)), NOT(ISNUMBER(D21))), "-", IF(ISNUMBER(C21), C21, 0) - IF(ISNUMBER(D21), D21, 0))</f>
        <v/>
      </c>
      <c r="F21" s="16">
        <f>IF(OR(NOT(ISNUMBER(D21)), D21=0), "-", (IF(ISNUMBER(C21), C21, 0) - D21)/ABS(D21))</f>
        <v/>
      </c>
      <c r="G21" s="14" t="n"/>
    </row>
    <row r="22">
      <c r="A22" s="14" t="n"/>
      <c r="B22" s="14" t="inlineStr">
        <is>
          <t>Unrealised (loss) on mutual fund units</t>
        </is>
      </c>
      <c r="C22" s="15" t="n">
        <v>0</v>
      </c>
      <c r="D22" s="15" t="n">
        <v>0</v>
      </c>
      <c r="E22" s="15">
        <f>IF(AND(NOT(ISNUMBER(C22)), NOT(ISNUMBER(D22))), "-", IF(ISNUMBER(C22), C22, 0) - IF(ISNUMBER(D22), D22, 0))</f>
        <v/>
      </c>
      <c r="F22" s="16">
        <f>IF(OR(NOT(ISNUMBER(D22)), D22=0), "-", (IF(ISNUMBER(C22), C22, 0) - D22)/ABS(D22))</f>
        <v/>
      </c>
      <c r="G22" s="14" t="n"/>
    </row>
    <row r="23">
      <c r="A23" s="14" t="n"/>
      <c r="B23" s="14" t="inlineStr">
        <is>
          <t>Interest income under effective interest method on security deposit</t>
        </is>
      </c>
      <c r="C23" s="15" t="n">
        <v>217627</v>
      </c>
      <c r="D23" s="15" t="n">
        <v>188323</v>
      </c>
      <c r="E23" s="15">
        <f>IF(AND(NOT(ISNUMBER(C23)), NOT(ISNUMBER(D23))), "-", IF(ISNUMBER(C23), C23, 0) - IF(ISNUMBER(D23), D23, 0))</f>
        <v/>
      </c>
      <c r="F23" s="16">
        <f>IF(OR(NOT(ISNUMBER(D23)), D23=0), "-", (IF(ISNUMBER(C23), C23, 0) - D23)/ABS(D23))</f>
        <v/>
      </c>
      <c r="G23" s="14" t="n"/>
    </row>
    <row r="24">
      <c r="A24" s="14" t="n"/>
      <c r="B24" s="14" t="inlineStr">
        <is>
          <t>Interest income from term deposits &amp; others</t>
        </is>
      </c>
      <c r="C24" s="15" t="n">
        <v>15602768</v>
      </c>
      <c r="D24" s="15" t="n">
        <v>15754938</v>
      </c>
      <c r="E24" s="15">
        <f>IF(AND(NOT(ISNUMBER(C24)), NOT(ISNUMBER(D24))), "-", IF(ISNUMBER(C24), C24, 0) - IF(ISNUMBER(D24), D24, 0))</f>
        <v/>
      </c>
      <c r="F24" s="16">
        <f>IF(OR(NOT(ISNUMBER(D24)), D24=0), "-", (IF(ISNUMBER(C24), C24, 0) - D24)/ABS(D24))</f>
        <v/>
      </c>
      <c r="G24" s="14" t="n"/>
    </row>
    <row r="25">
      <c r="A25" s="14" t="n"/>
      <c r="B25" s="14" t="inlineStr">
        <is>
          <t>Interest on income tax refund</t>
        </is>
      </c>
      <c r="C25" s="15" t="n">
        <v>0</v>
      </c>
      <c r="D25" s="15" t="n">
        <v>128810</v>
      </c>
      <c r="E25" s="15">
        <f>IF(AND(NOT(ISNUMBER(C25)), NOT(ISNUMBER(D25))), "-", IF(ISNUMBER(C25), C25, 0) - IF(ISNUMBER(D25), D25, 0))</f>
        <v/>
      </c>
      <c r="F25" s="16">
        <f>IF(OR(NOT(ISNUMBER(D25)), D25=0), "-", (IF(ISNUMBER(C25), C25, 0) - D25)/ABS(D25))</f>
        <v/>
      </c>
      <c r="G25" s="14" t="n"/>
    </row>
    <row r="26">
      <c r="A26" s="14" t="n"/>
      <c r="B26" s="14" t="inlineStr">
        <is>
          <t>Gain on disposal of property, plant and equipment, net</t>
        </is>
      </c>
      <c r="C26" s="15" t="n">
        <v>0</v>
      </c>
      <c r="D26" s="15" t="n">
        <v>0</v>
      </c>
      <c r="E26" s="15">
        <f>IF(AND(NOT(ISNUMBER(C26)), NOT(ISNUMBER(D26))), "-", IF(ISNUMBER(C26), C26, 0) - IF(ISNUMBER(D26), D26, 0))</f>
        <v/>
      </c>
      <c r="F26" s="16">
        <f>IF(OR(NOT(ISNUMBER(D26)), D26=0), "-", (IF(ISNUMBER(C26), C26, 0) - D26)/ABS(D26))</f>
        <v/>
      </c>
      <c r="G26" s="14" t="n"/>
    </row>
    <row r="27">
      <c r="A27" s="14" t="n"/>
      <c r="B27" s="14" t="inlineStr">
        <is>
          <t>Gain on modification of financial liability (refer note 11 and 28)</t>
        </is>
      </c>
      <c r="C27" s="15" t="n">
        <v>0</v>
      </c>
      <c r="D27" s="15" t="n">
        <v>20393931</v>
      </c>
      <c r="E27" s="15">
        <f>IF(AND(NOT(ISNUMBER(C27)), NOT(ISNUMBER(D27))), "-", IF(ISNUMBER(C27), C27, 0) - IF(ISNUMBER(D27), D27, 0))</f>
        <v/>
      </c>
      <c r="F27" s="16">
        <f>IF(OR(NOT(ISNUMBER(D27)), D27=0), "-", (IF(ISNUMBER(C27), C27, 0) - D27)/ABS(D27))</f>
        <v/>
      </c>
      <c r="G27" s="14" t="n"/>
    </row>
    <row r="28">
      <c r="A28" s="14" t="n"/>
      <c r="B28" s="14" t="inlineStr">
        <is>
          <t>Miscellaneous income</t>
        </is>
      </c>
      <c r="C28" s="15" t="n">
        <v>0</v>
      </c>
      <c r="D28" s="15" t="n">
        <v>0</v>
      </c>
      <c r="E28" s="15">
        <f>IF(AND(NOT(ISNUMBER(C28)), NOT(ISNUMBER(D28))), "-", IF(ISNUMBER(C28), C28, 0) - IF(ISNUMBER(D28), D28, 0))</f>
        <v/>
      </c>
      <c r="F28" s="16">
        <f>IF(OR(NOT(ISNUMBER(D28)), D28=0), "-", (IF(ISNUMBER(C28), C28, 0) - D28)/ABS(D28))</f>
        <v/>
      </c>
      <c r="G28" s="14" t="n"/>
    </row>
    <row r="29">
      <c r="A29" s="11" t="n"/>
      <c r="B29" s="11" t="inlineStr">
        <is>
          <t>Total</t>
        </is>
      </c>
      <c r="C29" s="12" t="n">
        <v>15903427</v>
      </c>
      <c r="D29" s="12" t="n">
        <v>36466002</v>
      </c>
      <c r="E29" s="12">
        <f>IF(AND(NOT(ISNUMBER(C29)), NOT(ISNUMBER(D29))), "-", IF(ISNUMBER(C29), C29, 0) - IF(ISNUMBER(D29), D29, 0))</f>
        <v/>
      </c>
      <c r="F29" s="13">
        <f>IF(OR(NOT(ISNUMBER(D29)), D29=0), "-", (IF(ISNUMBER(C29), C29, 0) - D29)/ABS(D29))</f>
        <v/>
      </c>
      <c r="G29" s="11" t="n"/>
    </row>
    <row r="32">
      <c r="B32" s="6" t="inlineStr">
        <is>
          <t>Note 20: Employee benefits expense</t>
        </is>
      </c>
      <c r="C32" s="8" t="inlineStr">
        <is>
          <t>a</t>
        </is>
      </c>
      <c r="D32" s="8" t="inlineStr">
        <is>
          <t>b</t>
        </is>
      </c>
      <c r="E32" s="8" t="inlineStr">
        <is>
          <t>e</t>
        </is>
      </c>
    </row>
    <row r="33">
      <c r="A33" s="10" t="inlineStr"/>
      <c r="B33" s="10" t="inlineStr">
        <is>
          <t>Particulars</t>
        </is>
      </c>
      <c r="C33" s="10" t="inlineStr">
        <is>
          <t>As at 31st March 2025</t>
        </is>
      </c>
      <c r="D33" s="10" t="inlineStr">
        <is>
          <t>As at 31st March 2024</t>
        </is>
      </c>
      <c r="E33" s="10" t="inlineStr">
        <is>
          <t>Variance</t>
        </is>
      </c>
      <c r="F33" s="10" t="inlineStr">
        <is>
          <t>Variance %</t>
        </is>
      </c>
      <c r="G33" s="10" t="inlineStr">
        <is>
          <t>Remarks</t>
        </is>
      </c>
    </row>
    <row r="34">
      <c r="A34" s="14" t="n"/>
      <c r="B34" s="14" t="inlineStr">
        <is>
          <t>Salaries and bonus</t>
        </is>
      </c>
      <c r="C34" s="15" t="n">
        <v>6356865</v>
      </c>
      <c r="D34" s="15" t="n">
        <v>7978343</v>
      </c>
      <c r="E34" s="15">
        <f>IF(AND(NOT(ISNUMBER(C34)), NOT(ISNUMBER(D34))), "-", IF(ISNUMBER(C34), C34, 0) - IF(ISNUMBER(D34), D34, 0))</f>
        <v/>
      </c>
      <c r="F34" s="16">
        <f>IF(OR(NOT(ISNUMBER(D34)), D34=0), "-", (IF(ISNUMBER(C34), C34, 0) - D34)/ABS(D34))</f>
        <v/>
      </c>
      <c r="G34" s="14" t="n"/>
    </row>
    <row r="35">
      <c r="A35" s="14" t="n"/>
      <c r="B35" s="14" t="inlineStr">
        <is>
          <t>Contribution to provident and other funds(refer note 26(a))</t>
        </is>
      </c>
      <c r="C35" s="15" t="n">
        <v>115383</v>
      </c>
      <c r="D35" s="15" t="n">
        <v>143256</v>
      </c>
      <c r="E35" s="15">
        <f>IF(AND(NOT(ISNUMBER(C35)), NOT(ISNUMBER(D35))), "-", IF(ISNUMBER(C35), C35, 0) - IF(ISNUMBER(D35), D35, 0))</f>
        <v/>
      </c>
      <c r="F35" s="16">
        <f>IF(OR(NOT(ISNUMBER(D35)), D35=0), "-", (IF(ISNUMBER(C35), C35, 0) - D35)/ABS(D35))</f>
        <v/>
      </c>
      <c r="G35" s="14" t="n"/>
    </row>
    <row r="36">
      <c r="A36" s="14" t="n"/>
      <c r="B36" s="14" t="inlineStr">
        <is>
          <t>Compensated absences(refer note 26(b))</t>
        </is>
      </c>
      <c r="C36" s="15" t="n">
        <v>54162</v>
      </c>
      <c r="D36" s="15" t="n">
        <v>43143</v>
      </c>
      <c r="E36" s="15">
        <f>IF(AND(NOT(ISNUMBER(C36)), NOT(ISNUMBER(D36))), "-", IF(ISNUMBER(C36), C36, 0) - IF(ISNUMBER(D36), D36, 0))</f>
        <v/>
      </c>
      <c r="F36" s="16">
        <f>IF(OR(NOT(ISNUMBER(D36)), D36=0), "-", (IF(ISNUMBER(C36), C36, 0) - D36)/ABS(D36))</f>
        <v/>
      </c>
      <c r="G36" s="14" t="n"/>
    </row>
    <row r="37">
      <c r="A37" s="14" t="n"/>
      <c r="B37" s="14" t="inlineStr">
        <is>
          <t>Gratuity expenses (refer note 26(c))</t>
        </is>
      </c>
      <c r="C37" s="15" t="n">
        <v>248295</v>
      </c>
      <c r="D37" s="15" t="n">
        <v>293948</v>
      </c>
      <c r="E37" s="15">
        <f>IF(AND(NOT(ISNUMBER(C37)), NOT(ISNUMBER(D37))), "-", IF(ISNUMBER(C37), C37, 0) - IF(ISNUMBER(D37), D37, 0))</f>
        <v/>
      </c>
      <c r="F37" s="16">
        <f>IF(OR(NOT(ISNUMBER(D37)), D37=0), "-", (IF(ISNUMBER(C37), C37, 0) - D37)/ABS(D37))</f>
        <v/>
      </c>
      <c r="G37" s="14" t="n"/>
    </row>
    <row r="38">
      <c r="A38" s="14" t="n"/>
      <c r="B38" s="14" t="inlineStr">
        <is>
          <t>Staff welfare expenses</t>
        </is>
      </c>
      <c r="C38" s="15" t="n">
        <v>293709</v>
      </c>
      <c r="D38" s="15" t="n">
        <v>248332</v>
      </c>
      <c r="E38" s="15">
        <f>IF(AND(NOT(ISNUMBER(C38)), NOT(ISNUMBER(D38))), "-", IF(ISNUMBER(C38), C38, 0) - IF(ISNUMBER(D38), D38, 0))</f>
        <v/>
      </c>
      <c r="F38" s="16">
        <f>IF(OR(NOT(ISNUMBER(D38)), D38=0), "-", (IF(ISNUMBER(C38), C38, 0) - D38)/ABS(D38))</f>
        <v/>
      </c>
      <c r="G38" s="14" t="n"/>
    </row>
    <row r="39">
      <c r="A39" s="14" t="n"/>
      <c r="B39" s="14" t="inlineStr">
        <is>
          <t>Employee stock compensation expense</t>
        </is>
      </c>
      <c r="C39" s="15" t="n">
        <v>0</v>
      </c>
      <c r="D39" s="15" t="n">
        <v>0</v>
      </c>
      <c r="E39" s="15">
        <f>IF(AND(NOT(ISNUMBER(C39)), NOT(ISNUMBER(D39))), "-", IF(ISNUMBER(C39), C39, 0) - IF(ISNUMBER(D39), D39, 0))</f>
        <v/>
      </c>
      <c r="F39" s="16">
        <f>IF(OR(NOT(ISNUMBER(D39)), D39=0), "-", (IF(ISNUMBER(C39), C39, 0) - D39)/ABS(D39))</f>
        <v/>
      </c>
      <c r="G39" s="14" t="n"/>
    </row>
    <row r="40">
      <c r="A40" s="11" t="n"/>
      <c r="B40" s="11" t="inlineStr">
        <is>
          <t>Total</t>
        </is>
      </c>
      <c r="C40" s="12" t="n">
        <v>7068414</v>
      </c>
      <c r="D40" s="12" t="n">
        <v>8707022</v>
      </c>
      <c r="E40" s="12">
        <f>IF(AND(NOT(ISNUMBER(C40)), NOT(ISNUMBER(D40))), "-", IF(ISNUMBER(C40), C40, 0) - IF(ISNUMBER(D40), D40, 0))</f>
        <v/>
      </c>
      <c r="F40" s="13">
        <f>IF(OR(NOT(ISNUMBER(D40)), D40=0), "-", (IF(ISNUMBER(C40), C40, 0) - D40)/ABS(D40))</f>
        <v/>
      </c>
      <c r="G40" s="11" t="n"/>
    </row>
    <row r="41">
      <c r="A41" s="14" t="n"/>
      <c r="B41" s="14" t="inlineStr">
        <is>
          <t>(#) Zero represents amount less than ₹ one lakh</t>
        </is>
      </c>
      <c r="C41" s="15" t="n">
        <v>0</v>
      </c>
      <c r="D41" s="15" t="n">
        <v>0</v>
      </c>
      <c r="E41" s="15">
        <f>IF(AND(NOT(ISNUMBER(C41)), NOT(ISNUMBER(D41))), "-", IF(ISNUMBER(C41), C41, 0) - IF(ISNUMBER(D41), D41, 0))</f>
        <v/>
      </c>
      <c r="F41" s="16">
        <f>IF(OR(NOT(ISNUMBER(D41)), D41=0), "-", (IF(ISNUMBER(C41), C41, 0) - D41)/ABS(D41))</f>
        <v/>
      </c>
      <c r="G41" s="14" t="n"/>
    </row>
    <row r="44">
      <c r="B44" s="6" t="inlineStr">
        <is>
          <t>Note 21: Foreign travel expenses</t>
        </is>
      </c>
      <c r="C44" s="8" t="inlineStr">
        <is>
          <t>a</t>
        </is>
      </c>
      <c r="D44" s="8" t="inlineStr">
        <is>
          <t>b</t>
        </is>
      </c>
      <c r="E44" s="8" t="inlineStr">
        <is>
          <t>e</t>
        </is>
      </c>
    </row>
    <row r="45">
      <c r="A45" s="10" t="inlineStr"/>
      <c r="B45" s="10" t="inlineStr">
        <is>
          <t>Particulars</t>
        </is>
      </c>
      <c r="C45" s="10" t="inlineStr">
        <is>
          <t>As at 31st March 2025</t>
        </is>
      </c>
      <c r="D45" s="10" t="inlineStr">
        <is>
          <t>As at 31st March 2024</t>
        </is>
      </c>
      <c r="E45" s="10" t="inlineStr">
        <is>
          <t>Variance</t>
        </is>
      </c>
      <c r="F45" s="10" t="inlineStr">
        <is>
          <t>Variance %</t>
        </is>
      </c>
      <c r="G45" s="10" t="inlineStr">
        <is>
          <t>Remarks</t>
        </is>
      </c>
    </row>
    <row r="46">
      <c r="A46" s="14" t="n"/>
      <c r="B46" s="14" t="inlineStr">
        <is>
          <t>Foreign living expense</t>
        </is>
      </c>
      <c r="C46" s="15" t="n">
        <v>0</v>
      </c>
      <c r="D46" s="15" t="n">
        <v>0</v>
      </c>
      <c r="E46" s="15">
        <f>IF(AND(NOT(ISNUMBER(C46)), NOT(ISNUMBER(D46))), "-", IF(ISNUMBER(C46), C46, 0) - IF(ISNUMBER(D46), D46, 0))</f>
        <v/>
      </c>
      <c r="F46" s="16">
        <f>IF(OR(NOT(ISNUMBER(D46)), D46=0), "-", (IF(ISNUMBER(C46), C46, 0) - D46)/ABS(D46))</f>
        <v/>
      </c>
      <c r="G46" s="14" t="n"/>
    </row>
    <row r="47">
      <c r="A47" s="14" t="n"/>
      <c r="B47" s="14" t="inlineStr">
        <is>
          <t>Employment tax</t>
        </is>
      </c>
      <c r="C47" s="15" t="n">
        <v>0</v>
      </c>
      <c r="D47" s="15" t="n">
        <v>0</v>
      </c>
      <c r="E47" s="15">
        <f>IF(AND(NOT(ISNUMBER(C47)), NOT(ISNUMBER(D47))), "-", IF(ISNUMBER(C47), C47, 0) - IF(ISNUMBER(D47), D47, 0))</f>
        <v/>
      </c>
      <c r="F47" s="16">
        <f>IF(OR(NOT(ISNUMBER(D47)), D47=0), "-", (IF(ISNUMBER(C47), C47, 0) - D47)/ABS(D47))</f>
        <v/>
      </c>
      <c r="G47" s="14" t="n"/>
    </row>
    <row r="48">
      <c r="A48" s="14" t="n"/>
      <c r="B48" s="14" t="inlineStr">
        <is>
          <t>Foreign travel expense</t>
        </is>
      </c>
      <c r="C48" s="15" t="n">
        <v>0</v>
      </c>
      <c r="D48" s="15" t="n">
        <v>0</v>
      </c>
      <c r="E48" s="15">
        <f>IF(AND(NOT(ISNUMBER(C48)), NOT(ISNUMBER(D48))), "-", IF(ISNUMBER(C48), C48, 0) - IF(ISNUMBER(D48), D48, 0))</f>
        <v/>
      </c>
      <c r="F48" s="16">
        <f>IF(OR(NOT(ISNUMBER(D48)), D48=0), "-", (IF(ISNUMBER(C48), C48, 0) - D48)/ABS(D48))</f>
        <v/>
      </c>
      <c r="G48" s="14" t="n"/>
    </row>
    <row r="49">
      <c r="A49" s="14" t="n"/>
      <c r="B49" s="14" t="inlineStr">
        <is>
          <t>Visa expenses</t>
        </is>
      </c>
      <c r="C49" s="15" t="n">
        <v>0</v>
      </c>
      <c r="D49" s="15" t="n">
        <v>0</v>
      </c>
      <c r="E49" s="15">
        <f>IF(AND(NOT(ISNUMBER(C49)), NOT(ISNUMBER(D49))), "-", IF(ISNUMBER(C49), C49, 0) - IF(ISNUMBER(D49), D49, 0))</f>
        <v/>
      </c>
      <c r="F49" s="16">
        <f>IF(OR(NOT(ISNUMBER(D49)), D49=0), "-", (IF(ISNUMBER(C49), C49, 0) - D49)/ABS(D49))</f>
        <v/>
      </c>
      <c r="G49" s="14" t="n"/>
    </row>
    <row r="50">
      <c r="A50" s="14" t="n"/>
      <c r="B50" s="14" t="inlineStr">
        <is>
          <t>Insurance expense</t>
        </is>
      </c>
      <c r="C50" s="15" t="n">
        <v>0</v>
      </c>
      <c r="D50" s="15" t="n">
        <v>0</v>
      </c>
      <c r="E50" s="15">
        <f>IF(AND(NOT(ISNUMBER(C50)), NOT(ISNUMBER(D50))), "-", IF(ISNUMBER(C50), C50, 0) - IF(ISNUMBER(D50), D50, 0))</f>
        <v/>
      </c>
      <c r="F50" s="16">
        <f>IF(OR(NOT(ISNUMBER(D50)), D50=0), "-", (IF(ISNUMBER(C50), C50, 0) - D50)/ABS(D50))</f>
        <v/>
      </c>
      <c r="G50" s="14" t="n"/>
    </row>
    <row r="51">
      <c r="A51" s="14" t="n"/>
      <c r="B51" s="14" t="inlineStr">
        <is>
          <t>Other expenses</t>
        </is>
      </c>
      <c r="C51" s="15" t="n">
        <v>0</v>
      </c>
      <c r="D51" s="15" t="n">
        <v>0</v>
      </c>
      <c r="E51" s="15">
        <f>IF(AND(NOT(ISNUMBER(C51)), NOT(ISNUMBER(D51))), "-", IF(ISNUMBER(C51), C51, 0) - IF(ISNUMBER(D51), D51, 0))</f>
        <v/>
      </c>
      <c r="F51" s="16">
        <f>IF(OR(NOT(ISNUMBER(D51)), D51=0), "-", (IF(ISNUMBER(C51), C51, 0) - D51)/ABS(D51))</f>
        <v/>
      </c>
      <c r="G51" s="14" t="n"/>
    </row>
    <row r="54">
      <c r="B54" s="6" t="inlineStr">
        <is>
          <t>Note 21: Finance charges</t>
        </is>
      </c>
      <c r="C54" s="8" t="inlineStr">
        <is>
          <t>a</t>
        </is>
      </c>
      <c r="D54" s="8" t="inlineStr">
        <is>
          <t>b</t>
        </is>
      </c>
      <c r="E54" s="8" t="inlineStr">
        <is>
          <t>e</t>
        </is>
      </c>
    </row>
    <row r="55">
      <c r="A55" s="10" t="inlineStr"/>
      <c r="B55" s="10" t="inlineStr">
        <is>
          <t>Particulars</t>
        </is>
      </c>
      <c r="C55" s="10" t="inlineStr">
        <is>
          <t>As at 31st March 2025</t>
        </is>
      </c>
      <c r="D55" s="10" t="inlineStr">
        <is>
          <t>As at 31st March 2024</t>
        </is>
      </c>
      <c r="E55" s="10" t="inlineStr">
        <is>
          <t>Variance</t>
        </is>
      </c>
      <c r="F55" s="10" t="inlineStr">
        <is>
          <t>Variance %</t>
        </is>
      </c>
      <c r="G55" s="10" t="inlineStr">
        <is>
          <t>Remarks</t>
        </is>
      </c>
    </row>
    <row r="56">
      <c r="A56" s="14" t="n"/>
      <c r="B56" s="14" t="inlineStr">
        <is>
          <t>Interest expense on financial liabilities measured at amortized cost</t>
        </is>
      </c>
      <c r="C56" s="15" t="n">
        <v>0</v>
      </c>
      <c r="D56" s="15" t="n">
        <v>0</v>
      </c>
      <c r="E56" s="15">
        <f>IF(AND(NOT(ISNUMBER(C56)), NOT(ISNUMBER(D56))), "-", IF(ISNUMBER(C56), C56, 0) - IF(ISNUMBER(D56), D56, 0))</f>
        <v/>
      </c>
      <c r="F56" s="16">
        <f>IF(OR(NOT(ISNUMBER(D56)), D56=0), "-", (IF(ISNUMBER(C56), C56, 0) - D56)/ABS(D56))</f>
        <v/>
      </c>
      <c r="G56" s="14" t="n"/>
    </row>
    <row r="57">
      <c r="A57" s="14" t="n"/>
      <c r="B57" s="14" t="inlineStr">
        <is>
          <t>Preference shares (refer note 11 and 28)</t>
        </is>
      </c>
      <c r="C57" s="15" t="n">
        <v>11355849</v>
      </c>
      <c r="D57" s="15" t="n">
        <v>13389967</v>
      </c>
      <c r="E57" s="15">
        <f>IF(AND(NOT(ISNUMBER(C57)), NOT(ISNUMBER(D57))), "-", IF(ISNUMBER(C57), C57, 0) - IF(ISNUMBER(D57), D57, 0))</f>
        <v/>
      </c>
      <c r="F57" s="16">
        <f>IF(OR(NOT(ISNUMBER(D57)), D57=0), "-", (IF(ISNUMBER(C57), C57, 0) - D57)/ABS(D57))</f>
        <v/>
      </c>
      <c r="G57" s="14" t="n"/>
    </row>
    <row r="58">
      <c r="A58" s="14" t="n"/>
      <c r="B58" s="14" t="inlineStr">
        <is>
          <t>Dividend on preference shares (*) (#)</t>
        </is>
      </c>
      <c r="C58" s="15" t="n">
        <v>3360</v>
      </c>
      <c r="D58" s="15" t="n">
        <v>3360</v>
      </c>
      <c r="E58" s="15">
        <f>IF(AND(NOT(ISNUMBER(C58)), NOT(ISNUMBER(D58))), "-", IF(ISNUMBER(C58), C58, 0) - IF(ISNUMBER(D58), D58, 0))</f>
        <v/>
      </c>
      <c r="F58" s="16">
        <f>IF(OR(NOT(ISNUMBER(D58)), D58=0), "-", (IF(ISNUMBER(C58), C58, 0) - D58)/ABS(D58))</f>
        <v/>
      </c>
      <c r="G58" s="14" t="n"/>
    </row>
    <row r="59">
      <c r="A59" s="14" t="n"/>
      <c r="B59" s="14" t="inlineStr">
        <is>
          <t>Dividend distribution tax</t>
        </is>
      </c>
      <c r="C59" s="15" t="n">
        <v>0</v>
      </c>
      <c r="D59" s="15" t="n">
        <v>0</v>
      </c>
      <c r="E59" s="15">
        <f>IF(AND(NOT(ISNUMBER(C59)), NOT(ISNUMBER(D59))), "-", IF(ISNUMBER(C59), C59, 0) - IF(ISNUMBER(D59), D59, 0))</f>
        <v/>
      </c>
      <c r="F59" s="16">
        <f>IF(OR(NOT(ISNUMBER(D59)), D59=0), "-", (IF(ISNUMBER(C59), C59, 0) - D59)/ABS(D59))</f>
        <v/>
      </c>
      <c r="G59" s="14" t="n"/>
    </row>
    <row r="60">
      <c r="A60" s="14" t="n"/>
      <c r="B60" s="14" t="inlineStr">
        <is>
          <t>Interest expense on finance lease  (refer note 28)</t>
        </is>
      </c>
      <c r="C60" s="15" t="n">
        <v>401657</v>
      </c>
      <c r="D60" s="15" t="n">
        <v>638522</v>
      </c>
      <c r="E60" s="15">
        <f>IF(AND(NOT(ISNUMBER(C60)), NOT(ISNUMBER(D60))), "-", IF(ISNUMBER(C60), C60, 0) - IF(ISNUMBER(D60), D60, 0))</f>
        <v/>
      </c>
      <c r="F60" s="16">
        <f>IF(OR(NOT(ISNUMBER(D60)), D60=0), "-", (IF(ISNUMBER(C60), C60, 0) - D60)/ABS(D60))</f>
        <v/>
      </c>
      <c r="G60" s="14" t="n"/>
    </row>
    <row r="61">
      <c r="A61" s="11" t="n"/>
      <c r="B61" s="11" t="inlineStr">
        <is>
          <t>Total</t>
        </is>
      </c>
      <c r="C61" s="12" t="n">
        <v>11760866</v>
      </c>
      <c r="D61" s="12" t="n">
        <v>14031849</v>
      </c>
      <c r="E61" s="12">
        <f>IF(AND(NOT(ISNUMBER(C61)), NOT(ISNUMBER(D61))), "-", IF(ISNUMBER(C61), C61, 0) - IF(ISNUMBER(D61), D61, 0))</f>
        <v/>
      </c>
      <c r="F61" s="13">
        <f>IF(OR(NOT(ISNUMBER(D61)), D61=0), "-", (IF(ISNUMBER(C61), C61, 0) - D61)/ABS(D61))</f>
        <v/>
      </c>
      <c r="G61" s="11" t="n"/>
    </row>
    <row r="62">
      <c r="A62" s="14" t="n"/>
      <c r="B62" s="14" t="inlineStr">
        <is>
          <t>(*) Includes dividend amounting to ₹ 3,360 [31 March 2024\ : Dividend amounting to ₹ 3,360]</t>
        </is>
      </c>
      <c r="C62" s="15" t="n">
        <v>0</v>
      </c>
      <c r="D62" s="15" t="n">
        <v>0</v>
      </c>
      <c r="E62" s="15">
        <f>IF(AND(NOT(ISNUMBER(C62)), NOT(ISNUMBER(D62))), "-", IF(ISNUMBER(C62), C62, 0) - IF(ISNUMBER(D62), D62, 0))</f>
        <v/>
      </c>
      <c r="F62" s="16">
        <f>IF(OR(NOT(ISNUMBER(D62)), D62=0), "-", (IF(ISNUMBER(C62), C62, 0) - D62)/ABS(D62))</f>
        <v/>
      </c>
      <c r="G62" s="14" t="n"/>
    </row>
    <row r="63">
      <c r="A63" s="14" t="n"/>
      <c r="B63" s="14" t="inlineStr">
        <is>
          <t>(#) Zero represents amount less than ₹ 0.5 lakhs</t>
        </is>
      </c>
      <c r="C63" s="15" t="n">
        <v>0</v>
      </c>
      <c r="D63" s="15" t="n">
        <v>0</v>
      </c>
      <c r="E63" s="15">
        <f>IF(AND(NOT(ISNUMBER(C63)), NOT(ISNUMBER(D63))), "-", IF(ISNUMBER(C63), C63, 0) - IF(ISNUMBER(D63), D63, 0))</f>
        <v/>
      </c>
      <c r="F63" s="16">
        <f>IF(OR(NOT(ISNUMBER(D63)), D63=0), "-", (IF(ISNUMBER(C63), C63, 0) - D63)/ABS(D63))</f>
        <v/>
      </c>
      <c r="G63" s="14" t="n"/>
    </row>
    <row r="66">
      <c r="B66" s="6" t="inlineStr">
        <is>
          <t>Note 22: Other expenses</t>
        </is>
      </c>
      <c r="C66" s="8" t="inlineStr">
        <is>
          <t>a</t>
        </is>
      </c>
      <c r="D66" s="8" t="inlineStr">
        <is>
          <t>b</t>
        </is>
      </c>
      <c r="E66" s="8" t="inlineStr">
        <is>
          <t>e</t>
        </is>
      </c>
    </row>
    <row r="67">
      <c r="A67" s="10" t="inlineStr"/>
      <c r="B67" s="10" t="inlineStr">
        <is>
          <t>Particulars</t>
        </is>
      </c>
      <c r="C67" s="10" t="inlineStr">
        <is>
          <t>As at 31st March 2025</t>
        </is>
      </c>
      <c r="D67" s="10" t="inlineStr">
        <is>
          <t>As at 31st March 2024</t>
        </is>
      </c>
      <c r="E67" s="10" t="inlineStr">
        <is>
          <t>Variance</t>
        </is>
      </c>
      <c r="F67" s="10" t="inlineStr">
        <is>
          <t>Variance %</t>
        </is>
      </c>
      <c r="G67" s="10" t="inlineStr">
        <is>
          <t>Remarks</t>
        </is>
      </c>
    </row>
    <row r="68">
      <c r="A68" s="14" t="n"/>
      <c r="B68" s="14" t="inlineStr">
        <is>
          <t>Marketing fees</t>
        </is>
      </c>
      <c r="C68" s="15" t="n">
        <v>0</v>
      </c>
      <c r="D68" s="15" t="n">
        <v>0</v>
      </c>
      <c r="E68" s="15">
        <f>IF(AND(NOT(ISNUMBER(C68)), NOT(ISNUMBER(D68))), "-", IF(ISNUMBER(C68), C68, 0) - IF(ISNUMBER(D68), D68, 0))</f>
        <v/>
      </c>
      <c r="F68" s="16">
        <f>IF(OR(NOT(ISNUMBER(D68)), D68=0), "-", (IF(ISNUMBER(C68), C68, 0) - D68)/ABS(D68))</f>
        <v/>
      </c>
      <c r="G68" s="14" t="n"/>
    </row>
    <row r="69">
      <c r="A69" s="14" t="n"/>
      <c r="B69" s="14" t="inlineStr">
        <is>
          <t>Corporate support services (refer note 28)</t>
        </is>
      </c>
      <c r="C69" s="15" t="n">
        <v>4728160</v>
      </c>
      <c r="D69" s="15" t="n">
        <v>3351781</v>
      </c>
      <c r="E69" s="15">
        <f>IF(AND(NOT(ISNUMBER(C69)), NOT(ISNUMBER(D69))), "-", IF(ISNUMBER(C69), C69, 0) - IF(ISNUMBER(D69), D69, 0))</f>
        <v/>
      </c>
      <c r="F69" s="16">
        <f>IF(OR(NOT(ISNUMBER(D69)), D69=0), "-", (IF(ISNUMBER(C69), C69, 0) - D69)/ABS(D69))</f>
        <v/>
      </c>
      <c r="G69" s="14" t="n"/>
    </row>
    <row r="70">
      <c r="A70" s="14" t="n"/>
      <c r="B70" s="14" t="inlineStr">
        <is>
          <t>Rent (refer note 28 and 30)</t>
        </is>
      </c>
      <c r="C70" s="15" t="n">
        <v>207</v>
      </c>
      <c r="D70" s="15" t="n">
        <v>26385</v>
      </c>
      <c r="E70" s="15">
        <f>IF(AND(NOT(ISNUMBER(C70)), NOT(ISNUMBER(D70))), "-", IF(ISNUMBER(C70), C70, 0) - IF(ISNUMBER(D70), D70, 0))</f>
        <v/>
      </c>
      <c r="F70" s="16">
        <f>IF(OR(NOT(ISNUMBER(D70)), D70=0), "-", (IF(ISNUMBER(C70), C70, 0) - D70)/ABS(D70))</f>
        <v/>
      </c>
      <c r="G70" s="14" t="n"/>
    </row>
    <row r="71">
      <c r="A71" s="14" t="n"/>
      <c r="B71" s="14" t="inlineStr">
        <is>
          <t>Legal and professional fees</t>
        </is>
      </c>
      <c r="C71" s="15" t="n">
        <v>1413898</v>
      </c>
      <c r="D71" s="15" t="n">
        <v>919666</v>
      </c>
      <c r="E71" s="15">
        <f>IF(AND(NOT(ISNUMBER(C71)), NOT(ISNUMBER(D71))), "-", IF(ISNUMBER(C71), C71, 0) - IF(ISNUMBER(D71), D71, 0))</f>
        <v/>
      </c>
      <c r="F71" s="16">
        <f>IF(OR(NOT(ISNUMBER(D71)), D71=0), "-", (IF(ISNUMBER(C71), C71, 0) - D71)/ABS(D71))</f>
        <v/>
      </c>
      <c r="G71" s="14" t="n"/>
    </row>
    <row r="72">
      <c r="A72" s="14" t="n"/>
      <c r="B72" s="14" t="inlineStr">
        <is>
          <t>Corporate social responsibility (refer note 25)</t>
        </is>
      </c>
      <c r="C72" s="15" t="n">
        <v>0</v>
      </c>
      <c r="D72" s="15" t="n">
        <v>0</v>
      </c>
      <c r="E72" s="15">
        <f>IF(AND(NOT(ISNUMBER(C72)), NOT(ISNUMBER(D72))), "-", IF(ISNUMBER(C72), C72, 0) - IF(ISNUMBER(D72), D72, 0))</f>
        <v/>
      </c>
      <c r="F72" s="16">
        <f>IF(OR(NOT(ISNUMBER(D72)), D72=0), "-", (IF(ISNUMBER(C72), C72, 0) - D72)/ABS(D72))</f>
        <v/>
      </c>
      <c r="G72" s="14" t="n"/>
    </row>
    <row r="73">
      <c r="A73" s="14" t="n"/>
      <c r="B73" s="14" t="inlineStr">
        <is>
          <t>Power and fuel charges</t>
        </is>
      </c>
      <c r="C73" s="15" t="n">
        <v>404310</v>
      </c>
      <c r="D73" s="15" t="n">
        <v>414275</v>
      </c>
      <c r="E73" s="15">
        <f>IF(AND(NOT(ISNUMBER(C73)), NOT(ISNUMBER(D73))), "-", IF(ISNUMBER(C73), C73, 0) - IF(ISNUMBER(D73), D73, 0))</f>
        <v/>
      </c>
      <c r="F73" s="16">
        <f>IF(OR(NOT(ISNUMBER(D73)), D73=0), "-", (IF(ISNUMBER(C73), C73, 0) - D73)/ABS(D73))</f>
        <v/>
      </c>
      <c r="G73" s="14" t="n"/>
    </row>
    <row r="74">
      <c r="A74" s="14" t="n"/>
      <c r="B74" s="14" t="inlineStr">
        <is>
          <t>Auditors' remuneration (refer note 23)</t>
        </is>
      </c>
      <c r="C74" s="15" t="n">
        <v>318000</v>
      </c>
      <c r="D74" s="15" t="n">
        <v>265000</v>
      </c>
      <c r="E74" s="15">
        <f>IF(AND(NOT(ISNUMBER(C74)), NOT(ISNUMBER(D74))), "-", IF(ISNUMBER(C74), C74, 0) - IF(ISNUMBER(D74), D74, 0))</f>
        <v/>
      </c>
      <c r="F74" s="16">
        <f>IF(OR(NOT(ISNUMBER(D74)), D74=0), "-", (IF(ISNUMBER(C74), C74, 0) - D74)/ABS(D74))</f>
        <v/>
      </c>
      <c r="G74" s="14" t="n"/>
    </row>
    <row r="75">
      <c r="A75" s="14" t="n"/>
      <c r="B75" s="14" t="inlineStr">
        <is>
          <t>Repairs and maintenance charges</t>
        </is>
      </c>
      <c r="C75" s="15" t="n">
        <v>226298</v>
      </c>
      <c r="D75" s="15" t="n">
        <v>167219</v>
      </c>
      <c r="E75" s="15">
        <f>IF(AND(NOT(ISNUMBER(C75)), NOT(ISNUMBER(D75))), "-", IF(ISNUMBER(C75), C75, 0) - IF(ISNUMBER(D75), D75, 0))</f>
        <v/>
      </c>
      <c r="F75" s="16">
        <f>IF(OR(NOT(ISNUMBER(D75)), D75=0), "-", (IF(ISNUMBER(C75), C75, 0) - D75)/ABS(D75))</f>
        <v/>
      </c>
      <c r="G75" s="14" t="n"/>
    </row>
    <row r="76">
      <c r="A76" s="14" t="n"/>
      <c r="B76" s="14" t="inlineStr">
        <is>
          <t>Computer Equipments</t>
        </is>
      </c>
      <c r="C76" s="15" t="n">
        <v>0</v>
      </c>
      <c r="D76" s="15" t="n">
        <v>0</v>
      </c>
      <c r="E76" s="15">
        <f>IF(AND(NOT(ISNUMBER(C76)), NOT(ISNUMBER(D76))), "-", IF(ISNUMBER(C76), C76, 0) - IF(ISNUMBER(D76), D76, 0))</f>
        <v/>
      </c>
      <c r="F76" s="16">
        <f>IF(OR(NOT(ISNUMBER(D76)), D76=0), "-", (IF(ISNUMBER(C76), C76, 0) - D76)/ABS(D76))</f>
        <v/>
      </c>
      <c r="G76" s="14" t="n"/>
    </row>
    <row r="77">
      <c r="A77" s="14" t="n"/>
      <c r="B77" s="14" t="inlineStr">
        <is>
          <t>Others</t>
        </is>
      </c>
      <c r="C77" s="15" t="n">
        <v>0</v>
      </c>
      <c r="D77" s="15" t="n">
        <v>0</v>
      </c>
      <c r="E77" s="15">
        <f>IF(AND(NOT(ISNUMBER(C77)), NOT(ISNUMBER(D77))), "-", IF(ISNUMBER(C77), C77, 0) - IF(ISNUMBER(D77), D77, 0))</f>
        <v/>
      </c>
      <c r="F77" s="16">
        <f>IF(OR(NOT(ISNUMBER(D77)), D77=0), "-", (IF(ISNUMBER(C77), C77, 0) - D77)/ABS(D77))</f>
        <v/>
      </c>
      <c r="G77" s="14" t="n"/>
    </row>
    <row r="78">
      <c r="A78" s="14" t="n"/>
      <c r="B78" s="14" t="inlineStr">
        <is>
          <t>Foreign travel (#)</t>
        </is>
      </c>
      <c r="C78" s="15" t="n">
        <v>0</v>
      </c>
      <c r="D78" s="15" t="n">
        <v>0</v>
      </c>
      <c r="E78" s="15">
        <f>IF(AND(NOT(ISNUMBER(C78)), NOT(ISNUMBER(D78))), "-", IF(ISNUMBER(C78), C78, 0) - IF(ISNUMBER(D78), D78, 0))</f>
        <v/>
      </c>
      <c r="F78" s="16">
        <f>IF(OR(NOT(ISNUMBER(D78)), D78=0), "-", (IF(ISNUMBER(C78), C78, 0) - D78)/ABS(D78))</f>
        <v/>
      </c>
      <c r="G78" s="14" t="n"/>
    </row>
    <row r="79">
      <c r="A79" s="14" t="n"/>
      <c r="B79" s="14" t="inlineStr">
        <is>
          <t>Security charges (#)</t>
        </is>
      </c>
      <c r="C79" s="15" t="n">
        <v>68095</v>
      </c>
      <c r="D79" s="15" t="n">
        <v>103148</v>
      </c>
      <c r="E79" s="15">
        <f>IF(AND(NOT(ISNUMBER(C79)), NOT(ISNUMBER(D79))), "-", IF(ISNUMBER(C79), C79, 0) - IF(ISNUMBER(D79), D79, 0))</f>
        <v/>
      </c>
      <c r="F79" s="16">
        <f>IF(OR(NOT(ISNUMBER(D79)), D79=0), "-", (IF(ISNUMBER(C79), C79, 0) - D79)/ABS(D79))</f>
        <v/>
      </c>
      <c r="G79" s="14" t="n"/>
    </row>
    <row r="80">
      <c r="A80" s="14" t="n"/>
      <c r="B80" s="14" t="inlineStr">
        <is>
          <t>Travel and conveyance (#)</t>
        </is>
      </c>
      <c r="C80" s="15" t="n">
        <v>0</v>
      </c>
      <c r="D80" s="15" t="n">
        <v>0</v>
      </c>
      <c r="E80" s="15">
        <f>IF(AND(NOT(ISNUMBER(C80)), NOT(ISNUMBER(D80))), "-", IF(ISNUMBER(C80), C80, 0) - IF(ISNUMBER(D80), D80, 0))</f>
        <v/>
      </c>
      <c r="F80" s="16">
        <f>IF(OR(NOT(ISNUMBER(D80)), D80=0), "-", (IF(ISNUMBER(C80), C80, 0) - D80)/ABS(D80))</f>
        <v/>
      </c>
      <c r="G80" s="14" t="n"/>
    </row>
    <row r="81">
      <c r="A81" s="14" t="n"/>
      <c r="B81" s="14" t="inlineStr">
        <is>
          <t>Provision for doubtful loans and advances (#)</t>
        </is>
      </c>
      <c r="C81" s="15" t="n">
        <v>0</v>
      </c>
      <c r="D81" s="15" t="n">
        <v>0</v>
      </c>
      <c r="E81" s="15">
        <f>IF(AND(NOT(ISNUMBER(C81)), NOT(ISNUMBER(D81))), "-", IF(ISNUMBER(C81), C81, 0) - IF(ISNUMBER(D81), D81, 0))</f>
        <v/>
      </c>
      <c r="F81" s="16">
        <f>IF(OR(NOT(ISNUMBER(D81)), D81=0), "-", (IF(ISNUMBER(C81), C81, 0) - D81)/ABS(D81))</f>
        <v/>
      </c>
      <c r="G81" s="14" t="n"/>
    </row>
    <row r="82">
      <c r="A82" s="14" t="n"/>
      <c r="B82" s="14" t="inlineStr">
        <is>
          <t>Rates and taxes (#)</t>
        </is>
      </c>
      <c r="C82" s="15" t="n">
        <v>0</v>
      </c>
      <c r="D82" s="15" t="n">
        <v>0</v>
      </c>
      <c r="E82" s="15">
        <f>IF(AND(NOT(ISNUMBER(C82)), NOT(ISNUMBER(D82))), "-", IF(ISNUMBER(C82), C82, 0) - IF(ISNUMBER(D82), D82, 0))</f>
        <v/>
      </c>
      <c r="F82" s="16">
        <f>IF(OR(NOT(ISNUMBER(D82)), D82=0), "-", (IF(ISNUMBER(C82), C82, 0) - D82)/ABS(D82))</f>
        <v/>
      </c>
      <c r="G82" s="14" t="n"/>
    </row>
    <row r="83">
      <c r="A83" s="14" t="n"/>
      <c r="B83" s="14" t="inlineStr">
        <is>
          <t>Exchange loss (net)</t>
        </is>
      </c>
      <c r="C83" s="15" t="n">
        <v>0</v>
      </c>
      <c r="D83" s="15" t="n">
        <v>0</v>
      </c>
      <c r="E83" s="15">
        <f>IF(AND(NOT(ISNUMBER(C83)), NOT(ISNUMBER(D83))), "-", IF(ISNUMBER(C83), C83, 0) - IF(ISNUMBER(D83), D83, 0))</f>
        <v/>
      </c>
      <c r="F83" s="16">
        <f>IF(OR(NOT(ISNUMBER(D83)), D83=0), "-", (IF(ISNUMBER(C83), C83, 0) - D83)/ABS(D83))</f>
        <v/>
      </c>
      <c r="G83" s="14" t="n"/>
    </row>
    <row r="84">
      <c r="A84" s="14" t="n"/>
      <c r="B84" s="14" t="inlineStr">
        <is>
          <t>Exchange Loss (net)</t>
        </is>
      </c>
      <c r="C84" s="15" t="n">
        <v>-83032</v>
      </c>
      <c r="D84" s="15" t="n">
        <v>0</v>
      </c>
      <c r="E84" s="15">
        <f>IF(AND(NOT(ISNUMBER(C84)), NOT(ISNUMBER(D84))), "-", IF(ISNUMBER(C84), C84, 0) - IF(ISNUMBER(D84), D84, 0))</f>
        <v/>
      </c>
      <c r="F84" s="16">
        <f>IF(OR(NOT(ISNUMBER(D84)), D84=0), "-", (IF(ISNUMBER(C84), C84, 0) - D84)/ABS(D84))</f>
        <v/>
      </c>
      <c r="G84" s="14" t="n"/>
    </row>
    <row r="85">
      <c r="A85" s="14" t="n"/>
      <c r="B85" s="14" t="inlineStr">
        <is>
          <t>Loss on exchange fluctuations (net)</t>
        </is>
      </c>
      <c r="C85" s="15" t="n">
        <v>0</v>
      </c>
      <c r="D85" s="15" t="n">
        <v>232456</v>
      </c>
      <c r="E85" s="15">
        <f>IF(AND(NOT(ISNUMBER(C85)), NOT(ISNUMBER(D85))), "-", IF(ISNUMBER(C85), C85, 0) - IF(ISNUMBER(D85), D85, 0))</f>
        <v/>
      </c>
      <c r="F85" s="16">
        <f>IF(OR(NOT(ISNUMBER(D85)), D85=0), "-", (IF(ISNUMBER(C85), C85, 0) - D85)/ABS(D85))</f>
        <v/>
      </c>
      <c r="G85" s="14" t="n"/>
    </row>
    <row r="86">
      <c r="A86" s="14" t="n"/>
      <c r="B86" s="14" t="inlineStr">
        <is>
          <t>Miscellaneous expenses</t>
        </is>
      </c>
      <c r="C86" s="15" t="n">
        <v>550878</v>
      </c>
      <c r="D86" s="15" t="n">
        <v>350523</v>
      </c>
      <c r="E86" s="15">
        <f>IF(AND(NOT(ISNUMBER(C86)), NOT(ISNUMBER(D86))), "-", IF(ISNUMBER(C86), C86, 0) - IF(ISNUMBER(D86), D86, 0))</f>
        <v/>
      </c>
      <c r="F86" s="16">
        <f>IF(OR(NOT(ISNUMBER(D86)), D86=0), "-", (IF(ISNUMBER(C86), C86, 0) - D86)/ABS(D86))</f>
        <v/>
      </c>
      <c r="G86" s="14" t="n"/>
    </row>
    <row r="87">
      <c r="A87" s="14" t="n"/>
      <c r="B87" s="14" t="inlineStr">
        <is>
          <t>Insurance expense</t>
        </is>
      </c>
      <c r="C87" s="15" t="n">
        <v>0</v>
      </c>
      <c r="D87" s="15" t="n">
        <v>0</v>
      </c>
      <c r="E87" s="15">
        <f>IF(AND(NOT(ISNUMBER(C87)), NOT(ISNUMBER(D87))), "-", IF(ISNUMBER(C87), C87, 0) - IF(ISNUMBER(D87), D87, 0))</f>
        <v/>
      </c>
      <c r="F87" s="16">
        <f>IF(OR(NOT(ISNUMBER(D87)), D87=0), "-", (IF(ISNUMBER(C87), C87, 0) - D87)/ABS(D87))</f>
        <v/>
      </c>
      <c r="G87" s="14" t="n"/>
    </row>
    <row r="88">
      <c r="A88" s="14" t="n"/>
      <c r="B88" s="14" t="inlineStr">
        <is>
          <t>Communication expenses</t>
        </is>
      </c>
      <c r="C88" s="15" t="n">
        <v>0</v>
      </c>
      <c r="D88" s="15" t="n">
        <v>0</v>
      </c>
      <c r="E88" s="15">
        <f>IF(AND(NOT(ISNUMBER(C88)), NOT(ISNUMBER(D88))), "-", IF(ISNUMBER(C88), C88, 0) - IF(ISNUMBER(D88), D88, 0))</f>
        <v/>
      </c>
      <c r="F88" s="16">
        <f>IF(OR(NOT(ISNUMBER(D88)), D88=0), "-", (IF(ISNUMBER(C88), C88, 0) - D88)/ABS(D88))</f>
        <v/>
      </c>
      <c r="G88" s="14" t="n"/>
    </row>
    <row r="89">
      <c r="A89" s="14" t="n"/>
      <c r="B89" s="14" t="inlineStr">
        <is>
          <t>Write back of provision</t>
        </is>
      </c>
      <c r="C89" s="15" t="n">
        <v>0</v>
      </c>
      <c r="D89" s="15" t="n">
        <v>0</v>
      </c>
      <c r="E89" s="15">
        <f>IF(AND(NOT(ISNUMBER(C89)), NOT(ISNUMBER(D89))), "-", IF(ISNUMBER(C89), C89, 0) - IF(ISNUMBER(D89), D89, 0))</f>
        <v/>
      </c>
      <c r="F89" s="16">
        <f>IF(OR(NOT(ISNUMBER(D89)), D89=0), "-", (IF(ISNUMBER(C89), C89, 0) - D89)/ABS(D89))</f>
        <v/>
      </c>
      <c r="G89" s="14" t="n"/>
    </row>
    <row r="90">
      <c r="A90" s="14" t="n"/>
      <c r="B90" s="14" t="inlineStr">
        <is>
          <t>Bad debts written off</t>
        </is>
      </c>
      <c r="C90" s="15" t="n">
        <v>98431</v>
      </c>
      <c r="D90" s="15" t="n">
        <v>0</v>
      </c>
      <c r="E90" s="15">
        <f>IF(AND(NOT(ISNUMBER(C90)), NOT(ISNUMBER(D90))), "-", IF(ISNUMBER(C90), C90, 0) - IF(ISNUMBER(D90), D90, 0))</f>
        <v/>
      </c>
      <c r="F90" s="16">
        <f>IF(OR(NOT(ISNUMBER(D90)), D90=0), "-", (IF(ISNUMBER(C90), C90, 0) - D90)/ABS(D90))</f>
        <v/>
      </c>
      <c r="G90" s="14" t="n"/>
    </row>
    <row r="91">
      <c r="A91" s="14" t="n"/>
      <c r="B91" s="14" t="inlineStr">
        <is>
          <t>Printing and stationery</t>
        </is>
      </c>
      <c r="C91" s="15" t="n">
        <v>0</v>
      </c>
      <c r="D91" s="15" t="n">
        <v>0</v>
      </c>
      <c r="E91" s="15">
        <f>IF(AND(NOT(ISNUMBER(C91)), NOT(ISNUMBER(D91))), "-", IF(ISNUMBER(C91), C91, 0) - IF(ISNUMBER(D91), D91, 0))</f>
        <v/>
      </c>
      <c r="F91" s="16">
        <f>IF(OR(NOT(ISNUMBER(D91)), D91=0), "-", (IF(ISNUMBER(C91), C91, 0) - D91)/ABS(D91))</f>
        <v/>
      </c>
      <c r="G91" s="14" t="n"/>
    </row>
    <row r="92">
      <c r="A92" s="14" t="n"/>
      <c r="B92" s="14" t="inlineStr">
        <is>
          <t>Loss on sale of fixed assets (net)</t>
        </is>
      </c>
      <c r="C92" s="15" t="n">
        <v>0</v>
      </c>
      <c r="D92" s="15" t="n">
        <v>0</v>
      </c>
      <c r="E92" s="15">
        <f>IF(AND(NOT(ISNUMBER(C92)), NOT(ISNUMBER(D92))), "-", IF(ISNUMBER(C92), C92, 0) - IF(ISNUMBER(D92), D92, 0))</f>
        <v/>
      </c>
      <c r="F92" s="16">
        <f>IF(OR(NOT(ISNUMBER(D92)), D92=0), "-", (IF(ISNUMBER(C92), C92, 0) - D92)/ABS(D92))</f>
        <v/>
      </c>
      <c r="G92" s="14" t="n"/>
    </row>
    <row r="93">
      <c r="A93" s="14" t="n"/>
      <c r="B93" s="14" t="inlineStr">
        <is>
          <t>(Gain) / Loss on Exchange Fluctuations (net)</t>
        </is>
      </c>
      <c r="C93" s="15" t="n">
        <v>0</v>
      </c>
      <c r="D93" s="15" t="n">
        <v>0</v>
      </c>
      <c r="E93" s="15">
        <f>IF(AND(NOT(ISNUMBER(C93)), NOT(ISNUMBER(D93))), "-", IF(ISNUMBER(C93), C93, 0) - IF(ISNUMBER(D93), D93, 0))</f>
        <v/>
      </c>
      <c r="F93" s="16">
        <f>IF(OR(NOT(ISNUMBER(D93)), D93=0), "-", (IF(ISNUMBER(C93), C93, 0) - D93)/ABS(D93))</f>
        <v/>
      </c>
      <c r="G93" s="14" t="n"/>
    </row>
    <row r="94">
      <c r="A94" s="14" t="n"/>
      <c r="B94" s="14" t="inlineStr">
        <is>
          <t>Others #</t>
        </is>
      </c>
      <c r="C94" s="15" t="n">
        <v>0</v>
      </c>
      <c r="D94" s="15" t="n">
        <v>0</v>
      </c>
      <c r="E94" s="15">
        <f>IF(AND(NOT(ISNUMBER(C94)), NOT(ISNUMBER(D94))), "-", IF(ISNUMBER(C94), C94, 0) - IF(ISNUMBER(D94), D94, 0))</f>
        <v/>
      </c>
      <c r="F94" s="16">
        <f>IF(OR(NOT(ISNUMBER(D94)), D94=0), "-", (IF(ISNUMBER(C94), C94, 0) - D94)/ABS(D94))</f>
        <v/>
      </c>
      <c r="G94" s="14" t="n"/>
    </row>
    <row r="95">
      <c r="A95" s="11" t="n"/>
      <c r="B95" s="11" t="inlineStr">
        <is>
          <t>Total</t>
        </is>
      </c>
      <c r="C95" s="12" t="n">
        <v>7725245</v>
      </c>
      <c r="D95" s="12" t="n">
        <v>5830453</v>
      </c>
      <c r="E95" s="12">
        <f>IF(AND(NOT(ISNUMBER(C95)), NOT(ISNUMBER(D95))), "-", IF(ISNUMBER(C95), C95, 0) - IF(ISNUMBER(D95), D95, 0))</f>
        <v/>
      </c>
      <c r="F95" s="13">
        <f>IF(OR(NOT(ISNUMBER(D95)), D95=0), "-", (IF(ISNUMBER(C95), C95, 0) - D95)/ABS(D95))</f>
        <v/>
      </c>
      <c r="G95" s="11" t="n"/>
    </row>
    <row r="96">
      <c r="A96" s="14" t="n"/>
      <c r="B96" s="14" t="inlineStr">
        <is>
          <t>(#) Zero represents amount less than ₹ 0.5 lakhs</t>
        </is>
      </c>
      <c r="C96" s="15" t="n">
        <v>0</v>
      </c>
      <c r="D96" s="15" t="n">
        <v>0</v>
      </c>
      <c r="E96" s="15">
        <f>IF(AND(NOT(ISNUMBER(C96)), NOT(ISNUMBER(D96))), "-", IF(ISNUMBER(C96), C96, 0) - IF(ISNUMBER(D96), D96, 0))</f>
        <v/>
      </c>
      <c r="F96" s="16">
        <f>IF(OR(NOT(ISNUMBER(D96)), D96=0), "-", (IF(ISNUMBER(C96), C96, 0) - D96)/ABS(D96))</f>
        <v/>
      </c>
      <c r="G96" s="14" t="n"/>
    </row>
    <row r="97">
      <c r="A97" s="14" t="n"/>
      <c r="B97" s="14" t="inlineStr">
        <is>
          <t>* Miscellaneous expenses include interest cost on finance lease obligation of Rs. 1 and Rs. 2 respectively for the year ended 31 March 2016 and 31 March 2015 respectively.</t>
        </is>
      </c>
      <c r="C97" s="15" t="n">
        <v>0</v>
      </c>
      <c r="D97" s="15" t="n">
        <v>0</v>
      </c>
      <c r="E97" s="15">
        <f>IF(AND(NOT(ISNUMBER(C97)), NOT(ISNUMBER(D97))), "-", IF(ISNUMBER(C97), C97, 0) - IF(ISNUMBER(D97), D97, 0))</f>
        <v/>
      </c>
      <c r="F97" s="16">
        <f>IF(OR(NOT(ISNUMBER(D97)), D97=0), "-", (IF(ISNUMBER(C97), C97, 0) - D97)/ABS(D97))</f>
        <v/>
      </c>
      <c r="G97" s="14" t="n"/>
    </row>
    <row r="100">
      <c r="B100" s="6" t="inlineStr">
        <is>
          <t>Note 23: Auditor remuneration (exclusive of goods and service tax)</t>
        </is>
      </c>
      <c r="C100" s="8" t="inlineStr">
        <is>
          <t>a</t>
        </is>
      </c>
      <c r="D100" s="8" t="inlineStr">
        <is>
          <t>b</t>
        </is>
      </c>
      <c r="E100" s="8" t="inlineStr">
        <is>
          <t>e</t>
        </is>
      </c>
    </row>
    <row r="101">
      <c r="A101" s="10" t="inlineStr"/>
      <c r="B101" s="10" t="inlineStr">
        <is>
          <t>Particulars</t>
        </is>
      </c>
      <c r="C101" s="10" t="inlineStr">
        <is>
          <t>As at 31st March 2025</t>
        </is>
      </c>
      <c r="D101" s="10" t="inlineStr">
        <is>
          <t>As at 31st March 2024</t>
        </is>
      </c>
      <c r="E101" s="10" t="inlineStr">
        <is>
          <t>Variance</t>
        </is>
      </c>
      <c r="F101" s="10" t="inlineStr">
        <is>
          <t>Variance %</t>
        </is>
      </c>
      <c r="G101" s="10" t="inlineStr">
        <is>
          <t>Remarks</t>
        </is>
      </c>
    </row>
    <row r="102">
      <c r="A102" s="14" t="n"/>
      <c r="B102" s="14" t="inlineStr">
        <is>
          <t>Statutory audit fees</t>
        </is>
      </c>
      <c r="C102" s="15" t="n">
        <v>300000</v>
      </c>
      <c r="D102" s="15" t="n">
        <v>250000</v>
      </c>
      <c r="E102" s="15">
        <f>IF(AND(NOT(ISNUMBER(C102)), NOT(ISNUMBER(D102))), "-", IF(ISNUMBER(C102), C102, 0) - IF(ISNUMBER(D102), D102, 0))</f>
        <v/>
      </c>
      <c r="F102" s="16">
        <f>IF(OR(NOT(ISNUMBER(D102)), D102=0), "-", (IF(ISNUMBER(C102), C102, 0) - D102)/ABS(D102))</f>
        <v/>
      </c>
      <c r="G102" s="14" t="n"/>
    </row>
    <row r="103">
      <c r="A103" s="14" t="n"/>
      <c r="B103" s="14" t="inlineStr">
        <is>
          <t>Taxation services</t>
        </is>
      </c>
      <c r="C103" s="15" t="n">
        <v>0</v>
      </c>
      <c r="D103" s="15" t="n">
        <v>0</v>
      </c>
      <c r="E103" s="15">
        <f>IF(AND(NOT(ISNUMBER(C103)), NOT(ISNUMBER(D103))), "-", IF(ISNUMBER(C103), C103, 0) - IF(ISNUMBER(D103), D103, 0))</f>
        <v/>
      </c>
      <c r="F103" s="16">
        <f>IF(OR(NOT(ISNUMBER(D103)), D103=0), "-", (IF(ISNUMBER(C103), C103, 0) - D103)/ABS(D103))</f>
        <v/>
      </c>
      <c r="G103" s="14" t="n"/>
    </row>
    <row r="104">
      <c r="A104" s="14" t="n"/>
      <c r="B104" s="14" t="inlineStr">
        <is>
          <t>Other services</t>
        </is>
      </c>
      <c r="C104" s="15" t="n">
        <v>0</v>
      </c>
      <c r="D104" s="15" t="n">
        <v>0</v>
      </c>
      <c r="E104" s="15">
        <f>IF(AND(NOT(ISNUMBER(C104)), NOT(ISNUMBER(D104))), "-", IF(ISNUMBER(C104), C104, 0) - IF(ISNUMBER(D104), D104, 0))</f>
        <v/>
      </c>
      <c r="F104" s="16">
        <f>IF(OR(NOT(ISNUMBER(D104)), D104=0), "-", (IF(ISNUMBER(C104), C104, 0) - D104)/ABS(D104))</f>
        <v/>
      </c>
      <c r="G104" s="14" t="n"/>
    </row>
    <row r="105">
      <c r="A105" s="14" t="n"/>
      <c r="B105" s="14" t="inlineStr">
        <is>
          <t>Reimbursement of out of pocket expenses (#)</t>
        </is>
      </c>
      <c r="C105" s="15" t="n">
        <v>18000</v>
      </c>
      <c r="D105" s="15" t="n">
        <v>15000</v>
      </c>
      <c r="E105" s="15">
        <f>IF(AND(NOT(ISNUMBER(C105)), NOT(ISNUMBER(D105))), "-", IF(ISNUMBER(C105), C105, 0) - IF(ISNUMBER(D105), D105, 0))</f>
        <v/>
      </c>
      <c r="F105" s="16">
        <f>IF(OR(NOT(ISNUMBER(D105)), D105=0), "-", (IF(ISNUMBER(C105), C105, 0) - D105)/ABS(D105))</f>
        <v/>
      </c>
      <c r="G105" s="14" t="n"/>
    </row>
    <row r="106">
      <c r="A106" s="11" t="n"/>
      <c r="B106" s="11" t="inlineStr">
        <is>
          <t>Total</t>
        </is>
      </c>
      <c r="C106" s="12" t="n">
        <v>318000</v>
      </c>
      <c r="D106" s="12" t="n">
        <v>265000</v>
      </c>
      <c r="E106" s="12">
        <f>IF(AND(NOT(ISNUMBER(C106)), NOT(ISNUMBER(D106))), "-", IF(ISNUMBER(C106), C106, 0) - IF(ISNUMBER(D106), D106, 0))</f>
        <v/>
      </c>
      <c r="F106" s="13">
        <f>IF(OR(NOT(ISNUMBER(D106)), D106=0), "-", (IF(ISNUMBER(C106), C106, 0) - D106)/ABS(D106))</f>
        <v/>
      </c>
      <c r="G106" s="11" t="n"/>
    </row>
    <row r="107">
      <c r="A107" s="14" t="n"/>
      <c r="B107" s="14" t="inlineStr">
        <is>
          <t>(#) Zero represents amount less than ₹ 0.5 lakhs</t>
        </is>
      </c>
      <c r="C107" s="15" t="n">
        <v>0</v>
      </c>
      <c r="D107" s="15" t="n">
        <v>0</v>
      </c>
      <c r="E107" s="15">
        <f>IF(AND(NOT(ISNUMBER(C107)), NOT(ISNUMBER(D107))), "-", IF(ISNUMBER(C107), C107, 0) - IF(ISNUMBER(D107), D107, 0))</f>
        <v/>
      </c>
      <c r="F107" s="16">
        <f>IF(OR(NOT(ISNUMBER(D107)), D107=0), "-", (IF(ISNUMBER(C107), C107, 0) - D107)/ABS(D107))</f>
        <v/>
      </c>
      <c r="G107" s="14" t="n"/>
    </row>
    <row r="110">
      <c r="B110" s="6" t="inlineStr">
        <is>
          <t>Note 24: Expenses towards corporate social responsibility</t>
        </is>
      </c>
      <c r="C110" s="8" t="inlineStr">
        <is>
          <t>a</t>
        </is>
      </c>
      <c r="D110" s="8" t="inlineStr">
        <is>
          <t>b</t>
        </is>
      </c>
      <c r="E110" s="8" t="inlineStr">
        <is>
          <t>e</t>
        </is>
      </c>
    </row>
    <row r="111">
      <c r="A111" s="10" t="inlineStr"/>
      <c r="B111" s="10" t="inlineStr">
        <is>
          <t>Particulars</t>
        </is>
      </c>
      <c r="C111" s="10" t="inlineStr">
        <is>
          <t>As at 31st March 2025</t>
        </is>
      </c>
      <c r="D111" s="10" t="inlineStr">
        <is>
          <t>As at 31st March 2024</t>
        </is>
      </c>
      <c r="E111" s="10" t="inlineStr">
        <is>
          <t>Variance</t>
        </is>
      </c>
      <c r="F111" s="10" t="inlineStr">
        <is>
          <t>Variance %</t>
        </is>
      </c>
      <c r="G111" s="10" t="inlineStr">
        <is>
          <t>Remarks</t>
        </is>
      </c>
    </row>
    <row r="112">
      <c r="A112" s="14" t="n"/>
      <c r="B112" s="14" t="inlineStr">
        <is>
          <t>Average net profit of the Company for last three financial years for the purpose of computation of CSR</t>
        </is>
      </c>
      <c r="C112" s="15" t="n">
        <v>7039159</v>
      </c>
      <c r="D112" s="15" t="n">
        <v>7039159</v>
      </c>
      <c r="E112" s="15">
        <f>IF(AND(NOT(ISNUMBER(C112)), NOT(ISNUMBER(D112))), "-", IF(ISNUMBER(C112), C112, 0) - IF(ISNUMBER(D112), D112, 0))</f>
        <v/>
      </c>
      <c r="F112" s="16">
        <f>IF(OR(NOT(ISNUMBER(D112)), D112=0), "-", (IF(ISNUMBER(C112), C112, 0) - D112)/ABS(D112))</f>
        <v/>
      </c>
      <c r="G112" s="14" t="n"/>
    </row>
    <row r="113">
      <c r="A113" s="14" t="n"/>
      <c r="B113" s="14" t="inlineStr">
        <is>
          <t>Prescribed CSR expenditure (2 percent of above)</t>
        </is>
      </c>
      <c r="C113" s="15" t="n">
        <v>0</v>
      </c>
      <c r="D113" s="15" t="n">
        <v>0</v>
      </c>
      <c r="E113" s="15">
        <f>IF(AND(NOT(ISNUMBER(C113)), NOT(ISNUMBER(D113))), "-", IF(ISNUMBER(C113), C113, 0) - IF(ISNUMBER(D113), D113, 0))</f>
        <v/>
      </c>
      <c r="F113" s="16">
        <f>IF(OR(NOT(ISNUMBER(D113)), D113=0), "-", (IF(ISNUMBER(C113), C113, 0) - D113)/ABS(D113))</f>
        <v/>
      </c>
      <c r="G113" s="14" t="n"/>
    </row>
    <row r="114">
      <c r="A114" s="14" t="n"/>
      <c r="B114" s="14" t="inlineStr">
        <is>
          <t>Amount spent during the year for the purposes as mentioned above</t>
        </is>
      </c>
      <c r="C114" s="15" t="n">
        <v>0</v>
      </c>
      <c r="D114" s="15" t="n">
        <v>0</v>
      </c>
      <c r="E114" s="15">
        <f>IF(AND(NOT(ISNUMBER(C114)), NOT(ISNUMBER(D114))), "-", IF(ISNUMBER(C114), C114, 0) - IF(ISNUMBER(D114), D114, 0))</f>
        <v/>
      </c>
      <c r="F114" s="16">
        <f>IF(OR(NOT(ISNUMBER(D114)), D114=0), "-", (IF(ISNUMBER(C114), C114, 0) - D114)/ABS(D114))</f>
        <v/>
      </c>
      <c r="G114" s="14" t="n"/>
    </row>
    <row r="115">
      <c r="A115" s="11" t="n"/>
      <c r="B115" s="11" t="inlineStr">
        <is>
          <t>Amount spent during the year</t>
        </is>
      </c>
      <c r="C115" s="12" t="n">
        <v>0</v>
      </c>
      <c r="D115" s="12" t="n">
        <v>0</v>
      </c>
      <c r="E115" s="12">
        <f>IF(AND(NOT(ISNUMBER(C115)), NOT(ISNUMBER(D115))), "-", IF(ISNUMBER(C115), C115, 0) - IF(ISNUMBER(D115), D115, 0))</f>
        <v/>
      </c>
      <c r="F115" s="13">
        <f>IF(OR(NOT(ISNUMBER(D115)), D115=0), "-", (IF(ISNUMBER(C115), C115, 0) - D115)/ABS(D115))</f>
        <v/>
      </c>
      <c r="G115" s="11" t="n"/>
    </row>
    <row r="116">
      <c r="A116" s="14" t="n"/>
      <c r="B116" s="14" t="inlineStr">
        <is>
          <t>(i) Construction/acquisition of any asset</t>
        </is>
      </c>
      <c r="C116" s="15" t="n">
        <v>0</v>
      </c>
      <c r="D116" s="15" t="n">
        <v>0</v>
      </c>
      <c r="E116" s="15">
        <f>IF(AND(NOT(ISNUMBER(C116)), NOT(ISNUMBER(D116))), "-", IF(ISNUMBER(C116), C116, 0) - IF(ISNUMBER(D116), D116, 0))</f>
        <v/>
      </c>
      <c r="F116" s="16">
        <f>IF(OR(NOT(ISNUMBER(D116)), D116=0), "-", (IF(ISNUMBER(C116), C116, 0) - D116)/ABS(D116))</f>
        <v/>
      </c>
      <c r="G116" s="14" t="n"/>
    </row>
    <row r="117">
      <c r="A117" s="14" t="n"/>
      <c r="B117" s="14" t="inlineStr">
        <is>
          <t>(ii) On purposes other than (i) above</t>
        </is>
      </c>
      <c r="C117" s="15" t="n">
        <v>0</v>
      </c>
      <c r="D117" s="15" t="n">
        <v>2856000</v>
      </c>
      <c r="E117" s="15">
        <f>IF(AND(NOT(ISNUMBER(C117)), NOT(ISNUMBER(D117))), "-", IF(ISNUMBER(C117), C117, 0) - IF(ISNUMBER(D117), D117, 0))</f>
        <v/>
      </c>
      <c r="F117" s="16">
        <f>IF(OR(NOT(ISNUMBER(D117)), D117=0), "-", (IF(ISNUMBER(C117), C117, 0) - D117)/ABS(D117))</f>
        <v/>
      </c>
      <c r="G117" s="14" t="n"/>
    </row>
    <row r="118">
      <c r="A118" s="11" t="n"/>
      <c r="B118" s="11" t="inlineStr">
        <is>
          <t>Total</t>
        </is>
      </c>
      <c r="C118" s="12" t="n">
        <v>0</v>
      </c>
      <c r="D118" s="12" t="n">
        <v>2856000</v>
      </c>
      <c r="E118" s="12">
        <f>IF(AND(NOT(ISNUMBER(C118)), NOT(ISNUMBER(D118))), "-", IF(ISNUMBER(C118), C118, 0) - IF(ISNUMBER(D118), D118, 0))</f>
        <v/>
      </c>
      <c r="F118" s="13">
        <f>IF(OR(NOT(ISNUMBER(D118)), D118=0), "-", (IF(ISNUMBER(C118), C118, 0) - D118)/ABS(D118))</f>
        <v/>
      </c>
      <c r="G118" s="11" t="n"/>
    </row>
    <row r="121">
      <c r="B121" s="6" t="inlineStr">
        <is>
          <t>Note 24: Contingent liabilities and commitments</t>
        </is>
      </c>
      <c r="C121" s="8" t="inlineStr">
        <is>
          <t>a</t>
        </is>
      </c>
      <c r="D121" s="8" t="inlineStr">
        <is>
          <t>b</t>
        </is>
      </c>
      <c r="E121" s="8" t="inlineStr">
        <is>
          <t>e</t>
        </is>
      </c>
    </row>
    <row r="122">
      <c r="A122" s="10" t="inlineStr"/>
      <c r="B122" s="10" t="inlineStr">
        <is>
          <t>Particulars</t>
        </is>
      </c>
      <c r="C122" s="10" t="inlineStr">
        <is>
          <t>As at 31st March 2025</t>
        </is>
      </c>
      <c r="D122" s="10" t="inlineStr">
        <is>
          <t>As at 31st March 2024</t>
        </is>
      </c>
      <c r="E122" s="10" t="inlineStr">
        <is>
          <t>Variance</t>
        </is>
      </c>
      <c r="F122" s="10" t="inlineStr">
        <is>
          <t>Variance %</t>
        </is>
      </c>
      <c r="G122" s="10" t="inlineStr">
        <is>
          <t>Remarks</t>
        </is>
      </c>
    </row>
    <row r="123">
      <c r="A123" s="14" t="n"/>
      <c r="B123" s="14" t="inlineStr">
        <is>
          <t>Income tax demand including interest and penalty in respect of earlier years under dispute</t>
        </is>
      </c>
      <c r="C123" s="15" t="n">
        <v>0</v>
      </c>
      <c r="D123" s="15" t="n">
        <v>150310803</v>
      </c>
      <c r="E123" s="15">
        <f>IF(AND(NOT(ISNUMBER(C123)), NOT(ISNUMBER(D123))), "-", IF(ISNUMBER(C123), C123, 0) - IF(ISNUMBER(D123), D123, 0))</f>
        <v/>
      </c>
      <c r="F123" s="16">
        <f>IF(OR(NOT(ISNUMBER(D123)), D123=0), "-", (IF(ISNUMBER(C123), C123, 0) - D123)/ABS(D123))</f>
        <v/>
      </c>
      <c r="G123" s="14" t="n"/>
    </row>
    <row r="124">
      <c r="A124" s="14" t="n"/>
      <c r="B124" s="14" t="inlineStr">
        <is>
          <t>Service tax demand including interest and penalty in respect of earlier years under dispute</t>
        </is>
      </c>
      <c r="C124" s="15" t="n">
        <v>0</v>
      </c>
      <c r="D124" s="15" t="n">
        <v>135200000</v>
      </c>
      <c r="E124" s="15">
        <f>IF(AND(NOT(ISNUMBER(C124)), NOT(ISNUMBER(D124))), "-", IF(ISNUMBER(C124), C124, 0) - IF(ISNUMBER(D124), D124, 0))</f>
        <v/>
      </c>
      <c r="F124" s="16">
        <f>IF(OR(NOT(ISNUMBER(D124)), D124=0), "-", (IF(ISNUMBER(C124), C124, 0) - D124)/ABS(D124))</f>
        <v/>
      </c>
      <c r="G124" s="14" t="n"/>
    </row>
    <row r="125">
      <c r="A125" s="11" t="n"/>
      <c r="B125" s="11" t="inlineStr">
        <is>
          <t>Income tax demand including interest and penalty in respect of earlier years under dispute</t>
        </is>
      </c>
      <c r="C125" s="12" t="n">
        <v>0</v>
      </c>
      <c r="D125" s="12" t="n">
        <v>0</v>
      </c>
      <c r="E125" s="12">
        <f>IF(AND(NOT(ISNUMBER(C125)), NOT(ISNUMBER(D125))), "-", IF(ISNUMBER(C125), C125, 0) - IF(ISNUMBER(D125), D125, 0))</f>
        <v/>
      </c>
      <c r="F125" s="13">
        <f>IF(OR(NOT(ISNUMBER(D125)), D125=0), "-", (IF(ISNUMBER(C125), C125, 0) - D125)/ABS(D125))</f>
        <v/>
      </c>
      <c r="G125" s="11" t="n"/>
    </row>
    <row r="126">
      <c r="A126" s="11" t="n"/>
      <c r="B126" s="11" t="inlineStr">
        <is>
          <t>Assessment Year</t>
        </is>
      </c>
      <c r="C126" s="12" t="n">
        <v>0</v>
      </c>
      <c r="D126" s="12" t="n">
        <v>0</v>
      </c>
      <c r="E126" s="12">
        <f>IF(AND(NOT(ISNUMBER(C126)), NOT(ISNUMBER(D126))), "-", IF(ISNUMBER(C126), C126, 0) - IF(ISNUMBER(D126), D126, 0))</f>
        <v/>
      </c>
      <c r="F126" s="13">
        <f>IF(OR(NOT(ISNUMBER(D126)), D126=0), "-", (IF(ISNUMBER(C126), C126, 0) - D126)/ABS(D126))</f>
        <v/>
      </c>
      <c r="G126" s="11" t="n"/>
    </row>
    <row r="127">
      <c r="A127" s="14" t="n"/>
      <c r="B127" s="14" t="inlineStr">
        <is>
          <t>2012-13</t>
        </is>
      </c>
      <c r="C127" s="15" t="n">
        <v>93242074.58</v>
      </c>
      <c r="D127" s="15" t="n">
        <v>93253266</v>
      </c>
      <c r="E127" s="15">
        <f>IF(AND(NOT(ISNUMBER(C127)), NOT(ISNUMBER(D127))), "-", IF(ISNUMBER(C127), C127, 0) - IF(ISNUMBER(D127), D127, 0))</f>
        <v/>
      </c>
      <c r="F127" s="16">
        <f>IF(OR(NOT(ISNUMBER(D127)), D127=0), "-", (IF(ISNUMBER(C127), C127, 0) - D127)/ABS(D127))</f>
        <v/>
      </c>
      <c r="G127" s="14" t="n"/>
    </row>
    <row r="128">
      <c r="A128" s="14" t="n"/>
      <c r="B128" s="14" t="inlineStr">
        <is>
          <t>2013-14</t>
        </is>
      </c>
      <c r="C128" s="15" t="n">
        <v>57057537.2</v>
      </c>
      <c r="D128" s="15" t="n">
        <v>57057537</v>
      </c>
      <c r="E128" s="15">
        <f>IF(AND(NOT(ISNUMBER(C128)), NOT(ISNUMBER(D128))), "-", IF(ISNUMBER(C128), C128, 0) - IF(ISNUMBER(D128), D128, 0))</f>
        <v/>
      </c>
      <c r="F128" s="16">
        <f>IF(OR(NOT(ISNUMBER(D128)), D128=0), "-", (IF(ISNUMBER(C128), C128, 0) - D128)/ABS(D128))</f>
        <v/>
      </c>
      <c r="G128" s="14" t="n"/>
    </row>
    <row r="129">
      <c r="A129" s="14" t="n"/>
      <c r="B129" s="14" t="inlineStr">
        <is>
          <t>2014-15 (*)</t>
        </is>
      </c>
      <c r="C129" s="15" t="n">
        <v>0</v>
      </c>
      <c r="D129" s="15" t="n">
        <v>0</v>
      </c>
      <c r="E129" s="15">
        <f>IF(AND(NOT(ISNUMBER(C129)), NOT(ISNUMBER(D129))), "-", IF(ISNUMBER(C129), C129, 0) - IF(ISNUMBER(D129), D129, 0))</f>
        <v/>
      </c>
      <c r="F129" s="16">
        <f>IF(OR(NOT(ISNUMBER(D129)), D129=0), "-", (IF(ISNUMBER(C129), C129, 0) - D129)/ABS(D129))</f>
        <v/>
      </c>
      <c r="G129" s="14" t="n"/>
    </row>
    <row r="130">
      <c r="A130" s="14" t="n"/>
      <c r="B130" s="14" t="inlineStr">
        <is>
          <t>(*) In case of AY 2014-15, the statue of limitation for receiving the final assessment order has elapsed, hence the same has been removed.</t>
        </is>
      </c>
      <c r="C130" s="15" t="n">
        <v>0</v>
      </c>
      <c r="D130" s="15" t="n">
        <v>0</v>
      </c>
      <c r="E130" s="15">
        <f>IF(AND(NOT(ISNUMBER(C130)), NOT(ISNUMBER(D130))), "-", IF(ISNUMBER(C130), C130, 0) - IF(ISNUMBER(D130), D130, 0))</f>
        <v/>
      </c>
      <c r="F130" s="16">
        <f>IF(OR(NOT(ISNUMBER(D130)), D130=0), "-", (IF(ISNUMBER(C130), C130, 0) - D130)/ABS(D130))</f>
        <v/>
      </c>
      <c r="G130" s="14" t="n"/>
    </row>
    <row r="131">
      <c r="A131" s="11" t="n"/>
      <c r="B131" s="11" t="inlineStr">
        <is>
          <t>Service tax demand including interest and penalty in respect of earlier years under dispute.</t>
        </is>
      </c>
      <c r="C131" s="12" t="n">
        <v>0</v>
      </c>
      <c r="D131" s="12" t="n">
        <v>0</v>
      </c>
      <c r="E131" s="12">
        <f>IF(AND(NOT(ISNUMBER(C131)), NOT(ISNUMBER(D131))), "-", IF(ISNUMBER(C131), C131, 0) - IF(ISNUMBER(D131), D131, 0))</f>
        <v/>
      </c>
      <c r="F131" s="13">
        <f>IF(OR(NOT(ISNUMBER(D131)), D131=0), "-", (IF(ISNUMBER(C131), C131, 0) - D131)/ABS(D131))</f>
        <v/>
      </c>
      <c r="G131" s="11" t="n"/>
    </row>
    <row r="132">
      <c r="A132" s="11" t="n"/>
      <c r="B132" s="11" t="inlineStr">
        <is>
          <t>Period</t>
        </is>
      </c>
      <c r="C132" s="12" t="n">
        <v>0</v>
      </c>
      <c r="D132" s="12" t="n">
        <v>0</v>
      </c>
      <c r="E132" s="12">
        <f>IF(AND(NOT(ISNUMBER(C132)), NOT(ISNUMBER(D132))), "-", IF(ISNUMBER(C132), C132, 0) - IF(ISNUMBER(D132), D132, 0))</f>
        <v/>
      </c>
      <c r="F132" s="13">
        <f>IF(OR(NOT(ISNUMBER(D132)), D132=0), "-", (IF(ISNUMBER(C132), C132, 0) - D132)/ABS(D132))</f>
        <v/>
      </c>
      <c r="G132" s="11" t="n"/>
    </row>
    <row r="133">
      <c r="A133" s="14" t="n"/>
      <c r="B133" s="14" t="inlineStr">
        <is>
          <t>2011-12 to 2015-16</t>
        </is>
      </c>
      <c r="C133" s="15" t="n">
        <v>5071732</v>
      </c>
      <c r="D133" s="15" t="n">
        <v>130174840</v>
      </c>
      <c r="E133" s="15">
        <f>IF(AND(NOT(ISNUMBER(C133)), NOT(ISNUMBER(D133))), "-", IF(ISNUMBER(C133), C133, 0) - IF(ISNUMBER(D133), D133, 0))</f>
        <v/>
      </c>
      <c r="F133" s="16">
        <f>IF(OR(NOT(ISNUMBER(D133)), D133=0), "-", (IF(ISNUMBER(C133), C133, 0) - D133)/ABS(D133))</f>
        <v/>
      </c>
      <c r="G133" s="14" t="n"/>
    </row>
    <row r="134">
      <c r="A134" s="11" t="n"/>
      <c r="B134" s="11" t="inlineStr">
        <is>
          <t>GST on overdue receivables</t>
        </is>
      </c>
      <c r="C134" s="12" t="n">
        <v>0</v>
      </c>
      <c r="D134" s="12" t="n">
        <v>0</v>
      </c>
      <c r="E134" s="12">
        <f>IF(AND(NOT(ISNUMBER(C134)), NOT(ISNUMBER(D134))), "-", IF(ISNUMBER(C134), C134, 0) - IF(ISNUMBER(D134), D134, 0))</f>
        <v/>
      </c>
      <c r="F134" s="13">
        <f>IF(OR(NOT(ISNUMBER(D134)), D134=0), "-", (IF(ISNUMBER(C134), C134, 0) - D134)/ABS(D134))</f>
        <v/>
      </c>
      <c r="G134" s="11" t="n"/>
    </row>
    <row r="135">
      <c r="A135" s="14" t="n"/>
      <c r="B135" s="14" t="inlineStr">
        <is>
          <t>The Company has exported the services to its group companies without payment of GST and has unrealized / delayed export proceeds amounting to ₹ 44 lakhs beyond the time frame specified in Rule 96A of CGST Rule, 2017 (‘Rule 96A’). Out of ₹ 44 lakhs, proceeds amounting to ₹ 42 lakhs has been subsequently realised. For the rest, the management believes that the unrealised proceeds are likely to be received and any amount equivalent to the GST payable (including interest) can be contested with the tax authorities.</t>
        </is>
      </c>
      <c r="C135" s="15" t="n">
        <v>0</v>
      </c>
      <c r="D135" s="15" t="n">
        <v>0</v>
      </c>
      <c r="E135" s="15">
        <f>IF(AND(NOT(ISNUMBER(C135)), NOT(ISNUMBER(D135))), "-", IF(ISNUMBER(C135), C135, 0) - IF(ISNUMBER(D135), D135, 0))</f>
        <v/>
      </c>
      <c r="F135" s="16">
        <f>IF(OR(NOT(ISNUMBER(D135)), D135=0), "-", (IF(ISNUMBER(C135), C135, 0) - D135)/ABS(D135))</f>
        <v/>
      </c>
      <c r="G135" s="14" t="n"/>
    </row>
    <row r="138">
      <c r="B138" s="6" t="inlineStr">
        <is>
          <t>Note 25: Income tax expenses</t>
        </is>
      </c>
      <c r="C138" s="8" t="inlineStr">
        <is>
          <t>a</t>
        </is>
      </c>
      <c r="D138" s="8" t="inlineStr">
        <is>
          <t>b</t>
        </is>
      </c>
      <c r="E138" s="8" t="inlineStr">
        <is>
          <t>e</t>
        </is>
      </c>
    </row>
    <row r="139">
      <c r="A139" s="10" t="inlineStr"/>
      <c r="B139" s="10" t="inlineStr">
        <is>
          <t>Particulars</t>
        </is>
      </c>
      <c r="C139" s="10" t="inlineStr">
        <is>
          <t>As at 31st March 2025</t>
        </is>
      </c>
      <c r="D139" s="10" t="inlineStr">
        <is>
          <t>As at 31st March 2024</t>
        </is>
      </c>
      <c r="E139" s="10" t="inlineStr">
        <is>
          <t>Variance</t>
        </is>
      </c>
      <c r="F139" s="10" t="inlineStr">
        <is>
          <t>Variance %</t>
        </is>
      </c>
      <c r="G139" s="10" t="inlineStr">
        <is>
          <t>Remarks</t>
        </is>
      </c>
    </row>
    <row r="140">
      <c r="A140" s="14" t="n"/>
      <c r="B140" s="14" t="inlineStr">
        <is>
          <t>Provision for tax expense consists of the following:</t>
        </is>
      </c>
      <c r="C140" s="15" t="n">
        <v>0</v>
      </c>
      <c r="D140" s="15" t="n">
        <v>0</v>
      </c>
      <c r="E140" s="15">
        <f>IF(AND(NOT(ISNUMBER(C140)), NOT(ISNUMBER(D140))), "-", IF(ISNUMBER(C140), C140, 0) - IF(ISNUMBER(D140), D140, 0))</f>
        <v/>
      </c>
      <c r="F140" s="16">
        <f>IF(OR(NOT(ISNUMBER(D140)), D140=0), "-", (IF(ISNUMBER(C140), C140, 0) - D140)/ABS(D140))</f>
        <v/>
      </c>
      <c r="G140" s="14" t="n"/>
    </row>
    <row r="141">
      <c r="A141" s="14" t="n"/>
      <c r="B141" s="14" t="inlineStr">
        <is>
          <t>Current tax</t>
        </is>
      </c>
      <c r="C141" s="15" t="n">
        <v>0</v>
      </c>
      <c r="D141" s="15" t="n">
        <v>0</v>
      </c>
      <c r="E141" s="15">
        <f>IF(AND(NOT(ISNUMBER(C141)), NOT(ISNUMBER(D141))), "-", IF(ISNUMBER(C141), C141, 0) - IF(ISNUMBER(D141), D141, 0))</f>
        <v/>
      </c>
      <c r="F141" s="16">
        <f>IF(OR(NOT(ISNUMBER(D141)), D141=0), "-", (IF(ISNUMBER(C141), C141, 0) - D141)/ABS(D141))</f>
        <v/>
      </c>
      <c r="G141" s="14" t="n"/>
    </row>
    <row r="142">
      <c r="A142" s="14" t="n"/>
      <c r="B142" s="14" t="inlineStr">
        <is>
          <t>Current period</t>
        </is>
      </c>
      <c r="C142" s="15" t="n">
        <v>42613709</v>
      </c>
      <c r="D142" s="15" t="n">
        <v>4035301</v>
      </c>
      <c r="E142" s="15">
        <f>IF(AND(NOT(ISNUMBER(C142)), NOT(ISNUMBER(D142))), "-", IF(ISNUMBER(C142), C142, 0) - IF(ISNUMBER(D142), D142, 0))</f>
        <v/>
      </c>
      <c r="F142" s="16">
        <f>IF(OR(NOT(ISNUMBER(D142)), D142=0), "-", (IF(ISNUMBER(C142), C142, 0) - D142)/ABS(D142))</f>
        <v/>
      </c>
      <c r="G142" s="14" t="n"/>
    </row>
    <row r="143">
      <c r="A143" s="14" t="n"/>
      <c r="B143" s="14" t="inlineStr">
        <is>
          <t>Changes in tax provision related to prior years</t>
        </is>
      </c>
      <c r="C143" s="15" t="n">
        <v>0</v>
      </c>
      <c r="D143" s="15" t="n">
        <v>0</v>
      </c>
      <c r="E143" s="15">
        <f>IF(AND(NOT(ISNUMBER(C143)), NOT(ISNUMBER(D143))), "-", IF(ISNUMBER(C143), C143, 0) - IF(ISNUMBER(D143), D143, 0))</f>
        <v/>
      </c>
      <c r="F143" s="16">
        <f>IF(OR(NOT(ISNUMBER(D143)), D143=0), "-", (IF(ISNUMBER(C143), C143, 0) - D143)/ABS(D143))</f>
        <v/>
      </c>
      <c r="G143" s="14" t="n"/>
    </row>
    <row r="144">
      <c r="A144" s="14" t="n"/>
      <c r="B144" s="14" t="inlineStr">
        <is>
          <t>Deferred tax charge (*)</t>
        </is>
      </c>
      <c r="C144" s="15" t="n">
        <v>0</v>
      </c>
      <c r="D144" s="15" t="n">
        <v>0</v>
      </c>
      <c r="E144" s="15">
        <f>IF(AND(NOT(ISNUMBER(C144)), NOT(ISNUMBER(D144))), "-", IF(ISNUMBER(C144), C144, 0) - IF(ISNUMBER(D144), D144, 0))</f>
        <v/>
      </c>
      <c r="F144" s="16">
        <f>IF(OR(NOT(ISNUMBER(D144)), D144=0), "-", (IF(ISNUMBER(C144), C144, 0) - D144)/ABS(D144))</f>
        <v/>
      </c>
      <c r="G144" s="14" t="n"/>
    </row>
    <row r="145">
      <c r="A145" s="14" t="n"/>
      <c r="B145" s="14" t="inlineStr">
        <is>
          <t>Attributable to -</t>
        </is>
      </c>
      <c r="C145" s="15" t="n">
        <v>0</v>
      </c>
      <c r="D145" s="15" t="n">
        <v>0</v>
      </c>
      <c r="E145" s="15">
        <f>IF(AND(NOT(ISNUMBER(C145)), NOT(ISNUMBER(D145))), "-", IF(ISNUMBER(C145), C145, 0) - IF(ISNUMBER(D145), D145, 0))</f>
        <v/>
      </c>
      <c r="F145" s="16">
        <f>IF(OR(NOT(ISNUMBER(D145)), D145=0), "-", (IF(ISNUMBER(C145), C145, 0) - D145)/ABS(D145))</f>
        <v/>
      </c>
      <c r="G145" s="14" t="n"/>
    </row>
    <row r="146">
      <c r="A146" s="14" t="n"/>
      <c r="B146" s="14" t="inlineStr">
        <is>
          <t>Origination and reversal of temporary differences</t>
        </is>
      </c>
      <c r="C146" s="15" t="n">
        <v>3452021</v>
      </c>
      <c r="D146" s="15" t="n">
        <v>-29318083</v>
      </c>
      <c r="E146" s="15">
        <f>IF(AND(NOT(ISNUMBER(C146)), NOT(ISNUMBER(D146))), "-", IF(ISNUMBER(C146), C146, 0) - IF(ISNUMBER(D146), D146, 0))</f>
        <v/>
      </c>
      <c r="F146" s="16">
        <f>IF(OR(NOT(ISNUMBER(D146)), D146=0), "-", (IF(ISNUMBER(C146), C146, 0) - D146)/ABS(D146))</f>
        <v/>
      </c>
      <c r="G146" s="14" t="n"/>
    </row>
    <row r="147">
      <c r="A147" s="14" t="n"/>
      <c r="B147" s="14" t="inlineStr">
        <is>
          <t>Carry forward of unused MAT credits</t>
        </is>
      </c>
      <c r="C147" s="15" t="n">
        <v>0</v>
      </c>
      <c r="D147" s="15" t="n">
        <v>0</v>
      </c>
      <c r="E147" s="15">
        <f>IF(AND(NOT(ISNUMBER(C147)), NOT(ISNUMBER(D147))), "-", IF(ISNUMBER(C147), C147, 0) - IF(ISNUMBER(D147), D147, 0))</f>
        <v/>
      </c>
      <c r="F147" s="16">
        <f>IF(OR(NOT(ISNUMBER(D147)), D147=0), "-", (IF(ISNUMBER(C147), C147, 0) - D147)/ABS(D147))</f>
        <v/>
      </c>
      <c r="G147" s="14" t="n"/>
    </row>
    <row r="148">
      <c r="A148" s="14" t="n"/>
      <c r="B148" s="14" t="inlineStr">
        <is>
          <t>Tax on buy back of preference shares</t>
        </is>
      </c>
      <c r="C148" s="15" t="n">
        <v>0</v>
      </c>
      <c r="D148" s="15" t="n">
        <v>3287243</v>
      </c>
      <c r="E148" s="15">
        <f>IF(AND(NOT(ISNUMBER(C148)), NOT(ISNUMBER(D148))), "-", IF(ISNUMBER(C148), C148, 0) - IF(ISNUMBER(D148), D148, 0))</f>
        <v/>
      </c>
      <c r="F148" s="16">
        <f>IF(OR(NOT(ISNUMBER(D148)), D148=0), "-", (IF(ISNUMBER(C148), C148, 0) - D148)/ABS(D148))</f>
        <v/>
      </c>
      <c r="G148" s="14" t="n"/>
    </row>
    <row r="149">
      <c r="A149" s="11" t="n"/>
      <c r="B149" s="11" t="inlineStr">
        <is>
          <t>Total tax expenses</t>
        </is>
      </c>
      <c r="C149" s="12" t="n">
        <v>46065730</v>
      </c>
      <c r="D149" s="12" t="n">
        <v>-21995539</v>
      </c>
      <c r="E149" s="12">
        <f>IF(AND(NOT(ISNUMBER(C149)), NOT(ISNUMBER(D149))), "-", IF(ISNUMBER(C149), C149, 0) - IF(ISNUMBER(D149), D149, 0))</f>
        <v/>
      </c>
      <c r="F149" s="13">
        <f>IF(OR(NOT(ISNUMBER(D149)), D149=0), "-", (IF(ISNUMBER(C149), C149, 0) - D149)/ABS(D149))</f>
        <v/>
      </c>
      <c r="G149" s="11" t="n"/>
    </row>
    <row r="150">
      <c r="A150" s="14" t="n"/>
      <c r="B150" s="14" t="inlineStr">
        <is>
          <t>(*) Deferred tax for the year ended 31 March 2024 and 31 March 2023 relates to origination and reversal of temporary differences and is net of MAT credit entitlement of ₹ 4.58 lakhs (31 March 2024: ₹ 4 lakhs)</t>
        </is>
      </c>
      <c r="C150" s="15" t="n">
        <v>0</v>
      </c>
      <c r="D150" s="15" t="n">
        <v>0</v>
      </c>
      <c r="E150" s="15">
        <f>IF(AND(NOT(ISNUMBER(C150)), NOT(ISNUMBER(D150))), "-", IF(ISNUMBER(C150), C150, 0) - IF(ISNUMBER(D150), D150, 0))</f>
        <v/>
      </c>
      <c r="F150" s="16">
        <f>IF(OR(NOT(ISNUMBER(D150)), D150=0), "-", (IF(ISNUMBER(C150), C150, 0) - D150)/ABS(D150))</f>
        <v/>
      </c>
      <c r="G150" s="14" t="n"/>
    </row>
    <row r="151">
      <c r="A151" s="14" t="n"/>
      <c r="B151" s="14" t="inlineStr">
        <is>
          <t>Provision for income tax has been computed on the higher of the basis of Minimum Alternate Tax in accordance with Sec 115JB of the Income Tax Act,1961 and under the normal provisions of the Income Tax Act, 1961.</t>
        </is>
      </c>
      <c r="C151" s="15" t="n">
        <v>0</v>
      </c>
      <c r="D151" s="15" t="n">
        <v>0</v>
      </c>
      <c r="E151" s="15">
        <f>IF(AND(NOT(ISNUMBER(C151)), NOT(ISNUMBER(D151))), "-", IF(ISNUMBER(C151), C151, 0) - IF(ISNUMBER(D151), D151, 0))</f>
        <v/>
      </c>
      <c r="F151" s="16">
        <f>IF(OR(NOT(ISNUMBER(D151)), D151=0), "-", (IF(ISNUMBER(C151), C151, 0) - D151)/ABS(D151))</f>
        <v/>
      </c>
      <c r="G151" s="14" t="n"/>
    </row>
    <row r="152">
      <c r="A152" s="14" t="n"/>
      <c r="B152" s="14" t="inlineStr">
        <is>
          <t>Minimum Alternate Tax (“MAT”) is payable on Book Income. The excess tax paid under MAT provisions, over and above the normal tax liability is “MAT Credit”. MAT Credit can be carry forward and set-off against future tax liabilities computed under normal tax provisions in excess of tax payable under MAT. According to Section 115JAA of Income Tax Act, 1961, MAT Credit can be carry forward for set-off up to a period of 15 years from the end of the financial year in which MAT Credit arises. The Company has calculated the tax liability for current domestic taxes after considering MAT tax liability. Management estimates that the Company would be able to utilize the MAT credit within 5 years. The MAT Credit as of 31 March 2025 of ₹ 53 Lacs shall be utilized before 31 March of the following financial years and shall expire as follows:</t>
        </is>
      </c>
      <c r="C152" s="15" t="n">
        <v>0</v>
      </c>
      <c r="D152" s="15" t="n">
        <v>0</v>
      </c>
      <c r="E152" s="15">
        <f>IF(AND(NOT(ISNUMBER(C152)), NOT(ISNUMBER(D152))), "-", IF(ISNUMBER(C152), C152, 0) - IF(ISNUMBER(D152), D152, 0))</f>
        <v/>
      </c>
      <c r="F152" s="16">
        <f>IF(OR(NOT(ISNUMBER(D152)), D152=0), "-", (IF(ISNUMBER(C152), C152, 0) - D152)/ABS(D152))</f>
        <v/>
      </c>
      <c r="G152" s="14" t="n"/>
    </row>
    <row r="153">
      <c r="A153" s="14" t="n"/>
      <c r="B153" s="14" t="inlineStr"/>
      <c r="C153" s="15" t="n">
        <v>0</v>
      </c>
      <c r="D153" s="15" t="n">
        <v>2215164</v>
      </c>
      <c r="E153" s="15">
        <f>IF(AND(NOT(ISNUMBER(C153)), NOT(ISNUMBER(D153))), "-", IF(ISNUMBER(C153), C153, 0) - IF(ISNUMBER(D153), D153, 0))</f>
        <v/>
      </c>
      <c r="F153" s="16">
        <f>IF(OR(NOT(ISNUMBER(D153)), D153=0), "-", (IF(ISNUMBER(C153), C153, 0) - D153)/ABS(D153))</f>
        <v/>
      </c>
      <c r="G153" s="14" t="n"/>
    </row>
    <row r="154">
      <c r="A154" s="14" t="n"/>
      <c r="B154" s="14" t="inlineStr"/>
      <c r="C154" s="15" t="n">
        <v>0</v>
      </c>
      <c r="D154" s="15" t="n">
        <v>3138669</v>
      </c>
      <c r="E154" s="15">
        <f>IF(AND(NOT(ISNUMBER(C154)), NOT(ISNUMBER(D154))), "-", IF(ISNUMBER(C154), C154, 0) - IF(ISNUMBER(D154), D154, 0))</f>
        <v/>
      </c>
      <c r="F154" s="16">
        <f>IF(OR(NOT(ISNUMBER(D154)), D154=0), "-", (IF(ISNUMBER(C154), C154, 0) - D154)/ABS(D154))</f>
        <v/>
      </c>
      <c r="G154" s="14" t="n"/>
    </row>
    <row r="155">
      <c r="A155" s="14" t="n"/>
      <c r="B155" s="14" t="inlineStr"/>
      <c r="C155" s="15" t="n">
        <v>0</v>
      </c>
      <c r="D155" s="15" t="n">
        <v>5353833</v>
      </c>
      <c r="E155" s="15">
        <f>IF(AND(NOT(ISNUMBER(C155)), NOT(ISNUMBER(D155))), "-", IF(ISNUMBER(C155), C155, 0) - IF(ISNUMBER(D155), D155, 0))</f>
        <v/>
      </c>
      <c r="F155" s="16">
        <f>IF(OR(NOT(ISNUMBER(D155)), D155=0), "-", (IF(ISNUMBER(C155), C155, 0) - D155)/ABS(D155))</f>
        <v/>
      </c>
      <c r="G155" s="14" t="n"/>
    </row>
    <row r="158">
      <c r="B158" s="6" t="inlineStr">
        <is>
          <t>Note 25: Income tax expenses (continued)</t>
        </is>
      </c>
      <c r="C158" s="8" t="inlineStr">
        <is>
          <t>a</t>
        </is>
      </c>
      <c r="D158" s="8" t="inlineStr">
        <is>
          <t>b</t>
        </is>
      </c>
      <c r="E158" s="8" t="inlineStr">
        <is>
          <t>e</t>
        </is>
      </c>
    </row>
    <row r="159">
      <c r="A159" s="10" t="inlineStr"/>
      <c r="B159" s="10" t="inlineStr">
        <is>
          <t>Particulars</t>
        </is>
      </c>
      <c r="C159" s="10" t="inlineStr">
        <is>
          <t>As at 31st March 2025</t>
        </is>
      </c>
      <c r="D159" s="10" t="inlineStr">
        <is>
          <t>As at 31st March 2024</t>
        </is>
      </c>
      <c r="E159" s="10" t="inlineStr">
        <is>
          <t>Variance</t>
        </is>
      </c>
      <c r="F159" s="10" t="inlineStr">
        <is>
          <t>Variance %</t>
        </is>
      </c>
      <c r="G159" s="10" t="inlineStr">
        <is>
          <t>Remarks</t>
        </is>
      </c>
    </row>
    <row r="160">
      <c r="A160" s="14" t="n"/>
      <c r="B160" s="14" t="inlineStr">
        <is>
          <t>Profit before tax</t>
        </is>
      </c>
      <c r="C160" s="15" t="n">
        <v>-2956284</v>
      </c>
      <c r="D160" s="15" t="n">
        <v>19400000</v>
      </c>
      <c r="E160" s="15">
        <f>IF(AND(NOT(ISNUMBER(C160)), NOT(ISNUMBER(D160))), "-", IF(ISNUMBER(C160), C160, 0) - IF(ISNUMBER(D160), D160, 0))</f>
        <v/>
      </c>
      <c r="F160" s="16">
        <f>IF(OR(NOT(ISNUMBER(D160)), D160=0), "-", (IF(ISNUMBER(C160), C160, 0) - D160)/ABS(D160))</f>
        <v/>
      </c>
      <c r="G160" s="14" t="n"/>
    </row>
    <row r="161">
      <c r="A161" s="14" t="n"/>
      <c r="B161" s="14" t="inlineStr">
        <is>
          <t>Weighted average enacted tax rates in India</t>
        </is>
      </c>
      <c r="C161" s="15" t="n">
        <v>0.28</v>
      </c>
      <c r="D161" s="15" t="n">
        <v>0.28</v>
      </c>
      <c r="E161" s="15">
        <f>IF(AND(NOT(ISNUMBER(C161)), NOT(ISNUMBER(D161))), "-", IF(ISNUMBER(C161), C161, 0) - IF(ISNUMBER(D161), D161, 0))</f>
        <v/>
      </c>
      <c r="F161" s="16">
        <f>IF(OR(NOT(ISNUMBER(D161)), D161=0), "-", (IF(ISNUMBER(C161), C161, 0) - D161)/ABS(D161))</f>
        <v/>
      </c>
      <c r="G161" s="14" t="n"/>
    </row>
    <row r="162">
      <c r="A162" s="14" t="n"/>
      <c r="B162" s="14" t="inlineStr">
        <is>
          <t>Computed income tax expense</t>
        </is>
      </c>
      <c r="C162" s="15" t="n">
        <v>-822438</v>
      </c>
      <c r="D162" s="15" t="n">
        <v>5397080</v>
      </c>
      <c r="E162" s="15">
        <f>IF(AND(NOT(ISNUMBER(C162)), NOT(ISNUMBER(D162))), "-", IF(ISNUMBER(C162), C162, 0) - IF(ISNUMBER(D162), D162, 0))</f>
        <v/>
      </c>
      <c r="F162" s="16">
        <f>IF(OR(NOT(ISNUMBER(D162)), D162=0), "-", (IF(ISNUMBER(C162), C162, 0) - D162)/ABS(D162))</f>
        <v/>
      </c>
      <c r="G162" s="14" t="n"/>
    </row>
    <row r="163">
      <c r="A163" s="14" t="n"/>
      <c r="B163" s="14" t="inlineStr">
        <is>
          <t>Change in tax rate from 33.99% to 34.61%</t>
        </is>
      </c>
      <c r="C163" s="15" t="n">
        <v>0</v>
      </c>
      <c r="D163" s="15" t="n">
        <v>0</v>
      </c>
      <c r="E163" s="15">
        <f>IF(AND(NOT(ISNUMBER(C163)), NOT(ISNUMBER(D163))), "-", IF(ISNUMBER(C163), C163, 0) - IF(ISNUMBER(D163), D163, 0))</f>
        <v/>
      </c>
      <c r="F163" s="16">
        <f>IF(OR(NOT(ISNUMBER(D163)), D163=0), "-", (IF(ISNUMBER(C163), C163, 0) - D163)/ABS(D163))</f>
        <v/>
      </c>
      <c r="G163" s="14" t="n"/>
    </row>
    <row r="164">
      <c r="A164" s="14" t="n"/>
      <c r="B164" s="14" t="inlineStr">
        <is>
          <t>Finance charge</t>
        </is>
      </c>
      <c r="C164" s="15" t="n">
        <v>0</v>
      </c>
      <c r="D164" s="15" t="n">
        <v>0</v>
      </c>
      <c r="E164" s="15">
        <f>IF(AND(NOT(ISNUMBER(C164)), NOT(ISNUMBER(D164))), "-", IF(ISNUMBER(C164), C164, 0) - IF(ISNUMBER(D164), D164, 0))</f>
        <v/>
      </c>
      <c r="F164" s="16">
        <f>IF(OR(NOT(ISNUMBER(D164)), D164=0), "-", (IF(ISNUMBER(C164), C164, 0) - D164)/ABS(D164))</f>
        <v/>
      </c>
      <c r="G164" s="14" t="n"/>
    </row>
    <row r="165">
      <c r="A165" s="14" t="n"/>
      <c r="B165" s="14" t="inlineStr">
        <is>
          <t>Income exempt from tax</t>
        </is>
      </c>
      <c r="C165" s="15" t="n">
        <v>1265238.02</v>
      </c>
      <c r="D165" s="15" t="n">
        <v>-122939</v>
      </c>
      <c r="E165" s="15">
        <f>IF(AND(NOT(ISNUMBER(C165)), NOT(ISNUMBER(D165))), "-", IF(ISNUMBER(C165), C165, 0) - IF(ISNUMBER(D165), D165, 0))</f>
        <v/>
      </c>
      <c r="F165" s="16">
        <f>IF(OR(NOT(ISNUMBER(D165)), D165=0), "-", (IF(ISNUMBER(C165), C165, 0) - D165)/ABS(D165))</f>
        <v/>
      </c>
      <c r="G165" s="14" t="n"/>
    </row>
    <row r="166">
      <c r="A166" s="14" t="n"/>
      <c r="B166" s="14" t="inlineStr">
        <is>
          <t>Gain on modification of financial liability</t>
        </is>
      </c>
      <c r="C166" s="15" t="n">
        <v>0</v>
      </c>
      <c r="D166" s="15" t="n">
        <v>-5673591.6</v>
      </c>
      <c r="E166" s="15">
        <f>IF(AND(NOT(ISNUMBER(C166)), NOT(ISNUMBER(D166))), "-", IF(ISNUMBER(C166), C166, 0) - IF(ISNUMBER(D166), D166, 0))</f>
        <v/>
      </c>
      <c r="F166" s="16">
        <f>IF(OR(NOT(ISNUMBER(D166)), D166=0), "-", (IF(ISNUMBER(C166), C166, 0) - D166)/ABS(D166))</f>
        <v/>
      </c>
      <c r="G166" s="14" t="n"/>
    </row>
    <row r="167">
      <c r="A167" s="14" t="n"/>
      <c r="B167" s="14" t="inlineStr">
        <is>
          <t>Finance charge on preference shares</t>
        </is>
      </c>
      <c r="C167" s="15" t="n">
        <v>3160131.94</v>
      </c>
      <c r="D167" s="15" t="n">
        <v>3726023.57</v>
      </c>
      <c r="E167" s="15">
        <f>IF(AND(NOT(ISNUMBER(C167)), NOT(ISNUMBER(D167))), "-", IF(ISNUMBER(C167), C167, 0) - IF(ISNUMBER(D167), D167, 0))</f>
        <v/>
      </c>
      <c r="F167" s="16">
        <f>IF(OR(NOT(ISNUMBER(D167)), D167=0), "-", (IF(ISNUMBER(C167), C167, 0) - D167)/ABS(D167))</f>
        <v/>
      </c>
      <c r="G167" s="14" t="n"/>
    </row>
    <row r="168">
      <c r="A168" s="14" t="n"/>
      <c r="B168" s="14" t="inlineStr">
        <is>
          <t>MAT utilisation in current year</t>
        </is>
      </c>
      <c r="C168" s="15" t="n">
        <v>-808226</v>
      </c>
      <c r="D168" s="15" t="n">
        <v>435054</v>
      </c>
      <c r="E168" s="15">
        <f>IF(AND(NOT(ISNUMBER(C168)), NOT(ISNUMBER(D168))), "-", IF(ISNUMBER(C168), C168, 0) - IF(ISNUMBER(D168), D168, 0))</f>
        <v/>
      </c>
      <c r="F168" s="16">
        <f>IF(OR(NOT(ISNUMBER(D168)), D168=0), "-", (IF(ISNUMBER(C168), C168, 0) - D168)/ABS(D168))</f>
        <v/>
      </c>
      <c r="G168" s="14" t="n"/>
    </row>
    <row r="169">
      <c r="A169" s="14" t="n"/>
      <c r="B169" s="14" t="inlineStr">
        <is>
          <t>Buy back tax</t>
        </is>
      </c>
      <c r="C169" s="15" t="n">
        <v>0</v>
      </c>
      <c r="D169" s="15" t="n">
        <v>-26397166</v>
      </c>
      <c r="E169" s="15">
        <f>IF(AND(NOT(ISNUMBER(C169)), NOT(ISNUMBER(D169))), "-", IF(ISNUMBER(C169), C169, 0) - IF(ISNUMBER(D169), D169, 0))</f>
        <v/>
      </c>
      <c r="F169" s="16">
        <f>IF(OR(NOT(ISNUMBER(D169)), D169=0), "-", (IF(ISNUMBER(C169), C169, 0) - D169)/ABS(D169))</f>
        <v/>
      </c>
      <c r="G169" s="14" t="n"/>
    </row>
    <row r="170">
      <c r="A170" s="14" t="n"/>
      <c r="B170" s="14" t="inlineStr">
        <is>
          <t>Impact arising from submission of returns</t>
        </is>
      </c>
      <c r="C170" s="15" t="n">
        <v>0</v>
      </c>
      <c r="D170" s="15" t="n">
        <v>0</v>
      </c>
      <c r="E170" s="15">
        <f>IF(AND(NOT(ISNUMBER(C170)), NOT(ISNUMBER(D170))), "-", IF(ISNUMBER(C170), C170, 0) - IF(ISNUMBER(D170), D170, 0))</f>
        <v/>
      </c>
      <c r="F170" s="16">
        <f>IF(OR(NOT(ISNUMBER(D170)), D170=0), "-", (IF(ISNUMBER(C170), C170, 0) - D170)/ABS(D170))</f>
        <v/>
      </c>
      <c r="G170" s="14" t="n"/>
    </row>
    <row r="171">
      <c r="A171" s="14" t="n"/>
      <c r="B171" s="14" t="inlineStr">
        <is>
          <t>Changes in tax provision related to prior years</t>
        </is>
      </c>
      <c r="C171" s="15" t="n">
        <v>42559182</v>
      </c>
      <c r="D171" s="15" t="n">
        <v>0</v>
      </c>
      <c r="E171" s="15">
        <f>IF(AND(NOT(ISNUMBER(C171)), NOT(ISNUMBER(D171))), "-", IF(ISNUMBER(C171), C171, 0) - IF(ISNUMBER(D171), D171, 0))</f>
        <v/>
      </c>
      <c r="F171" s="16">
        <f>IF(OR(NOT(ISNUMBER(D171)), D171=0), "-", (IF(ISNUMBER(C171), C171, 0) - D171)/ABS(D171))</f>
        <v/>
      </c>
      <c r="G171" s="14" t="n"/>
    </row>
    <row r="172">
      <c r="A172" s="14" t="n"/>
      <c r="B172" s="14" t="inlineStr">
        <is>
          <t>Non utilization of MAT credit</t>
        </is>
      </c>
      <c r="C172" s="15" t="n">
        <v>0</v>
      </c>
      <c r="D172" s="15" t="n">
        <v>0</v>
      </c>
      <c r="E172" s="15">
        <f>IF(AND(NOT(ISNUMBER(C172)), NOT(ISNUMBER(D172))), "-", IF(ISNUMBER(C172), C172, 0) - IF(ISNUMBER(D172), D172, 0))</f>
        <v/>
      </c>
      <c r="F172" s="16">
        <f>IF(OR(NOT(ISNUMBER(D172)), D172=0), "-", (IF(ISNUMBER(C172), C172, 0) - D172)/ABS(D172))</f>
        <v/>
      </c>
      <c r="G172" s="14" t="n"/>
    </row>
    <row r="173">
      <c r="A173" s="14" t="n"/>
      <c r="B173" s="14" t="inlineStr">
        <is>
          <t>Others</t>
        </is>
      </c>
      <c r="C173" s="15" t="n">
        <v>711842</v>
      </c>
      <c r="D173" s="15" t="n">
        <v>640000</v>
      </c>
      <c r="E173" s="15">
        <f>IF(AND(NOT(ISNUMBER(C173)), NOT(ISNUMBER(D173))), "-", IF(ISNUMBER(C173), C173, 0) - IF(ISNUMBER(D173), D173, 0))</f>
        <v/>
      </c>
      <c r="F173" s="16">
        <f>IF(OR(NOT(ISNUMBER(D173)), D173=0), "-", (IF(ISNUMBER(C173), C173, 0) - D173)/ABS(D173))</f>
        <v/>
      </c>
      <c r="G173" s="14" t="n"/>
    </row>
    <row r="174">
      <c r="A174" s="14" t="n"/>
      <c r="B174" s="14" t="inlineStr">
        <is>
          <t>Tax charge for the year</t>
        </is>
      </c>
      <c r="C174" s="15" t="n">
        <v>46065729.96</v>
      </c>
      <c r="D174" s="15" t="n">
        <v>-21995539.03</v>
      </c>
      <c r="E174" s="15">
        <f>IF(AND(NOT(ISNUMBER(C174)), NOT(ISNUMBER(D174))), "-", IF(ISNUMBER(C174), C174, 0) - IF(ISNUMBER(D174), D174, 0))</f>
        <v/>
      </c>
      <c r="F174" s="16">
        <f>IF(OR(NOT(ISNUMBER(D174)), D174=0), "-", (IF(ISNUMBER(C174), C174, 0) - D174)/ABS(D174))</f>
        <v/>
      </c>
      <c r="G174" s="14" t="n"/>
    </row>
    <row r="175">
      <c r="A175" s="14" t="n"/>
      <c r="B175" s="14" t="inlineStr"/>
      <c r="C175" s="15" t="n">
        <v>0</v>
      </c>
      <c r="D175" s="15" t="n">
        <v>0</v>
      </c>
      <c r="E175" s="15">
        <f>IF(AND(NOT(ISNUMBER(C175)), NOT(ISNUMBER(D175))), "-", IF(ISNUMBER(C175), C175, 0) - IF(ISNUMBER(D175), D175, 0))</f>
        <v/>
      </c>
      <c r="F175" s="16">
        <f>IF(OR(NOT(ISNUMBER(D175)), D175=0), "-", (IF(ISNUMBER(C175), C175, 0) - D175)/ABS(D175))</f>
        <v/>
      </c>
      <c r="G175" s="14" t="n"/>
    </row>
    <row r="176">
      <c r="A176" s="11" t="n"/>
      <c r="B176" s="11" t="inlineStr">
        <is>
          <t>Income tax charge</t>
        </is>
      </c>
      <c r="C176" s="12" t="n">
        <v>0</v>
      </c>
      <c r="D176" s="12" t="n">
        <v>0</v>
      </c>
      <c r="E176" s="12">
        <f>IF(AND(NOT(ISNUMBER(C176)), NOT(ISNUMBER(D176))), "-", IF(ISNUMBER(C176), C176, 0) - IF(ISNUMBER(D176), D176, 0))</f>
        <v/>
      </c>
      <c r="F176" s="13">
        <f>IF(OR(NOT(ISNUMBER(D176)), D176=0), "-", (IF(ISNUMBER(C176), C176, 0) - D176)/ABS(D176))</f>
        <v/>
      </c>
      <c r="G176" s="11" t="n"/>
    </row>
    <row r="177">
      <c r="A177" s="14" t="n"/>
      <c r="B177" s="14" t="inlineStr">
        <is>
          <t>(#) Zero represents amount less than ₹ one lakh</t>
        </is>
      </c>
      <c r="C177" s="15" t="n">
        <v>0</v>
      </c>
      <c r="D177" s="15" t="n">
        <v>0</v>
      </c>
      <c r="E177" s="15">
        <f>IF(AND(NOT(ISNUMBER(C177)), NOT(ISNUMBER(D177))), "-", IF(ISNUMBER(C177), C177, 0) - IF(ISNUMBER(D177), D177, 0))</f>
        <v/>
      </c>
      <c r="F177" s="16">
        <f>IF(OR(NOT(ISNUMBER(D177)), D177=0), "-", (IF(ISNUMBER(C177), C177, 0) - D177)/ABS(D177))</f>
        <v/>
      </c>
      <c r="G177" s="14" t="n"/>
    </row>
    <row r="178">
      <c r="A178" s="14" t="n"/>
      <c r="B178" s="14" t="inlineStr">
        <is>
          <t>The applicable Indian statutory tax rate for fiscal 2025 and fiscal 2024 is 27.82%.</t>
        </is>
      </c>
      <c r="C178" s="15" t="n">
        <v>0</v>
      </c>
      <c r="D178" s="15" t="n">
        <v>0</v>
      </c>
      <c r="E178" s="15">
        <f>IF(AND(NOT(ISNUMBER(C178)), NOT(ISNUMBER(D178))), "-", IF(ISNUMBER(C178), C178, 0) - IF(ISNUMBER(D178), D178, 0))</f>
        <v/>
      </c>
      <c r="F178" s="16">
        <f>IF(OR(NOT(ISNUMBER(D178)), D178=0), "-", (IF(ISNUMBER(C178), C178, 0) - D178)/ABS(D178))</f>
        <v/>
      </c>
      <c r="G178" s="14" t="n"/>
    </row>
    <row r="181">
      <c r="B181" s="6" t="inlineStr">
        <is>
          <t>Note 25: Income tax expenses (Continued)</t>
        </is>
      </c>
      <c r="C181" s="8" t="inlineStr">
        <is>
          <t>a</t>
        </is>
      </c>
      <c r="D181" s="8" t="inlineStr">
        <is>
          <t>b</t>
        </is>
      </c>
      <c r="E181" s="8" t="inlineStr">
        <is>
          <t>e</t>
        </is>
      </c>
    </row>
    <row r="182">
      <c r="A182" s="10" t="inlineStr"/>
      <c r="B182" s="10" t="inlineStr">
        <is>
          <t>Particulars</t>
        </is>
      </c>
      <c r="C182" s="10" t="inlineStr">
        <is>
          <t>As at 31st March 2025</t>
        </is>
      </c>
      <c r="D182" s="10" t="inlineStr">
        <is>
          <t>As at 31st March 2024</t>
        </is>
      </c>
      <c r="E182" s="10" t="inlineStr">
        <is>
          <t>Variance</t>
        </is>
      </c>
      <c r="F182" s="10" t="inlineStr">
        <is>
          <t>Variance %</t>
        </is>
      </c>
      <c r="G182" s="10" t="inlineStr">
        <is>
          <t>Remarks</t>
        </is>
      </c>
    </row>
    <row r="183">
      <c r="A183" s="14" t="n"/>
      <c r="B183" s="14" t="inlineStr">
        <is>
          <t>Advances tax and tax deducted at source [net of provision ₹ 2,503   Lakhs (31 March 2023: ₹ 2,466 Lakhs)]</t>
        </is>
      </c>
      <c r="C183" s="15" t="n">
        <v>-839640</v>
      </c>
      <c r="D183" s="15" t="n">
        <v>40668266</v>
      </c>
      <c r="E183" s="15">
        <f>IF(AND(NOT(ISNUMBER(C183)), NOT(ISNUMBER(D183))), "-", IF(ISNUMBER(C183), C183, 0) - IF(ISNUMBER(D183), D183, 0))</f>
        <v/>
      </c>
      <c r="F183" s="16">
        <f>IF(OR(NOT(ISNUMBER(D183)), D183=0), "-", (IF(ISNUMBER(C183), C183, 0) - D183)/ABS(D183))</f>
        <v/>
      </c>
      <c r="G183" s="14" t="n"/>
    </row>
    <row r="184">
      <c r="A184" s="11" t="n"/>
      <c r="B184" s="11" t="inlineStr">
        <is>
          <t>Total</t>
        </is>
      </c>
      <c r="C184" s="12" t="n">
        <v>-839640</v>
      </c>
      <c r="D184" s="12" t="n">
        <v>40668266</v>
      </c>
      <c r="E184" s="12">
        <f>IF(AND(NOT(ISNUMBER(C184)), NOT(ISNUMBER(D184))), "-", IF(ISNUMBER(C184), C184, 0) - IF(ISNUMBER(D184), D184, 0))</f>
        <v/>
      </c>
      <c r="F184" s="13">
        <f>IF(OR(NOT(ISNUMBER(D184)), D184=0), "-", (IF(ISNUMBER(C184), C184, 0) - D184)/ABS(D184))</f>
        <v/>
      </c>
      <c r="G184" s="11" t="n"/>
    </row>
    <row r="185">
      <c r="A185" s="11" t="n"/>
      <c r="B185" s="11" t="inlineStr">
        <is>
          <t>Income tax assets (net)-current</t>
        </is>
      </c>
      <c r="C185" s="12" t="n">
        <v>0</v>
      </c>
      <c r="D185" s="12" t="n">
        <v>0</v>
      </c>
      <c r="E185" s="12">
        <f>IF(AND(NOT(ISNUMBER(C185)), NOT(ISNUMBER(D185))), "-", IF(ISNUMBER(C185), C185, 0) - IF(ISNUMBER(D185), D185, 0))</f>
        <v/>
      </c>
      <c r="F185" s="13">
        <f>IF(OR(NOT(ISNUMBER(D185)), D185=0), "-", (IF(ISNUMBER(C185), C185, 0) - D185)/ABS(D185))</f>
        <v/>
      </c>
      <c r="G185" s="11" t="n"/>
    </row>
    <row r="186">
      <c r="A186" s="14" t="n"/>
      <c r="B186" s="14" t="inlineStr">
        <is>
          <t>Advances tax and tax deducted at source [net of provision ₹ Nil (31 March 2018: ₹ 438 Lakhs)]</t>
        </is>
      </c>
      <c r="C186" s="15" t="n">
        <v>0</v>
      </c>
      <c r="D186" s="15" t="n">
        <v>0</v>
      </c>
      <c r="E186" s="15">
        <f>IF(AND(NOT(ISNUMBER(C186)), NOT(ISNUMBER(D186))), "-", IF(ISNUMBER(C186), C186, 0) - IF(ISNUMBER(D186), D186, 0))</f>
        <v/>
      </c>
      <c r="F186" s="16">
        <f>IF(OR(NOT(ISNUMBER(D186)), D186=0), "-", (IF(ISNUMBER(C186), C186, 0) - D186)/ABS(D186))</f>
        <v/>
      </c>
      <c r="G186" s="14" t="n"/>
    </row>
    <row r="187">
      <c r="A187" s="11" t="n"/>
      <c r="B187" s="11" t="inlineStr">
        <is>
          <t>Total</t>
        </is>
      </c>
      <c r="C187" s="12" t="n">
        <v>0</v>
      </c>
      <c r="D187" s="12" t="n">
        <v>0</v>
      </c>
      <c r="E187" s="12">
        <f>IF(AND(NOT(ISNUMBER(C187)), NOT(ISNUMBER(D187))), "-", IF(ISNUMBER(C187), C187, 0) - IF(ISNUMBER(D187), D187, 0))</f>
        <v/>
      </c>
      <c r="F187" s="13">
        <f>IF(OR(NOT(ISNUMBER(D187)), D187=0), "-", (IF(ISNUMBER(C187), C187, 0) - D187)/ABS(D187))</f>
        <v/>
      </c>
      <c r="G187" s="11" t="n"/>
    </row>
    <row r="190">
      <c r="B190" s="6" t="inlineStr">
        <is>
          <t>Note 25: Income tax expenses (Continued)</t>
        </is>
      </c>
      <c r="C190" s="8" t="inlineStr">
        <is>
          <t>a</t>
        </is>
      </c>
      <c r="D190" s="8" t="inlineStr">
        <is>
          <t>b</t>
        </is>
      </c>
      <c r="E190" s="8" t="inlineStr">
        <is>
          <t>e</t>
        </is>
      </c>
    </row>
    <row r="191">
      <c r="A191" s="10" t="inlineStr"/>
      <c r="B191" s="10" t="inlineStr">
        <is>
          <t>Particulars</t>
        </is>
      </c>
      <c r="C191" s="10" t="inlineStr">
        <is>
          <t>As at 31st March 2025</t>
        </is>
      </c>
      <c r="D191" s="10" t="inlineStr">
        <is>
          <t>As at 31st March 2024</t>
        </is>
      </c>
      <c r="E191" s="10" t="inlineStr">
        <is>
          <t>Variance</t>
        </is>
      </c>
      <c r="F191" s="10" t="inlineStr">
        <is>
          <t>Variance %</t>
        </is>
      </c>
      <c r="G191" s="10" t="inlineStr">
        <is>
          <t>Remarks</t>
        </is>
      </c>
    </row>
    <row r="192">
      <c r="A192" s="14" t="n"/>
      <c r="B192" s="14" t="inlineStr">
        <is>
          <t>Income tax liabilities [net of advance tax and TDS ₹ 181  Lakhs (31 March 2024: ₹ 169 Lakhs)] (#)</t>
        </is>
      </c>
      <c r="C192" s="15" t="n">
        <v>0</v>
      </c>
      <c r="D192" s="15" t="n">
        <v>0</v>
      </c>
      <c r="E192" s="15">
        <f>IF(AND(NOT(ISNUMBER(C192)), NOT(ISNUMBER(D192))), "-", IF(ISNUMBER(C192), C192, 0) - IF(ISNUMBER(D192), D192, 0))</f>
        <v/>
      </c>
      <c r="F192" s="16">
        <f>IF(OR(NOT(ISNUMBER(D192)), D192=0), "-", (IF(ISNUMBER(C192), C192, 0) - D192)/ABS(D192))</f>
        <v/>
      </c>
      <c r="G192" s="14" t="n"/>
    </row>
    <row r="193">
      <c r="A193" s="11" t="n"/>
      <c r="B193" s="11" t="inlineStr">
        <is>
          <t>Total</t>
        </is>
      </c>
      <c r="C193" s="12" t="n">
        <v>0</v>
      </c>
      <c r="D193" s="12" t="n">
        <v>0</v>
      </c>
      <c r="E193" s="12">
        <f>IF(AND(NOT(ISNUMBER(C193)), NOT(ISNUMBER(D193))), "-", IF(ISNUMBER(C193), C193, 0) - IF(ISNUMBER(D193), D193, 0))</f>
        <v/>
      </c>
      <c r="F193" s="13">
        <f>IF(OR(NOT(ISNUMBER(D193)), D193=0), "-", (IF(ISNUMBER(C193), C193, 0) - D193)/ABS(D193))</f>
        <v/>
      </c>
      <c r="G193" s="11" t="n"/>
    </row>
    <row r="194">
      <c r="A194" s="14" t="n"/>
      <c r="B194" s="14" t="inlineStr">
        <is>
          <t>(#) Zero represents amount less than ₹ 0.5 lakhs</t>
        </is>
      </c>
      <c r="C194" s="15" t="n">
        <v>0</v>
      </c>
      <c r="D194" s="15" t="n">
        <v>0</v>
      </c>
      <c r="E194" s="15">
        <f>IF(AND(NOT(ISNUMBER(C194)), NOT(ISNUMBER(D194))), "-", IF(ISNUMBER(C194), C194, 0) - IF(ISNUMBER(D194), D194, 0))</f>
        <v/>
      </c>
      <c r="F194" s="16">
        <f>IF(OR(NOT(ISNUMBER(D194)), D194=0), "-", (IF(ISNUMBER(C194), C194, 0) - D194)/ABS(D194))</f>
        <v/>
      </c>
      <c r="G194" s="14" t="n"/>
    </row>
    <row r="195">
      <c r="A195" s="11" t="n"/>
      <c r="B195" s="11" t="inlineStr">
        <is>
          <t>The movement is on account of following:</t>
        </is>
      </c>
      <c r="C195" s="12" t="n">
        <v>0</v>
      </c>
      <c r="D195" s="12" t="n">
        <v>0</v>
      </c>
      <c r="E195" s="12">
        <f>IF(AND(NOT(ISNUMBER(C195)), NOT(ISNUMBER(D195))), "-", IF(ISNUMBER(C195), C195, 0) - IF(ISNUMBER(D195), D195, 0))</f>
        <v/>
      </c>
      <c r="F195" s="13">
        <f>IF(OR(NOT(ISNUMBER(D195)), D195=0), "-", (IF(ISNUMBER(C195), C195, 0) - D195)/ABS(D195))</f>
        <v/>
      </c>
      <c r="G195" s="11" t="n"/>
    </row>
    <row r="196">
      <c r="A196" s="14" t="n"/>
      <c r="B196" s="14" t="inlineStr">
        <is>
          <t>Balance at the beginning of the year (net)</t>
        </is>
      </c>
      <c r="C196" s="15" t="n">
        <v>40628891.2</v>
      </c>
      <c r="D196" s="15" t="n">
        <v>41980392</v>
      </c>
      <c r="E196" s="15">
        <f>IF(AND(NOT(ISNUMBER(C196)), NOT(ISNUMBER(D196))), "-", IF(ISNUMBER(C196), C196, 0) - IF(ISNUMBER(D196), D196, 0))</f>
        <v/>
      </c>
      <c r="F196" s="16">
        <f>IF(OR(NOT(ISNUMBER(D196)), D196=0), "-", (IF(ISNUMBER(C196), C196, 0) - D196)/ABS(D196))</f>
        <v/>
      </c>
      <c r="G196" s="14" t="n"/>
    </row>
    <row r="197">
      <c r="A197" s="14" t="n"/>
      <c r="B197" s="14" t="inlineStr">
        <is>
          <t>Provision recognised for the year</t>
        </is>
      </c>
      <c r="C197" s="15" t="n">
        <v>-42613709</v>
      </c>
      <c r="D197" s="15" t="n">
        <v>-4035301</v>
      </c>
      <c r="E197" s="15">
        <f>IF(AND(NOT(ISNUMBER(C197)), NOT(ISNUMBER(D197))), "-", IF(ISNUMBER(C197), C197, 0) - IF(ISNUMBER(D197), D197, 0))</f>
        <v/>
      </c>
      <c r="F197" s="16">
        <f>IF(OR(NOT(ISNUMBER(D197)), D197=0), "-", (IF(ISNUMBER(C197), C197, 0) - D197)/ABS(D197))</f>
        <v/>
      </c>
      <c r="G197" s="14" t="n"/>
    </row>
    <row r="198">
      <c r="A198" s="14" t="n"/>
      <c r="B198" s="14" t="inlineStr">
        <is>
          <t>Changes in tax provision related to prior years</t>
        </is>
      </c>
      <c r="C198" s="15" t="n">
        <v>-42559182</v>
      </c>
      <c r="D198" s="15" t="n">
        <v>0</v>
      </c>
      <c r="E198" s="15">
        <f>IF(AND(NOT(ISNUMBER(C198)), NOT(ISNUMBER(D198))), "-", IF(ISNUMBER(C198), C198, 0) - IF(ISNUMBER(D198), D198, 0))</f>
        <v/>
      </c>
      <c r="F198" s="16">
        <f>IF(OR(NOT(ISNUMBER(D198)), D198=0), "-", (IF(ISNUMBER(C198), C198, 0) - D198)/ABS(D198))</f>
        <v/>
      </c>
      <c r="G198" s="14" t="n"/>
    </row>
    <row r="199">
      <c r="A199" s="14" t="n"/>
      <c r="B199" s="14" t="inlineStr">
        <is>
          <t>Advance tax/TDS paid during the year net of refund</t>
        </is>
      </c>
      <c r="C199" s="15" t="n">
        <v>1105803</v>
      </c>
      <c r="D199" s="15" t="n">
        <v>2683800</v>
      </c>
      <c r="E199" s="15">
        <f>IF(AND(NOT(ISNUMBER(C199)), NOT(ISNUMBER(D199))), "-", IF(ISNUMBER(C199), C199, 0) - IF(ISNUMBER(D199), D199, 0))</f>
        <v/>
      </c>
      <c r="F199" s="16">
        <f>IF(OR(NOT(ISNUMBER(D199)), D199=0), "-", (IF(ISNUMBER(C199), C199, 0) - D199)/ABS(D199))</f>
        <v/>
      </c>
      <c r="G199" s="14" t="n"/>
    </row>
    <row r="200">
      <c r="A200" s="14" t="n"/>
      <c r="B200" s="14" t="inlineStr">
        <is>
          <t>Adjustment of provision and advance tax pertaining to earlier years</t>
        </is>
      </c>
      <c r="C200" s="15" t="n">
        <v>0</v>
      </c>
      <c r="D200" s="15" t="n">
        <v>0</v>
      </c>
      <c r="E200" s="15">
        <f>IF(AND(NOT(ISNUMBER(C200)), NOT(ISNUMBER(D200))), "-", IF(ISNUMBER(C200), C200, 0) - IF(ISNUMBER(D200), D200, 0))</f>
        <v/>
      </c>
      <c r="F200" s="16">
        <f>IF(OR(NOT(ISNUMBER(D200)), D200=0), "-", (IF(ISNUMBER(C200), C200, 0) - D200)/ABS(D200))</f>
        <v/>
      </c>
      <c r="G200" s="14" t="n"/>
    </row>
    <row r="201">
      <c r="A201" s="14" t="n"/>
      <c r="B201" s="14" t="inlineStr">
        <is>
          <t>Less: MAT credit utilized</t>
        </is>
      </c>
      <c r="C201" s="15" t="n">
        <v>0</v>
      </c>
      <c r="D201" s="15" t="n">
        <v>0</v>
      </c>
      <c r="E201" s="15">
        <f>IF(AND(NOT(ISNUMBER(C201)), NOT(ISNUMBER(D201))), "-", IF(ISNUMBER(C201), C201, 0) - IF(ISNUMBER(D201), D201, 0))</f>
        <v/>
      </c>
      <c r="F201" s="16">
        <f>IF(OR(NOT(ISNUMBER(D201)), D201=0), "-", (IF(ISNUMBER(C201), C201, 0) - D201)/ABS(D201))</f>
        <v/>
      </c>
      <c r="G201" s="14" t="n"/>
    </row>
    <row r="202">
      <c r="A202" s="11" t="n"/>
      <c r="B202" s="11" t="inlineStr">
        <is>
          <t>Net current income tax (liabilities) at the end</t>
        </is>
      </c>
      <c r="C202" s="12" t="n">
        <v>-43438196.8</v>
      </c>
      <c r="D202" s="12" t="n">
        <v>40628891.2</v>
      </c>
      <c r="E202" s="12">
        <f>IF(AND(NOT(ISNUMBER(C202)), NOT(ISNUMBER(D202))), "-", IF(ISNUMBER(C202), C202, 0) - IF(ISNUMBER(D202), D202, 0))</f>
        <v/>
      </c>
      <c r="F202" s="13">
        <f>IF(OR(NOT(ISNUMBER(D202)), D202=0), "-", (IF(ISNUMBER(C202), C202, 0) - D202)/ABS(D202))</f>
        <v/>
      </c>
      <c r="G202" s="11" t="n"/>
    </row>
    <row r="203">
      <c r="A203" s="11" t="n"/>
      <c r="B203" s="11" t="inlineStr">
        <is>
          <t>Income tax recognised in Other Comphrensive Income</t>
        </is>
      </c>
      <c r="C203" s="12" t="n">
        <v>0</v>
      </c>
      <c r="D203" s="12" t="n">
        <v>0</v>
      </c>
      <c r="E203" s="12">
        <f>IF(AND(NOT(ISNUMBER(C203)), NOT(ISNUMBER(D203))), "-", IF(ISNUMBER(C203), C203, 0) - IF(ISNUMBER(D203), D203, 0))</f>
        <v/>
      </c>
      <c r="F203" s="13">
        <f>IF(OR(NOT(ISNUMBER(D203)), D203=0), "-", (IF(ISNUMBER(C203), C203, 0) - D203)/ABS(D203))</f>
        <v/>
      </c>
      <c r="G203" s="11" t="n"/>
    </row>
    <row r="204">
      <c r="A204" s="14" t="n"/>
      <c r="B204" s="14" t="inlineStr">
        <is>
          <t>Remeasurement of the acturial gain/loss on defined benefit obilgation</t>
        </is>
      </c>
      <c r="C204" s="15" t="n">
        <v>8395</v>
      </c>
      <c r="D204" s="15" t="n">
        <v>-21781</v>
      </c>
      <c r="E204" s="15">
        <f>IF(AND(NOT(ISNUMBER(C204)), NOT(ISNUMBER(D204))), "-", IF(ISNUMBER(C204), C204, 0) - IF(ISNUMBER(D204), D204, 0))</f>
        <v/>
      </c>
      <c r="F204" s="16">
        <f>IF(OR(NOT(ISNUMBER(D204)), D204=0), "-", (IF(ISNUMBER(C204), C204, 0) - D204)/ABS(D204))</f>
        <v/>
      </c>
      <c r="G204" s="14" t="n"/>
    </row>
    <row r="205">
      <c r="A205" s="14" t="n"/>
      <c r="B205" s="14" t="inlineStr"/>
      <c r="C205" s="15" t="n">
        <v>8395</v>
      </c>
      <c r="D205" s="15" t="n">
        <v>-21781</v>
      </c>
      <c r="E205" s="15">
        <f>IF(AND(NOT(ISNUMBER(C205)), NOT(ISNUMBER(D205))), "-", IF(ISNUMBER(C205), C205, 0) - IF(ISNUMBER(D205), D205, 0))</f>
        <v/>
      </c>
      <c r="F205" s="16">
        <f>IF(OR(NOT(ISNUMBER(D205)), D205=0), "-", (IF(ISNUMBER(C205), C205, 0) - D205)/ABS(D205))</f>
        <v/>
      </c>
      <c r="G205" s="14" t="n"/>
    </row>
    <row r="206">
      <c r="A206" s="14" t="n"/>
      <c r="B206" s="14" t="inlineStr">
        <is>
          <t>(#) Zero represents amount less than ₹ one lakh</t>
        </is>
      </c>
      <c r="C206" s="15" t="n">
        <v>0</v>
      </c>
      <c r="D206" s="15" t="n">
        <v>0</v>
      </c>
      <c r="E206" s="15">
        <f>IF(AND(NOT(ISNUMBER(C206)), NOT(ISNUMBER(D206))), "-", IF(ISNUMBER(C206), C206, 0) - IF(ISNUMBER(D206), D206, 0))</f>
        <v/>
      </c>
      <c r="F206" s="16">
        <f>IF(OR(NOT(ISNUMBER(D206)), D206=0), "-", (IF(ISNUMBER(C206), C206, 0) - D206)/ABS(D206))</f>
        <v/>
      </c>
      <c r="G206" s="14" t="n"/>
    </row>
    <row r="209">
      <c r="B209" s="6" t="inlineStr">
        <is>
          <t>Note 26: Employee benefit expenses</t>
        </is>
      </c>
      <c r="C209" s="8" t="inlineStr">
        <is>
          <t>a</t>
        </is>
      </c>
      <c r="D209" s="8" t="inlineStr">
        <is>
          <t>b</t>
        </is>
      </c>
      <c r="E209" s="8" t="inlineStr">
        <is>
          <t>e</t>
        </is>
      </c>
    </row>
    <row r="210">
      <c r="A210" s="10" t="inlineStr"/>
      <c r="B210" s="10" t="inlineStr">
        <is>
          <t>Particulars</t>
        </is>
      </c>
      <c r="C210" s="10" t="inlineStr">
        <is>
          <t>As at 31st March 2025</t>
        </is>
      </c>
      <c r="D210" s="10" t="inlineStr">
        <is>
          <t>As at 31st March 2024</t>
        </is>
      </c>
      <c r="E210" s="10" t="inlineStr">
        <is>
          <t>Variance</t>
        </is>
      </c>
      <c r="F210" s="10" t="inlineStr">
        <is>
          <t>Variance %</t>
        </is>
      </c>
      <c r="G210" s="10" t="inlineStr">
        <is>
          <t>Remarks</t>
        </is>
      </c>
    </row>
    <row r="211">
      <c r="A211" s="14" t="n"/>
      <c r="B211" s="14" t="inlineStr"/>
      <c r="C211" s="15" t="n">
        <v>0</v>
      </c>
      <c r="D211" s="15" t="n">
        <v>0</v>
      </c>
      <c r="E211" s="15">
        <f>IF(AND(NOT(ISNUMBER(C211)), NOT(ISNUMBER(D211))), "-", IF(ISNUMBER(C211), C211, 0) - IF(ISNUMBER(D211), D211, 0))</f>
        <v/>
      </c>
      <c r="F211" s="16">
        <f>IF(OR(NOT(ISNUMBER(D211)), D211=0), "-", (IF(ISNUMBER(C211), C211, 0) - D211)/ABS(D211))</f>
        <v/>
      </c>
      <c r="G211" s="14" t="n"/>
    </row>
    <row r="212">
      <c r="A212" s="14" t="n"/>
      <c r="B212" s="14" t="inlineStr"/>
      <c r="C212" s="15" t="n">
        <v>104408</v>
      </c>
      <c r="D212" s="15" t="n">
        <v>132173</v>
      </c>
      <c r="E212" s="15">
        <f>IF(AND(NOT(ISNUMBER(C212)), NOT(ISNUMBER(D212))), "-", IF(ISNUMBER(C212), C212, 0) - IF(ISNUMBER(D212), D212, 0))</f>
        <v/>
      </c>
      <c r="F212" s="16">
        <f>IF(OR(NOT(ISNUMBER(D212)), D212=0), "-", (IF(ISNUMBER(C212), C212, 0) - D212)/ABS(D212))</f>
        <v/>
      </c>
      <c r="G212" s="14" t="n"/>
    </row>
    <row r="213">
      <c r="A213" s="14" t="n"/>
      <c r="B213" s="14" t="inlineStr"/>
      <c r="C213" s="15" t="n">
        <v>104408</v>
      </c>
      <c r="D213" s="15" t="n">
        <v>132173</v>
      </c>
      <c r="E213" s="15">
        <f>IF(AND(NOT(ISNUMBER(C213)), NOT(ISNUMBER(D213))), "-", IF(ISNUMBER(C213), C213, 0) - IF(ISNUMBER(D213), D213, 0))</f>
        <v/>
      </c>
      <c r="F213" s="16">
        <f>IF(OR(NOT(ISNUMBER(D213)), D213=0), "-", (IF(ISNUMBER(C213), C213, 0) - D213)/ABS(D213))</f>
        <v/>
      </c>
      <c r="G213" s="14" t="n"/>
    </row>
    <row r="214">
      <c r="A214" s="14" t="n"/>
      <c r="B214" s="14" t="inlineStr">
        <is>
          <t>The Company accrues for the compensated absences based on the entire available leave balance standing to the credit of the employees at year end. The amount of the provision is presented as current, since the Company does not have an unconditional right to defer settlement for any of these obligations. The value of such leave balance eligible for carry forward, is determined by actuarial valuation as at the Balance sheet date and is charged to Statement of profit and loss in the period determined. The provision as at 31 March 2025 is ₹ 3 lakhs (31 March 2024 - ₹ 3 lakhs).</t>
        </is>
      </c>
      <c r="C214" s="15" t="n">
        <v>0</v>
      </c>
      <c r="D214" s="15" t="n">
        <v>0</v>
      </c>
      <c r="E214" s="15">
        <f>IF(AND(NOT(ISNUMBER(C214)), NOT(ISNUMBER(D214))), "-", IF(ISNUMBER(C214), C214, 0) - IF(ISNUMBER(D214), D214, 0))</f>
        <v/>
      </c>
      <c r="F214" s="16">
        <f>IF(OR(NOT(ISNUMBER(D214)), D214=0), "-", (IF(ISNUMBER(C214), C214, 0) - D214)/ABS(D214))</f>
        <v/>
      </c>
      <c r="G214" s="14" t="n"/>
    </row>
    <row r="215">
      <c r="A215" s="11" t="n"/>
      <c r="B215" s="11" t="inlineStr">
        <is>
          <t>Actuarial assumptions</t>
        </is>
      </c>
      <c r="C215" s="12" t="n">
        <v>0</v>
      </c>
      <c r="D215" s="12" t="n">
        <v>0</v>
      </c>
      <c r="E215" s="12">
        <f>IF(AND(NOT(ISNUMBER(C215)), NOT(ISNUMBER(D215))), "-", IF(ISNUMBER(C215), C215, 0) - IF(ISNUMBER(D215), D215, 0))</f>
        <v/>
      </c>
      <c r="F215" s="13">
        <f>IF(OR(NOT(ISNUMBER(D215)), D215=0), "-", (IF(ISNUMBER(C215), C215, 0) - D215)/ABS(D215))</f>
        <v/>
      </c>
      <c r="G215" s="11" t="n"/>
    </row>
    <row r="216">
      <c r="A216" s="14" t="n"/>
      <c r="B216" s="14" t="inlineStr">
        <is>
          <t>Discount rate</t>
        </is>
      </c>
      <c r="C216" s="15" t="n">
        <v>0.07000000000000001</v>
      </c>
      <c r="D216" s="15" t="n">
        <v>0.07000000000000001</v>
      </c>
      <c r="E216" s="15">
        <f>IF(AND(NOT(ISNUMBER(C216)), NOT(ISNUMBER(D216))), "-", IF(ISNUMBER(C216), C216, 0) - IF(ISNUMBER(D216), D216, 0))</f>
        <v/>
      </c>
      <c r="F216" s="16">
        <f>IF(OR(NOT(ISNUMBER(D216)), D216=0), "-", (IF(ISNUMBER(C216), C216, 0) - D216)/ABS(D216))</f>
        <v/>
      </c>
      <c r="G216" s="14" t="n"/>
    </row>
    <row r="217">
      <c r="A217" s="14" t="n"/>
      <c r="B217" s="14" t="inlineStr">
        <is>
          <t>Long–term rate of compensation increase</t>
        </is>
      </c>
      <c r="C217" s="15" t="n">
        <v>0</v>
      </c>
      <c r="D217" s="15" t="n">
        <v>0</v>
      </c>
      <c r="E217" s="15">
        <f>IF(AND(NOT(ISNUMBER(C217)), NOT(ISNUMBER(D217))), "-", IF(ISNUMBER(C217), C217, 0) - IF(ISNUMBER(D217), D217, 0))</f>
        <v/>
      </c>
      <c r="F217" s="16">
        <f>IF(OR(NOT(ISNUMBER(D217)), D217=0), "-", (IF(ISNUMBER(C217), C217, 0) - D217)/ABS(D217))</f>
        <v/>
      </c>
      <c r="G217" s="14" t="n"/>
    </row>
    <row r="218">
      <c r="A218" s="14" t="n"/>
      <c r="B218" s="14" t="inlineStr">
        <is>
          <t>Withdrawal rates of different age groups</t>
        </is>
      </c>
      <c r="C218" s="15" t="n">
        <v>0.33</v>
      </c>
      <c r="D218" s="15" t="n">
        <v>0.33</v>
      </c>
      <c r="E218" s="15">
        <f>IF(AND(NOT(ISNUMBER(C218)), NOT(ISNUMBER(D218))), "-", IF(ISNUMBER(C218), C218, 0) - IF(ISNUMBER(D218), D218, 0))</f>
        <v/>
      </c>
      <c r="F218" s="16">
        <f>IF(OR(NOT(ISNUMBER(D218)), D218=0), "-", (IF(ISNUMBER(C218), C218, 0) - D218)/ABS(D218))</f>
        <v/>
      </c>
      <c r="G218" s="14" t="n"/>
    </row>
    <row r="219">
      <c r="A219" s="14" t="n"/>
      <c r="B219" s="14" t="inlineStr"/>
      <c r="C219" s="15" t="n">
        <v>0.28</v>
      </c>
      <c r="D219" s="15" t="n">
        <v>0.28</v>
      </c>
      <c r="E219" s="15">
        <f>IF(AND(NOT(ISNUMBER(C219)), NOT(ISNUMBER(D219))), "-", IF(ISNUMBER(C219), C219, 0) - IF(ISNUMBER(D219), D219, 0))</f>
        <v/>
      </c>
      <c r="F219" s="16">
        <f>IF(OR(NOT(ISNUMBER(D219)), D219=0), "-", (IF(ISNUMBER(C219), C219, 0) - D219)/ABS(D219))</f>
        <v/>
      </c>
      <c r="G219" s="14" t="n"/>
    </row>
    <row r="220">
      <c r="A220" s="14" t="n"/>
      <c r="B220" s="14" t="inlineStr"/>
      <c r="C220" s="15" t="n">
        <v>0.21</v>
      </c>
      <c r="D220" s="15" t="n">
        <v>0.21</v>
      </c>
      <c r="E220" s="15">
        <f>IF(AND(NOT(ISNUMBER(C220)), NOT(ISNUMBER(D220))), "-", IF(ISNUMBER(C220), C220, 0) - IF(ISNUMBER(D220), D220, 0))</f>
        <v/>
      </c>
      <c r="F220" s="16">
        <f>IF(OR(NOT(ISNUMBER(D220)), D220=0), "-", (IF(ISNUMBER(C220), C220, 0) - D220)/ABS(D220))</f>
        <v/>
      </c>
      <c r="G220" s="14" t="n"/>
    </row>
    <row r="221">
      <c r="A221" s="14" t="n"/>
      <c r="B221" s="14" t="inlineStr"/>
      <c r="C221" s="15" t="n">
        <v>0.14</v>
      </c>
      <c r="D221" s="15" t="n">
        <v>0.14</v>
      </c>
      <c r="E221" s="15">
        <f>IF(AND(NOT(ISNUMBER(C221)), NOT(ISNUMBER(D221))), "-", IF(ISNUMBER(C221), C221, 0) - IF(ISNUMBER(D221), D221, 0))</f>
        <v/>
      </c>
      <c r="F221" s="16">
        <f>IF(OR(NOT(ISNUMBER(D221)), D221=0), "-", (IF(ISNUMBER(C221), C221, 0) - D221)/ABS(D221))</f>
        <v/>
      </c>
      <c r="G221" s="14" t="n"/>
    </row>
    <row r="222">
      <c r="A222" s="14" t="n"/>
      <c r="B222" s="14" t="inlineStr"/>
      <c r="C222" s="15" t="n">
        <v>0.1</v>
      </c>
      <c r="D222" s="15" t="n">
        <v>0.1</v>
      </c>
      <c r="E222" s="15">
        <f>IF(AND(NOT(ISNUMBER(C222)), NOT(ISNUMBER(D222))), "-", IF(ISNUMBER(C222), C222, 0) - IF(ISNUMBER(D222), D222, 0))</f>
        <v/>
      </c>
      <c r="F222" s="16">
        <f>IF(OR(NOT(ISNUMBER(D222)), D222=0), "-", (IF(ISNUMBER(C222), C222, 0) - D222)/ABS(D222))</f>
        <v/>
      </c>
      <c r="G222" s="14" t="n"/>
    </row>
    <row r="223">
      <c r="A223" s="14" t="n"/>
      <c r="B223" s="14" t="inlineStr"/>
      <c r="C223" s="15" t="n">
        <v>0.17</v>
      </c>
      <c r="D223" s="15" t="n">
        <v>0.17</v>
      </c>
      <c r="E223" s="15">
        <f>IF(AND(NOT(ISNUMBER(C223)), NOT(ISNUMBER(D223))), "-", IF(ISNUMBER(C223), C223, 0) - IF(ISNUMBER(D223), D223, 0))</f>
        <v/>
      </c>
      <c r="F223" s="16">
        <f>IF(OR(NOT(ISNUMBER(D223)), D223=0), "-", (IF(ISNUMBER(C223), C223, 0) - D223)/ABS(D223))</f>
        <v/>
      </c>
      <c r="G223" s="14" t="n"/>
    </row>
    <row r="224">
      <c r="A224" s="14" t="n"/>
      <c r="B224" s="14" t="inlineStr">
        <is>
          <t>In accordance with the payment of gratuity under 'Payment of Gratuity Act, 1972' of India, the Company provides for gratuity, a defined retirement benefit plan covering eligible employees. Liabilities with regard to such gratuity are determined by actuarial valuation using the Projected Unit Credit method as at the Balance sheet date and are charged to the Statement of profit and loss in the period determined.</t>
        </is>
      </c>
      <c r="C224" s="15" t="n">
        <v>0</v>
      </c>
      <c r="D224" s="15" t="n">
        <v>0</v>
      </c>
      <c r="E224" s="15">
        <f>IF(AND(NOT(ISNUMBER(C224)), NOT(ISNUMBER(D224))), "-", IF(ISNUMBER(C224), C224, 0) - IF(ISNUMBER(D224), D224, 0))</f>
        <v/>
      </c>
      <c r="F224" s="16">
        <f>IF(OR(NOT(ISNUMBER(D224)), D224=0), "-", (IF(ISNUMBER(C224), C224, 0) - D224)/ABS(D224))</f>
        <v/>
      </c>
      <c r="G224" s="14" t="n"/>
    </row>
    <row r="225">
      <c r="A225" s="11" t="n"/>
      <c r="B225" s="11" t="inlineStr">
        <is>
          <t>Funding</t>
        </is>
      </c>
      <c r="C225" s="12" t="n">
        <v>0</v>
      </c>
      <c r="D225" s="12" t="n">
        <v>0</v>
      </c>
      <c r="E225" s="12">
        <f>IF(AND(NOT(ISNUMBER(C225)), NOT(ISNUMBER(D225))), "-", IF(ISNUMBER(C225), C225, 0) - IF(ISNUMBER(D225), D225, 0))</f>
        <v/>
      </c>
      <c r="F225" s="13">
        <f>IF(OR(NOT(ISNUMBER(D225)), D225=0), "-", (IF(ISNUMBER(C225), C225, 0) - D225)/ABS(D225))</f>
        <v/>
      </c>
      <c r="G225" s="11" t="n"/>
    </row>
    <row r="226">
      <c r="A226" s="14" t="n"/>
      <c r="B226" s="14" t="inlineStr">
        <is>
          <t>There is no compulsion on the part of the Company to pre fund the liability of the plan. The Company’s philosophy is to not to externally fund these liabilities but instead create an accounting provisions in its books of accounts and pay the gratuity to its employees directly from its own resources as and when the employee leaves the Company.</t>
        </is>
      </c>
      <c r="C226" s="15" t="n">
        <v>0</v>
      </c>
      <c r="D226" s="15" t="n">
        <v>0</v>
      </c>
      <c r="E226" s="15">
        <f>IF(AND(NOT(ISNUMBER(C226)), NOT(ISNUMBER(D226))), "-", IF(ISNUMBER(C226), C226, 0) - IF(ISNUMBER(D226), D226, 0))</f>
        <v/>
      </c>
      <c r="F226" s="16">
        <f>IF(OR(NOT(ISNUMBER(D226)), D226=0), "-", (IF(ISNUMBER(C226), C226, 0) - D226)/ABS(D226))</f>
        <v/>
      </c>
      <c r="G226" s="14" t="n"/>
    </row>
    <row r="227">
      <c r="A227" s="14" t="n"/>
      <c r="B227" s="14" t="inlineStr">
        <is>
          <t>The following table sets forth the status of the gratuity plan of the Company, and the amounts recognized in the Balance sheet and Statement of profit &amp; loss.</t>
        </is>
      </c>
      <c r="C227" s="15" t="n">
        <v>0</v>
      </c>
      <c r="D227" s="15" t="n">
        <v>0</v>
      </c>
      <c r="E227" s="15">
        <f>IF(AND(NOT(ISNUMBER(C227)), NOT(ISNUMBER(D227))), "-", IF(ISNUMBER(C227), C227, 0) - IF(ISNUMBER(D227), D227, 0))</f>
        <v/>
      </c>
      <c r="F227" s="16">
        <f>IF(OR(NOT(ISNUMBER(D227)), D227=0), "-", (IF(ISNUMBER(C227), C227, 0) - D227)/ABS(D227))</f>
        <v/>
      </c>
      <c r="G227" s="14" t="n"/>
    </row>
    <row r="228">
      <c r="A228" s="11" t="n"/>
      <c r="B228" s="11" t="inlineStr">
        <is>
          <t>Reconciliation of the net defined benefit obligation</t>
        </is>
      </c>
      <c r="C228" s="12" t="n">
        <v>0</v>
      </c>
      <c r="D228" s="12" t="n">
        <v>0</v>
      </c>
      <c r="E228" s="12">
        <f>IF(AND(NOT(ISNUMBER(C228)), NOT(ISNUMBER(D228))), "-", IF(ISNUMBER(C228), C228, 0) - IF(ISNUMBER(D228), D228, 0))</f>
        <v/>
      </c>
      <c r="F228" s="13">
        <f>IF(OR(NOT(ISNUMBER(D228)), D228=0), "-", (IF(ISNUMBER(C228), C228, 0) - D228)/ABS(D228))</f>
        <v/>
      </c>
      <c r="G228" s="11" t="n"/>
    </row>
    <row r="229">
      <c r="A229" s="14" t="n"/>
      <c r="B229" s="14" t="inlineStr">
        <is>
          <t>Projected benefit obligation at the beginning of the year</t>
        </is>
      </c>
      <c r="C229" s="15" t="n">
        <v>2167854</v>
      </c>
      <c r="D229" s="15" t="n">
        <v>2156800</v>
      </c>
      <c r="E229" s="15">
        <f>IF(AND(NOT(ISNUMBER(C229)), NOT(ISNUMBER(D229))), "-", IF(ISNUMBER(C229), C229, 0) - IF(ISNUMBER(D229), D229, 0))</f>
        <v/>
      </c>
      <c r="F229" s="16">
        <f>IF(OR(NOT(ISNUMBER(D229)), D229=0), "-", (IF(ISNUMBER(C229), C229, 0) - D229)/ABS(D229))</f>
        <v/>
      </c>
      <c r="G229" s="14" t="n"/>
    </row>
    <row r="230">
      <c r="A230" s="14" t="n"/>
      <c r="B230" s="14" t="inlineStr">
        <is>
          <t>Current service cost</t>
        </is>
      </c>
      <c r="C230" s="15" t="n">
        <v>131674</v>
      </c>
      <c r="D230" s="15" t="n">
        <v>151929</v>
      </c>
      <c r="E230" s="15">
        <f>IF(AND(NOT(ISNUMBER(C230)), NOT(ISNUMBER(D230))), "-", IF(ISNUMBER(C230), C230, 0) - IF(ISNUMBER(D230), D230, 0))</f>
        <v/>
      </c>
      <c r="F230" s="16">
        <f>IF(OR(NOT(ISNUMBER(D230)), D230=0), "-", (IF(ISNUMBER(C230), C230, 0) - D230)/ABS(D230))</f>
        <v/>
      </c>
      <c r="G230" s="14" t="n"/>
    </row>
    <row r="231">
      <c r="A231" s="14" t="n"/>
      <c r="B231" s="14" t="inlineStr">
        <is>
          <t>Interest cost</t>
        </is>
      </c>
      <c r="C231" s="15" t="n">
        <v>116621</v>
      </c>
      <c r="D231" s="15" t="n">
        <v>142019</v>
      </c>
      <c r="E231" s="15">
        <f>IF(AND(NOT(ISNUMBER(C231)), NOT(ISNUMBER(D231))), "-", IF(ISNUMBER(C231), C231, 0) - IF(ISNUMBER(D231), D231, 0))</f>
        <v/>
      </c>
      <c r="F231" s="16">
        <f>IF(OR(NOT(ISNUMBER(D231)), D231=0), "-", (IF(ISNUMBER(C231), C231, 0) - D231)/ABS(D231))</f>
        <v/>
      </c>
      <c r="G231" s="14" t="n"/>
    </row>
    <row r="232">
      <c r="A232" s="14" t="n"/>
      <c r="B232" s="14" t="inlineStr">
        <is>
          <t>Past service cost</t>
        </is>
      </c>
      <c r="C232" s="15" t="n">
        <v>0</v>
      </c>
      <c r="D232" s="15" t="n">
        <v>0</v>
      </c>
      <c r="E232" s="15">
        <f>IF(AND(NOT(ISNUMBER(C232)), NOT(ISNUMBER(D232))), "-", IF(ISNUMBER(C232), C232, 0) - IF(ISNUMBER(D232), D232, 0))</f>
        <v/>
      </c>
      <c r="F232" s="16">
        <f>IF(OR(NOT(ISNUMBER(D232)), D232=0), "-", (IF(ISNUMBER(C232), C232, 0) - D232)/ABS(D232))</f>
        <v/>
      </c>
      <c r="G232" s="14" t="n"/>
    </row>
    <row r="233">
      <c r="A233" s="14" t="n"/>
      <c r="B233" s="14" t="inlineStr">
        <is>
          <t>Actuarial losses / (gain) recognized in other comprehensive income</t>
        </is>
      </c>
      <c r="C233" s="15" t="n">
        <v>0</v>
      </c>
      <c r="D233" s="15" t="n">
        <v>0</v>
      </c>
      <c r="E233" s="15">
        <f>IF(AND(NOT(ISNUMBER(C233)), NOT(ISNUMBER(D233))), "-", IF(ISNUMBER(C233), C233, 0) - IF(ISNUMBER(D233), D233, 0))</f>
        <v/>
      </c>
      <c r="F233" s="16">
        <f>IF(OR(NOT(ISNUMBER(D233)), D233=0), "-", (IF(ISNUMBER(C233), C233, 0) - D233)/ABS(D233))</f>
        <v/>
      </c>
      <c r="G233" s="14" t="n"/>
    </row>
    <row r="234">
      <c r="A234" s="14" t="n"/>
      <c r="B234" s="14" t="inlineStr">
        <is>
          <t>changes in demographic assumptions (#)</t>
        </is>
      </c>
      <c r="C234" s="15" t="n">
        <v>0</v>
      </c>
      <c r="D234" s="15" t="n">
        <v>0</v>
      </c>
      <c r="E234" s="15">
        <f>IF(AND(NOT(ISNUMBER(C234)), NOT(ISNUMBER(D234))), "-", IF(ISNUMBER(C234), C234, 0) - IF(ISNUMBER(D234), D234, 0))</f>
        <v/>
      </c>
      <c r="F234" s="16">
        <f>IF(OR(NOT(ISNUMBER(D234)), D234=0), "-", (IF(ISNUMBER(C234), C234, 0) - D234)/ABS(D234))</f>
        <v/>
      </c>
      <c r="G234" s="14" t="n"/>
    </row>
    <row r="235">
      <c r="A235" s="14" t="n"/>
      <c r="B235" s="14" t="inlineStr">
        <is>
          <t>changes in financial assumptions</t>
        </is>
      </c>
      <c r="C235" s="15" t="n">
        <v>113094</v>
      </c>
      <c r="D235" s="15" t="n">
        <v>19062</v>
      </c>
      <c r="E235" s="15">
        <f>IF(AND(NOT(ISNUMBER(C235)), NOT(ISNUMBER(D235))), "-", IF(ISNUMBER(C235), C235, 0) - IF(ISNUMBER(D235), D235, 0))</f>
        <v/>
      </c>
      <c r="F235" s="16">
        <f>IF(OR(NOT(ISNUMBER(D235)), D235=0), "-", (IF(ISNUMBER(C235), C235, 0) - D235)/ABS(D235))</f>
        <v/>
      </c>
      <c r="G235" s="14" t="n"/>
    </row>
    <row r="236">
      <c r="A236" s="14" t="n"/>
      <c r="B236" s="14" t="inlineStr">
        <is>
          <t>experience adjustments</t>
        </is>
      </c>
      <c r="C236" s="15" t="n">
        <v>-66329</v>
      </c>
      <c r="D236" s="15" t="n">
        <v>11114</v>
      </c>
      <c r="E236" s="15">
        <f>IF(AND(NOT(ISNUMBER(C236)), NOT(ISNUMBER(D236))), "-", IF(ISNUMBER(C236), C236, 0) - IF(ISNUMBER(D236), D236, 0))</f>
        <v/>
      </c>
      <c r="F236" s="16">
        <f>IF(OR(NOT(ISNUMBER(D236)), D236=0), "-", (IF(ISNUMBER(C236), C236, 0) - D236)/ABS(D236))</f>
        <v/>
      </c>
      <c r="G236" s="14" t="n"/>
    </row>
    <row r="237">
      <c r="A237" s="14" t="n"/>
      <c r="B237" s="14" t="inlineStr">
        <is>
          <t>Liabilities assumed on transfer of employees from/to group companies</t>
        </is>
      </c>
      <c r="C237" s="15" t="n">
        <v>0</v>
      </c>
      <c r="D237" s="15" t="n">
        <v>0</v>
      </c>
      <c r="E237" s="15">
        <f>IF(AND(NOT(ISNUMBER(C237)), NOT(ISNUMBER(D237))), "-", IF(ISNUMBER(C237), C237, 0) - IF(ISNUMBER(D237), D237, 0))</f>
        <v/>
      </c>
      <c r="F237" s="16">
        <f>IF(OR(NOT(ISNUMBER(D237)), D237=0), "-", (IF(ISNUMBER(C237), C237, 0) - D237)/ABS(D237))</f>
        <v/>
      </c>
      <c r="G237" s="14" t="n"/>
    </row>
    <row r="238">
      <c r="A238" s="14" t="n"/>
      <c r="B238" s="14" t="inlineStr">
        <is>
          <t>Benefits paid</t>
        </is>
      </c>
      <c r="C238" s="15" t="n">
        <v>-955388</v>
      </c>
      <c r="D238" s="15" t="n">
        <v>-313070</v>
      </c>
      <c r="E238" s="15">
        <f>IF(AND(NOT(ISNUMBER(C238)), NOT(ISNUMBER(D238))), "-", IF(ISNUMBER(C238), C238, 0) - IF(ISNUMBER(D238), D238, 0))</f>
        <v/>
      </c>
      <c r="F238" s="16">
        <f>IF(OR(NOT(ISNUMBER(D238)), D238=0), "-", (IF(ISNUMBER(C238), C238, 0) - D238)/ABS(D238))</f>
        <v/>
      </c>
      <c r="G238" s="14" t="n"/>
    </row>
    <row r="239">
      <c r="A239" s="14" t="n"/>
      <c r="B239" s="14" t="inlineStr">
        <is>
          <t>Liabilities assumed / (settled)</t>
        </is>
      </c>
      <c r="C239" s="15" t="n">
        <v>0</v>
      </c>
      <c r="D239" s="15" t="n">
        <v>0</v>
      </c>
      <c r="E239" s="15">
        <f>IF(AND(NOT(ISNUMBER(C239)), NOT(ISNUMBER(D239))), "-", IF(ISNUMBER(C239), C239, 0) - IF(ISNUMBER(D239), D239, 0))</f>
        <v/>
      </c>
      <c r="F239" s="16">
        <f>IF(OR(NOT(ISNUMBER(D239)), D239=0), "-", (IF(ISNUMBER(C239), C239, 0) - D239)/ABS(D239))</f>
        <v/>
      </c>
      <c r="G239" s="14" t="n"/>
    </row>
    <row r="240">
      <c r="A240" s="11" t="n"/>
      <c r="B240" s="11" t="inlineStr">
        <is>
          <t>Projected benefit obligation at the end of the year</t>
        </is>
      </c>
      <c r="C240" s="12" t="n">
        <v>1507526</v>
      </c>
      <c r="D240" s="12" t="n">
        <v>2167854</v>
      </c>
      <c r="E240" s="12">
        <f>IF(AND(NOT(ISNUMBER(C240)), NOT(ISNUMBER(D240))), "-", IF(ISNUMBER(C240), C240, 0) - IF(ISNUMBER(D240), D240, 0))</f>
        <v/>
      </c>
      <c r="F240" s="13">
        <f>IF(OR(NOT(ISNUMBER(D240)), D240=0), "-", (IF(ISNUMBER(C240), C240, 0) - D240)/ABS(D240))</f>
        <v/>
      </c>
      <c r="G240" s="11" t="n"/>
    </row>
    <row r="241">
      <c r="A241" s="11" t="n"/>
      <c r="B241" s="11" t="inlineStr">
        <is>
          <t>Amounts recognised in the Balance sheet</t>
        </is>
      </c>
      <c r="C241" s="12" t="n">
        <v>0</v>
      </c>
      <c r="D241" s="12" t="n">
        <v>0</v>
      </c>
      <c r="E241" s="12">
        <f>IF(AND(NOT(ISNUMBER(C241)), NOT(ISNUMBER(D241))), "-", IF(ISNUMBER(C241), C241, 0) - IF(ISNUMBER(D241), D241, 0))</f>
        <v/>
      </c>
      <c r="F241" s="13">
        <f>IF(OR(NOT(ISNUMBER(D241)), D241=0), "-", (IF(ISNUMBER(C241), C241, 0) - D241)/ABS(D241))</f>
        <v/>
      </c>
      <c r="G241" s="11" t="n"/>
    </row>
    <row r="242">
      <c r="A242" s="14" t="n"/>
      <c r="B242" s="14" t="inlineStr">
        <is>
          <t>Projected benefit obligation at the end of the year</t>
        </is>
      </c>
      <c r="C242" s="15" t="n">
        <v>1507526</v>
      </c>
      <c r="D242" s="15" t="n">
        <v>2167854</v>
      </c>
      <c r="E242" s="15">
        <f>IF(AND(NOT(ISNUMBER(C242)), NOT(ISNUMBER(D242))), "-", IF(ISNUMBER(C242), C242, 0) - IF(ISNUMBER(D242), D242, 0))</f>
        <v/>
      </c>
      <c r="F242" s="16">
        <f>IF(OR(NOT(ISNUMBER(D242)), D242=0), "-", (IF(ISNUMBER(C242), C242, 0) - D242)/ABS(D242))</f>
        <v/>
      </c>
      <c r="G242" s="14" t="n"/>
    </row>
    <row r="243">
      <c r="A243" s="14" t="n"/>
      <c r="B243" s="14" t="inlineStr">
        <is>
          <t>Fair value of plan assets at end of the year</t>
        </is>
      </c>
      <c r="C243" s="15" t="n">
        <v>0</v>
      </c>
      <c r="D243" s="15" t="n">
        <v>0</v>
      </c>
      <c r="E243" s="15">
        <f>IF(AND(NOT(ISNUMBER(C243)), NOT(ISNUMBER(D243))), "-", IF(ISNUMBER(C243), C243, 0) - IF(ISNUMBER(D243), D243, 0))</f>
        <v/>
      </c>
      <c r="F243" s="16">
        <f>IF(OR(NOT(ISNUMBER(D243)), D243=0), "-", (IF(ISNUMBER(C243), C243, 0) - D243)/ABS(D243))</f>
        <v/>
      </c>
      <c r="G243" s="14" t="n"/>
    </row>
    <row r="244">
      <c r="A244" s="11" t="n"/>
      <c r="B244" s="11" t="inlineStr">
        <is>
          <t>Liability recognised in the Balance sheet</t>
        </is>
      </c>
      <c r="C244" s="12" t="n">
        <v>1507526</v>
      </c>
      <c r="D244" s="12" t="n">
        <v>2167854</v>
      </c>
      <c r="E244" s="12">
        <f>IF(AND(NOT(ISNUMBER(C244)), NOT(ISNUMBER(D244))), "-", IF(ISNUMBER(C244), C244, 0) - IF(ISNUMBER(D244), D244, 0))</f>
        <v/>
      </c>
      <c r="F244" s="13">
        <f>IF(OR(NOT(ISNUMBER(D244)), D244=0), "-", (IF(ISNUMBER(C244), C244, 0) - D244)/ABS(D244))</f>
        <v/>
      </c>
      <c r="G244" s="11" t="n"/>
    </row>
    <row r="245">
      <c r="A245" s="11" t="n"/>
      <c r="B245" s="11" t="inlineStr">
        <is>
          <t>Expenses recognised in profit and loss</t>
        </is>
      </c>
      <c r="C245" s="12" t="n">
        <v>0</v>
      </c>
      <c r="D245" s="12" t="n">
        <v>0</v>
      </c>
      <c r="E245" s="12">
        <f>IF(AND(NOT(ISNUMBER(C245)), NOT(ISNUMBER(D245))), "-", IF(ISNUMBER(C245), C245, 0) - IF(ISNUMBER(D245), D245, 0))</f>
        <v/>
      </c>
      <c r="F245" s="13">
        <f>IF(OR(NOT(ISNUMBER(D245)), D245=0), "-", (IF(ISNUMBER(C245), C245, 0) - D245)/ABS(D245))</f>
        <v/>
      </c>
      <c r="G245" s="11" t="n"/>
    </row>
    <row r="246">
      <c r="A246" s="11" t="n"/>
      <c r="B246" s="11" t="inlineStr">
        <is>
          <t>Gratuity cost for the year</t>
        </is>
      </c>
      <c r="C246" s="12" t="n">
        <v>0</v>
      </c>
      <c r="D246" s="12" t="n">
        <v>0</v>
      </c>
      <c r="E246" s="12">
        <f>IF(AND(NOT(ISNUMBER(C246)), NOT(ISNUMBER(D246))), "-", IF(ISNUMBER(C246), C246, 0) - IF(ISNUMBER(D246), D246, 0))</f>
        <v/>
      </c>
      <c r="F246" s="13">
        <f>IF(OR(NOT(ISNUMBER(D246)), D246=0), "-", (IF(ISNUMBER(C246), C246, 0) - D246)/ABS(D246))</f>
        <v/>
      </c>
      <c r="G246" s="11" t="n"/>
    </row>
    <row r="247">
      <c r="A247" s="14" t="n"/>
      <c r="B247" s="14" t="inlineStr">
        <is>
          <t>Current service cost</t>
        </is>
      </c>
      <c r="C247" s="15" t="n">
        <v>131674</v>
      </c>
      <c r="D247" s="15" t="n">
        <v>151929</v>
      </c>
      <c r="E247" s="15">
        <f>IF(AND(NOT(ISNUMBER(C247)), NOT(ISNUMBER(D247))), "-", IF(ISNUMBER(C247), C247, 0) - IF(ISNUMBER(D247), D247, 0))</f>
        <v/>
      </c>
      <c r="F247" s="16">
        <f>IF(OR(NOT(ISNUMBER(D247)), D247=0), "-", (IF(ISNUMBER(C247), C247, 0) - D247)/ABS(D247))</f>
        <v/>
      </c>
      <c r="G247" s="14" t="n"/>
    </row>
    <row r="248">
      <c r="A248" s="14" t="n"/>
      <c r="B248" s="14" t="inlineStr">
        <is>
          <t>Interest cost</t>
        </is>
      </c>
      <c r="C248" s="15" t="n">
        <v>116621</v>
      </c>
      <c r="D248" s="15" t="n">
        <v>142019</v>
      </c>
      <c r="E248" s="15">
        <f>IF(AND(NOT(ISNUMBER(C248)), NOT(ISNUMBER(D248))), "-", IF(ISNUMBER(C248), C248, 0) - IF(ISNUMBER(D248), D248, 0))</f>
        <v/>
      </c>
      <c r="F248" s="16">
        <f>IF(OR(NOT(ISNUMBER(D248)), D248=0), "-", (IF(ISNUMBER(C248), C248, 0) - D248)/ABS(D248))</f>
        <v/>
      </c>
      <c r="G248" s="14" t="n"/>
    </row>
    <row r="249">
      <c r="A249" s="14" t="n"/>
      <c r="B249" s="14" t="inlineStr">
        <is>
          <t>Past service cost</t>
        </is>
      </c>
      <c r="C249" s="15" t="n">
        <v>0</v>
      </c>
      <c r="D249" s="15" t="n">
        <v>0</v>
      </c>
      <c r="E249" s="15">
        <f>IF(AND(NOT(ISNUMBER(C249)), NOT(ISNUMBER(D249))), "-", IF(ISNUMBER(C249), C249, 0) - IF(ISNUMBER(D249), D249, 0))</f>
        <v/>
      </c>
      <c r="F249" s="16">
        <f>IF(OR(NOT(ISNUMBER(D249)), D249=0), "-", (IF(ISNUMBER(C249), C249, 0) - D249)/ABS(D249))</f>
        <v/>
      </c>
      <c r="G249" s="14" t="n"/>
    </row>
    <row r="250">
      <c r="A250" s="14" t="n"/>
      <c r="B250" s="14" t="inlineStr">
        <is>
          <t>Net actuarial (gain)/loss recognised in the year</t>
        </is>
      </c>
      <c r="C250" s="15" t="n">
        <v>0</v>
      </c>
      <c r="D250" s="15" t="n">
        <v>0</v>
      </c>
      <c r="E250" s="15">
        <f>IF(AND(NOT(ISNUMBER(C250)), NOT(ISNUMBER(D250))), "-", IF(ISNUMBER(C250), C250, 0) - IF(ISNUMBER(D250), D250, 0))</f>
        <v/>
      </c>
      <c r="F250" s="16">
        <f>IF(OR(NOT(ISNUMBER(D250)), D250=0), "-", (IF(ISNUMBER(C250), C250, 0) - D250)/ABS(D250))</f>
        <v/>
      </c>
      <c r="G250" s="14" t="n"/>
    </row>
    <row r="251">
      <c r="A251" s="11" t="n"/>
      <c r="B251" s="11" t="inlineStr">
        <is>
          <t>Total defined benefit cost recognised in the statement of profit and loss</t>
        </is>
      </c>
      <c r="C251" s="12" t="n">
        <v>248295</v>
      </c>
      <c r="D251" s="12" t="n">
        <v>293948</v>
      </c>
      <c r="E251" s="12">
        <f>IF(AND(NOT(ISNUMBER(C251)), NOT(ISNUMBER(D251))), "-", IF(ISNUMBER(C251), C251, 0) - IF(ISNUMBER(D251), D251, 0))</f>
        <v/>
      </c>
      <c r="F251" s="13">
        <f>IF(OR(NOT(ISNUMBER(D251)), D251=0), "-", (IF(ISNUMBER(C251), C251, 0) - D251)/ABS(D251))</f>
        <v/>
      </c>
      <c r="G251" s="11" t="n"/>
    </row>
    <row r="252">
      <c r="A252" s="11" t="n"/>
      <c r="B252" s="11" t="inlineStr">
        <is>
          <t>Remeasurements recognised in other comprehensive income</t>
        </is>
      </c>
      <c r="C252" s="12" t="n">
        <v>0</v>
      </c>
      <c r="D252" s="12" t="n">
        <v>0</v>
      </c>
      <c r="E252" s="12">
        <f>IF(AND(NOT(ISNUMBER(C252)), NOT(ISNUMBER(D252))), "-", IF(ISNUMBER(C252), C252, 0) - IF(ISNUMBER(D252), D252, 0))</f>
        <v/>
      </c>
      <c r="F252" s="13">
        <f>IF(OR(NOT(ISNUMBER(D252)), D252=0), "-", (IF(ISNUMBER(C252), C252, 0) - D252)/ABS(D252))</f>
        <v/>
      </c>
      <c r="G252" s="11" t="n"/>
    </row>
    <row r="253">
      <c r="A253" s="14" t="n"/>
      <c r="B253" s="14" t="inlineStr">
        <is>
          <t>Actuarial loss / (gain) on defined benefit obligation</t>
        </is>
      </c>
      <c r="C253" s="15" t="n">
        <v>46765</v>
      </c>
      <c r="D253" s="15" t="n">
        <v>30176</v>
      </c>
      <c r="E253" s="15">
        <f>IF(AND(NOT(ISNUMBER(C253)), NOT(ISNUMBER(D253))), "-", IF(ISNUMBER(C253), C253, 0) - IF(ISNUMBER(D253), D253, 0))</f>
        <v/>
      </c>
      <c r="F253" s="16">
        <f>IF(OR(NOT(ISNUMBER(D253)), D253=0), "-", (IF(ISNUMBER(C253), C253, 0) - D253)/ABS(D253))</f>
        <v/>
      </c>
      <c r="G253" s="14" t="n"/>
    </row>
    <row r="254">
      <c r="A254" s="14" t="n"/>
      <c r="B254" s="14" t="inlineStr">
        <is>
          <t>Return on plan assets excluding interest income</t>
        </is>
      </c>
      <c r="C254" s="15" t="n">
        <v>0</v>
      </c>
      <c r="D254" s="15" t="n">
        <v>0</v>
      </c>
      <c r="E254" s="15">
        <f>IF(AND(NOT(ISNUMBER(C254)), NOT(ISNUMBER(D254))), "-", IF(ISNUMBER(C254), C254, 0) - IF(ISNUMBER(D254), D254, 0))</f>
        <v/>
      </c>
      <c r="F254" s="16">
        <f>IF(OR(NOT(ISNUMBER(D254)), D254=0), "-", (IF(ISNUMBER(C254), C254, 0) - D254)/ABS(D254))</f>
        <v/>
      </c>
      <c r="G254" s="14" t="n"/>
    </row>
    <row r="255">
      <c r="A255" s="11" t="n"/>
      <c r="B255" s="11" t="inlineStr">
        <is>
          <t>Total defined benefit cost recognised in other comprehensive income</t>
        </is>
      </c>
      <c r="C255" s="12" t="n">
        <v>46765</v>
      </c>
      <c r="D255" s="12" t="n">
        <v>30176</v>
      </c>
      <c r="E255" s="12">
        <f>IF(AND(NOT(ISNUMBER(C255)), NOT(ISNUMBER(D255))), "-", IF(ISNUMBER(C255), C255, 0) - IF(ISNUMBER(D255), D255, 0))</f>
        <v/>
      </c>
      <c r="F255" s="13">
        <f>IF(OR(NOT(ISNUMBER(D255)), D255=0), "-", (IF(ISNUMBER(C255), C255, 0) - D255)/ABS(D255))</f>
        <v/>
      </c>
      <c r="G255" s="11" t="n"/>
    </row>
    <row r="256">
      <c r="A256" s="11" t="n"/>
      <c r="B256" s="11" t="inlineStr">
        <is>
          <t>Maturity profile of defined benefit obligation</t>
        </is>
      </c>
      <c r="C256" s="12" t="n">
        <v>0</v>
      </c>
      <c r="D256" s="12" t="n">
        <v>0</v>
      </c>
      <c r="E256" s="12">
        <f>IF(AND(NOT(ISNUMBER(C256)), NOT(ISNUMBER(D256))), "-", IF(ISNUMBER(C256), C256, 0) - IF(ISNUMBER(D256), D256, 0))</f>
        <v/>
      </c>
      <c r="F256" s="13">
        <f>IF(OR(NOT(ISNUMBER(D256)), D256=0), "-", (IF(ISNUMBER(C256), C256, 0) - D256)/ABS(D256))</f>
        <v/>
      </c>
      <c r="G256" s="11" t="n"/>
    </row>
    <row r="257">
      <c r="A257" s="11" t="n"/>
      <c r="B257" s="11" t="inlineStr">
        <is>
          <t>Particulars</t>
        </is>
      </c>
      <c r="C257" s="12" t="n">
        <v>0</v>
      </c>
      <c r="D257" s="12" t="n">
        <v>0</v>
      </c>
      <c r="E257" s="12">
        <f>IF(AND(NOT(ISNUMBER(C257)), NOT(ISNUMBER(D257))), "-", IF(ISNUMBER(C257), C257, 0) - IF(ISNUMBER(D257), D257, 0))</f>
        <v/>
      </c>
      <c r="F257" s="13">
        <f>IF(OR(NOT(ISNUMBER(D257)), D257=0), "-", (IF(ISNUMBER(C257), C257, 0) - D257)/ABS(D257))</f>
        <v/>
      </c>
      <c r="G257" s="11" t="n"/>
    </row>
    <row r="258">
      <c r="A258" s="14" t="n"/>
      <c r="B258" s="14" t="inlineStr">
        <is>
          <t>Within 1 year</t>
        </is>
      </c>
      <c r="C258" s="15" t="n">
        <v>0</v>
      </c>
      <c r="D258" s="15" t="n">
        <v>294006</v>
      </c>
      <c r="E258" s="15">
        <f>IF(AND(NOT(ISNUMBER(C258)), NOT(ISNUMBER(D258))), "-", IF(ISNUMBER(C258), C258, 0) - IF(ISNUMBER(D258), D258, 0))</f>
        <v/>
      </c>
      <c r="F258" s="16">
        <f>IF(OR(NOT(ISNUMBER(D258)), D258=0), "-", (IF(ISNUMBER(C258), C258, 0) - D258)/ABS(D258))</f>
        <v/>
      </c>
      <c r="G258" s="14" t="n"/>
    </row>
    <row r="259">
      <c r="A259" s="14" t="n"/>
      <c r="B259" s="14" t="inlineStr">
        <is>
          <t>1-2 year</t>
        </is>
      </c>
      <c r="C259" s="15" t="n">
        <v>0</v>
      </c>
      <c r="D259" s="15" t="n">
        <v>271215</v>
      </c>
      <c r="E259" s="15">
        <f>IF(AND(NOT(ISNUMBER(C259)), NOT(ISNUMBER(D259))), "-", IF(ISNUMBER(C259), C259, 0) - IF(ISNUMBER(D259), D259, 0))</f>
        <v/>
      </c>
      <c r="F259" s="16">
        <f>IF(OR(NOT(ISNUMBER(D259)), D259=0), "-", (IF(ISNUMBER(C259), C259, 0) - D259)/ABS(D259))</f>
        <v/>
      </c>
      <c r="G259" s="14" t="n"/>
    </row>
    <row r="260">
      <c r="A260" s="14" t="n"/>
      <c r="B260" s="14" t="inlineStr">
        <is>
          <t>2-3 year</t>
        </is>
      </c>
      <c r="C260" s="15" t="n">
        <v>0</v>
      </c>
      <c r="D260" s="15" t="n">
        <v>571176</v>
      </c>
      <c r="E260" s="15">
        <f>IF(AND(NOT(ISNUMBER(C260)), NOT(ISNUMBER(D260))), "-", IF(ISNUMBER(C260), C260, 0) - IF(ISNUMBER(D260), D260, 0))</f>
        <v/>
      </c>
      <c r="F260" s="16">
        <f>IF(OR(NOT(ISNUMBER(D260)), D260=0), "-", (IF(ISNUMBER(C260), C260, 0) - D260)/ABS(D260))</f>
        <v/>
      </c>
      <c r="G260" s="14" t="n"/>
    </row>
    <row r="261">
      <c r="A261" s="14" t="n"/>
      <c r="B261" s="14" t="inlineStr">
        <is>
          <t>3-4 year</t>
        </is>
      </c>
      <c r="C261" s="15" t="n">
        <v>0</v>
      </c>
      <c r="D261" s="15" t="n">
        <v>119359</v>
      </c>
      <c r="E261" s="15">
        <f>IF(AND(NOT(ISNUMBER(C261)), NOT(ISNUMBER(D261))), "-", IF(ISNUMBER(C261), C261, 0) - IF(ISNUMBER(D261), D261, 0))</f>
        <v/>
      </c>
      <c r="F261" s="16">
        <f>IF(OR(NOT(ISNUMBER(D261)), D261=0), "-", (IF(ISNUMBER(C261), C261, 0) - D261)/ABS(D261))</f>
        <v/>
      </c>
      <c r="G261" s="14" t="n"/>
    </row>
    <row r="262">
      <c r="A262" s="14" t="n"/>
      <c r="B262" s="14" t="inlineStr">
        <is>
          <t>4-5 year</t>
        </is>
      </c>
      <c r="C262" s="15" t="n">
        <v>0</v>
      </c>
      <c r="D262" s="15" t="n">
        <v>102473</v>
      </c>
      <c r="E262" s="15">
        <f>IF(AND(NOT(ISNUMBER(C262)), NOT(ISNUMBER(D262))), "-", IF(ISNUMBER(C262), C262, 0) - IF(ISNUMBER(D262), D262, 0))</f>
        <v/>
      </c>
      <c r="F262" s="16">
        <f>IF(OR(NOT(ISNUMBER(D262)), D262=0), "-", (IF(ISNUMBER(C262), C262, 0) - D262)/ABS(D262))</f>
        <v/>
      </c>
      <c r="G262" s="14" t="n"/>
    </row>
    <row r="263">
      <c r="A263" s="14" t="n"/>
      <c r="B263" s="14" t="inlineStr">
        <is>
          <t>5 and above</t>
        </is>
      </c>
      <c r="C263" s="15" t="n">
        <v>0</v>
      </c>
      <c r="D263" s="15" t="n">
        <v>447444</v>
      </c>
      <c r="E263" s="15">
        <f>IF(AND(NOT(ISNUMBER(C263)), NOT(ISNUMBER(D263))), "-", IF(ISNUMBER(C263), C263, 0) - IF(ISNUMBER(D263), D263, 0))</f>
        <v/>
      </c>
      <c r="F263" s="16">
        <f>IF(OR(NOT(ISNUMBER(D263)), D263=0), "-", (IF(ISNUMBER(C263), C263, 0) - D263)/ABS(D263))</f>
        <v/>
      </c>
      <c r="G263" s="14" t="n"/>
    </row>
    <row r="264">
      <c r="A264" s="11" t="n"/>
      <c r="B264" s="11" t="inlineStr">
        <is>
          <t>Defined benefit obligation (continue)</t>
        </is>
      </c>
      <c r="C264" s="12" t="n">
        <v>0</v>
      </c>
      <c r="D264" s="12" t="n">
        <v>0</v>
      </c>
      <c r="E264" s="12">
        <f>IF(AND(NOT(ISNUMBER(C264)), NOT(ISNUMBER(D264))), "-", IF(ISNUMBER(C264), C264, 0) - IF(ISNUMBER(D264), D264, 0))</f>
        <v/>
      </c>
      <c r="F264" s="13">
        <f>IF(OR(NOT(ISNUMBER(D264)), D264=0), "-", (IF(ISNUMBER(C264), C264, 0) - D264)/ABS(D264))</f>
        <v/>
      </c>
      <c r="G264" s="11" t="n"/>
    </row>
    <row r="265">
      <c r="A265" s="11" t="n"/>
      <c r="B265" s="11" t="inlineStr">
        <is>
          <t>Actuarial assumption</t>
        </is>
      </c>
      <c r="C265" s="12" t="n">
        <v>0</v>
      </c>
      <c r="D265" s="12" t="n">
        <v>0</v>
      </c>
      <c r="E265" s="12">
        <f>IF(AND(NOT(ISNUMBER(C265)), NOT(ISNUMBER(D265))), "-", IF(ISNUMBER(C265), C265, 0) - IF(ISNUMBER(D265), D265, 0))</f>
        <v/>
      </c>
      <c r="F265" s="13">
        <f>IF(OR(NOT(ISNUMBER(D265)), D265=0), "-", (IF(ISNUMBER(C265), C265, 0) - D265)/ABS(D265))</f>
        <v/>
      </c>
      <c r="G265" s="11" t="n"/>
    </row>
    <row r="266">
      <c r="A266" s="14" t="n"/>
      <c r="B266" s="14" t="inlineStr">
        <is>
          <t>Principal actuarial assumption at the reporting date</t>
        </is>
      </c>
      <c r="C266" s="15" t="n">
        <v>0</v>
      </c>
      <c r="D266" s="15" t="n">
        <v>0</v>
      </c>
      <c r="E266" s="15">
        <f>IF(AND(NOT(ISNUMBER(C266)), NOT(ISNUMBER(D266))), "-", IF(ISNUMBER(C266), C266, 0) - IF(ISNUMBER(D266), D266, 0))</f>
        <v/>
      </c>
      <c r="F266" s="16">
        <f>IF(OR(NOT(ISNUMBER(D266)), D266=0), "-", (IF(ISNUMBER(C266), C266, 0) - D266)/ABS(D266))</f>
        <v/>
      </c>
      <c r="G266" s="14" t="n"/>
    </row>
    <row r="267">
      <c r="A267" s="11" t="n"/>
      <c r="B267" s="11" t="inlineStr">
        <is>
          <t>Assumptions</t>
        </is>
      </c>
      <c r="C267" s="12" t="n">
        <v>0</v>
      </c>
      <c r="D267" s="12" t="n">
        <v>0</v>
      </c>
      <c r="E267" s="12">
        <f>IF(AND(NOT(ISNUMBER(C267)), NOT(ISNUMBER(D267))), "-", IF(ISNUMBER(C267), C267, 0) - IF(ISNUMBER(D267), D267, 0))</f>
        <v/>
      </c>
      <c r="F267" s="13">
        <f>IF(OR(NOT(ISNUMBER(D267)), D267=0), "-", (IF(ISNUMBER(C267), C267, 0) - D267)/ABS(D267))</f>
        <v/>
      </c>
      <c r="G267" s="11" t="n"/>
    </row>
    <row r="268">
      <c r="A268" s="14" t="n"/>
      <c r="B268" s="14" t="inlineStr">
        <is>
          <t>Discount rate</t>
        </is>
      </c>
      <c r="C268" s="15" t="n">
        <v>0.07000000000000001</v>
      </c>
      <c r="D268" s="15" t="n">
        <v>0.07000000000000001</v>
      </c>
      <c r="E268" s="15">
        <f>IF(AND(NOT(ISNUMBER(C268)), NOT(ISNUMBER(D268))), "-", IF(ISNUMBER(C268), C268, 0) - IF(ISNUMBER(D268), D268, 0))</f>
        <v/>
      </c>
      <c r="F268" s="16">
        <f>IF(OR(NOT(ISNUMBER(D268)), D268=0), "-", (IF(ISNUMBER(C268), C268, 0) - D268)/ABS(D268))</f>
        <v/>
      </c>
      <c r="G268" s="14" t="n"/>
    </row>
    <row r="269">
      <c r="A269" s="14" t="n"/>
      <c r="B269" s="14" t="inlineStr">
        <is>
          <t>Salary escalation rate (p.a.)</t>
        </is>
      </c>
      <c r="C269" s="15" t="n">
        <v>0</v>
      </c>
      <c r="D269" s="15" t="n">
        <v>0</v>
      </c>
      <c r="E269" s="15">
        <f>IF(AND(NOT(ISNUMBER(C269)), NOT(ISNUMBER(D269))), "-", IF(ISNUMBER(C269), C269, 0) - IF(ISNUMBER(D269), D269, 0))</f>
        <v/>
      </c>
      <c r="F269" s="16">
        <f>IF(OR(NOT(ISNUMBER(D269)), D269=0), "-", (IF(ISNUMBER(C269), C269, 0) - D269)/ABS(D269))</f>
        <v/>
      </c>
      <c r="G269" s="14" t="n"/>
    </row>
    <row r="270">
      <c r="A270" s="11" t="n"/>
      <c r="B270" s="11" t="inlineStr">
        <is>
          <t>Sensitivity analysis</t>
        </is>
      </c>
      <c r="C270" s="12" t="n">
        <v>0</v>
      </c>
      <c r="D270" s="12" t="n">
        <v>0</v>
      </c>
      <c r="E270" s="12">
        <f>IF(AND(NOT(ISNUMBER(C270)), NOT(ISNUMBER(D270))), "-", IF(ISNUMBER(C270), C270, 0) - IF(ISNUMBER(D270), D270, 0))</f>
        <v/>
      </c>
      <c r="F270" s="13">
        <f>IF(OR(NOT(ISNUMBER(D270)), D270=0), "-", (IF(ISNUMBER(C270), C270, 0) - D270)/ABS(D270))</f>
        <v/>
      </c>
      <c r="G270" s="11" t="n"/>
    </row>
    <row r="271">
      <c r="A271" s="14" t="n"/>
      <c r="B271" s="14" t="inlineStr">
        <is>
          <t>Sensitivity for significant actuarial assumptions is computed by varying one actuarial assumption used for the valuation of the defined benefit obligation, keeping all other actuarial assumptions constant. The significant actuarial assumptions are discount rate, salary escalation rate and attrition rate.</t>
        </is>
      </c>
      <c r="C271" s="15" t="n">
        <v>0</v>
      </c>
      <c r="D271" s="15" t="n">
        <v>0</v>
      </c>
      <c r="E271" s="15">
        <f>IF(AND(NOT(ISNUMBER(C271)), NOT(ISNUMBER(D271))), "-", IF(ISNUMBER(C271), C271, 0) - IF(ISNUMBER(D271), D271, 0))</f>
        <v/>
      </c>
      <c r="F271" s="16">
        <f>IF(OR(NOT(ISNUMBER(D271)), D271=0), "-", (IF(ISNUMBER(C271), C271, 0) - D271)/ABS(D271))</f>
        <v/>
      </c>
      <c r="G271" s="14" t="n"/>
    </row>
    <row r="272">
      <c r="A272" s="14" t="n"/>
      <c r="B272" s="14" t="inlineStr">
        <is>
          <t>Discount rate</t>
        </is>
      </c>
      <c r="C272" s="15" t="n">
        <v>-71706</v>
      </c>
      <c r="D272" s="15" t="n">
        <v>75875</v>
      </c>
      <c r="E272" s="15">
        <f>IF(AND(NOT(ISNUMBER(C272)), NOT(ISNUMBER(D272))), "-", IF(ISNUMBER(C272), C272, 0) - IF(ISNUMBER(D272), D272, 0))</f>
        <v/>
      </c>
      <c r="F272" s="16">
        <f>IF(OR(NOT(ISNUMBER(D272)), D272=0), "-", (IF(ISNUMBER(C272), C272, 0) - D272)/ABS(D272))</f>
        <v/>
      </c>
      <c r="G272" s="14" t="n"/>
    </row>
    <row r="273">
      <c r="A273" s="14" t="n"/>
      <c r="B273" s="14" t="inlineStr">
        <is>
          <t>Future salary growth</t>
        </is>
      </c>
      <c r="C273" s="15" t="n">
        <v>75541</v>
      </c>
      <c r="D273" s="15" t="n">
        <v>-71539</v>
      </c>
      <c r="E273" s="15">
        <f>IF(AND(NOT(ISNUMBER(C273)), NOT(ISNUMBER(D273))), "-", IF(ISNUMBER(C273), C273, 0) - IF(ISNUMBER(D273), D273, 0))</f>
        <v/>
      </c>
      <c r="F273" s="16">
        <f>IF(OR(NOT(ISNUMBER(D273)), D273=0), "-", (IF(ISNUMBER(C273), C273, 0) - D273)/ABS(D273))</f>
        <v/>
      </c>
      <c r="G273" s="14" t="n"/>
    </row>
    <row r="274">
      <c r="A274" s="11" t="n"/>
      <c r="B274" s="11" t="inlineStr">
        <is>
          <t>Experience adjustments</t>
        </is>
      </c>
      <c r="C274" s="12" t="n">
        <v>0</v>
      </c>
      <c r="D274" s="12" t="n">
        <v>0</v>
      </c>
      <c r="E274" s="12">
        <f>IF(AND(NOT(ISNUMBER(C274)), NOT(ISNUMBER(D274))), "-", IF(ISNUMBER(C274), C274, 0) - IF(ISNUMBER(D274), D274, 0))</f>
        <v/>
      </c>
      <c r="F274" s="13">
        <f>IF(OR(NOT(ISNUMBER(D274)), D274=0), "-", (IF(ISNUMBER(C274), C274, 0) - D274)/ABS(D274))</f>
        <v/>
      </c>
      <c r="G274" s="11" t="n"/>
    </row>
    <row r="275">
      <c r="A275" s="14" t="n"/>
      <c r="B275" s="14" t="inlineStr">
        <is>
          <t>Present value of benefit obligation</t>
        </is>
      </c>
      <c r="C275" s="15" t="n">
        <v>3098184</v>
      </c>
      <c r="D275" s="15" t="n">
        <v>3180168</v>
      </c>
      <c r="E275" s="15">
        <f>IF(AND(NOT(ISNUMBER(C275)), NOT(ISNUMBER(D275))), "-", IF(ISNUMBER(C275), C275, 0) - IF(ISNUMBER(D275), D275, 0))</f>
        <v/>
      </c>
      <c r="F275" s="16">
        <f>IF(OR(NOT(ISNUMBER(D275)), D275=0), "-", (IF(ISNUMBER(C275), C275, 0) - D275)/ABS(D275))</f>
        <v/>
      </c>
      <c r="G275" s="14" t="n"/>
    </row>
    <row r="276">
      <c r="A276" s="14" t="n"/>
      <c r="B276" s="14" t="inlineStr">
        <is>
          <t>Fair value of plan assets</t>
        </is>
      </c>
      <c r="C276" s="15" t="n">
        <v>0</v>
      </c>
      <c r="D276" s="15" t="n">
        <v>0</v>
      </c>
      <c r="E276" s="15">
        <f>IF(AND(NOT(ISNUMBER(C276)), NOT(ISNUMBER(D276))), "-", IF(ISNUMBER(C276), C276, 0) - IF(ISNUMBER(D276), D276, 0))</f>
        <v/>
      </c>
      <c r="F276" s="16">
        <f>IF(OR(NOT(ISNUMBER(D276)), D276=0), "-", (IF(ISNUMBER(C276), C276, 0) - D276)/ABS(D276))</f>
        <v/>
      </c>
      <c r="G276" s="14" t="n"/>
    </row>
    <row r="277">
      <c r="A277" s="14" t="n"/>
      <c r="B277" s="14" t="inlineStr">
        <is>
          <t>Excess of obligation over plan assets (plan assets over obligation)</t>
        </is>
      </c>
      <c r="C277" s="15" t="n">
        <v>-3098184</v>
      </c>
      <c r="D277" s="15" t="n">
        <v>-3180168</v>
      </c>
      <c r="E277" s="15">
        <f>IF(AND(NOT(ISNUMBER(C277)), NOT(ISNUMBER(D277))), "-", IF(ISNUMBER(C277), C277, 0) - IF(ISNUMBER(D277), D277, 0))</f>
        <v/>
      </c>
      <c r="F277" s="16">
        <f>IF(OR(NOT(ISNUMBER(D277)), D277=0), "-", (IF(ISNUMBER(C277), C277, 0) - D277)/ABS(D277))</f>
        <v/>
      </c>
      <c r="G277" s="14" t="n"/>
    </row>
    <row r="278">
      <c r="A278" s="14" t="n"/>
      <c r="B278" s="14" t="inlineStr">
        <is>
          <t>Experience adjustment on plan liabilities (#)</t>
        </is>
      </c>
      <c r="C278" s="15" t="n">
        <v>953244</v>
      </c>
      <c r="D278" s="15" t="n">
        <v>-357113</v>
      </c>
      <c r="E278" s="15">
        <f>IF(AND(NOT(ISNUMBER(C278)), NOT(ISNUMBER(D278))), "-", IF(ISNUMBER(C278), C278, 0) - IF(ISNUMBER(D278), D278, 0))</f>
        <v/>
      </c>
      <c r="F278" s="16">
        <f>IF(OR(NOT(ISNUMBER(D278)), D278=0), "-", (IF(ISNUMBER(C278), C278, 0) - D278)/ABS(D278))</f>
        <v/>
      </c>
      <c r="G278" s="14" t="n"/>
    </row>
    <row r="279">
      <c r="A279" s="14" t="n"/>
      <c r="B279" s="14" t="inlineStr">
        <is>
          <t>(#) Zero represents amount less than ₹ 0.5 lakhs</t>
        </is>
      </c>
      <c r="C279" s="15" t="n">
        <v>0</v>
      </c>
      <c r="D279" s="15" t="n">
        <v>0</v>
      </c>
      <c r="E279" s="15">
        <f>IF(AND(NOT(ISNUMBER(C279)), NOT(ISNUMBER(D279))), "-", IF(ISNUMBER(C279), C279, 0) - IF(ISNUMBER(D279), D279, 0))</f>
        <v/>
      </c>
      <c r="F279" s="16">
        <f>IF(OR(NOT(ISNUMBER(D279)), D279=0), "-", (IF(ISNUMBER(C279), C279, 0) - D279)/ABS(D279))</f>
        <v/>
      </c>
      <c r="G279" s="14"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5"/>
  <sheetViews>
    <sheetView workbookViewId="0">
      <pane ySplit="7" topLeftCell="A8" activePane="bottomLeft" state="frozen"/>
      <selection pane="bottomLeft" activeCell="A1" sqref="A1"/>
    </sheetView>
  </sheetViews>
  <sheetFormatPr baseColWidth="8" defaultRowHeight="15"/>
  <cols>
    <col width="5" customWidth="1" min="1" max="1"/>
    <col width="35" customWidth="1" min="2" max="2"/>
    <col width="45" customWidth="1" min="3" max="3"/>
    <col width="16" customWidth="1" min="4" max="4"/>
    <col width="16" customWidth="1" min="5" max="5"/>
    <col width="14" customWidth="1" min="6" max="6"/>
    <col width="45" customWidth="1" min="7" max="7"/>
  </cols>
  <sheetData>
    <row r="1">
      <c r="B1" s="6" t="inlineStr">
        <is>
          <t>Firm:</t>
        </is>
      </c>
      <c r="C1" s="7" t="inlineStr">
        <is>
          <t>W</t>
        </is>
      </c>
    </row>
    <row r="2">
      <c r="B2" s="6" t="inlineStr">
        <is>
          <t>Client:</t>
        </is>
      </c>
      <c r="C2" s="7" t="inlineStr">
        <is>
          <t>SSIPL</t>
        </is>
      </c>
    </row>
    <row r="3">
      <c r="B3" s="6" t="inlineStr">
        <is>
          <t>Ratio Analysis</t>
        </is>
      </c>
    </row>
    <row r="4">
      <c r="B4" s="7" t="inlineStr">
        <is>
          <t>As at 31 March 2025 vs 31 March 2024</t>
        </is>
      </c>
    </row>
    <row r="5">
      <c r="B5" s="7" t="inlineStr">
        <is>
          <t>Scope: Percentage variance of +/- 10% have been selected for analysis</t>
        </is>
      </c>
    </row>
    <row r="7">
      <c r="A7" s="10" t="inlineStr"/>
      <c r="B7" s="10" t="inlineStr">
        <is>
          <t>KEY METRIC</t>
        </is>
      </c>
      <c r="C7" s="10" t="inlineStr">
        <is>
          <t>FORMULA</t>
        </is>
      </c>
      <c r="D7" s="10" t="inlineStr">
        <is>
          <t>2025-26 (CY)</t>
        </is>
      </c>
      <c r="E7" s="10" t="inlineStr">
        <is>
          <t>2024-25 (PY)</t>
        </is>
      </c>
      <c r="F7" s="10" t="inlineStr">
        <is>
          <t>CHANGE (%)</t>
        </is>
      </c>
      <c r="G7" s="10" t="inlineStr">
        <is>
          <t>REMARKS</t>
        </is>
      </c>
    </row>
    <row r="8">
      <c r="A8" s="17" t="n"/>
      <c r="B8" s="20" t="inlineStr">
        <is>
          <t>Debt Equity Ratio</t>
        </is>
      </c>
      <c r="C8" s="17" t="inlineStr">
        <is>
          <t>(Long-Term Borrowings + Short-Term Borrowings) / Total Equity</t>
        </is>
      </c>
      <c r="D8" s="18" t="n">
        <v>14.6329</v>
      </c>
      <c r="E8" s="18" t="n">
        <v>3.6661</v>
      </c>
      <c r="F8" s="23" t="n">
        <v>2.9914</v>
      </c>
      <c r="G8" s="17" t="n"/>
    </row>
    <row r="9">
      <c r="A9" s="17" t="n"/>
      <c r="B9" s="20" t="inlineStr">
        <is>
          <t>Current Ratio</t>
        </is>
      </c>
      <c r="C9" s="17" t="inlineStr">
        <is>
          <t>Current Assets / Current Liabilities</t>
        </is>
      </c>
      <c r="D9" s="18" t="n">
        <v>1.0052</v>
      </c>
      <c r="E9" s="18" t="n">
        <v>25.9767</v>
      </c>
      <c r="F9" s="19" t="n">
        <v>-0.9612999999999999</v>
      </c>
      <c r="G9" s="17" t="n"/>
    </row>
    <row r="10">
      <c r="A10" s="17" t="n"/>
      <c r="B10" s="20" t="inlineStr">
        <is>
          <t>GCA Days</t>
        </is>
      </c>
      <c r="C10" s="17" t="inlineStr">
        <is>
          <t>(Total Current Assets / Total Revenue) × 365</t>
        </is>
      </c>
      <c r="D10" s="18" t="n">
        <v>3506.3909</v>
      </c>
      <c r="E10" s="18" t="n">
        <v>1782.8084</v>
      </c>
      <c r="F10" s="23" t="n">
        <v>0.9668000000000001</v>
      </c>
      <c r="G10" s="17" t="n"/>
    </row>
    <row r="11">
      <c r="A11" s="17" t="n"/>
      <c r="B11" s="20" t="inlineStr">
        <is>
          <t>Total Outside Liab. vs Total Equity</t>
        </is>
      </c>
      <c r="C11" s="17" t="inlineStr">
        <is>
          <t>(Total Current Liabilities + Total Non-Current Liabilities) / Total Equity</t>
        </is>
      </c>
      <c r="D11" s="18" t="n">
        <v>15.0787</v>
      </c>
      <c r="E11" s="18" t="n">
        <v>3.7817</v>
      </c>
      <c r="F11" s="23" t="n">
        <v>2.9873</v>
      </c>
      <c r="G11" s="17" t="n"/>
    </row>
    <row r="12">
      <c r="A12" s="17" t="n"/>
      <c r="B12" s="20" t="inlineStr">
        <is>
          <t>Net Profit Ratio</t>
        </is>
      </c>
      <c r="C12" s="17" t="inlineStr">
        <is>
          <t>Net Profit After Tax / Revenue from Operations × 100</t>
        </is>
      </c>
      <c r="D12" s="18" t="n">
        <v>-26.9132</v>
      </c>
      <c r="E12" s="18" t="n">
        <v>133.976</v>
      </c>
      <c r="F12" s="19" t="n">
        <v>-1.2009</v>
      </c>
      <c r="G12" s="17" t="n"/>
    </row>
    <row r="13">
      <c r="A13" s="17" t="n"/>
      <c r="B13" s="20" t="inlineStr">
        <is>
          <t>Return on Equity (ROE)</t>
        </is>
      </c>
      <c r="C13" s="17" t="inlineStr">
        <is>
          <t>Profit Before Tax / Average Total Equity × 100</t>
        </is>
      </c>
      <c r="D13" s="18" t="n">
        <v>-7.0978</v>
      </c>
      <c r="E13" s="18" t="n">
        <v>29.3147</v>
      </c>
      <c r="F13" s="19" t="n">
        <v>-1.2421</v>
      </c>
      <c r="G13" s="17" t="n"/>
    </row>
    <row r="14">
      <c r="A14" s="17" t="n"/>
      <c r="B14" s="20" t="inlineStr">
        <is>
          <t>Return on Capital Employed (ROCE)</t>
        </is>
      </c>
      <c r="C14" s="17" t="inlineStr">
        <is>
          <t>(PBT + Finance Cost) / (Total Equity + LTB + STB) × 100</t>
        </is>
      </c>
      <c r="D14" s="18" t="n">
        <v>3.2892</v>
      </c>
      <c r="E14" s="18" t="n">
        <v>10.8266</v>
      </c>
      <c r="F14" s="19" t="n">
        <v>-0.6962</v>
      </c>
      <c r="G14" s="17" t="n"/>
    </row>
    <row r="15">
      <c r="A15" s="17" t="n"/>
      <c r="B15" s="20" t="inlineStr">
        <is>
          <t>Debtor Turnover Ratio</t>
        </is>
      </c>
      <c r="C15" s="17" t="inlineStr">
        <is>
          <t>Revenue from Operations / Average Trade Receivables</t>
        </is>
      </c>
      <c r="D15" s="18" t="n">
        <v>2.0687</v>
      </c>
      <c r="E15" s="18" t="n">
        <v>7.1952</v>
      </c>
      <c r="F15" s="19" t="n">
        <v>-0.7125</v>
      </c>
      <c r="G15" s="17"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5" customWidth="1" min="1" max="1"/>
    <col width="30" customWidth="1" min="2" max="2"/>
    <col width="18" customWidth="1" min="3" max="3"/>
    <col width="18" customWidth="1" min="4" max="4"/>
    <col width="18" customWidth="1" min="5" max="5"/>
  </cols>
  <sheetData>
    <row r="1">
      <c r="B1" s="6" t="inlineStr">
        <is>
          <t>Key Metrics Dashboard</t>
        </is>
      </c>
    </row>
    <row r="2">
      <c r="B2" s="6" t="inlineStr">
        <is>
          <t>Firm: W</t>
        </is>
      </c>
    </row>
    <row r="3">
      <c r="B3" s="6" t="inlineStr">
        <is>
          <t>Client: SSIPL — FY 2025</t>
        </is>
      </c>
    </row>
    <row r="4">
      <c r="B4" s="7" t="inlineStr">
        <is>
          <t>(Rs. in Actuals)</t>
        </is>
      </c>
    </row>
    <row r="6">
      <c r="A6" s="30" t="inlineStr"/>
      <c r="B6" s="30" t="inlineStr">
        <is>
          <t>Metric</t>
        </is>
      </c>
      <c r="C6" s="30" t="inlineStr">
        <is>
          <t>CY (2025)</t>
        </is>
      </c>
      <c r="D6" s="30" t="inlineStr">
        <is>
          <t>PY (2024)</t>
        </is>
      </c>
      <c r="E6" s="30" t="inlineStr">
        <is>
          <t>Variance</t>
        </is>
      </c>
    </row>
    <row r="7">
      <c r="A7" s="3" t="n"/>
      <c r="B7" s="31" t="inlineStr">
        <is>
          <t>Total Revenue</t>
        </is>
      </c>
      <c r="C7" s="32" t="n">
        <v>268.88</v>
      </c>
      <c r="D7" s="32" t="n">
        <v>509.46</v>
      </c>
      <c r="E7" s="32">
        <f>IF(AND(NOT(ISNUMBER(C7)), NOT(ISNUMBER(D7))), "-", IF(ISNUMBER(C7), C7, 0) - IF(ISNUMBER(D7), D7, 0))</f>
        <v/>
      </c>
    </row>
    <row r="8">
      <c r="A8" s="3" t="n"/>
      <c r="B8" s="31" t="inlineStr">
        <is>
          <t>Total Expenses</t>
        </is>
      </c>
      <c r="C8" s="32" t="n">
        <v>298.44</v>
      </c>
      <c r="D8" s="32" t="n">
        <v>315.46</v>
      </c>
      <c r="E8" s="32">
        <f>IF(AND(NOT(ISNUMBER(C8)), NOT(ISNUMBER(D8))), "-", IF(ISNUMBER(C8), C8, 0) - IF(ISNUMBER(D8), D8, 0))</f>
        <v/>
      </c>
    </row>
    <row r="9">
      <c r="A9" s="3" t="n"/>
      <c r="B9" s="31" t="inlineStr">
        <is>
          <t>Profit Before Tax</t>
        </is>
      </c>
      <c r="C9" s="32" t="n">
        <v>-29.56</v>
      </c>
      <c r="D9" s="32" t="n">
        <v>194</v>
      </c>
      <c r="E9" s="32">
        <f>IF(AND(NOT(ISNUMBER(C9)), NOT(ISNUMBER(D9))), "-", IF(ISNUMBER(C9), C9, 0) - IF(ISNUMBER(D9), D9, 0))</f>
        <v/>
      </c>
    </row>
    <row r="10">
      <c r="A10" s="3" t="n"/>
      <c r="B10" s="31" t="inlineStr">
        <is>
          <t>Total Assets</t>
        </is>
      </c>
      <c r="C10" s="32" t="n">
        <v>2753.11</v>
      </c>
      <c r="D10" s="32" t="n">
        <v>3164.42</v>
      </c>
      <c r="E10" s="32">
        <f>IF(AND(NOT(ISNUMBER(C10)), NOT(ISNUMBER(D10))), "-", IF(ISNUMBER(C10), C10, 0) - IF(ISNUMBER(D10), D10, 0))</f>
        <v/>
      </c>
    </row>
    <row r="11">
      <c r="A11" s="3" t="n"/>
      <c r="B11" s="31" t="inlineStr">
        <is>
          <t>Total Equity</t>
        </is>
      </c>
      <c r="C11" s="32" t="n">
        <v>171.23</v>
      </c>
      <c r="D11" s="32" t="n">
        <v>661.78</v>
      </c>
      <c r="E11" s="32">
        <f>IF(AND(NOT(ISNUMBER(C11)), NOT(ISNUMBER(D11))), "-", IF(ISNUMBER(C11), C11, 0) - IF(ISNUMBER(D11), D11, 0))</f>
        <v/>
      </c>
    </row>
    <row r="12">
      <c r="A12" s="3" t="n"/>
      <c r="B12" s="31" t="inlineStr">
        <is>
          <t>Total Current Assets</t>
        </is>
      </c>
      <c r="C12" s="32" t="n">
        <v>2583</v>
      </c>
      <c r="D12" s="32" t="n">
        <v>2488.42</v>
      </c>
      <c r="E12" s="32">
        <f>IF(AND(NOT(ISNUMBER(C12)), NOT(ISNUMBER(D12))), "-", IF(ISNUMBER(C12), C12, 0) - IF(ISNUMBER(D12), D12, 0))</f>
        <v/>
      </c>
    </row>
    <row r="13">
      <c r="A13" s="3" t="n"/>
      <c r="B13" s="31" t="inlineStr">
        <is>
          <t>Total Current Liabilities</t>
        </is>
      </c>
      <c r="C13" s="32" t="n">
        <v>2569.66</v>
      </c>
      <c r="D13" s="32" t="n">
        <v>95.79000000000001</v>
      </c>
      <c r="E13" s="32">
        <f>IF(AND(NOT(ISNUMBER(C13)), NOT(ISNUMBER(D13))), "-", IF(ISNUMBER(C13), C13, 0) - IF(ISNUMBER(D13), D13, 0))</f>
        <v/>
      </c>
    </row>
    <row r="16">
      <c r="B16" s="6" t="inlineStr">
        <is>
          <t>Key Ratios</t>
        </is>
      </c>
    </row>
    <row r="17">
      <c r="A17" s="30" t="inlineStr"/>
      <c r="B17" s="30" t="inlineStr">
        <is>
          <t>Ratio</t>
        </is>
      </c>
      <c r="C17" s="30" t="inlineStr">
        <is>
          <t>CY</t>
        </is>
      </c>
      <c r="D17" s="30" t="inlineStr">
        <is>
          <t>PY</t>
        </is>
      </c>
      <c r="E17" s="30" t="inlineStr">
        <is>
          <t>Change %</t>
        </is>
      </c>
    </row>
    <row r="18">
      <c r="A18" s="3" t="n"/>
      <c r="B18" s="14" t="inlineStr">
        <is>
          <t>Debt Equity Ratio</t>
        </is>
      </c>
      <c r="C18" s="32" t="n">
        <v>14.6329</v>
      </c>
      <c r="D18" s="32" t="n">
        <v>3.6661</v>
      </c>
      <c r="E18" s="33" t="n">
        <v>2.9914</v>
      </c>
    </row>
    <row r="19">
      <c r="A19" s="3" t="n"/>
      <c r="B19" s="14" t="inlineStr">
        <is>
          <t>Current Ratio</t>
        </is>
      </c>
      <c r="C19" s="32" t="n">
        <v>1.0052</v>
      </c>
      <c r="D19" s="32" t="n">
        <v>25.9767</v>
      </c>
      <c r="E19" s="33" t="n">
        <v>-0.9612999999999999</v>
      </c>
    </row>
    <row r="20">
      <c r="A20" s="3" t="n"/>
      <c r="B20" s="14" t="inlineStr">
        <is>
          <t>GCA Days</t>
        </is>
      </c>
      <c r="C20" s="32" t="n">
        <v>3506.3909</v>
      </c>
      <c r="D20" s="32" t="n">
        <v>1782.8084</v>
      </c>
      <c r="E20" s="33" t="n">
        <v>0.9668000000000001</v>
      </c>
    </row>
    <row r="21">
      <c r="A21" s="3" t="n"/>
      <c r="B21" s="14" t="inlineStr">
        <is>
          <t>Total Outside Liab. vs Total Equity</t>
        </is>
      </c>
      <c r="C21" s="32" t="n">
        <v>15.0787</v>
      </c>
      <c r="D21" s="32" t="n">
        <v>3.7817</v>
      </c>
      <c r="E21" s="33" t="n">
        <v>2.9873</v>
      </c>
    </row>
    <row r="22">
      <c r="A22" s="3" t="n"/>
      <c r="B22" s="14" t="inlineStr">
        <is>
          <t>Net Profit Ratio</t>
        </is>
      </c>
      <c r="C22" s="32" t="n">
        <v>-26.9132</v>
      </c>
      <c r="D22" s="32" t="n">
        <v>133.976</v>
      </c>
      <c r="E22" s="33" t="n">
        <v>-1.2009</v>
      </c>
    </row>
    <row r="23">
      <c r="A23" s="3" t="n"/>
      <c r="B23" s="14" t="inlineStr">
        <is>
          <t>Return on Equity (ROE)</t>
        </is>
      </c>
      <c r="C23" s="32" t="n">
        <v>-7.0978</v>
      </c>
      <c r="D23" s="32" t="n">
        <v>29.3147</v>
      </c>
      <c r="E23" s="33" t="n">
        <v>-1.2421</v>
      </c>
    </row>
    <row r="24">
      <c r="A24" s="3" t="n"/>
      <c r="B24" s="14" t="inlineStr">
        <is>
          <t>Return on Capital Employed (ROCE)</t>
        </is>
      </c>
      <c r="C24" s="32" t="n">
        <v>3.2892</v>
      </c>
      <c r="D24" s="32" t="n">
        <v>10.8266</v>
      </c>
      <c r="E24" s="33" t="n">
        <v>-0.6962</v>
      </c>
    </row>
    <row r="25">
      <c r="A25" s="3" t="n"/>
      <c r="B25" s="14" t="inlineStr">
        <is>
          <t>Debtor Turnover Ratio</t>
        </is>
      </c>
      <c r="C25" s="32" t="n">
        <v>2.0687</v>
      </c>
      <c r="D25" s="32" t="n">
        <v>7.1952</v>
      </c>
      <c r="E25" s="33" t="n">
        <v>-0.7125</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B2:B5"/>
  <sheetViews>
    <sheetView showGridLines="1" workbookViewId="0">
      <selection activeCell="A1" sqref="A1"/>
    </sheetView>
  </sheetViews>
  <sheetFormatPr baseColWidth="8" defaultRowHeight="15"/>
  <cols>
    <col width="4" customWidth="1" min="1" max="1"/>
    <col width="12" customWidth="1" min="2" max="2"/>
    <col width="12" customWidth="1" min="3" max="3"/>
    <col width="12" customWidth="1" min="4" max="4"/>
    <col width="12" customWidth="1" min="5" max="5"/>
    <col width="12" customWidth="1" min="6" max="6"/>
    <col width="12" customWidth="1" min="7" max="7"/>
    <col width="4" customWidth="1" min="8" max="8"/>
    <col width="12" customWidth="1" min="9" max="9"/>
    <col width="12" customWidth="1" min="10" max="10"/>
    <col width="12" customWidth="1" min="11" max="11"/>
    <col width="12" customWidth="1" min="12" max="12"/>
    <col width="12" customWidth="1" min="13" max="13"/>
    <col width="12" customWidth="1" min="14" max="14"/>
  </cols>
  <sheetData>
    <row r="2">
      <c r="B2" s="6" t="inlineStr">
        <is>
          <t>Visual Analytics Dashboard</t>
        </is>
      </c>
    </row>
    <row r="3">
      <c r="B3" s="6" t="inlineStr">
        <is>
          <t>Firm: W</t>
        </is>
      </c>
    </row>
    <row r="4">
      <c r="B4" s="6" t="inlineStr">
        <is>
          <t>Client: SSIPL — FY 2025</t>
        </is>
      </c>
    </row>
    <row r="5">
      <c r="B5" s="7" t="inlineStr">
        <is>
          <t>Amounts in: Rs. Actuals</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2026-06-11T08:40:41Z</dcterms:created>
  <dcterms:modified xmlns:dcterms="http://purl.org/dc/terms/" xmlns:xsi="http://www.w3.org/2001/XMLSchema-instance" xsi:type="dcterms:W3CDTF">2026-06-11T08:40:41Z</dcterms:modified>
</cp:coreProperties>
</file>