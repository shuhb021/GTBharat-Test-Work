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BS ANALYSIS" sheetId="2" state="visible" r:id="rId2"/>
    <sheet xmlns:r="http://schemas.openxmlformats.org/officeDocument/2006/relationships" name="P&amp;L ANALYSIS" sheetId="3" state="visible" r:id="rId3"/>
    <sheet xmlns:r="http://schemas.openxmlformats.org/officeDocument/2006/relationships" name="3-4" sheetId="4" state="visible" r:id="rId4"/>
    <sheet xmlns:r="http://schemas.openxmlformats.org/officeDocument/2006/relationships" name="RATIOS &amp; RELATIONS" sheetId="5" state="visible" r:id="rId5"/>
    <sheet xmlns:r="http://schemas.openxmlformats.org/officeDocument/2006/relationships" name="Dashboard" sheetId="6" state="visible" r:id="rId6"/>
    <sheet xmlns:r="http://schemas.openxmlformats.org/officeDocument/2006/relationships" name="VISUAL ANALYTICS" sheetId="7" state="visible" r:id="rId7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Garamond"/>
      <b val="1"/>
      <color rgb="00FFFFFF"/>
      <sz val="14"/>
    </font>
    <font>
      <name val="Garamond"/>
      <color rgb="00000000"/>
      <sz val="12"/>
    </font>
    <font>
      <name val="Garamond"/>
      <i val="1"/>
      <color rgb="007F7F7F"/>
      <sz val="10"/>
    </font>
    <font>
      <name val="Garamond"/>
      <b val="1"/>
      <color rgb="00000000"/>
      <sz val="12"/>
    </font>
    <font>
      <name val="Accountant"/>
      <color rgb="00FF0000"/>
      <sz val="9"/>
    </font>
    <font>
      <name val="Garamond"/>
      <b val="1"/>
      <color rgb="00FFFFFF"/>
      <sz val="12"/>
    </font>
    <font>
      <name val="Garamond"/>
      <color rgb="00EF4444"/>
      <sz val="12"/>
    </font>
    <font>
      <name val="Garamond"/>
      <color rgb="0022C55E"/>
      <sz val="12"/>
    </font>
    <font>
      <name val="Garamond"/>
      <b val="1"/>
      <color rgb="00EF4444"/>
      <sz val="12"/>
    </font>
    <font>
      <name val="Garamond"/>
      <b val="1"/>
      <color rgb="0022C55E"/>
      <sz val="12"/>
    </font>
  </fonts>
  <fills count="5">
    <fill>
      <patternFill/>
    </fill>
    <fill>
      <patternFill patternType="gray125"/>
    </fill>
    <fill>
      <patternFill patternType="solid">
        <fgColor rgb="007030A0"/>
        <bgColor rgb="007030A0"/>
      </patternFill>
    </fill>
    <fill>
      <patternFill patternType="solid">
        <fgColor rgb="00F3F4F6"/>
        <bgColor rgb="00F3F4F6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164" fontId="4" fillId="3" borderId="1" pivotButton="0" quotePrefix="0" xfId="0"/>
    <xf numFmtId="0" fontId="2" fillId="4" borderId="1" pivotButton="0" quotePrefix="0" xfId="0"/>
    <xf numFmtId="4" fontId="2" fillId="4" borderId="1" pivotButton="0" quotePrefix="0" xfId="0"/>
    <xf numFmtId="164" fontId="7" fillId="4" borderId="1" pivotButton="0" quotePrefix="0" xfId="0"/>
    <xf numFmtId="164" fontId="8" fillId="4" borderId="1" pivotButton="0" quotePrefix="0" xfId="0"/>
    <xf numFmtId="0" fontId="2" fillId="0" borderId="1" pivotButton="0" quotePrefix="0" xfId="0"/>
    <xf numFmtId="4" fontId="2" fillId="0" borderId="1" pivotButton="0" quotePrefix="0" xfId="0"/>
    <xf numFmtId="164" fontId="7" fillId="0" borderId="1" pivotButton="0" quotePrefix="0" xfId="0"/>
    <xf numFmtId="164" fontId="2" fillId="0" borderId="1" pivotButton="0" quotePrefix="0" xfId="0"/>
    <xf numFmtId="164" fontId="8" fillId="0" borderId="1" pivotButton="0" quotePrefix="0" xfId="0"/>
    <xf numFmtId="0" fontId="4" fillId="4" borderId="1" pivotButton="0" quotePrefix="0" xfId="0"/>
    <xf numFmtId="4" fontId="4" fillId="4" borderId="1" pivotButton="0" quotePrefix="0" xfId="0"/>
    <xf numFmtId="164" fontId="9" fillId="4" borderId="1" pivotButton="0" quotePrefix="0" xfId="0"/>
    <xf numFmtId="164" fontId="10" fillId="3" borderId="1" pivotButton="0" quotePrefix="0" xfId="0"/>
    <xf numFmtId="164" fontId="9" fillId="3" borderId="1" pivotButton="0" quotePrefix="0" xfId="0"/>
    <xf numFmtId="164" fontId="10" fillId="4" borderId="1" pivotButton="0" quotePrefix="0" xfId="0"/>
    <xf numFmtId="0" fontId="4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6" fillId="2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4762500" cy="333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6</row>
      <rowOff>0</rowOff>
    </from>
    <ext cx="4762500" cy="3333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28</row>
      <rowOff>0</rowOff>
    </from>
    <ext cx="4762500" cy="3333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28</row>
      <rowOff>0</rowOff>
    </from>
    <ext cx="4762500" cy="3333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50</row>
      <rowOff>0</rowOff>
    </from>
    <ext cx="4762500" cy="3333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50</row>
      <rowOff>0</rowOff>
    </from>
    <ext cx="4762500" cy="3333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4" customWidth="1" min="8" max="8"/>
  </cols>
  <sheetData>
    <row r="2" ht="35" customHeight="1">
      <c r="B2" s="1" t="inlineStr">
        <is>
          <t>WCC</t>
        </is>
      </c>
    </row>
    <row r="4" ht="35" customHeight="1">
      <c r="B4" s="1" t="inlineStr">
        <is>
          <t>Trial Balance Analysis</t>
        </is>
      </c>
    </row>
    <row r="6" ht="24" customHeight="1">
      <c r="B6" s="2" t="inlineStr">
        <is>
          <t>Client: Balance Sheet as at 31 March 2025</t>
        </is>
      </c>
      <c r="C6" s="33" t="n"/>
      <c r="D6" s="33" t="n"/>
      <c r="E6" s="33" t="n"/>
      <c r="F6" s="33" t="n"/>
      <c r="G6" s="34" t="n"/>
    </row>
    <row r="8" ht="24" customHeight="1">
      <c r="B8" s="2" t="inlineStr">
        <is>
          <t>Analysis Date: June 10, 2026</t>
        </is>
      </c>
      <c r="C8" s="33" t="n"/>
      <c r="D8" s="33" t="n"/>
      <c r="E8" s="33" t="n"/>
      <c r="F8" s="33" t="n"/>
      <c r="G8" s="34" t="n"/>
    </row>
    <row r="11" ht="35" customHeight="1">
      <c r="B11" s="1" t="inlineStr">
        <is>
          <t>Analysis Summary</t>
        </is>
      </c>
    </row>
    <row r="13" ht="24" customHeight="1">
      <c r="B13" s="4" t="inlineStr">
        <is>
          <t xml:space="preserve">  • Balance Sheet Analysis</t>
        </is>
      </c>
      <c r="C13" s="33" t="n"/>
      <c r="D13" s="33" t="n"/>
      <c r="E13" s="33" t="n"/>
      <c r="F13" s="33" t="n"/>
      <c r="G13" s="34" t="n"/>
    </row>
    <row r="14" ht="24" customHeight="1">
      <c r="B14" s="4" t="inlineStr">
        <is>
          <t xml:space="preserve">  • Profit and Loss Analysis</t>
        </is>
      </c>
      <c r="C14" s="33" t="n"/>
      <c r="D14" s="33" t="n"/>
      <c r="E14" s="33" t="n"/>
      <c r="F14" s="33" t="n"/>
      <c r="G14" s="34" t="n"/>
    </row>
    <row r="15" ht="24" customHeight="1">
      <c r="B15" s="4" t="inlineStr">
        <is>
          <t xml:space="preserve">  • Ratio and Relations Analysis</t>
        </is>
      </c>
      <c r="C15" s="33" t="n"/>
      <c r="D15" s="33" t="n"/>
      <c r="E15" s="33" t="n"/>
      <c r="F15" s="33" t="n"/>
      <c r="G15" s="34" t="n"/>
    </row>
    <row r="16" ht="24" customHeight="1">
      <c r="B16" s="4" t="inlineStr">
        <is>
          <t xml:space="preserve">  • Visual Analytics and Charts</t>
        </is>
      </c>
      <c r="C16" s="33" t="n"/>
      <c r="D16" s="33" t="n"/>
      <c r="E16" s="33" t="n"/>
      <c r="F16" s="33" t="n"/>
      <c r="G16" s="34" t="n"/>
    </row>
    <row r="17" ht="24" customHeight="1">
      <c r="B17" s="4" t="inlineStr">
        <is>
          <t xml:space="preserve">  • Year-over-Year Comparisons</t>
        </is>
      </c>
      <c r="C17" s="33" t="n"/>
      <c r="D17" s="33" t="n"/>
      <c r="E17" s="33" t="n"/>
      <c r="F17" s="33" t="n"/>
      <c r="G17" s="34" t="n"/>
    </row>
    <row r="18" ht="24" customHeight="1">
      <c r="B18" s="4" t="inlineStr">
        <is>
          <t xml:space="preserve">  • Data Validation Checks</t>
        </is>
      </c>
      <c r="C18" s="33" t="n"/>
      <c r="D18" s="33" t="n"/>
      <c r="E18" s="33" t="n"/>
      <c r="F18" s="33" t="n"/>
      <c r="G18" s="34" t="n"/>
    </row>
    <row r="21" ht="20" customHeight="1">
      <c r="B21" s="5" t="inlineStr">
        <is>
          <t>Confidential - For Internal Use Only</t>
        </is>
      </c>
    </row>
  </sheetData>
  <mergeCells count="12">
    <mergeCell ref="B2:G2"/>
    <mergeCell ref="B16:G16"/>
    <mergeCell ref="B14:G14"/>
    <mergeCell ref="B17:G17"/>
    <mergeCell ref="B8:G8"/>
    <mergeCell ref="B4:G4"/>
    <mergeCell ref="B18:G18"/>
    <mergeCell ref="B13:G13"/>
    <mergeCell ref="B21:G21"/>
    <mergeCell ref="B15:G15"/>
    <mergeCell ref="B11:G11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16" customWidth="1" min="4" max="4"/>
    <col width="16" customWidth="1" min="5" max="5"/>
    <col width="12" customWidth="1" min="6" max="6"/>
    <col width="45" customWidth="1" min="7" max="7"/>
  </cols>
  <sheetData>
    <row r="1">
      <c r="A1" s="6" t="inlineStr">
        <is>
          <t>Firm Name:</t>
        </is>
      </c>
      <c r="C1" s="7" t="inlineStr">
        <is>
          <t>WCC</t>
        </is>
      </c>
      <c r="F1" s="8" t="inlineStr">
        <is>
          <t>Legends</t>
        </is>
      </c>
    </row>
    <row r="2">
      <c r="A2" s="6" t="inlineStr">
        <is>
          <t>Client Name:</t>
        </is>
      </c>
      <c r="C2" s="7" t="inlineStr">
        <is>
          <t>Balance Sheet as at 31 March 2025</t>
        </is>
      </c>
      <c r="F2" s="8" t="inlineStr">
        <is>
          <t>a</t>
        </is>
      </c>
      <c r="G2" s="7" t="inlineStr">
        <is>
          <t>Traced to Financials for the year ended 31 March 2024</t>
        </is>
      </c>
    </row>
    <row r="3">
      <c r="A3" s="6" t="inlineStr">
        <is>
          <t>Analysis of Balance Sheet</t>
        </is>
      </c>
      <c r="F3" s="8" t="inlineStr">
        <is>
          <t>b</t>
        </is>
      </c>
      <c r="G3" s="7" t="inlineStr">
        <is>
          <t>Traced to Financials for the year ended 31 March 2025</t>
        </is>
      </c>
    </row>
    <row r="4">
      <c r="A4" s="7" t="inlineStr">
        <is>
          <t>As at 31 March 2025 vs 31 March 2024</t>
        </is>
      </c>
      <c r="F4" s="8" t="inlineStr">
        <is>
          <t>e</t>
        </is>
      </c>
      <c r="G4" s="7" t="inlineStr">
        <is>
          <t>Recomputed</t>
        </is>
      </c>
    </row>
    <row r="5">
      <c r="A5" s="7" t="inlineStr">
        <is>
          <t>(Rs. In Actuals)</t>
        </is>
      </c>
      <c r="C5" s="7" t="inlineStr">
        <is>
          <t>Generated on: 10 June 2026, 11:11:56</t>
        </is>
      </c>
    </row>
    <row r="6">
      <c r="A6" s="7" t="inlineStr">
        <is>
          <t>Scope: All variances above TE and (+/-) 10% have been selected for analysis</t>
        </is>
      </c>
    </row>
    <row r="7">
      <c r="C7" s="9" t="inlineStr">
        <is>
          <t>b</t>
        </is>
      </c>
      <c r="D7" s="9" t="inlineStr">
        <is>
          <t>a</t>
        </is>
      </c>
      <c r="E7" s="9" t="inlineStr">
        <is>
          <t>e</t>
        </is>
      </c>
      <c r="F7" s="9" t="inlineStr">
        <is>
          <t>e</t>
        </is>
      </c>
    </row>
    <row r="8">
      <c r="A8" s="10" t="inlineStr">
        <is>
          <t>Particulars</t>
        </is>
      </c>
      <c r="B8" s="10" t="inlineStr">
        <is>
          <t>Note number</t>
        </is>
      </c>
      <c r="C8" s="10" t="inlineStr">
        <is>
          <t>As at
31 March 2025</t>
        </is>
      </c>
      <c r="D8" s="10" t="inlineStr">
        <is>
          <t>As at
31 March 2024</t>
        </is>
      </c>
      <c r="E8" s="10" t="inlineStr">
        <is>
          <t>Variance
(Absolute)</t>
        </is>
      </c>
      <c r="F8" s="10" t="inlineStr">
        <is>
          <t>Variance %</t>
        </is>
      </c>
      <c r="G8" s="10" t="inlineStr">
        <is>
          <t>Remarks</t>
        </is>
      </c>
    </row>
    <row r="9">
      <c r="A9" s="11" t="inlineStr">
        <is>
          <t>Assets</t>
        </is>
      </c>
      <c r="B9" s="11" t="inlineStr"/>
      <c r="C9" s="12" t="n">
        <v>0</v>
      </c>
      <c r="D9" s="12" t="n">
        <v>0</v>
      </c>
      <c r="E9" s="12">
        <f>C9-D9</f>
        <v/>
      </c>
      <c r="F9" s="13">
        <f>IF(D9=0, "", (C9-D9)/ABS(D9))</f>
        <v/>
      </c>
      <c r="G9" s="11" t="inlineStr"/>
    </row>
    <row r="10">
      <c r="A10" s="11" t="inlineStr">
        <is>
          <t>Non-current assets</t>
        </is>
      </c>
      <c r="B10" s="11" t="inlineStr"/>
      <c r="C10" s="12" t="n">
        <v>0</v>
      </c>
      <c r="D10" s="12" t="n">
        <v>0</v>
      </c>
      <c r="E10" s="12">
        <f>C10-D10</f>
        <v/>
      </c>
      <c r="F10" s="13">
        <f>IF(D10=0, "", (C10-D10)/ABS(D10))</f>
        <v/>
      </c>
      <c r="G10" s="11" t="inlineStr"/>
    </row>
    <row r="11">
      <c r="A11" s="14" t="inlineStr">
        <is>
          <t>Property,plant and equipment</t>
        </is>
      </c>
      <c r="B11" s="14" t="inlineStr">
        <is>
          <t>3</t>
        </is>
      </c>
      <c r="C11" s="15" t="n">
        <v>381.67</v>
      </c>
      <c r="D11" s="15" t="n">
        <v>589.3099999999999</v>
      </c>
      <c r="E11" s="15">
        <f>C11-D11</f>
        <v/>
      </c>
      <c r="F11" s="16">
        <f>IF(D11=0, "", (C11-D11)/ABS(D11))</f>
        <v/>
      </c>
      <c r="G11" s="14" t="inlineStr"/>
    </row>
    <row r="12">
      <c r="A12" s="14" t="inlineStr">
        <is>
          <t>Other Intangible assets</t>
        </is>
      </c>
      <c r="B12" s="14" t="inlineStr">
        <is>
          <t>4</t>
        </is>
      </c>
      <c r="C12" s="15" t="n">
        <v>3913.86</v>
      </c>
      <c r="D12" s="15" t="n">
        <v>3214.71</v>
      </c>
      <c r="E12" s="15">
        <f>C12-D12</f>
        <v/>
      </c>
      <c r="F12" s="17">
        <f>IF(D12=0, "", (C12-D12)/ABS(D12))</f>
        <v/>
      </c>
      <c r="G12" s="14" t="inlineStr"/>
    </row>
    <row r="13">
      <c r="A13" s="18" t="inlineStr">
        <is>
          <t>Right-of-use of assets</t>
        </is>
      </c>
      <c r="B13" s="18" t="inlineStr">
        <is>
          <t>29</t>
        </is>
      </c>
      <c r="C13" s="19" t="n">
        <v>752.25</v>
      </c>
      <c r="D13" s="19" t="n">
        <v>754.6900000000001</v>
      </c>
      <c r="E13" s="19">
        <f>C13-D13</f>
        <v/>
      </c>
      <c r="F13" s="20">
        <f>IF(D13=0, "", (C13-D13)/ABS(D13))</f>
        <v/>
      </c>
      <c r="G13" s="18" t="inlineStr"/>
    </row>
    <row r="14">
      <c r="A14" s="14" t="inlineStr">
        <is>
          <t>Intangible assets under development</t>
        </is>
      </c>
      <c r="B14" s="14" t="inlineStr">
        <is>
          <t>4</t>
        </is>
      </c>
      <c r="C14" s="15" t="n">
        <v>0</v>
      </c>
      <c r="D14" s="15" t="n">
        <v>589</v>
      </c>
      <c r="E14" s="15">
        <f>C14-D14</f>
        <v/>
      </c>
      <c r="F14" s="16">
        <f>IF(D14=0, "", (C14-D14)/ABS(D14))</f>
        <v/>
      </c>
      <c r="G14" s="14" t="inlineStr"/>
    </row>
    <row r="15">
      <c r="A15" s="18" t="inlineStr">
        <is>
          <t>Other intangible assets</t>
        </is>
      </c>
      <c r="B15" s="18" t="inlineStr">
        <is>
          <t>4</t>
        </is>
      </c>
      <c r="C15" s="19" t="n">
        <v>0</v>
      </c>
      <c r="D15" s="19" t="n">
        <v>0</v>
      </c>
      <c r="E15" s="19">
        <f>C15-D15</f>
        <v/>
      </c>
      <c r="F15" s="21">
        <f>IF(D15=0, "", (C15-D15)/ABS(D15))</f>
        <v/>
      </c>
      <c r="G15" s="18" t="inlineStr"/>
    </row>
    <row r="16">
      <c r="A16" s="18" t="inlineStr">
        <is>
          <t>Financial assets</t>
        </is>
      </c>
      <c r="B16" s="18" t="inlineStr"/>
      <c r="C16" s="19" t="n">
        <v>0</v>
      </c>
      <c r="D16" s="19" t="n">
        <v>0</v>
      </c>
      <c r="E16" s="19">
        <f>C16-D16</f>
        <v/>
      </c>
      <c r="F16" s="21">
        <f>IF(D16=0, "", (C16-D16)/ABS(D16))</f>
        <v/>
      </c>
      <c r="G16" s="18" t="inlineStr"/>
    </row>
    <row r="17">
      <c r="A17" s="14" t="inlineStr">
        <is>
          <t>Other financial assets</t>
        </is>
      </c>
      <c r="B17" s="14" t="inlineStr">
        <is>
          <t>5</t>
        </is>
      </c>
      <c r="C17" s="15" t="n">
        <v>443.53</v>
      </c>
      <c r="D17" s="15" t="n">
        <v>773</v>
      </c>
      <c r="E17" s="15">
        <f>C17-D17</f>
        <v/>
      </c>
      <c r="F17" s="16">
        <f>IF(D17=0, "", (C17-D17)/ABS(D17))</f>
        <v/>
      </c>
      <c r="G17" s="14" t="inlineStr"/>
    </row>
    <row r="18">
      <c r="A18" s="18" t="inlineStr">
        <is>
          <t>Deferred tax assets (net)</t>
        </is>
      </c>
      <c r="B18" s="18" t="inlineStr">
        <is>
          <t>26</t>
        </is>
      </c>
      <c r="C18" s="19" t="n">
        <v>398.72</v>
      </c>
      <c r="D18" s="19" t="n">
        <v>398.52</v>
      </c>
      <c r="E18" s="19">
        <f>C18-D18</f>
        <v/>
      </c>
      <c r="F18" s="22">
        <f>IF(D18=0, "", (C18-D18)/ABS(D18))</f>
        <v/>
      </c>
      <c r="G18" s="18" t="inlineStr"/>
    </row>
    <row r="19">
      <c r="A19" s="14" t="inlineStr">
        <is>
          <t>Income tax assets (net)</t>
        </is>
      </c>
      <c r="B19" s="14" t="inlineStr">
        <is>
          <t>26</t>
        </is>
      </c>
      <c r="C19" s="15" t="n">
        <v>981.26</v>
      </c>
      <c r="D19" s="15" t="n">
        <v>1849.65</v>
      </c>
      <c r="E19" s="15">
        <f>C19-D19</f>
        <v/>
      </c>
      <c r="F19" s="16">
        <f>IF(D19=0, "", (C19-D19)/ABS(D19))</f>
        <v/>
      </c>
      <c r="G19" s="14" t="inlineStr"/>
    </row>
    <row r="20">
      <c r="A20" s="23" t="inlineStr">
        <is>
          <t>Total non-current assets</t>
        </is>
      </c>
      <c r="B20" s="23" t="inlineStr"/>
      <c r="C20" s="24" t="n">
        <v>6871.28</v>
      </c>
      <c r="D20" s="24" t="n">
        <v>8169.88</v>
      </c>
      <c r="E20" s="24">
        <f>C20-D20</f>
        <v/>
      </c>
      <c r="F20" s="25">
        <f>IF(D20=0, "", (C20-D20)/ABS(D20))</f>
        <v/>
      </c>
      <c r="G20" s="23" t="inlineStr"/>
    </row>
    <row r="21">
      <c r="A21" s="11" t="inlineStr">
        <is>
          <t>Current assets</t>
        </is>
      </c>
      <c r="B21" s="11" t="inlineStr"/>
      <c r="C21" s="12" t="n">
        <v>0</v>
      </c>
      <c r="D21" s="12" t="n">
        <v>0</v>
      </c>
      <c r="E21" s="12">
        <f>C21-D21</f>
        <v/>
      </c>
      <c r="F21" s="13">
        <f>IF(D21=0, "", (C21-D21)/ABS(D21))</f>
        <v/>
      </c>
      <c r="G21" s="11" t="inlineStr"/>
    </row>
    <row r="22">
      <c r="A22" s="18" t="inlineStr">
        <is>
          <t>Financial assets</t>
        </is>
      </c>
      <c r="B22" s="18" t="inlineStr"/>
      <c r="C22" s="19" t="n">
        <v>0</v>
      </c>
      <c r="D22" s="19" t="n">
        <v>0</v>
      </c>
      <c r="E22" s="19">
        <f>C22-D22</f>
        <v/>
      </c>
      <c r="F22" s="21">
        <f>IF(D22=0, "", (C22-D22)/ABS(D22))</f>
        <v/>
      </c>
      <c r="G22" s="18" t="inlineStr"/>
    </row>
    <row r="23">
      <c r="A23" s="18" t="inlineStr">
        <is>
          <t>Investments</t>
        </is>
      </c>
      <c r="B23" s="18" t="inlineStr">
        <is>
          <t>7</t>
        </is>
      </c>
      <c r="C23" s="19" t="n">
        <v>0</v>
      </c>
      <c r="D23" s="19" t="n">
        <v>0</v>
      </c>
      <c r="E23" s="19">
        <f>C23-D23</f>
        <v/>
      </c>
      <c r="F23" s="21">
        <f>IF(D23=0, "", (C23-D23)/ABS(D23))</f>
        <v/>
      </c>
      <c r="G23" s="18" t="inlineStr"/>
    </row>
    <row r="24">
      <c r="A24" s="14" t="inlineStr">
        <is>
          <t>Trade receivables</t>
        </is>
      </c>
      <c r="B24" s="14" t="inlineStr">
        <is>
          <t>8</t>
        </is>
      </c>
      <c r="C24" s="15" t="n">
        <v>9350.360000000001</v>
      </c>
      <c r="D24" s="15" t="n">
        <v>11738.93</v>
      </c>
      <c r="E24" s="15">
        <f>C24-D24</f>
        <v/>
      </c>
      <c r="F24" s="16">
        <f>IF(D24=0, "", (C24-D24)/ABS(D24))</f>
        <v/>
      </c>
      <c r="G24" s="14" t="inlineStr"/>
    </row>
    <row r="25">
      <c r="A25" s="14" t="inlineStr">
        <is>
          <t>Cash and cash equivalents</t>
        </is>
      </c>
      <c r="B25" s="14" t="inlineStr">
        <is>
          <t>9</t>
        </is>
      </c>
      <c r="C25" s="15" t="n">
        <v>5497.65</v>
      </c>
      <c r="D25" s="15" t="n">
        <v>3886.77</v>
      </c>
      <c r="E25" s="15">
        <f>C25-D25</f>
        <v/>
      </c>
      <c r="F25" s="17">
        <f>IF(D25=0, "", (C25-D25)/ABS(D25))</f>
        <v/>
      </c>
      <c r="G25" s="14" t="inlineStr"/>
    </row>
    <row r="26">
      <c r="A26" s="14" t="inlineStr">
        <is>
          <t>Bank balances other than cash and cash equivalents above</t>
        </is>
      </c>
      <c r="B26" s="14" t="inlineStr">
        <is>
          <t>10</t>
        </is>
      </c>
      <c r="C26" s="15" t="n">
        <v>2.4</v>
      </c>
      <c r="D26" s="15" t="n">
        <v>2247.86</v>
      </c>
      <c r="E26" s="15">
        <f>C26-D26</f>
        <v/>
      </c>
      <c r="F26" s="16">
        <f>IF(D26=0, "", (C26-D26)/ABS(D26))</f>
        <v/>
      </c>
      <c r="G26" s="14" t="inlineStr"/>
    </row>
    <row r="27">
      <c r="A27" s="14" t="inlineStr">
        <is>
          <t>Other financial assets</t>
        </is>
      </c>
      <c r="B27" s="14" t="inlineStr">
        <is>
          <t>5</t>
        </is>
      </c>
      <c r="C27" s="15" t="n">
        <v>204.4</v>
      </c>
      <c r="D27" s="15" t="n">
        <v>129</v>
      </c>
      <c r="E27" s="15">
        <f>C27-D27</f>
        <v/>
      </c>
      <c r="F27" s="17">
        <f>IF(D27=0, "", (C27-D27)/ABS(D27))</f>
        <v/>
      </c>
      <c r="G27" s="14" t="inlineStr"/>
    </row>
    <row r="28">
      <c r="A28" s="14" t="inlineStr">
        <is>
          <t>Other current assets</t>
        </is>
      </c>
      <c r="B28" s="14" t="inlineStr">
        <is>
          <t>6</t>
        </is>
      </c>
      <c r="C28" s="15" t="n">
        <v>2176.43</v>
      </c>
      <c r="D28" s="15" t="n">
        <v>2591.13</v>
      </c>
      <c r="E28" s="15">
        <f>C28-D28</f>
        <v/>
      </c>
      <c r="F28" s="16">
        <f>IF(D28=0, "", (C28-D28)/ABS(D28))</f>
        <v/>
      </c>
      <c r="G28" s="14" t="inlineStr"/>
    </row>
    <row r="29">
      <c r="A29" s="23" t="inlineStr">
        <is>
          <t>Total current assets</t>
        </is>
      </c>
      <c r="B29" s="23" t="inlineStr"/>
      <c r="C29" s="24" t="n">
        <v>17231.24</v>
      </c>
      <c r="D29" s="24" t="n">
        <v>20593.7</v>
      </c>
      <c r="E29" s="24">
        <f>C29-D29</f>
        <v/>
      </c>
      <c r="F29" s="25">
        <f>IF(D29=0, "", (C29-D29)/ABS(D29))</f>
        <v/>
      </c>
      <c r="G29" s="23" t="inlineStr"/>
    </row>
    <row r="30">
      <c r="A30" s="23" t="inlineStr">
        <is>
          <t>Total assets</t>
        </is>
      </c>
      <c r="B30" s="23" t="inlineStr"/>
      <c r="C30" s="24" t="n">
        <v>24102.52</v>
      </c>
      <c r="D30" s="24" t="n">
        <v>28763.57</v>
      </c>
      <c r="E30" s="24">
        <f>C30-D30</f>
        <v/>
      </c>
      <c r="F30" s="25">
        <f>IF(D30=0, "", (C30-D30)/ABS(D30))</f>
        <v/>
      </c>
      <c r="G30" s="23" t="inlineStr"/>
    </row>
    <row r="31">
      <c r="A31" s="11" t="inlineStr">
        <is>
          <t>Equity and liabilities</t>
        </is>
      </c>
      <c r="B31" s="11" t="inlineStr"/>
      <c r="C31" s="12" t="n">
        <v>0</v>
      </c>
      <c r="D31" s="12" t="n">
        <v>0</v>
      </c>
      <c r="E31" s="12">
        <f>C31-D31</f>
        <v/>
      </c>
      <c r="F31" s="13">
        <f>IF(D31=0, "", (C31-D31)/ABS(D31))</f>
        <v/>
      </c>
      <c r="G31" s="11" t="inlineStr"/>
    </row>
    <row r="32">
      <c r="A32" s="11" t="inlineStr">
        <is>
          <t>Equity</t>
        </is>
      </c>
      <c r="B32" s="11" t="inlineStr"/>
      <c r="C32" s="12" t="n">
        <v>0</v>
      </c>
      <c r="D32" s="12" t="n">
        <v>0</v>
      </c>
      <c r="E32" s="12">
        <f>C32-D32</f>
        <v/>
      </c>
      <c r="F32" s="13">
        <f>IF(D32=0, "", (C32-D32)/ABS(D32))</f>
        <v/>
      </c>
      <c r="G32" s="11" t="inlineStr"/>
    </row>
    <row r="33">
      <c r="A33" s="18" t="inlineStr">
        <is>
          <t>Share capital</t>
        </is>
      </c>
      <c r="B33" s="18" t="inlineStr">
        <is>
          <t>11</t>
        </is>
      </c>
      <c r="C33" s="19" t="n">
        <v>50.62</v>
      </c>
      <c r="D33" s="19" t="n">
        <v>50.62</v>
      </c>
      <c r="E33" s="19">
        <f>C33-D33</f>
        <v/>
      </c>
      <c r="F33" s="21">
        <f>IF(D33=0, "", (C33-D33)/ABS(D33))</f>
        <v/>
      </c>
      <c r="G33" s="18" t="inlineStr"/>
    </row>
    <row r="34">
      <c r="A34" s="18" t="inlineStr">
        <is>
          <t>Other equity</t>
        </is>
      </c>
      <c r="B34" s="18" t="inlineStr">
        <is>
          <t>12</t>
        </is>
      </c>
      <c r="C34" s="19" t="n">
        <v>11476.71</v>
      </c>
      <c r="D34" s="19" t="n">
        <v>11364.98</v>
      </c>
      <c r="E34" s="19">
        <f>C34-D34</f>
        <v/>
      </c>
      <c r="F34" s="22">
        <f>IF(D34=0, "", (C34-D34)/ABS(D34))</f>
        <v/>
      </c>
      <c r="G34" s="18" t="inlineStr"/>
    </row>
    <row r="35">
      <c r="A35" s="18" t="inlineStr">
        <is>
          <t>c) Share application pending allotment</t>
        </is>
      </c>
      <c r="B35" s="18" t="inlineStr">
        <is>
          <t>12</t>
        </is>
      </c>
      <c r="C35" s="19" t="n">
        <v>0</v>
      </c>
      <c r="D35" s="19" t="n">
        <v>0</v>
      </c>
      <c r="E35" s="19">
        <f>C35-D35</f>
        <v/>
      </c>
      <c r="F35" s="21">
        <f>IF(D35=0, "", (C35-D35)/ABS(D35))</f>
        <v/>
      </c>
      <c r="G35" s="18" t="inlineStr"/>
    </row>
    <row r="36">
      <c r="A36" s="11" t="inlineStr">
        <is>
          <t>Total equity</t>
        </is>
      </c>
      <c r="B36" s="11" t="inlineStr"/>
      <c r="C36" s="12" t="n">
        <v>11527.32</v>
      </c>
      <c r="D36" s="12" t="n">
        <v>11415.89</v>
      </c>
      <c r="E36" s="12">
        <f>C36-D36</f>
        <v/>
      </c>
      <c r="F36" s="26">
        <f>IF(D36=0, "", (C36-D36)/ABS(D36))</f>
        <v/>
      </c>
      <c r="G36" s="11" t="inlineStr"/>
    </row>
    <row r="37">
      <c r="A37" s="11" t="inlineStr">
        <is>
          <t>Liabilities</t>
        </is>
      </c>
      <c r="B37" s="11" t="inlineStr"/>
      <c r="C37" s="12" t="n">
        <v>0</v>
      </c>
      <c r="D37" s="12" t="n">
        <v>0</v>
      </c>
      <c r="E37" s="12">
        <f>C37-D37</f>
        <v/>
      </c>
      <c r="F37" s="13">
        <f>IF(D37=0, "", (C37-D37)/ABS(D37))</f>
        <v/>
      </c>
      <c r="G37" s="11" t="inlineStr"/>
    </row>
    <row r="38">
      <c r="A38" s="11" t="inlineStr">
        <is>
          <t>Non-current liabilities</t>
        </is>
      </c>
      <c r="B38" s="11" t="inlineStr"/>
      <c r="C38" s="12" t="n">
        <v>0</v>
      </c>
      <c r="D38" s="12" t="n">
        <v>0</v>
      </c>
      <c r="E38" s="12">
        <f>C38-D38</f>
        <v/>
      </c>
      <c r="F38" s="13">
        <f>IF(D38=0, "", (C38-D38)/ABS(D38))</f>
        <v/>
      </c>
      <c r="G38" s="11" t="inlineStr"/>
    </row>
    <row r="39">
      <c r="A39" s="14" t="inlineStr">
        <is>
          <t>Employee benefit obligations</t>
        </is>
      </c>
      <c r="B39" s="14" t="inlineStr">
        <is>
          <t>13</t>
        </is>
      </c>
      <c r="C39" s="15" t="n">
        <v>0</v>
      </c>
      <c r="D39" s="15" t="n">
        <v>897.0700000000001</v>
      </c>
      <c r="E39" s="15">
        <f>C39-D39</f>
        <v/>
      </c>
      <c r="F39" s="16">
        <f>IF(D39=0, "", (C39-D39)/ABS(D39))</f>
        <v/>
      </c>
      <c r="G39" s="14" t="inlineStr"/>
    </row>
    <row r="40">
      <c r="A40" s="18" t="inlineStr">
        <is>
          <t>Financial liabilities</t>
        </is>
      </c>
      <c r="B40" s="18" t="inlineStr"/>
      <c r="C40" s="19" t="n">
        <v>0</v>
      </c>
      <c r="D40" s="19" t="n">
        <v>0</v>
      </c>
      <c r="E40" s="19">
        <f>C40-D40</f>
        <v/>
      </c>
      <c r="F40" s="21">
        <f>IF(D40=0, "", (C40-D40)/ABS(D40))</f>
        <v/>
      </c>
      <c r="G40" s="18" t="inlineStr"/>
    </row>
    <row r="41">
      <c r="A41" s="18" t="inlineStr">
        <is>
          <t>Lease liabilities</t>
        </is>
      </c>
      <c r="B41" s="18" t="inlineStr">
        <is>
          <t>29</t>
        </is>
      </c>
      <c r="C41" s="19" t="n">
        <v>691.5</v>
      </c>
      <c r="D41" s="19" t="n">
        <v>690.21</v>
      </c>
      <c r="E41" s="19">
        <f>C41-D41</f>
        <v/>
      </c>
      <c r="F41" s="22">
        <f>IF(D41=0, "", (C41-D41)/ABS(D41))</f>
        <v/>
      </c>
      <c r="G41" s="18" t="inlineStr"/>
    </row>
    <row r="42">
      <c r="A42" s="18" t="inlineStr">
        <is>
          <t>b) Other long-term liabilities</t>
        </is>
      </c>
      <c r="B42" s="18" t="inlineStr"/>
      <c r="C42" s="19" t="n">
        <v>0</v>
      </c>
      <c r="D42" s="19" t="n">
        <v>0</v>
      </c>
      <c r="E42" s="19">
        <f>C42-D42</f>
        <v/>
      </c>
      <c r="F42" s="21">
        <f>IF(D42=0, "", (C42-D42)/ABS(D42))</f>
        <v/>
      </c>
      <c r="G42" s="18" t="inlineStr"/>
    </row>
    <row r="43">
      <c r="A43" s="23" t="inlineStr">
        <is>
          <t>Total non-current liabilities</t>
        </is>
      </c>
      <c r="B43" s="23" t="inlineStr"/>
      <c r="C43" s="24" t="n">
        <v>691.5</v>
      </c>
      <c r="D43" s="24" t="n">
        <v>1587.28</v>
      </c>
      <c r="E43" s="24">
        <f>C43-D43</f>
        <v/>
      </c>
      <c r="F43" s="25">
        <f>IF(D43=0, "", (C43-D43)/ABS(D43))</f>
        <v/>
      </c>
      <c r="G43" s="23" t="inlineStr"/>
    </row>
    <row r="44">
      <c r="A44" s="11" t="inlineStr">
        <is>
          <t>Current liabilities</t>
        </is>
      </c>
      <c r="B44" s="11" t="inlineStr"/>
      <c r="C44" s="12" t="n">
        <v>0</v>
      </c>
      <c r="D44" s="12" t="n">
        <v>0</v>
      </c>
      <c r="E44" s="12">
        <f>C44-D44</f>
        <v/>
      </c>
      <c r="F44" s="13">
        <f>IF(D44=0, "", (C44-D44)/ABS(D44))</f>
        <v/>
      </c>
      <c r="G44" s="11" t="inlineStr"/>
    </row>
    <row r="45">
      <c r="A45" s="18" t="inlineStr">
        <is>
          <t>Financial liabilities</t>
        </is>
      </c>
      <c r="B45" s="18" t="inlineStr"/>
      <c r="C45" s="19" t="n">
        <v>0</v>
      </c>
      <c r="D45" s="19" t="n">
        <v>0</v>
      </c>
      <c r="E45" s="19">
        <f>C45-D45</f>
        <v/>
      </c>
      <c r="F45" s="21">
        <f>IF(D45=0, "", (C45-D45)/ABS(D45))</f>
        <v/>
      </c>
      <c r="G45" s="18" t="inlineStr"/>
    </row>
    <row r="46">
      <c r="A46" s="18" t="inlineStr">
        <is>
          <t>Lease liabilities</t>
        </is>
      </c>
      <c r="B46" s="18" t="inlineStr">
        <is>
          <t>29</t>
        </is>
      </c>
      <c r="C46" s="19" t="n">
        <v>326.74</v>
      </c>
      <c r="D46" s="19" t="n">
        <v>314.57</v>
      </c>
      <c r="E46" s="19">
        <f>C46-D46</f>
        <v/>
      </c>
      <c r="F46" s="22">
        <f>IF(D46=0, "", (C46-D46)/ABS(D46))</f>
        <v/>
      </c>
      <c r="G46" s="18" t="inlineStr"/>
    </row>
    <row r="47">
      <c r="A47" s="18" t="inlineStr">
        <is>
          <t>Trade payables</t>
        </is>
      </c>
      <c r="B47" s="18" t="inlineStr"/>
      <c r="C47" s="19" t="n">
        <v>0</v>
      </c>
      <c r="D47" s="19" t="n">
        <v>0</v>
      </c>
      <c r="E47" s="19">
        <f>C47-D47</f>
        <v/>
      </c>
      <c r="F47" s="21">
        <f>IF(D47=0, "", (C47-D47)/ABS(D47))</f>
        <v/>
      </c>
      <c r="G47" s="18" t="inlineStr"/>
    </row>
    <row r="48">
      <c r="A48" s="14" t="inlineStr">
        <is>
          <t>Total outstanding dues of micro enterprises and small enterprises; and</t>
        </is>
      </c>
      <c r="B48" s="14" t="inlineStr">
        <is>
          <t>14</t>
        </is>
      </c>
      <c r="C48" s="15" t="n">
        <v>0.95</v>
      </c>
      <c r="D48" s="15" t="n">
        <v>78.56</v>
      </c>
      <c r="E48" s="15">
        <f>C48-D48</f>
        <v/>
      </c>
      <c r="F48" s="16">
        <f>IF(D48=0, "", (C48-D48)/ABS(D48))</f>
        <v/>
      </c>
      <c r="G48" s="14" t="inlineStr"/>
    </row>
    <row r="49">
      <c r="A49" s="14" t="inlineStr">
        <is>
          <t>Total outstanding dues of creditors other than micro enterprises and small enterprises</t>
        </is>
      </c>
      <c r="B49" s="14" t="inlineStr">
        <is>
          <t>14</t>
        </is>
      </c>
      <c r="C49" s="15" t="n">
        <v>5144.52</v>
      </c>
      <c r="D49" s="15" t="n">
        <v>8312.719999999999</v>
      </c>
      <c r="E49" s="15">
        <f>C49-D49</f>
        <v/>
      </c>
      <c r="F49" s="16">
        <f>IF(D49=0, "", (C49-D49)/ABS(D49))</f>
        <v/>
      </c>
      <c r="G49" s="14" t="inlineStr"/>
    </row>
    <row r="50">
      <c r="A50" s="14" t="inlineStr">
        <is>
          <t>Other financial liabilities</t>
        </is>
      </c>
      <c r="B50" s="14" t="inlineStr">
        <is>
          <t>15</t>
        </is>
      </c>
      <c r="C50" s="15" t="n">
        <v>4189.17</v>
      </c>
      <c r="D50" s="15" t="n">
        <v>5272.34</v>
      </c>
      <c r="E50" s="15">
        <f>C50-D50</f>
        <v/>
      </c>
      <c r="F50" s="16">
        <f>IF(D50=0, "", (C50-D50)/ABS(D50))</f>
        <v/>
      </c>
      <c r="G50" s="14" t="inlineStr"/>
    </row>
    <row r="51">
      <c r="A51" s="14" t="inlineStr">
        <is>
          <t>Employee benefit obligations</t>
        </is>
      </c>
      <c r="B51" s="14" t="inlineStr">
        <is>
          <t>13</t>
        </is>
      </c>
      <c r="C51" s="15" t="n">
        <v>1329.92</v>
      </c>
      <c r="D51" s="15" t="n">
        <v>467.34</v>
      </c>
      <c r="E51" s="15">
        <f>C51-D51</f>
        <v/>
      </c>
      <c r="F51" s="17">
        <f>IF(D51=0, "", (C51-D51)/ABS(D51))</f>
        <v/>
      </c>
      <c r="G51" s="14" t="inlineStr"/>
    </row>
    <row r="52">
      <c r="A52" s="14" t="inlineStr">
        <is>
          <t>Other current liabilities</t>
        </is>
      </c>
      <c r="B52" s="14" t="inlineStr">
        <is>
          <t>16</t>
        </is>
      </c>
      <c r="C52" s="15" t="n">
        <v>892.45</v>
      </c>
      <c r="D52" s="15" t="n">
        <v>1315.11</v>
      </c>
      <c r="E52" s="15">
        <f>C52-D52</f>
        <v/>
      </c>
      <c r="F52" s="16">
        <f>IF(D52=0, "", (C52-D52)/ABS(D52))</f>
        <v/>
      </c>
      <c r="G52" s="14" t="inlineStr"/>
    </row>
    <row r="53">
      <c r="A53" s="18" t="inlineStr">
        <is>
          <t>d) Income tax liabilities(net)</t>
        </is>
      </c>
      <c r="B53" s="18" t="inlineStr">
        <is>
          <t>27</t>
        </is>
      </c>
      <c r="C53" s="19" t="n">
        <v>0</v>
      </c>
      <c r="D53" s="19" t="n">
        <v>0</v>
      </c>
      <c r="E53" s="19">
        <f>C53-D53</f>
        <v/>
      </c>
      <c r="F53" s="21">
        <f>IF(D53=0, "", (C53-D53)/ABS(D53))</f>
        <v/>
      </c>
      <c r="G53" s="18" t="inlineStr"/>
    </row>
    <row r="54">
      <c r="A54" s="23" t="inlineStr">
        <is>
          <t>Total current liabilities</t>
        </is>
      </c>
      <c r="B54" s="23" t="inlineStr"/>
      <c r="C54" s="24" t="n">
        <v>11883.77</v>
      </c>
      <c r="D54" s="24" t="n">
        <v>15760.84</v>
      </c>
      <c r="E54" s="24">
        <f>C54-D54</f>
        <v/>
      </c>
      <c r="F54" s="25">
        <f>IF(D54=0, "", (C54-D54)/ABS(D54))</f>
        <v/>
      </c>
      <c r="G54" s="23" t="inlineStr"/>
    </row>
    <row r="55">
      <c r="A55" s="23" t="inlineStr">
        <is>
          <t>Total liabilities</t>
        </is>
      </c>
      <c r="B55" s="23" t="inlineStr"/>
      <c r="C55" s="24" t="n">
        <v>12575.28</v>
      </c>
      <c r="D55" s="24" t="n">
        <v>17348.12</v>
      </c>
      <c r="E55" s="24">
        <f>C55-D55</f>
        <v/>
      </c>
      <c r="F55" s="25">
        <f>IF(D55=0, "", (C55-D55)/ABS(D55))</f>
        <v/>
      </c>
      <c r="G55" s="23" t="inlineStr"/>
    </row>
    <row r="56">
      <c r="A56" s="23" t="inlineStr">
        <is>
          <t>Total equity and liabilities</t>
        </is>
      </c>
      <c r="B56" s="23" t="inlineStr"/>
      <c r="C56" s="24" t="n">
        <v>24102.6</v>
      </c>
      <c r="D56" s="24" t="n">
        <v>28763.8</v>
      </c>
      <c r="E56" s="24">
        <f>C56-D56</f>
        <v/>
      </c>
      <c r="F56" s="25">
        <f>IF(D56=0, "", (C56-D56)/ABS(D56))</f>
        <v/>
      </c>
      <c r="G56" s="23" t="inlineStr"/>
    </row>
    <row r="57">
      <c r="A57" s="14" t="inlineStr">
        <is>
          <t>Summary of material accounting policies</t>
        </is>
      </c>
      <c r="B57" s="14" t="inlineStr">
        <is>
          <t>2</t>
        </is>
      </c>
      <c r="C57" s="15" t="n">
        <v>0</v>
      </c>
      <c r="D57" s="15" t="n">
        <v>0.22</v>
      </c>
      <c r="E57" s="15">
        <f>C57-D57</f>
        <v/>
      </c>
      <c r="F57" s="16">
        <f>IF(D57=0, "", (C57-D57)/ABS(D57))</f>
        <v/>
      </c>
      <c r="G57" s="14" t="inlineStr"/>
    </row>
    <row r="58">
      <c r="A58" s="18" t="inlineStr">
        <is>
          <t>The accompanying notes are an integral part of the financial statements</t>
        </is>
      </c>
      <c r="B58" s="18" t="inlineStr"/>
      <c r="C58" s="19" t="n">
        <v>0</v>
      </c>
      <c r="D58" s="19" t="n">
        <v>0</v>
      </c>
      <c r="E58" s="19">
        <f>C58-D58</f>
        <v/>
      </c>
      <c r="F58" s="21">
        <f>IF(D58=0, "", (C58-D58)/ABS(D58))</f>
        <v/>
      </c>
      <c r="G58" s="18" t="inlineStr"/>
    </row>
    <row r="59">
      <c r="A59" s="18" t="inlineStr">
        <is>
          <t>As per our report of even date</t>
        </is>
      </c>
      <c r="B59" s="18" t="inlineStr"/>
      <c r="C59" s="19" t="n">
        <v>0</v>
      </c>
      <c r="D59" s="19" t="n">
        <v>0</v>
      </c>
      <c r="E59" s="19">
        <f>C59-D59</f>
        <v/>
      </c>
      <c r="F59" s="21">
        <f>IF(D59=0, "", (C59-D59)/ABS(D59))</f>
        <v/>
      </c>
      <c r="G59" s="18" t="inlineStr"/>
    </row>
    <row r="60">
      <c r="A60" s="18" t="inlineStr">
        <is>
          <t>For Walker Chandiok &amp; Co LLP</t>
        </is>
      </c>
      <c r="B60" s="18" t="inlineStr"/>
      <c r="C60" s="19" t="n">
        <v>0</v>
      </c>
      <c r="D60" s="19" t="n">
        <v>0</v>
      </c>
      <c r="E60" s="19">
        <f>C60-D60</f>
        <v/>
      </c>
      <c r="F60" s="21">
        <f>IF(D60=0, "", (C60-D60)/ABS(D60))</f>
        <v/>
      </c>
      <c r="G60" s="18" t="inlineStr"/>
    </row>
    <row r="61">
      <c r="A61" s="18" t="inlineStr">
        <is>
          <t>Chartered Accountants</t>
        </is>
      </c>
      <c r="B61" s="18" t="inlineStr"/>
      <c r="C61" s="19" t="n">
        <v>0</v>
      </c>
      <c r="D61" s="19" t="n">
        <v>0</v>
      </c>
      <c r="E61" s="19">
        <f>C61-D61</f>
        <v/>
      </c>
      <c r="F61" s="21">
        <f>IF(D61=0, "", (C61-D61)/ABS(D61))</f>
        <v/>
      </c>
      <c r="G61" s="18" t="inlineStr"/>
    </row>
    <row r="62">
      <c r="A62" s="18" t="inlineStr">
        <is>
          <t>Firm's Registration No: 001076N/N500013</t>
        </is>
      </c>
      <c r="B62" s="18" t="inlineStr"/>
      <c r="C62" s="19" t="n">
        <v>0</v>
      </c>
      <c r="D62" s="19" t="n">
        <v>0</v>
      </c>
      <c r="E62" s="19">
        <f>C62-D62</f>
        <v/>
      </c>
      <c r="F62" s="21">
        <f>IF(D62=0, "", (C62-D62)/ABS(D62))</f>
        <v/>
      </c>
      <c r="G62" s="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16" customWidth="1" min="4" max="4"/>
    <col width="16" customWidth="1" min="5" max="5"/>
    <col width="12" customWidth="1" min="6" max="6"/>
    <col width="45" customWidth="1" min="7" max="7"/>
  </cols>
  <sheetData>
    <row r="1">
      <c r="A1" s="6" t="inlineStr">
        <is>
          <t>Firm Name:</t>
        </is>
      </c>
      <c r="C1" s="7" t="inlineStr">
        <is>
          <t>WCC</t>
        </is>
      </c>
      <c r="F1" s="8" t="inlineStr">
        <is>
          <t>Legends</t>
        </is>
      </c>
    </row>
    <row r="2">
      <c r="A2" s="6" t="inlineStr">
        <is>
          <t>Client Name:</t>
        </is>
      </c>
      <c r="C2" s="7" t="inlineStr">
        <is>
          <t>Balance Sheet as at 31 March 2025</t>
        </is>
      </c>
      <c r="F2" s="8" t="inlineStr">
        <is>
          <t>a</t>
        </is>
      </c>
      <c r="G2" s="7" t="inlineStr">
        <is>
          <t>Traced to Financials for the year ended 31 March 2024</t>
        </is>
      </c>
    </row>
    <row r="3">
      <c r="A3" s="6" t="inlineStr">
        <is>
          <t>Analysis of Statement of Profit and Loss</t>
        </is>
      </c>
      <c r="F3" s="8" t="inlineStr">
        <is>
          <t>b</t>
        </is>
      </c>
      <c r="G3" s="7" t="inlineStr">
        <is>
          <t>Traced to Financials for the year ended 31 March 2025</t>
        </is>
      </c>
    </row>
    <row r="4">
      <c r="A4" s="7" t="inlineStr">
        <is>
          <t>For the Year ended 31 March 2025 vs 31 March 2024</t>
        </is>
      </c>
      <c r="F4" s="8" t="inlineStr">
        <is>
          <t>e</t>
        </is>
      </c>
      <c r="G4" s="7" t="inlineStr">
        <is>
          <t>Recomputed</t>
        </is>
      </c>
    </row>
    <row r="5">
      <c r="A5" s="7" t="inlineStr">
        <is>
          <t>(Rs. In Actuals)</t>
        </is>
      </c>
      <c r="C5" s="7" t="inlineStr">
        <is>
          <t>Generated on: 10 June 2026, 11:11:56</t>
        </is>
      </c>
    </row>
    <row r="6">
      <c r="A6" s="7" t="inlineStr">
        <is>
          <t>Scope: All variances above TE and (+/-) 10% have been selected for analysis</t>
        </is>
      </c>
    </row>
    <row r="7">
      <c r="C7" s="9" t="inlineStr">
        <is>
          <t>b</t>
        </is>
      </c>
      <c r="D7" s="9" t="inlineStr">
        <is>
          <t>a</t>
        </is>
      </c>
      <c r="E7" s="9" t="inlineStr">
        <is>
          <t>e</t>
        </is>
      </c>
      <c r="F7" s="9" t="inlineStr">
        <is>
          <t>e</t>
        </is>
      </c>
    </row>
    <row r="8">
      <c r="A8" s="10" t="inlineStr">
        <is>
          <t>Particulars</t>
        </is>
      </c>
      <c r="B8" s="10" t="inlineStr">
        <is>
          <t>Note number</t>
        </is>
      </c>
      <c r="C8" s="10" t="inlineStr">
        <is>
          <t>For the Year ended
31 March 2025</t>
        </is>
      </c>
      <c r="D8" s="10" t="inlineStr">
        <is>
          <t>For the Year ended
31 March 2024</t>
        </is>
      </c>
      <c r="E8" s="10" t="inlineStr">
        <is>
          <t>Absolute Variance</t>
        </is>
      </c>
      <c r="F8" s="10" t="inlineStr">
        <is>
          <t>Variance 
%</t>
        </is>
      </c>
      <c r="G8" s="10" t="inlineStr">
        <is>
          <t>Remarks</t>
        </is>
      </c>
    </row>
    <row r="9">
      <c r="A9" s="11" t="inlineStr">
        <is>
          <t>Revenue</t>
        </is>
      </c>
      <c r="B9" s="11" t="inlineStr"/>
      <c r="C9" s="12" t="n">
        <v>0</v>
      </c>
      <c r="D9" s="12" t="n">
        <v>0</v>
      </c>
      <c r="E9" s="12">
        <f>C9-D9</f>
        <v/>
      </c>
      <c r="F9" s="13">
        <f>IF(D9=0, "", (C9-D9)/ABS(D9))</f>
        <v/>
      </c>
      <c r="G9" s="11" t="inlineStr"/>
    </row>
    <row r="10">
      <c r="A10" s="14" t="inlineStr">
        <is>
          <t>Revenue from contracts with the customers</t>
        </is>
      </c>
      <c r="B10" s="14" t="inlineStr">
        <is>
          <t>17</t>
        </is>
      </c>
      <c r="C10" s="15" t="n">
        <v>23301.29</v>
      </c>
      <c r="D10" s="15" t="n">
        <v>28077.97</v>
      </c>
      <c r="E10" s="15">
        <f>C10-D10</f>
        <v/>
      </c>
      <c r="F10" s="16">
        <f>IF(D10=0, "", (C10-D10)/ABS(D10))</f>
        <v/>
      </c>
      <c r="G10" s="14" t="inlineStr"/>
    </row>
    <row r="11">
      <c r="A11" s="14" t="inlineStr">
        <is>
          <t>Other Income</t>
        </is>
      </c>
      <c r="B11" s="14" t="inlineStr">
        <is>
          <t>18</t>
        </is>
      </c>
      <c r="C11" s="15" t="n">
        <v>261.96</v>
      </c>
      <c r="D11" s="15" t="n">
        <v>385.02</v>
      </c>
      <c r="E11" s="15">
        <f>C11-D11</f>
        <v/>
      </c>
      <c r="F11" s="16">
        <f>IF(D11=0, "", (C11-D11)/ABS(D11))</f>
        <v/>
      </c>
      <c r="G11" s="14" t="inlineStr"/>
    </row>
    <row r="12">
      <c r="A12" s="23" t="inlineStr">
        <is>
          <t>Total Income</t>
        </is>
      </c>
      <c r="B12" s="23" t="inlineStr"/>
      <c r="C12" s="24" t="n">
        <v>23563.25</v>
      </c>
      <c r="D12" s="24" t="n">
        <v>28462.99</v>
      </c>
      <c r="E12" s="24">
        <f>C12-D12</f>
        <v/>
      </c>
      <c r="F12" s="25">
        <f>IF(D12=0, "", (C12-D12)/ABS(D12))</f>
        <v/>
      </c>
      <c r="G12" s="23" t="inlineStr"/>
    </row>
    <row r="13">
      <c r="A13" s="11" t="inlineStr">
        <is>
          <t>Expenses</t>
        </is>
      </c>
      <c r="B13" s="11" t="inlineStr"/>
      <c r="C13" s="12" t="n">
        <v>0</v>
      </c>
      <c r="D13" s="12" t="n">
        <v>0</v>
      </c>
      <c r="E13" s="12">
        <f>C13-D13</f>
        <v/>
      </c>
      <c r="F13" s="13">
        <f>IF(D13=0, "", (C13-D13)/ABS(D13))</f>
        <v/>
      </c>
      <c r="G13" s="11" t="inlineStr"/>
    </row>
    <row r="14">
      <c r="A14" s="18" t="inlineStr">
        <is>
          <t>Cost of software packages</t>
        </is>
      </c>
      <c r="B14" s="18" t="inlineStr">
        <is>
          <t>19</t>
        </is>
      </c>
      <c r="C14" s="19" t="n">
        <v>1483.52</v>
      </c>
      <c r="D14" s="19" t="n">
        <v>1510.21</v>
      </c>
      <c r="E14" s="19">
        <f>C14-D14</f>
        <v/>
      </c>
      <c r="F14" s="20">
        <f>IF(D14=0, "", (C14-D14)/ABS(D14))</f>
        <v/>
      </c>
      <c r="G14" s="18" t="inlineStr"/>
    </row>
    <row r="15">
      <c r="A15" s="14" t="inlineStr">
        <is>
          <t>Technical contract charges</t>
        </is>
      </c>
      <c r="B15" s="14" t="inlineStr">
        <is>
          <t>20</t>
        </is>
      </c>
      <c r="C15" s="15" t="n">
        <v>7381.01</v>
      </c>
      <c r="D15" s="15" t="n">
        <v>8924.4</v>
      </c>
      <c r="E15" s="15">
        <f>C15-D15</f>
        <v/>
      </c>
      <c r="F15" s="16">
        <f>IF(D15=0, "", (C15-D15)/ABS(D15))</f>
        <v/>
      </c>
      <c r="G15" s="14" t="inlineStr"/>
    </row>
    <row r="16">
      <c r="A16" s="14" t="inlineStr">
        <is>
          <t>Employee benefits expense</t>
        </is>
      </c>
      <c r="B16" s="14" t="inlineStr">
        <is>
          <t>21</t>
        </is>
      </c>
      <c r="C16" s="15" t="n">
        <v>8727.42</v>
      </c>
      <c r="D16" s="15" t="n">
        <v>11030.44</v>
      </c>
      <c r="E16" s="15">
        <f>C16-D16</f>
        <v/>
      </c>
      <c r="F16" s="16">
        <f>IF(D16=0, "", (C16-D16)/ABS(D16))</f>
        <v/>
      </c>
      <c r="G16" s="14" t="inlineStr"/>
    </row>
    <row r="17">
      <c r="A17" s="14" t="inlineStr">
        <is>
          <t>Finance costs</t>
        </is>
      </c>
      <c r="B17" s="14" t="inlineStr">
        <is>
          <t>22</t>
        </is>
      </c>
      <c r="C17" s="15" t="n">
        <v>140.67</v>
      </c>
      <c r="D17" s="15" t="n">
        <v>92.78</v>
      </c>
      <c r="E17" s="15">
        <f>C17-D17</f>
        <v/>
      </c>
      <c r="F17" s="17">
        <f>IF(D17=0, "", (C17-D17)/ABS(D17))</f>
        <v/>
      </c>
      <c r="G17" s="14" t="inlineStr"/>
    </row>
    <row r="18">
      <c r="A18" s="14" t="inlineStr">
        <is>
          <t>Depreciation and amortisation</t>
        </is>
      </c>
      <c r="B18" s="14" t="inlineStr">
        <is>
          <t>23</t>
        </is>
      </c>
      <c r="C18" s="15" t="n">
        <v>2477.7</v>
      </c>
      <c r="D18" s="15" t="n">
        <v>740.76</v>
      </c>
      <c r="E18" s="15">
        <f>C18-D18</f>
        <v/>
      </c>
      <c r="F18" s="17">
        <f>IF(D18=0, "", (C18-D18)/ABS(D18))</f>
        <v/>
      </c>
      <c r="G18" s="14" t="inlineStr"/>
    </row>
    <row r="19">
      <c r="A19" s="18" t="inlineStr">
        <is>
          <t>Other expenses</t>
        </is>
      </c>
      <c r="B19" s="18" t="inlineStr">
        <is>
          <t>24</t>
        </is>
      </c>
      <c r="C19" s="19" t="n">
        <v>2702.07</v>
      </c>
      <c r="D19" s="19" t="n">
        <v>2956</v>
      </c>
      <c r="E19" s="19">
        <f>C19-D19</f>
        <v/>
      </c>
      <c r="F19" s="20">
        <f>IF(D19=0, "", (C19-D19)/ABS(D19))</f>
        <v/>
      </c>
      <c r="G19" s="18" t="inlineStr"/>
    </row>
    <row r="20">
      <c r="A20" s="11" t="inlineStr">
        <is>
          <t>Total expenses</t>
        </is>
      </c>
      <c r="B20" s="11" t="inlineStr"/>
      <c r="C20" s="12" t="n">
        <v>22912.38</v>
      </c>
      <c r="D20" s="12" t="n">
        <v>25253.6</v>
      </c>
      <c r="E20" s="12">
        <f>C20-D20</f>
        <v/>
      </c>
      <c r="F20" s="27">
        <f>IF(D20=0, "", (C20-D20)/ABS(D20))</f>
        <v/>
      </c>
      <c r="G20" s="11" t="inlineStr"/>
    </row>
    <row r="21">
      <c r="A21" s="23" t="inlineStr">
        <is>
          <t>Profit / (Loss) before exceptional items and tax</t>
        </is>
      </c>
      <c r="B21" s="23" t="inlineStr"/>
      <c r="C21" s="24" t="n">
        <v>650.87</v>
      </c>
      <c r="D21" s="24" t="n">
        <v>3209.39</v>
      </c>
      <c r="E21" s="24">
        <f>C21-D21</f>
        <v/>
      </c>
      <c r="F21" s="25">
        <f>IF(D21=0, "", (C21-D21)/ABS(D21))</f>
        <v/>
      </c>
      <c r="G21" s="23" t="inlineStr"/>
    </row>
    <row r="22">
      <c r="A22" s="14" t="inlineStr">
        <is>
          <t>Exceptional item</t>
        </is>
      </c>
      <c r="B22" s="14" t="inlineStr">
        <is>
          <t>25</t>
        </is>
      </c>
      <c r="C22" s="15" t="n">
        <v>0</v>
      </c>
      <c r="D22" s="15" t="n">
        <v>18242</v>
      </c>
      <c r="E22" s="15">
        <f>C22-D22</f>
        <v/>
      </c>
      <c r="F22" s="16">
        <f>IF(D22=0, "", (C22-D22)/ABS(D22))</f>
        <v/>
      </c>
      <c r="G22" s="14" t="inlineStr"/>
    </row>
    <row r="23">
      <c r="A23" s="23" t="inlineStr">
        <is>
          <t>(Loss) before tax</t>
        </is>
      </c>
      <c r="B23" s="23" t="inlineStr"/>
      <c r="C23" s="24" t="n">
        <v>650.87</v>
      </c>
      <c r="D23" s="24" t="n">
        <v>-15032.61</v>
      </c>
      <c r="E23" s="24">
        <f>C23-D23</f>
        <v/>
      </c>
      <c r="F23" s="28">
        <f>IF(D23=0, "", (C23-D23)/ABS(D23))</f>
        <v/>
      </c>
      <c r="G23" s="23" t="inlineStr"/>
    </row>
    <row r="24">
      <c r="A24" s="11" t="inlineStr">
        <is>
          <t>Tax expense</t>
        </is>
      </c>
      <c r="B24" s="11" t="inlineStr"/>
      <c r="C24" s="12" t="n">
        <v>0</v>
      </c>
      <c r="D24" s="12" t="n">
        <v>0</v>
      </c>
      <c r="E24" s="12">
        <f>C24-D24</f>
        <v/>
      </c>
      <c r="F24" s="13">
        <f>IF(D24=0, "", (C24-D24)/ABS(D24))</f>
        <v/>
      </c>
      <c r="G24" s="11" t="inlineStr"/>
    </row>
    <row r="25">
      <c r="A25" s="14" t="inlineStr">
        <is>
          <t>Current tax</t>
        </is>
      </c>
      <c r="B25" s="14" t="inlineStr">
        <is>
          <t>26</t>
        </is>
      </c>
      <c r="C25" s="15" t="n">
        <v>654.5</v>
      </c>
      <c r="D25" s="15" t="n">
        <v>8.640000000000001</v>
      </c>
      <c r="E25" s="15">
        <f>C25-D25</f>
        <v/>
      </c>
      <c r="F25" s="17">
        <f>IF(D25=0, "", (C25-D25)/ABS(D25))</f>
        <v/>
      </c>
      <c r="G25" s="14" t="inlineStr"/>
    </row>
    <row r="26">
      <c r="A26" s="18" t="inlineStr">
        <is>
          <t>Prior year's tax adjustments</t>
        </is>
      </c>
      <c r="B26" s="18" t="inlineStr"/>
      <c r="C26" s="19" t="n">
        <v>0</v>
      </c>
      <c r="D26" s="19" t="n">
        <v>0</v>
      </c>
      <c r="E26" s="19">
        <f>C26-D26</f>
        <v/>
      </c>
      <c r="F26" s="21">
        <f>IF(D26=0, "", (C26-D26)/ABS(D26))</f>
        <v/>
      </c>
      <c r="G26" s="18" t="inlineStr"/>
    </row>
    <row r="27">
      <c r="A27" s="14" t="inlineStr">
        <is>
          <t>Deferred tax charge / (credit)</t>
        </is>
      </c>
      <c r="B27" s="14" t="inlineStr">
        <is>
          <t>26</t>
        </is>
      </c>
      <c r="C27" s="15" t="n">
        <v>0</v>
      </c>
      <c r="D27" s="15" t="n">
        <v>1082.15</v>
      </c>
      <c r="E27" s="15">
        <f>C27-D27</f>
        <v/>
      </c>
      <c r="F27" s="16">
        <f>IF(D27=0, "", (C27-D27)/ABS(D27))</f>
        <v/>
      </c>
      <c r="G27" s="14" t="inlineStr"/>
    </row>
    <row r="28">
      <c r="A28" s="14" t="inlineStr"/>
      <c r="B28" s="14" t="inlineStr"/>
      <c r="C28" s="15" t="n">
        <v>654.5</v>
      </c>
      <c r="D28" s="15" t="n">
        <v>1090.79</v>
      </c>
      <c r="E28" s="15">
        <f>C28-D28</f>
        <v/>
      </c>
      <c r="F28" s="16">
        <f>IF(D28=0, "", (C28-D28)/ABS(D28))</f>
        <v/>
      </c>
      <c r="G28" s="14" t="inlineStr"/>
    </row>
    <row r="29">
      <c r="A29" s="23" t="inlineStr">
        <is>
          <t>(Loss) / Profit for the year after tax</t>
        </is>
      </c>
      <c r="B29" s="23" t="inlineStr"/>
      <c r="C29" s="24" t="n">
        <v>-3.63</v>
      </c>
      <c r="D29" s="24" t="n">
        <v>-16123.4</v>
      </c>
      <c r="E29" s="24">
        <f>C29-D29</f>
        <v/>
      </c>
      <c r="F29" s="28">
        <f>IF(D29=0, "", (C29-D29)/ABS(D29))</f>
        <v/>
      </c>
      <c r="G29" s="23" t="inlineStr"/>
    </row>
    <row r="30">
      <c r="A30" s="11" t="inlineStr">
        <is>
          <t>Other comprehensive income / (loss)</t>
        </is>
      </c>
      <c r="B30" s="11" t="inlineStr"/>
      <c r="C30" s="12" t="n">
        <v>0</v>
      </c>
      <c r="D30" s="12" t="n">
        <v>0</v>
      </c>
      <c r="E30" s="12">
        <f>C30-D30</f>
        <v/>
      </c>
      <c r="F30" s="13">
        <f>IF(D30=0, "", (C30-D30)/ABS(D30))</f>
        <v/>
      </c>
      <c r="G30" s="11" t="inlineStr"/>
    </row>
    <row r="31">
      <c r="A31" s="18" t="inlineStr">
        <is>
          <t>(i) Items that will not be reclassified to profit or loss</t>
        </is>
      </c>
      <c r="B31" s="18" t="inlineStr"/>
      <c r="C31" s="19" t="n">
        <v>0</v>
      </c>
      <c r="D31" s="19" t="n">
        <v>0</v>
      </c>
      <c r="E31" s="19">
        <f>C31-D31</f>
        <v/>
      </c>
      <c r="F31" s="21">
        <f>IF(D31=0, "", (C31-D31)/ABS(D31))</f>
        <v/>
      </c>
      <c r="G31" s="18" t="inlineStr"/>
    </row>
    <row r="32">
      <c r="A32" s="14" t="inlineStr">
        <is>
          <t>- Remeasurment of defined benefit plan</t>
        </is>
      </c>
      <c r="B32" s="14" t="inlineStr"/>
      <c r="C32" s="15" t="n">
        <v>115.36</v>
      </c>
      <c r="D32" s="15" t="n">
        <v>49.89</v>
      </c>
      <c r="E32" s="15">
        <f>C32-D32</f>
        <v/>
      </c>
      <c r="F32" s="17">
        <f>IF(D32=0, "", (C32-D32)/ABS(D32))</f>
        <v/>
      </c>
      <c r="G32" s="14" t="inlineStr"/>
    </row>
    <row r="33">
      <c r="A33" s="14" t="inlineStr">
        <is>
          <t>- Income tax relating to above</t>
        </is>
      </c>
      <c r="B33" s="14" t="inlineStr"/>
      <c r="C33" s="15" t="n">
        <v>0</v>
      </c>
      <c r="D33" s="15" t="n">
        <v>-12.56</v>
      </c>
      <c r="E33" s="15">
        <f>C33-D33</f>
        <v/>
      </c>
      <c r="F33" s="17">
        <f>IF(D33=0, "", (C33-D33)/ABS(D33))</f>
        <v/>
      </c>
      <c r="G33" s="14" t="inlineStr"/>
    </row>
    <row r="34">
      <c r="A34" s="18" t="inlineStr">
        <is>
          <t>(ii) Items that will be reclassified to profit or loss</t>
        </is>
      </c>
      <c r="B34" s="18" t="inlineStr"/>
      <c r="C34" s="19" t="n">
        <v>0</v>
      </c>
      <c r="D34" s="19" t="n">
        <v>0</v>
      </c>
      <c r="E34" s="19">
        <f>C34-D34</f>
        <v/>
      </c>
      <c r="F34" s="21">
        <f>IF(D34=0, "", (C34-D34)/ABS(D34))</f>
        <v/>
      </c>
      <c r="G34" s="18" t="inlineStr"/>
    </row>
    <row r="35">
      <c r="A35" s="18" t="inlineStr">
        <is>
          <t>- Income tax relating to above</t>
        </is>
      </c>
      <c r="B35" s="18" t="inlineStr"/>
      <c r="C35" s="19" t="n">
        <v>0</v>
      </c>
      <c r="D35" s="19" t="n">
        <v>0</v>
      </c>
      <c r="E35" s="19">
        <f>C35-D35</f>
        <v/>
      </c>
      <c r="F35" s="21">
        <f>IF(D35=0, "", (C35-D35)/ABS(D35))</f>
        <v/>
      </c>
      <c r="G35" s="18" t="inlineStr"/>
    </row>
    <row r="36">
      <c r="A36" s="23" t="inlineStr">
        <is>
          <t>Other comprehensive income / (loss) for the year (net of tax)</t>
        </is>
      </c>
      <c r="B36" s="23" t="inlineStr"/>
      <c r="C36" s="24" t="n">
        <v>115.36</v>
      </c>
      <c r="D36" s="24" t="n">
        <v>37.34</v>
      </c>
      <c r="E36" s="24">
        <f>C36-D36</f>
        <v/>
      </c>
      <c r="F36" s="28">
        <f>IF(D36=0, "", (C36-D36)/ABS(D36))</f>
        <v/>
      </c>
      <c r="G36" s="23" t="inlineStr"/>
    </row>
    <row r="37">
      <c r="A37" s="23" t="inlineStr">
        <is>
          <t>Total comprehensive (loss) / income for the year (net of tax)</t>
        </is>
      </c>
      <c r="B37" s="23" t="inlineStr"/>
      <c r="C37" s="24" t="n">
        <v>111.73</v>
      </c>
      <c r="D37" s="24" t="n">
        <v>-16086.06</v>
      </c>
      <c r="E37" s="24">
        <f>C37-D37</f>
        <v/>
      </c>
      <c r="F37" s="28">
        <f>IF(D37=0, "", (C37-D37)/ABS(D37))</f>
        <v/>
      </c>
      <c r="G37" s="23" t="inlineStr"/>
    </row>
    <row r="38">
      <c r="A38" s="23" t="inlineStr">
        <is>
          <t>Basic earnings per equity share (Face value of ₹ 10 each)</t>
        </is>
      </c>
      <c r="B38" s="23" t="inlineStr"/>
      <c r="C38" s="24" t="n">
        <v>-36.33</v>
      </c>
      <c r="D38" s="24" t="n">
        <v>-161241.98</v>
      </c>
      <c r="E38" s="24">
        <f>C38-D38</f>
        <v/>
      </c>
      <c r="F38" s="28">
        <f>IF(D38=0, "", (C38-D38)/ABS(D38))</f>
        <v/>
      </c>
      <c r="G38" s="23" t="inlineStr"/>
    </row>
    <row r="39">
      <c r="A39" s="23" t="inlineStr">
        <is>
          <t>Diluted Earnings per equity share (Face value of ₹ 10 each)</t>
        </is>
      </c>
      <c r="B39" s="23" t="inlineStr"/>
      <c r="C39" s="24" t="n">
        <v>0</v>
      </c>
      <c r="D39" s="24" t="n">
        <v>-3.84</v>
      </c>
      <c r="E39" s="24">
        <f>C39-D39</f>
        <v/>
      </c>
      <c r="F39" s="28">
        <f>IF(D39=0, "", (C39-D39)/ABS(D39))</f>
        <v/>
      </c>
      <c r="G39" s="23" t="inlineStr"/>
    </row>
    <row r="40">
      <c r="A40" s="14" t="inlineStr">
        <is>
          <t>Summary of material accounting policies</t>
        </is>
      </c>
      <c r="B40" s="14" t="inlineStr">
        <is>
          <t>2</t>
        </is>
      </c>
      <c r="C40" s="15" t="n">
        <v>0</v>
      </c>
      <c r="D40" s="15" t="n">
        <v>-3.84</v>
      </c>
      <c r="E40" s="15">
        <f>C40-D40</f>
        <v/>
      </c>
      <c r="F40" s="17">
        <f>IF(D40=0, "", (C40-D40)/ABS(D40))</f>
        <v/>
      </c>
      <c r="G40" s="14" t="inlineStr"/>
    </row>
    <row r="41">
      <c r="A41" s="18" t="inlineStr">
        <is>
          <t>The accompanying notes are an integral part of the financial statements</t>
        </is>
      </c>
      <c r="B41" s="18" t="inlineStr"/>
      <c r="C41" s="19" t="n">
        <v>0</v>
      </c>
      <c r="D41" s="19" t="n">
        <v>0</v>
      </c>
      <c r="E41" s="19">
        <f>C41-D41</f>
        <v/>
      </c>
      <c r="F41" s="21">
        <f>IF(D41=0, "", (C41-D41)/ABS(D41))</f>
        <v/>
      </c>
      <c r="G41" s="18" t="inlineStr"/>
    </row>
    <row r="42">
      <c r="A42" s="18" t="inlineStr">
        <is>
          <t>As per our report of even date</t>
        </is>
      </c>
      <c r="B42" s="18" t="inlineStr"/>
      <c r="C42" s="19" t="n">
        <v>0</v>
      </c>
      <c r="D42" s="19" t="n">
        <v>0</v>
      </c>
      <c r="E42" s="19">
        <f>C42-D42</f>
        <v/>
      </c>
      <c r="F42" s="21">
        <f>IF(D42=0, "", (C42-D42)/ABS(D42))</f>
        <v/>
      </c>
      <c r="G42" s="18" t="inlineStr"/>
    </row>
    <row r="43">
      <c r="A43" s="18" t="inlineStr">
        <is>
          <t>For Walker Chandiok &amp; Co LLP</t>
        </is>
      </c>
      <c r="B43" s="18" t="inlineStr"/>
      <c r="C43" s="19" t="n">
        <v>0</v>
      </c>
      <c r="D43" s="19" t="n">
        <v>0</v>
      </c>
      <c r="E43" s="19">
        <f>C43-D43</f>
        <v/>
      </c>
      <c r="F43" s="21">
        <f>IF(D43=0, "", (C43-D43)/ABS(D43))</f>
        <v/>
      </c>
      <c r="G43" s="18" t="inlineStr"/>
    </row>
    <row r="44">
      <c r="A44" s="18" t="inlineStr">
        <is>
          <t>Chartered Accountants</t>
        </is>
      </c>
      <c r="B44" s="18" t="inlineStr"/>
      <c r="C44" s="19" t="n">
        <v>0</v>
      </c>
      <c r="D44" s="19" t="n">
        <v>0</v>
      </c>
      <c r="E44" s="19">
        <f>C44-D44</f>
        <v/>
      </c>
      <c r="F44" s="21">
        <f>IF(D44=0, "", (C44-D44)/ABS(D44))</f>
        <v/>
      </c>
      <c r="G44" s="18" t="inlineStr"/>
    </row>
    <row r="45">
      <c r="A45" s="18" t="inlineStr">
        <is>
          <t>Firm's Registration No: 001076N/N500013</t>
        </is>
      </c>
      <c r="B45" s="18" t="inlineStr"/>
      <c r="C45" s="19" t="n">
        <v>0</v>
      </c>
      <c r="D45" s="19" t="n">
        <v>0</v>
      </c>
      <c r="E45" s="19">
        <f>C45-D45</f>
        <v/>
      </c>
      <c r="F45" s="21">
        <f>IF(D45=0, "", (C45-D45)/ABS(D45))</f>
        <v/>
      </c>
      <c r="G45" s="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6" customWidth="1" min="3" max="3"/>
    <col width="16" customWidth="1" min="4" max="4"/>
    <col width="16" customWidth="1" min="5" max="5"/>
    <col width="12" customWidth="1" min="6" max="6"/>
    <col width="45" customWidth="1" min="7" max="7"/>
    <col width="5" customWidth="1" min="8" max="8"/>
    <col width="50" customWidth="1" min="9" max="9"/>
  </cols>
  <sheetData>
    <row r="1">
      <c r="A1" s="6" t="inlineStr">
        <is>
          <t>Firm:</t>
        </is>
      </c>
      <c r="C1" s="7" t="inlineStr">
        <is>
          <t>WCC</t>
        </is>
      </c>
      <c r="H1" s="8" t="inlineStr">
        <is>
          <t>Legend:</t>
        </is>
      </c>
    </row>
    <row r="2">
      <c r="A2" s="6" t="inlineStr">
        <is>
          <t>Client:</t>
        </is>
      </c>
      <c r="C2" s="7" t="inlineStr">
        <is>
          <t>Balance Sheet as at 31 March 2025</t>
        </is>
      </c>
      <c r="H2" s="8" t="inlineStr">
        <is>
          <t>a</t>
        </is>
      </c>
      <c r="I2" s="7" t="inlineStr">
        <is>
          <t>Traced to Financials for the year ended 31 March 2024</t>
        </is>
      </c>
    </row>
    <row r="3">
      <c r="A3" s="6" t="inlineStr">
        <is>
          <t>Analysis of Notes to Accounts</t>
        </is>
      </c>
      <c r="H3" s="8" t="inlineStr">
        <is>
          <t>b</t>
        </is>
      </c>
      <c r="I3" s="7" t="inlineStr">
        <is>
          <t>Traced to Financials for the year ended 31 March 2025</t>
        </is>
      </c>
    </row>
    <row r="4">
      <c r="A4" s="7" t="inlineStr">
        <is>
          <t>Generated on: 10 June 2026, 11:11:56</t>
        </is>
      </c>
      <c r="H4" s="8" t="inlineStr">
        <is>
          <t>j</t>
        </is>
      </c>
      <c r="I4" s="7" t="inlineStr">
        <is>
          <t>Linked</t>
        </is>
      </c>
    </row>
    <row r="5">
      <c r="H5" s="8" t="inlineStr">
        <is>
          <t>e</t>
        </is>
      </c>
      <c r="I5" s="7" t="inlineStr">
        <is>
          <t>Recomputed</t>
        </is>
      </c>
    </row>
    <row r="6">
      <c r="H6" s="8" t="inlineStr">
        <is>
          <t>h</t>
        </is>
      </c>
      <c r="I6" s="7" t="inlineStr">
        <is>
          <t>Immaterial. Hence ignored</t>
        </is>
      </c>
    </row>
    <row r="10">
      <c r="B10" s="6" t="inlineStr">
        <is>
          <t>Note 3: Note 3: Property,plant and equipment</t>
        </is>
      </c>
      <c r="C10" s="8" t="inlineStr">
        <is>
          <t>a</t>
        </is>
      </c>
      <c r="D10" s="8" t="inlineStr">
        <is>
          <t>b</t>
        </is>
      </c>
      <c r="E10" s="8" t="inlineStr">
        <is>
          <t>e</t>
        </is>
      </c>
    </row>
    <row r="11">
      <c r="A11" s="10" t="inlineStr"/>
      <c r="B11" s="10" t="inlineStr">
        <is>
          <t>Particulars</t>
        </is>
      </c>
      <c r="C11" s="10" t="inlineStr">
        <is>
          <t>As at 31st March 2025</t>
        </is>
      </c>
      <c r="D11" s="10" t="inlineStr">
        <is>
          <t>As at 31st March 2024</t>
        </is>
      </c>
      <c r="E11" s="10" t="inlineStr">
        <is>
          <t>Variance</t>
        </is>
      </c>
      <c r="F11" s="10" t="inlineStr">
        <is>
          <t>Variance %</t>
        </is>
      </c>
      <c r="G11" s="10" t="inlineStr">
        <is>
          <t>Remarks</t>
        </is>
      </c>
    </row>
    <row r="12">
      <c r="A12" s="11" t="n"/>
      <c r="B12" s="11" t="inlineStr">
        <is>
          <t>Gross block</t>
        </is>
      </c>
      <c r="C12" s="12" t="n">
        <v>0</v>
      </c>
      <c r="D12" s="12" t="n">
        <v>0</v>
      </c>
      <c r="E12" s="12">
        <f>C12-D12</f>
        <v/>
      </c>
      <c r="F12" s="13">
        <f>IF(D12=0, "", (C12-D12)/ABS(D12))</f>
        <v/>
      </c>
      <c r="G12" s="11" t="n"/>
    </row>
    <row r="13">
      <c r="A13" s="11" t="n"/>
      <c r="B13" s="11" t="inlineStr">
        <is>
          <t>As at 01 April 2023</t>
        </is>
      </c>
      <c r="C13" s="12" t="n">
        <v>1364.63</v>
      </c>
      <c r="D13" s="12" t="n">
        <v>1364.63</v>
      </c>
      <c r="E13" s="12">
        <f>C13-D13</f>
        <v/>
      </c>
      <c r="F13" s="13">
        <f>IF(D13=0, "", (C13-D13)/ABS(D13))</f>
        <v/>
      </c>
      <c r="G13" s="11" t="n"/>
    </row>
    <row r="14">
      <c r="A14" s="18" t="n"/>
      <c r="B14" s="18" t="inlineStr">
        <is>
          <t>Additions</t>
        </is>
      </c>
      <c r="C14" s="19" t="n">
        <v>198.39</v>
      </c>
      <c r="D14" s="19" t="n">
        <v>198.39</v>
      </c>
      <c r="E14" s="19">
        <f>C14-D14</f>
        <v/>
      </c>
      <c r="F14" s="21">
        <f>IF(D14=0, "", (C14-D14)/ABS(D14))</f>
        <v/>
      </c>
      <c r="G14" s="18" t="n"/>
    </row>
    <row r="15">
      <c r="A15" s="18" t="n"/>
      <c r="B15" s="18" t="inlineStr">
        <is>
          <t>Disposals</t>
        </is>
      </c>
      <c r="C15" s="19" t="n">
        <v>-322.06</v>
      </c>
      <c r="D15" s="19" t="n">
        <v>-322.06</v>
      </c>
      <c r="E15" s="19">
        <f>C15-D15</f>
        <v/>
      </c>
      <c r="F15" s="21">
        <f>IF(D15=0, "", (C15-D15)/ABS(D15))</f>
        <v/>
      </c>
      <c r="G15" s="18" t="n"/>
    </row>
    <row r="16">
      <c r="A16" s="11" t="n"/>
      <c r="B16" s="11" t="inlineStr">
        <is>
          <t>As at 31 March 2024</t>
        </is>
      </c>
      <c r="C16" s="12" t="n">
        <v>1240.96</v>
      </c>
      <c r="D16" s="12" t="n">
        <v>1240.96</v>
      </c>
      <c r="E16" s="12">
        <f>C16-D16</f>
        <v/>
      </c>
      <c r="F16" s="13">
        <f>IF(D16=0, "", (C16-D16)/ABS(D16))</f>
        <v/>
      </c>
      <c r="G16" s="11" t="n"/>
    </row>
    <row r="17">
      <c r="A17" s="18" t="n"/>
      <c r="B17" s="18" t="inlineStr">
        <is>
          <t>Additions</t>
        </is>
      </c>
      <c r="C17" s="19" t="n">
        <v>16.83</v>
      </c>
      <c r="D17" s="19" t="n">
        <v>16.83</v>
      </c>
      <c r="E17" s="19">
        <f>C17-D17</f>
        <v/>
      </c>
      <c r="F17" s="21">
        <f>IF(D17=0, "", (C17-D17)/ABS(D17))</f>
        <v/>
      </c>
      <c r="G17" s="18" t="n"/>
    </row>
    <row r="18">
      <c r="A18" s="18" t="n"/>
      <c r="B18" s="18" t="inlineStr">
        <is>
          <t>Disposals</t>
        </is>
      </c>
      <c r="C18" s="19" t="n">
        <v>-203.7</v>
      </c>
      <c r="D18" s="19" t="n">
        <v>-203.7</v>
      </c>
      <c r="E18" s="19">
        <f>C18-D18</f>
        <v/>
      </c>
      <c r="F18" s="21">
        <f>IF(D18=0, "", (C18-D18)/ABS(D18))</f>
        <v/>
      </c>
      <c r="G18" s="18" t="n"/>
    </row>
    <row r="19">
      <c r="A19" s="11" t="n"/>
      <c r="B19" s="11" t="inlineStr">
        <is>
          <t>As at 31 March 2025</t>
        </is>
      </c>
      <c r="C19" s="12" t="n">
        <v>1054.09</v>
      </c>
      <c r="D19" s="12" t="n">
        <v>1054.09</v>
      </c>
      <c r="E19" s="12">
        <f>C19-D19</f>
        <v/>
      </c>
      <c r="F19" s="13">
        <f>IF(D19=0, "", (C19-D19)/ABS(D19))</f>
        <v/>
      </c>
      <c r="G19" s="11" t="n"/>
    </row>
    <row r="20">
      <c r="A20" s="11" t="n"/>
      <c r="B20" s="11" t="inlineStr">
        <is>
          <t>Accumulated depreciation</t>
        </is>
      </c>
      <c r="C20" s="12" t="n">
        <v>0</v>
      </c>
      <c r="D20" s="12" t="n">
        <v>0</v>
      </c>
      <c r="E20" s="12">
        <f>C20-D20</f>
        <v/>
      </c>
      <c r="F20" s="13">
        <f>IF(D20=0, "", (C20-D20)/ABS(D20))</f>
        <v/>
      </c>
      <c r="G20" s="11" t="n"/>
    </row>
    <row r="21">
      <c r="A21" s="11" t="n"/>
      <c r="B21" s="11" t="inlineStr">
        <is>
          <t>As at 01 April 2023</t>
        </is>
      </c>
      <c r="C21" s="12" t="n">
        <v>682.52</v>
      </c>
      <c r="D21" s="12" t="n">
        <v>682.52</v>
      </c>
      <c r="E21" s="12">
        <f>C21-D21</f>
        <v/>
      </c>
      <c r="F21" s="13">
        <f>IF(D21=0, "", (C21-D21)/ABS(D21))</f>
        <v/>
      </c>
      <c r="G21" s="11" t="n"/>
    </row>
    <row r="22">
      <c r="A22" s="18" t="n"/>
      <c r="B22" s="18" t="inlineStr">
        <is>
          <t>Depreciation charge for the year</t>
        </is>
      </c>
      <c r="C22" s="19" t="n">
        <v>287.79</v>
      </c>
      <c r="D22" s="19" t="n">
        <v>287.79</v>
      </c>
      <c r="E22" s="19">
        <f>C22-D22</f>
        <v/>
      </c>
      <c r="F22" s="21">
        <f>IF(D22=0, "", (C22-D22)/ABS(D22))</f>
        <v/>
      </c>
      <c r="G22" s="18" t="n"/>
    </row>
    <row r="23">
      <c r="A23" s="18" t="n"/>
      <c r="B23" s="18" t="inlineStr">
        <is>
          <t>Disposals</t>
        </is>
      </c>
      <c r="C23" s="19" t="n">
        <v>-319.16</v>
      </c>
      <c r="D23" s="19" t="n">
        <v>-319.16</v>
      </c>
      <c r="E23" s="19">
        <f>C23-D23</f>
        <v/>
      </c>
      <c r="F23" s="21">
        <f>IF(D23=0, "", (C23-D23)/ABS(D23))</f>
        <v/>
      </c>
      <c r="G23" s="18" t="n"/>
    </row>
    <row r="24">
      <c r="A24" s="11" t="n"/>
      <c r="B24" s="11" t="inlineStr">
        <is>
          <t>As at 31 March 2024</t>
        </is>
      </c>
      <c r="C24" s="12" t="n">
        <v>651.15</v>
      </c>
      <c r="D24" s="12" t="n">
        <v>651.15</v>
      </c>
      <c r="E24" s="12">
        <f>C24-D24</f>
        <v/>
      </c>
      <c r="F24" s="13">
        <f>IF(D24=0, "", (C24-D24)/ABS(D24))</f>
        <v/>
      </c>
      <c r="G24" s="11" t="n"/>
    </row>
    <row r="25">
      <c r="A25" s="18" t="n"/>
      <c r="B25" s="18" t="inlineStr">
        <is>
          <t>Depreciation charge for the year</t>
        </is>
      </c>
      <c r="C25" s="19" t="n">
        <v>183.35</v>
      </c>
      <c r="D25" s="19" t="n">
        <v>183.35</v>
      </c>
      <c r="E25" s="19">
        <f>C25-D25</f>
        <v/>
      </c>
      <c r="F25" s="21">
        <f>IF(D25=0, "", (C25-D25)/ABS(D25))</f>
        <v/>
      </c>
      <c r="G25" s="18" t="n"/>
    </row>
    <row r="26">
      <c r="A26" s="18" t="n"/>
      <c r="B26" s="18" t="inlineStr">
        <is>
          <t>Disposals</t>
        </is>
      </c>
      <c r="C26" s="19" t="n">
        <v>-162.17</v>
      </c>
      <c r="D26" s="19" t="n">
        <v>-162.17</v>
      </c>
      <c r="E26" s="19">
        <f>C26-D26</f>
        <v/>
      </c>
      <c r="F26" s="21">
        <f>IF(D26=0, "", (C26-D26)/ABS(D26))</f>
        <v/>
      </c>
      <c r="G26" s="18" t="n"/>
    </row>
    <row r="27">
      <c r="A27" s="11" t="n"/>
      <c r="B27" s="11" t="inlineStr">
        <is>
          <t>As at 31 March 2025</t>
        </is>
      </c>
      <c r="C27" s="12" t="n">
        <v>672.33</v>
      </c>
      <c r="D27" s="12" t="n">
        <v>672.33</v>
      </c>
      <c r="E27" s="12">
        <f>C27-D27</f>
        <v/>
      </c>
      <c r="F27" s="13">
        <f>IF(D27=0, "", (C27-D27)/ABS(D27))</f>
        <v/>
      </c>
      <c r="G27" s="11" t="n"/>
    </row>
    <row r="28">
      <c r="A28" s="11" t="n"/>
      <c r="B28" s="11" t="inlineStr">
        <is>
          <t>Net block</t>
        </is>
      </c>
      <c r="C28" s="12" t="n">
        <v>0</v>
      </c>
      <c r="D28" s="12" t="n">
        <v>0</v>
      </c>
      <c r="E28" s="12">
        <f>C28-D28</f>
        <v/>
      </c>
      <c r="F28" s="13">
        <f>IF(D28=0, "", (C28-D28)/ABS(D28))</f>
        <v/>
      </c>
      <c r="G28" s="11" t="n"/>
    </row>
    <row r="29">
      <c r="A29" s="11" t="n"/>
      <c r="B29" s="11" t="inlineStr">
        <is>
          <t>As at 31 March 2025</t>
        </is>
      </c>
      <c r="C29" s="12" t="n">
        <v>381.76</v>
      </c>
      <c r="D29" s="12" t="n">
        <v>381.76</v>
      </c>
      <c r="E29" s="12">
        <f>C29-D29</f>
        <v/>
      </c>
      <c r="F29" s="13">
        <f>IF(D29=0, "", (C29-D29)/ABS(D29))</f>
        <v/>
      </c>
      <c r="G29" s="11" t="n"/>
    </row>
    <row r="30">
      <c r="A30" s="11" t="n"/>
      <c r="B30" s="11" t="inlineStr">
        <is>
          <t>As at 31 March 2024(#)</t>
        </is>
      </c>
      <c r="C30" s="12" t="n">
        <v>589.8099999999999</v>
      </c>
      <c r="D30" s="12" t="n">
        <v>589.8099999999999</v>
      </c>
      <c r="E30" s="12">
        <f>C30-D30</f>
        <v/>
      </c>
      <c r="F30" s="13">
        <f>IF(D30=0, "", (C30-D30)/ABS(D30))</f>
        <v/>
      </c>
      <c r="G30" s="11" t="n"/>
    </row>
    <row r="31">
      <c r="A31" s="18" t="n"/>
      <c r="B31" s="18" t="inlineStr">
        <is>
          <t>#) Zero represents less than ₹0.5 Lakhs</t>
        </is>
      </c>
      <c r="C31" s="19" t="n">
        <v>0</v>
      </c>
      <c r="D31" s="19" t="n">
        <v>0</v>
      </c>
      <c r="E31" s="19">
        <f>C31-D31</f>
        <v/>
      </c>
      <c r="F31" s="21">
        <f>IF(D31=0, "", (C31-D31)/ABS(D31))</f>
        <v/>
      </c>
      <c r="G31" s="18" t="n"/>
    </row>
    <row r="34">
      <c r="B34" s="6" t="inlineStr">
        <is>
          <t>Note 4: Note 4:Intangible assets</t>
        </is>
      </c>
      <c r="C34" s="8" t="inlineStr">
        <is>
          <t>a</t>
        </is>
      </c>
      <c r="D34" s="8" t="inlineStr">
        <is>
          <t>b</t>
        </is>
      </c>
      <c r="E34" s="8" t="inlineStr">
        <is>
          <t>e</t>
        </is>
      </c>
    </row>
    <row r="35">
      <c r="A35" s="10" t="inlineStr"/>
      <c r="B35" s="10" t="inlineStr">
        <is>
          <t>Particulars</t>
        </is>
      </c>
      <c r="C35" s="10" t="inlineStr">
        <is>
          <t>As at 31st March 2025</t>
        </is>
      </c>
      <c r="D35" s="10" t="inlineStr">
        <is>
          <t>As at 31st March 2024</t>
        </is>
      </c>
      <c r="E35" s="10" t="inlineStr">
        <is>
          <t>Variance</t>
        </is>
      </c>
      <c r="F35" s="10" t="inlineStr">
        <is>
          <t>Variance %</t>
        </is>
      </c>
      <c r="G35" s="10" t="inlineStr">
        <is>
          <t>Remarks</t>
        </is>
      </c>
    </row>
    <row r="36">
      <c r="A36" s="11" t="n"/>
      <c r="B36" s="11" t="inlineStr">
        <is>
          <t>Gross block</t>
        </is>
      </c>
      <c r="C36" s="12" t="n">
        <v>0</v>
      </c>
      <c r="D36" s="12" t="n">
        <v>0</v>
      </c>
      <c r="E36" s="12">
        <f>C36-D36</f>
        <v/>
      </c>
      <c r="F36" s="13">
        <f>IF(D36=0, "", (C36-D36)/ABS(D36))</f>
        <v/>
      </c>
      <c r="G36" s="11" t="n"/>
    </row>
    <row r="37">
      <c r="A37" s="11" t="n"/>
      <c r="B37" s="11" t="inlineStr">
        <is>
          <t>As at 01 April 2023</t>
        </is>
      </c>
      <c r="C37" s="12" t="n">
        <v>36495.44</v>
      </c>
      <c r="D37" s="12" t="n">
        <v>36495.44</v>
      </c>
      <c r="E37" s="12">
        <f>C37-D37</f>
        <v/>
      </c>
      <c r="F37" s="13">
        <f>IF(D37=0, "", (C37-D37)/ABS(D37))</f>
        <v/>
      </c>
      <c r="G37" s="11" t="n"/>
    </row>
    <row r="38">
      <c r="A38" s="18" t="n"/>
      <c r="B38" s="18" t="inlineStr">
        <is>
          <t>Additions</t>
        </is>
      </c>
      <c r="C38" s="19" t="n">
        <v>4018</v>
      </c>
      <c r="D38" s="19" t="n">
        <v>4018</v>
      </c>
      <c r="E38" s="19">
        <f>C38-D38</f>
        <v/>
      </c>
      <c r="F38" s="21">
        <f>IF(D38=0, "", (C38-D38)/ABS(D38))</f>
        <v/>
      </c>
      <c r="G38" s="18" t="n"/>
    </row>
    <row r="39">
      <c r="A39" s="18" t="n"/>
      <c r="B39" s="18" t="inlineStr">
        <is>
          <t>Disposals</t>
        </is>
      </c>
      <c r="C39" s="19" t="n">
        <v>0</v>
      </c>
      <c r="D39" s="19" t="n">
        <v>0</v>
      </c>
      <c r="E39" s="19">
        <f>C39-D39</f>
        <v/>
      </c>
      <c r="F39" s="21">
        <f>IF(D39=0, "", (C39-D39)/ABS(D39))</f>
        <v/>
      </c>
      <c r="G39" s="18" t="n"/>
    </row>
    <row r="40">
      <c r="A40" s="11" t="n"/>
      <c r="B40" s="11" t="inlineStr">
        <is>
          <t>As at 31 March 2024</t>
        </is>
      </c>
      <c r="C40" s="12" t="n">
        <v>40513.44</v>
      </c>
      <c r="D40" s="12" t="n">
        <v>40513.44</v>
      </c>
      <c r="E40" s="12">
        <f>C40-D40</f>
        <v/>
      </c>
      <c r="F40" s="13">
        <f>IF(D40=0, "", (C40-D40)/ABS(D40))</f>
        <v/>
      </c>
      <c r="G40" s="11" t="n"/>
    </row>
    <row r="41">
      <c r="A41" s="18" t="n"/>
      <c r="B41" s="18" t="inlineStr">
        <is>
          <t>Additions</t>
        </is>
      </c>
      <c r="C41" s="19" t="n">
        <v>2062.51</v>
      </c>
      <c r="D41" s="19" t="n">
        <v>2062.51</v>
      </c>
      <c r="E41" s="19">
        <f>C41-D41</f>
        <v/>
      </c>
      <c r="F41" s="21">
        <f>IF(D41=0, "", (C41-D41)/ABS(D41))</f>
        <v/>
      </c>
      <c r="G41" s="18" t="n"/>
    </row>
    <row r="42">
      <c r="A42" s="18" t="n"/>
      <c r="B42" s="18" t="inlineStr">
        <is>
          <t>Capitalized</t>
        </is>
      </c>
      <c r="C42" s="19" t="n">
        <v>0</v>
      </c>
      <c r="D42" s="19" t="n">
        <v>0</v>
      </c>
      <c r="E42" s="19">
        <f>C42-D42</f>
        <v/>
      </c>
      <c r="F42" s="21">
        <f>IF(D42=0, "", (C42-D42)/ABS(D42))</f>
        <v/>
      </c>
      <c r="G42" s="18" t="n"/>
    </row>
    <row r="43">
      <c r="A43" s="18" t="n"/>
      <c r="B43" s="18" t="inlineStr">
        <is>
          <t>Disposals</t>
        </is>
      </c>
      <c r="C43" s="19" t="n">
        <v>0</v>
      </c>
      <c r="D43" s="19" t="n">
        <v>0</v>
      </c>
      <c r="E43" s="19">
        <f>C43-D43</f>
        <v/>
      </c>
      <c r="F43" s="21">
        <f>IF(D43=0, "", (C43-D43)/ABS(D43))</f>
        <v/>
      </c>
      <c r="G43" s="18" t="n"/>
    </row>
    <row r="44">
      <c r="A44" s="11" t="n"/>
      <c r="B44" s="11" t="inlineStr">
        <is>
          <t>As at 31 March 2025</t>
        </is>
      </c>
      <c r="C44" s="12" t="n">
        <v>42575.95</v>
      </c>
      <c r="D44" s="12" t="n">
        <v>42575.95</v>
      </c>
      <c r="E44" s="12">
        <f>C44-D44</f>
        <v/>
      </c>
      <c r="F44" s="13">
        <f>IF(D44=0, "", (C44-D44)/ABS(D44))</f>
        <v/>
      </c>
      <c r="G44" s="11" t="n"/>
    </row>
    <row r="45">
      <c r="A45" s="11" t="n"/>
      <c r="B45" s="11" t="inlineStr">
        <is>
          <t>Accumulated amortisation</t>
        </is>
      </c>
      <c r="C45" s="12" t="n">
        <v>0</v>
      </c>
      <c r="D45" s="12" t="n">
        <v>0</v>
      </c>
      <c r="E45" s="12">
        <f>C45-D45</f>
        <v/>
      </c>
      <c r="F45" s="13">
        <f>IF(D45=0, "", (C45-D45)/ABS(D45))</f>
        <v/>
      </c>
      <c r="G45" s="11" t="n"/>
    </row>
    <row r="46">
      <c r="A46" s="11" t="n"/>
      <c r="B46" s="11" t="inlineStr">
        <is>
          <t>As at 01 April 2023</t>
        </is>
      </c>
      <c r="C46" s="12" t="n">
        <v>18253.34</v>
      </c>
      <c r="D46" s="12" t="n">
        <v>18253.34</v>
      </c>
      <c r="E46" s="12">
        <f>C46-D46</f>
        <v/>
      </c>
      <c r="F46" s="13">
        <f>IF(D46=0, "", (C46-D46)/ABS(D46))</f>
        <v/>
      </c>
      <c r="G46" s="11" t="n"/>
    </row>
    <row r="47">
      <c r="A47" s="18" t="n"/>
      <c r="B47" s="18" t="inlineStr">
        <is>
          <t>Amortisation charge for the year</t>
        </is>
      </c>
      <c r="C47" s="19" t="n">
        <v>214.29</v>
      </c>
      <c r="D47" s="19" t="n">
        <v>214.29</v>
      </c>
      <c r="E47" s="19">
        <f>C47-D47</f>
        <v/>
      </c>
      <c r="F47" s="21">
        <f>IF(D47=0, "", (C47-D47)/ABS(D47))</f>
        <v/>
      </c>
      <c r="G47" s="18" t="n"/>
    </row>
    <row r="48">
      <c r="A48" s="18" t="n"/>
      <c r="B48" s="18" t="inlineStr">
        <is>
          <t>Disposals</t>
        </is>
      </c>
      <c r="C48" s="19" t="n">
        <v>0</v>
      </c>
      <c r="D48" s="19" t="n">
        <v>0</v>
      </c>
      <c r="E48" s="19">
        <f>C48-D48</f>
        <v/>
      </c>
      <c r="F48" s="21">
        <f>IF(D48=0, "", (C48-D48)/ABS(D48))</f>
        <v/>
      </c>
      <c r="G48" s="18" t="n"/>
    </row>
    <row r="49">
      <c r="A49" s="18" t="n"/>
      <c r="B49" s="18" t="inlineStr">
        <is>
          <t>Impairmemt loss charge for the year</t>
        </is>
      </c>
      <c r="C49" s="19" t="n">
        <v>18242</v>
      </c>
      <c r="D49" s="19" t="n">
        <v>18242</v>
      </c>
      <c r="E49" s="19">
        <f>C49-D49</f>
        <v/>
      </c>
      <c r="F49" s="21">
        <f>IF(D49=0, "", (C49-D49)/ABS(D49))</f>
        <v/>
      </c>
      <c r="G49" s="18" t="n"/>
    </row>
    <row r="50">
      <c r="A50" s="11" t="n"/>
      <c r="B50" s="11" t="inlineStr">
        <is>
          <t>As at 31 March 2024</t>
        </is>
      </c>
      <c r="C50" s="12" t="n">
        <v>36709.63</v>
      </c>
      <c r="D50" s="12" t="n">
        <v>36709.63</v>
      </c>
      <c r="E50" s="12">
        <f>C50-D50</f>
        <v/>
      </c>
      <c r="F50" s="13">
        <f>IF(D50=0, "", (C50-D50)/ABS(D50))</f>
        <v/>
      </c>
      <c r="G50" s="11" t="n"/>
    </row>
    <row r="51">
      <c r="A51" s="18" t="n"/>
      <c r="B51" s="18" t="inlineStr">
        <is>
          <t>Amortisation</t>
        </is>
      </c>
      <c r="C51" s="19" t="n">
        <v>1952.36</v>
      </c>
      <c r="D51" s="19" t="n">
        <v>1952.36</v>
      </c>
      <c r="E51" s="19">
        <f>C51-D51</f>
        <v/>
      </c>
      <c r="F51" s="21">
        <f>IF(D51=0, "", (C51-D51)/ABS(D51))</f>
        <v/>
      </c>
      <c r="G51" s="18" t="n"/>
    </row>
    <row r="52">
      <c r="A52" s="18" t="n"/>
      <c r="B52" s="18" t="inlineStr">
        <is>
          <t>Disposals</t>
        </is>
      </c>
      <c r="C52" s="19" t="n">
        <v>0</v>
      </c>
      <c r="D52" s="19" t="n">
        <v>0</v>
      </c>
      <c r="E52" s="19">
        <f>C52-D52</f>
        <v/>
      </c>
      <c r="F52" s="21">
        <f>IF(D52=0, "", (C52-D52)/ABS(D52))</f>
        <v/>
      </c>
      <c r="G52" s="18" t="n"/>
    </row>
    <row r="53">
      <c r="A53" s="11" t="n"/>
      <c r="B53" s="11" t="inlineStr">
        <is>
          <t>As at 31 March 2025</t>
        </is>
      </c>
      <c r="C53" s="12" t="n">
        <v>38661.99</v>
      </c>
      <c r="D53" s="12" t="n">
        <v>38661.99</v>
      </c>
      <c r="E53" s="12">
        <f>C53-D53</f>
        <v/>
      </c>
      <c r="F53" s="13">
        <f>IF(D53=0, "", (C53-D53)/ABS(D53))</f>
        <v/>
      </c>
      <c r="G53" s="11" t="n"/>
    </row>
    <row r="54">
      <c r="A54" s="11" t="n"/>
      <c r="B54" s="11" t="inlineStr">
        <is>
          <t>Net block</t>
        </is>
      </c>
      <c r="C54" s="12" t="n">
        <v>0</v>
      </c>
      <c r="D54" s="12" t="n">
        <v>0</v>
      </c>
      <c r="E54" s="12">
        <f>C54-D54</f>
        <v/>
      </c>
      <c r="F54" s="13">
        <f>IF(D54=0, "", (C54-D54)/ABS(D54))</f>
        <v/>
      </c>
      <c r="G54" s="11" t="n"/>
    </row>
    <row r="55">
      <c r="A55" s="11" t="n"/>
      <c r="B55" s="11" t="inlineStr">
        <is>
          <t>As at 31 March 2025</t>
        </is>
      </c>
      <c r="C55" s="12" t="n">
        <v>3913.96</v>
      </c>
      <c r="D55" s="12" t="n">
        <v>3913.96</v>
      </c>
      <c r="E55" s="12">
        <f>C55-D55</f>
        <v/>
      </c>
      <c r="F55" s="13">
        <f>IF(D55=0, "", (C55-D55)/ABS(D55))</f>
        <v/>
      </c>
      <c r="G55" s="11" t="n"/>
    </row>
    <row r="56">
      <c r="A56" s="11" t="n"/>
      <c r="B56" s="11" t="inlineStr">
        <is>
          <t>As at 31 March 2024</t>
        </is>
      </c>
      <c r="C56" s="12" t="n">
        <v>3803.81</v>
      </c>
      <c r="D56" s="12" t="n">
        <v>3803.81</v>
      </c>
      <c r="E56" s="12">
        <f>C56-D56</f>
        <v/>
      </c>
      <c r="F56" s="13">
        <f>IF(D56=0, "", (C56-D56)/ABS(D56))</f>
        <v/>
      </c>
      <c r="G56" s="11" t="n"/>
    </row>
    <row r="57">
      <c r="A57" s="11" t="n"/>
      <c r="B57" s="11" t="inlineStr">
        <is>
          <t>Internal assets Under Development-Ageing Schedule</t>
        </is>
      </c>
      <c r="C57" s="12" t="n">
        <v>0</v>
      </c>
      <c r="D57" s="12" t="n">
        <v>0</v>
      </c>
      <c r="E57" s="12">
        <f>C57-D57</f>
        <v/>
      </c>
      <c r="F57" s="13">
        <f>IF(D57=0, "", (C57-D57)/ABS(D57))</f>
        <v/>
      </c>
      <c r="G57" s="11" t="n"/>
    </row>
    <row r="58">
      <c r="A58" s="11" t="n"/>
      <c r="B58" s="11" t="inlineStr">
        <is>
          <t>As at 31 March 2025</t>
        </is>
      </c>
      <c r="C58" s="12" t="n">
        <v>0</v>
      </c>
      <c r="D58" s="12" t="n">
        <v>0</v>
      </c>
      <c r="E58" s="12">
        <f>C58-D58</f>
        <v/>
      </c>
      <c r="F58" s="13">
        <f>IF(D58=0, "", (C58-D58)/ABS(D58))</f>
        <v/>
      </c>
      <c r="G58" s="11" t="n"/>
    </row>
    <row r="59">
      <c r="A59" s="11" t="n"/>
      <c r="B59" s="11" t="inlineStr">
        <is>
          <t>Particulars</t>
        </is>
      </c>
      <c r="C59" s="12" t="n">
        <v>0</v>
      </c>
      <c r="D59" s="12" t="n">
        <v>0</v>
      </c>
      <c r="E59" s="12">
        <f>C59-D59</f>
        <v/>
      </c>
      <c r="F59" s="13">
        <f>IF(D59=0, "", (C59-D59)/ABS(D59))</f>
        <v/>
      </c>
      <c r="G59" s="11" t="n"/>
    </row>
    <row r="60">
      <c r="A60" s="18" t="n"/>
      <c r="B60" s="18" t="inlineStr">
        <is>
          <t>Projects in Progress</t>
        </is>
      </c>
      <c r="C60" s="19" t="n">
        <v>0</v>
      </c>
      <c r="D60" s="19" t="n">
        <v>0</v>
      </c>
      <c r="E60" s="19">
        <f>C60-D60</f>
        <v/>
      </c>
      <c r="F60" s="21">
        <f>IF(D60=0, "", (C60-D60)/ABS(D60))</f>
        <v/>
      </c>
      <c r="G60" s="18" t="n"/>
    </row>
    <row r="61">
      <c r="A61" s="18" t="n"/>
      <c r="B61" s="18" t="inlineStr">
        <is>
          <t>Projects temporarily Suspended</t>
        </is>
      </c>
      <c r="C61" s="19" t="n">
        <v>0</v>
      </c>
      <c r="D61" s="19" t="n">
        <v>0</v>
      </c>
      <c r="E61" s="19">
        <f>C61-D61</f>
        <v/>
      </c>
      <c r="F61" s="21">
        <f>IF(D61=0, "", (C61-D61)/ABS(D61))</f>
        <v/>
      </c>
      <c r="G61" s="18" t="n"/>
    </row>
    <row r="62">
      <c r="A62" s="11" t="n"/>
      <c r="B62" s="11" t="inlineStr">
        <is>
          <t>Total</t>
        </is>
      </c>
      <c r="C62" s="12" t="n">
        <v>0</v>
      </c>
      <c r="D62" s="12" t="n">
        <v>0</v>
      </c>
      <c r="E62" s="12">
        <f>C62-D62</f>
        <v/>
      </c>
      <c r="F62" s="13">
        <f>IF(D62=0, "", (C62-D62)/ABS(D62))</f>
        <v/>
      </c>
      <c r="G62" s="11" t="n"/>
    </row>
    <row r="63">
      <c r="A63" s="11" t="n"/>
      <c r="B63" s="11" t="inlineStr">
        <is>
          <t>As at 31 March 2024</t>
        </is>
      </c>
      <c r="C63" s="12" t="n">
        <v>0</v>
      </c>
      <c r="D63" s="12" t="n">
        <v>0</v>
      </c>
      <c r="E63" s="12">
        <f>C63-D63</f>
        <v/>
      </c>
      <c r="F63" s="13">
        <f>IF(D63=0, "", (C63-D63)/ABS(D63))</f>
        <v/>
      </c>
      <c r="G63" s="11" t="n"/>
    </row>
    <row r="64">
      <c r="A64" s="11" t="n"/>
      <c r="B64" s="11" t="inlineStr">
        <is>
          <t>Particulars</t>
        </is>
      </c>
      <c r="C64" s="12" t="n">
        <v>0</v>
      </c>
      <c r="D64" s="12" t="n">
        <v>0</v>
      </c>
      <c r="E64" s="12">
        <f>C64-D64</f>
        <v/>
      </c>
      <c r="F64" s="13">
        <f>IF(D64=0, "", (C64-D64)/ABS(D64))</f>
        <v/>
      </c>
      <c r="G64" s="11" t="n"/>
    </row>
    <row r="65">
      <c r="A65" s="18" t="n"/>
      <c r="B65" s="18" t="inlineStr">
        <is>
          <t>Projects in Progress</t>
        </is>
      </c>
      <c r="C65" s="19" t="n">
        <v>589</v>
      </c>
      <c r="D65" s="19" t="n">
        <v>589</v>
      </c>
      <c r="E65" s="19">
        <f>C65-D65</f>
        <v/>
      </c>
      <c r="F65" s="21">
        <f>IF(D65=0, "", (C65-D65)/ABS(D65))</f>
        <v/>
      </c>
      <c r="G65" s="18" t="n"/>
    </row>
    <row r="66">
      <c r="A66" s="18" t="n"/>
      <c r="B66" s="18" t="inlineStr">
        <is>
          <t>Projects temporarily Suspended</t>
        </is>
      </c>
      <c r="C66" s="19" t="n">
        <v>0</v>
      </c>
      <c r="D66" s="19" t="n">
        <v>0</v>
      </c>
      <c r="E66" s="19">
        <f>C66-D66</f>
        <v/>
      </c>
      <c r="F66" s="21">
        <f>IF(D66=0, "", (C66-D66)/ABS(D66))</f>
        <v/>
      </c>
      <c r="G66" s="18" t="n"/>
    </row>
    <row r="67">
      <c r="A67" s="11" t="n"/>
      <c r="B67" s="11" t="inlineStr">
        <is>
          <t>Total</t>
        </is>
      </c>
      <c r="C67" s="12" t="n">
        <v>589</v>
      </c>
      <c r="D67" s="12" t="n">
        <v>589</v>
      </c>
      <c r="E67" s="12">
        <f>C67-D67</f>
        <v/>
      </c>
      <c r="F67" s="13">
        <f>IF(D67=0, "", (C67-D67)/ABS(D67))</f>
        <v/>
      </c>
      <c r="G67" s="11" t="n"/>
    </row>
    <row r="68">
      <c r="A68" s="18" t="n"/>
      <c r="B68" s="18" t="inlineStr">
        <is>
          <t>During the years ended 31 March 2025 and 31 March 2024 there are no projects whose completion is overdue or has exceeded its cost compared to its original plan</t>
        </is>
      </c>
      <c r="C68" s="19" t="n">
        <v>0</v>
      </c>
      <c r="D68" s="19" t="n">
        <v>0</v>
      </c>
      <c r="E68" s="19">
        <f>C68-D68</f>
        <v/>
      </c>
      <c r="F68" s="21">
        <f>IF(D68=0, "", (C68-D68)/ABS(D68))</f>
        <v/>
      </c>
      <c r="G68" s="18" t="n"/>
    </row>
    <row r="69">
      <c r="A69" s="11" t="n"/>
      <c r="B69" s="11" t="inlineStr">
        <is>
          <t>Net Book Value</t>
        </is>
      </c>
      <c r="C69" s="12" t="n">
        <v>0</v>
      </c>
      <c r="D69" s="12" t="n">
        <v>0</v>
      </c>
      <c r="E69" s="12">
        <f>C69-D69</f>
        <v/>
      </c>
      <c r="F69" s="13">
        <f>IF(D69=0, "", (C69-D69)/ABS(D69))</f>
        <v/>
      </c>
      <c r="G69" s="11" t="n"/>
    </row>
    <row r="70">
      <c r="A70" s="18" t="n"/>
      <c r="B70" s="18" t="inlineStr">
        <is>
          <t>Goodwill</t>
        </is>
      </c>
      <c r="C70" s="19" t="n">
        <v>0.1</v>
      </c>
      <c r="D70" s="19" t="n">
        <v>0.1</v>
      </c>
      <c r="E70" s="19">
        <f>C70-D70</f>
        <v/>
      </c>
      <c r="F70" s="21">
        <f>IF(D70=0, "", (C70-D70)/ABS(D70))</f>
        <v/>
      </c>
      <c r="G70" s="18" t="n"/>
    </row>
    <row r="71">
      <c r="A71" s="18" t="n"/>
      <c r="B71" s="18" t="inlineStr">
        <is>
          <t>Other Intangible assets</t>
        </is>
      </c>
      <c r="C71" s="19" t="n">
        <v>3214.71</v>
      </c>
      <c r="D71" s="19" t="n">
        <v>3214.71</v>
      </c>
      <c r="E71" s="19">
        <f>C71-D71</f>
        <v/>
      </c>
      <c r="F71" s="21">
        <f>IF(D71=0, "", (C71-D71)/ABS(D71))</f>
        <v/>
      </c>
      <c r="G71" s="18" t="n"/>
    </row>
    <row r="72">
      <c r="A72" s="18" t="n"/>
      <c r="B72" s="18" t="inlineStr">
        <is>
          <t>Intangible assets under development</t>
        </is>
      </c>
      <c r="C72" s="19" t="n">
        <v>589</v>
      </c>
      <c r="D72" s="19" t="n">
        <v>589</v>
      </c>
      <c r="E72" s="19">
        <f>C72-D72</f>
        <v/>
      </c>
      <c r="F72" s="21">
        <f>IF(D72=0, "", (C72-D72)/ABS(D72))</f>
        <v/>
      </c>
      <c r="G72" s="18" t="n"/>
    </row>
    <row r="73">
      <c r="A73" s="11" t="n"/>
      <c r="B73" s="11" t="inlineStr">
        <is>
          <t>(Space left blank intentionally)</t>
        </is>
      </c>
      <c r="C73" s="12" t="n">
        <v>0</v>
      </c>
      <c r="D73" s="12" t="n">
        <v>0</v>
      </c>
      <c r="E73" s="12">
        <f>C73-D73</f>
        <v/>
      </c>
      <c r="F73" s="13">
        <f>IF(D73=0, "", (C73-D73)/ABS(D73))</f>
        <v/>
      </c>
      <c r="G73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5" customWidth="1" min="3" max="3"/>
    <col width="16" customWidth="1" min="4" max="4"/>
    <col width="16" customWidth="1" min="5" max="5"/>
    <col width="14" customWidth="1" min="6" max="6"/>
    <col width="45" customWidth="1" min="7" max="7"/>
  </cols>
  <sheetData>
    <row r="1">
      <c r="B1" s="6" t="inlineStr">
        <is>
          <t>Firm:</t>
        </is>
      </c>
      <c r="C1" s="7" t="inlineStr">
        <is>
          <t>WCC</t>
        </is>
      </c>
    </row>
    <row r="2">
      <c r="B2" s="6" t="inlineStr">
        <is>
          <t>Client:</t>
        </is>
      </c>
      <c r="C2" s="7" t="inlineStr">
        <is>
          <t>Balance Sheet as at 31 March 2025</t>
        </is>
      </c>
    </row>
    <row r="3">
      <c r="B3" s="6" t="inlineStr">
        <is>
          <t>Ratio Analysis</t>
        </is>
      </c>
    </row>
    <row r="4">
      <c r="B4" s="7" t="inlineStr">
        <is>
          <t>As at 31 March 2025 vs 31 March 2024</t>
        </is>
      </c>
      <c r="D4" s="7" t="inlineStr">
        <is>
          <t>Generated on: 10 June 2026, 11:11:56</t>
        </is>
      </c>
    </row>
    <row r="5">
      <c r="B5" s="7" t="inlineStr">
        <is>
          <t>Scope: Percentage variance of +/- 10% have been selected for analysis</t>
        </is>
      </c>
    </row>
    <row r="7">
      <c r="A7" s="10" t="inlineStr"/>
      <c r="B7" s="10" t="inlineStr">
        <is>
          <t>KEY METRIC</t>
        </is>
      </c>
      <c r="C7" s="10" t="inlineStr">
        <is>
          <t>FORMULA</t>
        </is>
      </c>
      <c r="D7" s="10" t="inlineStr">
        <is>
          <t>2025-26 (CY)</t>
        </is>
      </c>
      <c r="E7" s="10" t="inlineStr">
        <is>
          <t>2024-25 (PY)</t>
        </is>
      </c>
      <c r="F7" s="10" t="inlineStr">
        <is>
          <t>CHANGE (%)</t>
        </is>
      </c>
      <c r="G7" s="10" t="inlineStr">
        <is>
          <t>REMARKS</t>
        </is>
      </c>
    </row>
    <row r="8">
      <c r="A8" s="3" t="n"/>
      <c r="B8" s="29" t="inlineStr">
        <is>
          <t>Debt Equity Ratio</t>
        </is>
      </c>
      <c r="C8" s="18" t="inlineStr">
        <is>
          <t>(Long-Term Borrowings + Short-Term Borrowings) / Total Equity</t>
        </is>
      </c>
      <c r="D8" s="30" t="n">
        <v>1</v>
      </c>
      <c r="E8" s="30" t="n">
        <v>1</v>
      </c>
      <c r="F8" s="31" t="n">
        <v>0</v>
      </c>
      <c r="G8" s="3" t="n"/>
    </row>
    <row r="9">
      <c r="A9" s="14" t="n"/>
      <c r="B9" s="23" t="inlineStr">
        <is>
          <t>Current Ratio</t>
        </is>
      </c>
      <c r="C9" s="14" t="inlineStr">
        <is>
          <t>Current Assets / Current Liabilities</t>
        </is>
      </c>
      <c r="D9" s="15" t="n">
        <v>1.45</v>
      </c>
      <c r="E9" s="15" t="n">
        <v>1.3066</v>
      </c>
      <c r="F9" s="17" t="n">
        <v>0.1097</v>
      </c>
      <c r="G9" s="14" t="n"/>
    </row>
    <row r="10">
      <c r="A10" s="3" t="n"/>
      <c r="B10" s="29" t="inlineStr">
        <is>
          <t>GCA Days</t>
        </is>
      </c>
      <c r="C10" s="18" t="inlineStr">
        <is>
          <t>(Total Current Assets / Total Revenue) × 365</t>
        </is>
      </c>
      <c r="D10" s="30" t="n">
        <v>266.9158</v>
      </c>
      <c r="E10" s="30" t="n">
        <v>264.0868</v>
      </c>
      <c r="F10" s="22" t="n">
        <v>0.0107</v>
      </c>
      <c r="G10" s="3" t="n"/>
    </row>
    <row r="11">
      <c r="A11" s="14" t="n"/>
      <c r="B11" s="23" t="inlineStr">
        <is>
          <t>Total Outside Liab. vs Total Equity</t>
        </is>
      </c>
      <c r="C11" s="14" t="inlineStr">
        <is>
          <t>(Total Current Liabilities + Total Non-Current Liabilities) / Total Equity</t>
        </is>
      </c>
      <c r="D11" s="15" t="n">
        <v>1.0909</v>
      </c>
      <c r="E11" s="15" t="n">
        <v>1.5196</v>
      </c>
      <c r="F11" s="16" t="n">
        <v>-0.2821</v>
      </c>
      <c r="G11" s="14" t="n"/>
    </row>
    <row r="12">
      <c r="A12" s="14" t="n"/>
      <c r="B12" s="23" t="inlineStr">
        <is>
          <t>Net Profit Ratio</t>
        </is>
      </c>
      <c r="C12" s="14" t="inlineStr">
        <is>
          <t>Net Profit After Tax / Revenue from Operations × 100</t>
        </is>
      </c>
      <c r="D12" s="15" t="n">
        <v>-0.0156</v>
      </c>
      <c r="E12" s="15" t="n">
        <v>-57.4237</v>
      </c>
      <c r="F12" s="17" t="n">
        <v>0.9997</v>
      </c>
      <c r="G12" s="14" t="n"/>
    </row>
    <row r="13">
      <c r="A13" s="14" t="n"/>
      <c r="B13" s="23" t="inlineStr">
        <is>
          <t>Return on Equity (ROE)</t>
        </is>
      </c>
      <c r="C13" s="14" t="inlineStr">
        <is>
          <t>Profit Before Tax / Average Total Equity × 100</t>
        </is>
      </c>
      <c r="D13" s="15" t="n">
        <v>5.6737</v>
      </c>
      <c r="E13" s="15" t="n">
        <v>28.1134</v>
      </c>
      <c r="F13" s="16" t="n">
        <v>-0.7981999999999999</v>
      </c>
      <c r="G13" s="14" t="n"/>
    </row>
    <row r="14">
      <c r="A14" s="14" t="n"/>
      <c r="B14" s="23" t="inlineStr">
        <is>
          <t>Return on Capital Employed (ROCE)</t>
        </is>
      </c>
      <c r="C14" s="14" t="inlineStr">
        <is>
          <t>(PBT + Finance Cost) / (Total Equity + LTB + STB) × 100</t>
        </is>
      </c>
      <c r="D14" s="15" t="n">
        <v>3.4333</v>
      </c>
      <c r="E14" s="15" t="n">
        <v>14.4632</v>
      </c>
      <c r="F14" s="16" t="n">
        <v>-0.7626000000000001</v>
      </c>
      <c r="G14" s="14" t="n"/>
    </row>
    <row r="15">
      <c r="A15" s="3" t="n"/>
      <c r="B15" s="29" t="inlineStr">
        <is>
          <t>Debtor Turnover Ratio</t>
        </is>
      </c>
      <c r="C15" s="18" t="inlineStr">
        <is>
          <t>Revenue from Operations / Average Trade Receivables</t>
        </is>
      </c>
      <c r="D15" s="30" t="n">
        <v>2.2098</v>
      </c>
      <c r="E15" s="30" t="n">
        <v>2.3919</v>
      </c>
      <c r="F15" s="20" t="n">
        <v>-0.0761</v>
      </c>
      <c r="G15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8" customWidth="1" min="4" max="4"/>
    <col width="18" customWidth="1" min="5" max="5"/>
  </cols>
  <sheetData>
    <row r="1">
      <c r="B1" s="6" t="inlineStr">
        <is>
          <t>Key Metrics Dashboard</t>
        </is>
      </c>
    </row>
    <row r="2">
      <c r="B2" s="6" t="inlineStr">
        <is>
          <t>Firm: WCC</t>
        </is>
      </c>
    </row>
    <row r="3">
      <c r="B3" s="6" t="inlineStr">
        <is>
          <t>Client: Balance Sheet as at 31 March 2025 — FY 2025</t>
        </is>
      </c>
    </row>
    <row r="4">
      <c r="B4" s="7" t="inlineStr">
        <is>
          <t>(Rs. in Actuals)</t>
        </is>
      </c>
      <c r="D4" s="7" t="inlineStr">
        <is>
          <t>Generated on: 10 June 2026, 11:11:56</t>
        </is>
      </c>
    </row>
    <row r="6">
      <c r="A6" s="32" t="inlineStr"/>
      <c r="B6" s="32" t="inlineStr">
        <is>
          <t>Metric</t>
        </is>
      </c>
      <c r="C6" s="32" t="inlineStr">
        <is>
          <t>CY (2025)</t>
        </is>
      </c>
      <c r="D6" s="32" t="inlineStr">
        <is>
          <t>PY (2024)</t>
        </is>
      </c>
      <c r="E6" s="32" t="inlineStr">
        <is>
          <t>Variance</t>
        </is>
      </c>
    </row>
    <row r="7">
      <c r="A7" s="3" t="n"/>
      <c r="B7" s="29" t="inlineStr">
        <is>
          <t>Total Revenue</t>
        </is>
      </c>
      <c r="C7" s="30" t="n">
        <v>23563.25</v>
      </c>
      <c r="D7" s="30" t="n">
        <v>28462.99</v>
      </c>
      <c r="E7" s="30">
        <f>C7-D7</f>
        <v/>
      </c>
    </row>
    <row r="8">
      <c r="A8" s="3" t="n"/>
      <c r="B8" s="29" t="inlineStr">
        <is>
          <t>Total Expenses</t>
        </is>
      </c>
      <c r="C8" s="30" t="n">
        <v>22912.38</v>
      </c>
      <c r="D8" s="30" t="n">
        <v>25253.6</v>
      </c>
      <c r="E8" s="30">
        <f>C8-D8</f>
        <v/>
      </c>
    </row>
    <row r="9">
      <c r="A9" s="3" t="n"/>
      <c r="B9" s="29" t="inlineStr">
        <is>
          <t>Profit Before Tax</t>
        </is>
      </c>
      <c r="C9" s="30">
        <f>'P&amp;L ANALYSIS'!C23</f>
        <v/>
      </c>
      <c r="D9" s="30">
        <f>'P&amp;L ANALYSIS'!D23</f>
        <v/>
      </c>
      <c r="E9" s="30">
        <f>C9-D9</f>
        <v/>
      </c>
    </row>
    <row r="10">
      <c r="A10" s="3" t="n"/>
      <c r="B10" s="29" t="inlineStr">
        <is>
          <t>Total Assets</t>
        </is>
      </c>
      <c r="C10" s="30" t="n">
        <v>24102.52</v>
      </c>
      <c r="D10" s="30" t="n">
        <v>28763.57</v>
      </c>
      <c r="E10" s="30">
        <f>C10-D10</f>
        <v/>
      </c>
    </row>
    <row r="11">
      <c r="A11" s="3" t="n"/>
      <c r="B11" s="29" t="inlineStr">
        <is>
          <t>Total Equity</t>
        </is>
      </c>
      <c r="C11" s="30" t="n">
        <v>11527.32</v>
      </c>
      <c r="D11" s="30" t="n">
        <v>11415.89</v>
      </c>
      <c r="E11" s="30">
        <f>C11-D11</f>
        <v/>
      </c>
    </row>
    <row r="12">
      <c r="A12" s="3" t="n"/>
      <c r="B12" s="29" t="inlineStr">
        <is>
          <t>Total Current Assets</t>
        </is>
      </c>
      <c r="C12" s="30" t="n">
        <v>17231.24</v>
      </c>
      <c r="D12" s="30" t="n">
        <v>20593.7</v>
      </c>
      <c r="E12" s="30">
        <f>C12-D12</f>
        <v/>
      </c>
    </row>
    <row r="13">
      <c r="A13" s="3" t="n"/>
      <c r="B13" s="29" t="inlineStr">
        <is>
          <t>Total Current Liabilities</t>
        </is>
      </c>
      <c r="C13" s="30" t="n">
        <v>11883.77</v>
      </c>
      <c r="D13" s="30" t="n">
        <v>15760.84</v>
      </c>
      <c r="E13" s="30">
        <f>C13-D13</f>
        <v/>
      </c>
    </row>
    <row r="16">
      <c r="B16" s="6" t="inlineStr">
        <is>
          <t>Key Ratios</t>
        </is>
      </c>
    </row>
    <row r="17">
      <c r="A17" s="32" t="inlineStr"/>
      <c r="B17" s="32" t="inlineStr">
        <is>
          <t>Ratio</t>
        </is>
      </c>
      <c r="C17" s="32" t="inlineStr">
        <is>
          <t>CY</t>
        </is>
      </c>
      <c r="D17" s="32" t="inlineStr">
        <is>
          <t>PY</t>
        </is>
      </c>
      <c r="E17" s="32" t="inlineStr">
        <is>
          <t>Change %</t>
        </is>
      </c>
    </row>
    <row r="18">
      <c r="A18" s="3" t="n"/>
      <c r="B18" s="18" t="inlineStr">
        <is>
          <t>Debt Equity Ratio</t>
        </is>
      </c>
      <c r="C18" s="30" t="n">
        <v>1</v>
      </c>
      <c r="D18" s="30" t="n">
        <v>1</v>
      </c>
      <c r="E18" s="31" t="n">
        <v>0</v>
      </c>
    </row>
    <row r="19">
      <c r="A19" s="3" t="n"/>
      <c r="B19" s="18" t="inlineStr">
        <is>
          <t>Current Ratio</t>
        </is>
      </c>
      <c r="C19" s="30" t="n">
        <v>1.45</v>
      </c>
      <c r="D19" s="30" t="n">
        <v>1.3066</v>
      </c>
      <c r="E19" s="31" t="n">
        <v>0.1097</v>
      </c>
    </row>
    <row r="20">
      <c r="A20" s="3" t="n"/>
      <c r="B20" s="18" t="inlineStr">
        <is>
          <t>GCA Days</t>
        </is>
      </c>
      <c r="C20" s="30" t="n">
        <v>266.9158</v>
      </c>
      <c r="D20" s="30" t="n">
        <v>264.0868</v>
      </c>
      <c r="E20" s="31" t="n">
        <v>0.0107</v>
      </c>
    </row>
    <row r="21">
      <c r="A21" s="3" t="n"/>
      <c r="B21" s="18" t="inlineStr">
        <is>
          <t>Total Outside Liab. vs Total Equity</t>
        </is>
      </c>
      <c r="C21" s="30" t="n">
        <v>1.0909</v>
      </c>
      <c r="D21" s="30" t="n">
        <v>1.5196</v>
      </c>
      <c r="E21" s="31" t="n">
        <v>-0.2821</v>
      </c>
    </row>
    <row r="22">
      <c r="A22" s="3" t="n"/>
      <c r="B22" s="18" t="inlineStr">
        <is>
          <t>Net Profit Ratio</t>
        </is>
      </c>
      <c r="C22" s="30" t="n">
        <v>-0.0156</v>
      </c>
      <c r="D22" s="30" t="n">
        <v>-57.4237</v>
      </c>
      <c r="E22" s="31" t="n">
        <v>0.9997</v>
      </c>
    </row>
    <row r="23">
      <c r="A23" s="3" t="n"/>
      <c r="B23" s="18" t="inlineStr">
        <is>
          <t>Return on Equity (ROE)</t>
        </is>
      </c>
      <c r="C23" s="30" t="n">
        <v>5.6737</v>
      </c>
      <c r="D23" s="30" t="n">
        <v>28.1134</v>
      </c>
      <c r="E23" s="31" t="n">
        <v>-0.7981999999999999</v>
      </c>
    </row>
    <row r="24">
      <c r="A24" s="3" t="n"/>
      <c r="B24" s="18" t="inlineStr">
        <is>
          <t>Return on Capital Employed (ROCE)</t>
        </is>
      </c>
      <c r="C24" s="30" t="n">
        <v>3.4333</v>
      </c>
      <c r="D24" s="30" t="n">
        <v>14.4632</v>
      </c>
      <c r="E24" s="31" t="n">
        <v>-0.7626000000000001</v>
      </c>
    </row>
    <row r="25">
      <c r="A25" s="3" t="n"/>
      <c r="B25" s="18" t="inlineStr">
        <is>
          <t>Debtor Turnover Ratio</t>
        </is>
      </c>
      <c r="C25" s="30" t="n">
        <v>2.2098</v>
      </c>
      <c r="D25" s="30" t="n">
        <v>2.3919</v>
      </c>
      <c r="E25" s="31" t="n">
        <v>-0.0761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B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4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B2" s="6" t="inlineStr">
        <is>
          <t>Visual Analytics Dashboard</t>
        </is>
      </c>
    </row>
    <row r="3">
      <c r="B3" s="6" t="inlineStr">
        <is>
          <t>Firm: WCC</t>
        </is>
      </c>
    </row>
    <row r="4">
      <c r="B4" s="6" t="inlineStr">
        <is>
          <t>Client: Balance Sheet as at 31 March 2025 — FY 2025</t>
        </is>
      </c>
    </row>
    <row r="5">
      <c r="B5" s="7" t="inlineStr">
        <is>
          <t>Amounts in: Rs. Actuals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2026-06-10T05:41:56Z</dcterms:created>
  <dcterms:modified xmlns:dcterms="http://purl.org/dc/terms/" xmlns:xsi="http://www.w3.org/2001/XMLSchema-instance" xsi:type="dcterms:W3CDTF">2026-06-10T05:58:51Z</dcterms:modified>
</cp:coreProperties>
</file>